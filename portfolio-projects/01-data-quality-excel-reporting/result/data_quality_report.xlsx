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33c088f30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orders_raw" sheetId="1" r:id="R8d8c4ca18794481a"/>
    <x:sheet xmlns:r="http://schemas.openxmlformats.org/officeDocument/2006/relationships" name="02_clients_raw" sheetId="2" r:id="Rfcc0cc38fde945c8"/>
    <x:sheet xmlns:r="http://schemas.openxmlformats.org/officeDocument/2006/relationships" name="03_payments_raw" sheetId="3" r:id="R22a05f84ba674eb0"/>
    <x:sheet xmlns:r="http://schemas.openxmlformats.org/officeDocument/2006/relationships" name="04_checks" sheetId="4" r:id="R0e05d94fda7740c1"/>
    <x:sheet xmlns:r="http://schemas.openxmlformats.org/officeDocument/2006/relationships" name="05_errors" sheetId="5" r:id="Ra3c3f0ca76234b2a"/>
    <x:sheet xmlns:r="http://schemas.openxmlformats.org/officeDocument/2006/relationships" name="06_summary" sheetId="6" r:id="Re6dfbe4fe83f4678"/>
    <x:sheet xmlns:r="http://schemas.openxmlformats.org/officeDocument/2006/relationships" name="07_dashboard" sheetId="7" r:id="R7c3d60b5e881438d"/>
    <x:sheet xmlns:r="http://schemas.openxmlformats.org/officeDocument/2006/relationships" name="08_action_plan" sheetId="8" r:id="R53de6a949999458b"/>
    <x:sheet xmlns:r="http://schemas.openxmlformats.org/officeDocument/2006/relationships" name="10_events" sheetId="9" r:id="R1b040b0792de49f2"/>
    <x:sheet xmlns:r="http://schemas.openxmlformats.org/officeDocument/2006/relationships" name="09_parameters" sheetId="10" r:id="Rb8bb358e2c0d487d"/>
  </x:sheets>
</x:workbook>
</file>

<file path=xl/sharedStrings.xml><?xml version="1.0" encoding="utf-8"?>
<x:sst xmlns:x="http://schemas.openxmlformats.org/spreadsheetml/2006/main">
  <x:si>
    <x:t xml:space="preserve">Сводка по качеству данных и отчетности</x:t>
  </x:si>
  <x:si>
    <x:t xml:space="preserve">Показатель</x:t>
  </x:si>
  <x:si>
    <x:t xml:space="preserve">Значение</x:t>
  </x:si>
  <x:si>
    <x:t xml:space="preserve">Статус</x:t>
  </x:si>
  <x:si>
    <x:t xml:space="preserve">Количество заказов</x:t>
  </x:si>
  <x:si>
    <x:t xml:space="preserve">Объект</x:t>
  </x:si>
  <x:si>
    <x:t xml:space="preserve">Количество ошибок</x:t>
  </x:si>
  <x:si>
    <x:t xml:space="preserve">Всего заказов</x:t>
  </x:si>
  <x:si>
    <x:t xml:space="preserve">Выполнен</x:t>
  </x:si>
  <x:si>
    <x:t xml:space="preserve">Order</x:t>
  </x:si>
  <x:si>
    <x:t xml:space="preserve">Сумма заказов</x:t>
  </x:si>
  <x:si>
    <x:t xml:space="preserve">В работе</x:t>
  </x:si>
  <x:si>
    <x:t xml:space="preserve">Client</x:t>
  </x:si>
  <x:si>
    <x:t xml:space="preserve">Всего клиентов</x:t>
  </x:si>
  <x:si>
    <x:t xml:space="preserve">Ожидает оплаты</x:t>
  </x:si>
  <x:si>
    <x:t xml:space="preserve">Payment</x:t>
  </x:si>
  <x:si>
    <x:t xml:space="preserve">Всего оплат</x:t>
  </x:si>
  <x:si>
    <x:t xml:space="preserve">Отменен</x:t>
  </x:si>
  <x:si>
    <x:t xml:space="preserve">High</x:t>
  </x:si>
  <x:si>
    <x:t xml:space="preserve">Всего найдено ошибок</x:t>
  </x:si>
  <x:si>
    <x:t xml:space="preserve">Опечатка/прочее</x:t>
  </x:si>
  <x:si>
    <x:t xml:space="preserve">Доля записей с ошибками</x:t>
  </x:si>
  <x:si>
    <x:t xml:space="preserve">Месяц</x:t>
  </x:si>
  <x:si>
    <x:t xml:space="preserve">Январь</x:t>
  </x:si>
  <x:si>
    <x:t xml:space="preserve">Февраль</x:t>
  </x:si>
  <x:si>
    <x:t xml:space="preserve">Март</x:t>
  </x:si>
  <x:si>
    <x:t xml:space="preserve">Апрель</x:t>
  </x:si>
  <x:si>
    <x:t xml:space="preserve">Май</x:t>
  </x:si>
  <x:si>
    <x:t xml:space="preserve">Дашборд: контроль качества данных из 1С</x:t>
  </x:si>
  <x:si>
    <x:t xml:space="preserve">Клиенты</x:t>
  </x:si>
  <x:si>
    <x:t xml:space="preserve">Оплаты</x:t>
  </x:si>
  <x:si>
    <x:t xml:space="preserve">Критичные ошибки</x:t>
  </x:si>
  <x:si>
    <x:t xml:space="preserve">Главный риск</x:t>
  </x:si>
  <x:si>
    <x:t xml:space="preserve">Количество</x:t>
  </x:si>
  <x:si>
    <x:t xml:space="preserve">План действий по исправлению ошибок</x:t>
  </x:si>
  <x:si>
    <x:t xml:space="preserve">Приоритет</x:t>
  </x:si>
  <x:si>
    <x:t xml:space="preserve">Проблема</x:t>
  </x:si>
  <x:si>
    <x:t xml:space="preserve">Действие</x:t>
  </x:si>
  <x:si>
    <x:t xml:space="preserve">Ответственный</x:t>
  </x:si>
  <x:si>
    <x:t xml:space="preserve">Ожидаемый эффект</x:t>
  </x:si>
  <x:si>
    <x:t xml:space="preserve">Нет связи между таблицами</x:t>
  </x:si>
  <x:si>
    <x:t xml:space="preserve">Проверить отсутствующие client_id/order_id и обновить справочники</x:t>
  </x:si>
  <x:si>
    <x:t xml:space="preserve">Аналитик + владелец 1С</x:t>
  </x:si>
  <x:si>
    <x:t xml:space="preserve">Корректные связи в отчетности</x:t>
  </x:si>
  <x:si>
    <x:t xml:space="preserve">Запланировано</x:t>
  </x:si>
  <x:si>
    <x:t xml:space="preserve">Ошибки расчета</x:t>
  </x:si>
  <x:si>
    <x:t xml:space="preserve">Сверить суммы заказов и оплат с первичными документами</x:t>
  </x:si>
  <x:si>
    <x:t xml:space="preserve">Аналитик</x:t>
  </x:si>
  <x:si>
    <x:t xml:space="preserve">Снижение риска неверных финансовых показателей</x:t>
  </x:si>
  <x:si>
    <x:t xml:space="preserve">Некорректные даты и статусы</x:t>
  </x:si>
  <x:si>
    <x:t xml:space="preserve">Исправить даты документов и статусы по справочнику</x:t>
  </x:si>
  <x:si>
    <x:t xml:space="preserve">Операционная команда</x:t>
  </x:si>
  <x:si>
    <x:t xml:space="preserve">Корректная динамика и воронка заказов</x:t>
  </x:si>
  <x:si>
    <x:t xml:space="preserve">Medium</x:t>
  </x:si>
  <x:si>
    <x:t xml:space="preserve">Пустые обязательные поля</x:t>
  </x:si>
  <x:si>
    <x:t xml:space="preserve">Вернуть записи на дозаполнение ответственным</x:t>
  </x:si>
  <x:si>
    <x:t xml:space="preserve">Менеджеры</x:t>
  </x:si>
  <x:si>
    <x:t xml:space="preserve">Полная карточка клиента/заказа</x:t>
  </x:si>
  <x:si>
    <x:t xml:space="preserve">Low</x:t>
  </x:si>
  <x:si>
    <x:t xml:space="preserve">Дубли</x:t>
  </x:si>
  <x:si>
    <x:t xml:space="preserve">Определить актуальную запись и удалить или объединить дубль</x:t>
  </x:si>
  <x:si>
    <x:t xml:space="preserve">Чистые справочники и отсутствие двойного учета</x:t>
  </x:si>
</x:sst>
</file>

<file path=xl/styles.xml><?xml version="1.0" encoding="utf-8"?>
<x:styleSheet xmlns:x="http://schemas.openxmlformats.org/spreadsheetml/2006/main">
  <x:numFmts count="3">
    <x:numFmt numFmtId="164" formatCode="yyyy-mm-dd"/>
    <x:numFmt numFmtId="165" formatCode="#,##0"/>
    <x:numFmt numFmtId="166" formatCode="0.0%"/>
  </x:numFmts>
  <x:fonts count="3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b/>
      <x:sz val="16"/>
      <x:color rgb="FFFFFFFF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0" fillId="0" borderId="2" xfId="0" applyBorder="1"/>
    <x:xf numFmtId="164" fontId="0" fillId="0" borderId="2" xfId="0" applyNumberFormat="1" applyBorder="1"/>
    <x:xf numFmtId="165" fontId="0" fillId="0" borderId="2" xfId="0" applyNumberFormat="1" applyBorder="1"/>
    <x:xf numFmtId="0" fontId="0" fillId="0" borderId="2" xfId="0" applyBorder="1" applyAlignment="1">
      <x:alignment vertical="top" wrapText="1"/>
    </x:xf>
    <x:xf numFmtId="0" fontId="2" fillId="2" borderId="0" xfId="0" applyFont="1" applyFill="1" applyAlignment="1">
      <x:alignment horizontal="center" vertical="center"/>
    </x:xf>
    <x:xf numFmtId="166" fontId="0" fillId="0" borderId="2" xfId="0" applyNumberFormat="1" applyBorder="1"/>
    <x:xf numFmtId="0" fontId="0" fillId="3" borderId="2" xfId="0" applyFill="1" applyBorder="1"/>
    <x:xf numFmtId="164" fontId="0" fillId="0" borderId="2" xfId="0" applyNumberFormat="1" applyFont="1" applyFill="1" applyBorder="1"/>
    <x:xf numFmtId="164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4CCCC"/>
        </x:patternFill>
      </x:fill>
      <x:border>
        <x:left style="thin">
          <x:color rgb="FFD9E2F3"/>
        </x:left>
        <x:right style="thin">
          <x:color rgb="FFD9E2F3"/>
        </x:right>
        <x:top style="thin">
          <x:color rgb="FFD9E2F3"/>
        </x:top>
        <x:bottom style="thin">
          <x:color rgb="FFD9E2F3"/>
        </x:bottom>
      </x:border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2a66d368c413a" /><Relationship Type="http://schemas.openxmlformats.org/officeDocument/2006/relationships/theme" Target="/xl/theme/theme1.xml" Id="R386c1666ebdb4fd8" /><Relationship Type="http://schemas.openxmlformats.org/officeDocument/2006/relationships/sharedStrings" Target="/xl/sharedStrings.xml" Id="R18f72ae3571c4bd4" /><Relationship Type="http://schemas.openxmlformats.org/officeDocument/2006/relationships/worksheet" Target="/xl/worksheets/sheet1.xml" Id="R8d8c4ca18794481a" /><Relationship Type="http://schemas.openxmlformats.org/officeDocument/2006/relationships/worksheet" Target="/xl/worksheets/sheet2.xml" Id="Rfcc0cc38fde945c8" /><Relationship Type="http://schemas.openxmlformats.org/officeDocument/2006/relationships/worksheet" Target="/xl/worksheets/sheet3.xml" Id="R22a05f84ba674eb0" /><Relationship Type="http://schemas.openxmlformats.org/officeDocument/2006/relationships/worksheet" Target="/xl/worksheets/sheet4.xml" Id="R0e05d94fda7740c1" /><Relationship Type="http://schemas.openxmlformats.org/officeDocument/2006/relationships/worksheet" Target="/xl/worksheets/sheet5.xml" Id="Ra3c3f0ca76234b2a" /><Relationship Type="http://schemas.openxmlformats.org/officeDocument/2006/relationships/worksheet" Target="/xl/worksheets/sheet6.xml" Id="Re6dfbe4fe83f4678" /><Relationship Type="http://schemas.openxmlformats.org/officeDocument/2006/relationships/worksheet" Target="/xl/worksheets/sheet7.xml" Id="R7c3d60b5e881438d" /><Relationship Type="http://schemas.openxmlformats.org/officeDocument/2006/relationships/worksheet" Target="/xl/worksheets/sheet8.xml" Id="R53de6a949999458b" /><Relationship Type="http://schemas.openxmlformats.org/officeDocument/2006/relationships/worksheet" Target="/xl/worksheets/sheet9.xml" Id="R1b040b0792de49f2" /><Relationship Type="http://schemas.openxmlformats.org/officeDocument/2006/relationships/worksheet" Target="/xl/worksheets/sheet10.xml" Id="Rb8bb358e2c0d48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2c8668d64f4f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Ошибки по типам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События</c:v>
          </c:tx>
          <c:cat>
            <c:strRef>
              <c:f>'07_dashboard'!$D$9:$D$17</c:f>
              <c:strCache>
                <c:ptCount val="0"/>
              </c:strCache>
            </c:strRef>
          </c:cat>
          <c:val>
            <c:numRef>
              <c:f>'07_dashboard'!$E$9:$E$17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2c8668d64f4f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orders" displayName="tbl_orders" ref="A1:J181" headerRowCount="1" totalsRowCount="0" totalsRowShown="0">
  <x:tableColumns count="10">
    <x:tableColumn id="1" name="order_id"/>
    <x:tableColumn id="2" name="order_date"/>
    <x:tableColumn id="3" name="client_id"/>
    <x:tableColumn id="4" name="manager"/>
    <x:tableColumn id="5" name="product_category"/>
    <x:tableColumn id="6" name="product_name"/>
    <x:tableColumn id="7" name="quantity"/>
    <x:tableColumn id="8" name="price"/>
    <x:tableColumn id="9" name="order_sum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lients" displayName="tbl_clients" ref="A1:F67" headerRowCount="1" totalsRowCount="0" totalsRowShown="0">
  <x:tableColumns count="6">
    <x:tableColumn id="1" name="client_id"/>
    <x:tableColumn id="2" name="client_name"/>
    <x:tableColumn id="3" name="inn"/>
    <x:tableColumn id="4" name="city"/>
    <x:tableColumn id="5" name="registration_date"/>
    <x:tableColumn id="6" name="client_seg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payments" displayName="tbl_payments" ref="A1:E141" headerRowCount="1" totalsRowCount="0" totalsRowShown="0">
  <x:tableColumns count="5">
    <x:tableColumn id="1" name="payment_id"/>
    <x:tableColumn id="2" name="order_id"/>
    <x:tableColumn id="3" name="payment_date"/>
    <x:tableColumn id="4" name="payment_sum"/>
    <x:tableColumn id="5" name="payment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hecks" displayName="tbl_checks" ref="A1:K387" headerRowCount="1" totalsRowCount="0" totalsRowShown="0">
  <x:tableColumns count="11">
    <x:tableColumn id="1" name="entity"/>
    <x:tableColumn id="2" name="record_id"/>
    <x:tableColumn id="3" name="duplicate_id"/>
    <x:tableColumn id="4" name="required_fields"/>
    <x:tableColumn id="5" name="reference"/>
    <x:tableColumn id="6" name="calculation_or_INN_format"/>
    <x:tableColumn id="7" name="negative_price"/>
    <x:tableColumn id="8" name="date"/>
    <x:tableColumn id="9" name="status"/>
    <x:tableColumn id="10" name="error_count"/>
    <x:tableColumn id="11" name="source_row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errors" displayName="tbl_errors" ref="A1:G513" headerRowCount="1" totalsRowCount="0" totalsRowShown="0">
  <x:tableColumns count="7">
    <x:tableColumn id="1" name="entity"/>
    <x:tableColumn id="2" name="record_id"/>
    <x:tableColumn id="3" name="source_row"/>
    <x:tableColumn id="4" name="error_type"/>
    <x:tableColumn id="5" name="criticality"/>
    <x:tableColumn id="6" name="source_field"/>
    <x:tableColumn id="7" name="recommen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e337d494704b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90e884ef3a4b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22182677234b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a7a92324b54a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d23a003674f4f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879cef5753e46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7109375" customWidth="1"/>
    <x:col min="2" max="2" width="13.7109375" customWidth="1"/>
    <x:col min="3" max="3" width="11.7109375" customWidth="1"/>
    <x:col min="4" max="4" width="14.7109375" customWidth="1"/>
    <x:col min="5" max="5" width="18.7109375" customWidth="1"/>
    <x:col min="6" max="6" width="21.7109375" customWidth="1"/>
    <x:col min="7" max="7" width="11.7109375" customWidth="1"/>
    <x:col min="8" max="8" width="12.7109375" customWidth="1"/>
    <x:col min="9" max="9" width="14.7109375" customWidth="1"/>
    <x:col min="10" max="10" width="16.7109375" customWidth="1"/>
  </x:cols>
  <x:sheetData>
    <x:row r="1">
      <x:c r="A1" s="1" t="str">
        <x:v>order_id</x:v>
      </x:c>
      <x:c r="B1" s="1" t="str">
        <x:v>order_date</x:v>
      </x:c>
      <x:c r="C1" s="1" t="str">
        <x:v>client_id</x:v>
      </x:c>
      <x:c r="D1" s="1" t="str">
        <x:v>manager</x:v>
      </x:c>
      <x:c r="E1" s="1" t="str">
        <x:v>product_category</x:v>
      </x:c>
      <x:c r="F1" s="1" t="str">
        <x:v>product_name</x:v>
      </x:c>
      <x:c r="G1" s="1" t="str">
        <x:v>quantity</x:v>
      </x:c>
      <x:c r="H1" s="1" t="str">
        <x:v>price</x:v>
      </x:c>
      <x:c r="I1" s="1" t="str">
        <x:v>order_sum</x:v>
      </x:c>
      <x:c r="J1" s="1" t="str">
        <x:v>status</x:v>
      </x:c>
    </x:row>
    <x:row r="2">
      <x:c r="A2" s="2" t="n">
        <x:v>1001</x:v>
      </x:c>
      <x:c r="B2" s="9" t="n">
        <x:v>46115</x:v>
      </x:c>
      <x:c r="C2" s="2" t="str">
        <x:v>C003</x:v>
      </x:c>
      <x:c r="D2" s="2" t="str">
        <x:v>Кузнецова</x:v>
      </x:c>
      <x:c r="E2" s="2" t="str">
        <x:v>Мониторы</x:v>
      </x:c>
      <x:c r="F2" s="2" t="str">
        <x:v>AOC 24</x:v>
      </x:c>
      <x:c r="G2" s="4" t="n">
        <x:v>1</x:v>
      </x:c>
      <x:c r="H2" s="4" t="n">
        <x:v>12000</x:v>
      </x:c>
      <x:c r="I2" s="4" t="n">
        <x:v>12000</x:v>
      </x:c>
      <x:c r="J2" s="2" t="str">
        <x:v>Выполнен</x:v>
      </x:c>
    </x:row>
    <x:row r="3">
      <x:c r="A3" s="2" t="n">
        <x:v>1002</x:v>
      </x:c>
      <x:c r="B3" s="9" t="n">
        <x:v>46153</x:v>
      </x:c>
      <x:c r="C3" s="2" t="str">
        <x:v>C019</x:v>
      </x:c>
      <x:c r="D3" s="2" t="str">
        <x:v>Петрова</x:v>
      </x:c>
      <x:c r="E3" s="2" t="str">
        <x:v>Ноутбуки</x:v>
      </x:c>
      <x:c r="F3" s="2" t="str">
        <x:v>HP Pavilion</x:v>
      </x:c>
      <x:c r="G3" s="4" t="n">
        <x:v>5</x:v>
      </x:c>
      <x:c r="H3" s="4" t="n">
        <x:v>55000</x:v>
      </x:c>
      <x:c r="I3" s="4" t="n">
        <x:v>275000</x:v>
      </x:c>
      <x:c r="J3" s="2" t="str">
        <x:v>В работе</x:v>
      </x:c>
    </x:row>
    <x:row r="4">
      <x:c r="A4" s="2" t="n">
        <x:v>1003</x:v>
      </x:c>
      <x:c r="B4" s="9" t="n">
        <x:v>46164</x:v>
      </x:c>
      <x:c r="C4" s="2" t="str">
        <x:v>C007</x:v>
      </x:c>
      <x:c r="D4" s="2" t="str">
        <x:v>Сидорова</x:v>
      </x:c>
      <x:c r="E4" s="2" t="str">
        <x:v>ПО</x:v>
      </x:c>
      <x:c r="F4" s="2" t="str">
        <x:v>Antivirus Pro</x:v>
      </x:c>
      <x:c r="G4" s="4" t="n">
        <x:v>6</x:v>
      </x:c>
      <x:c r="H4" s="4" t="n">
        <x:v>8900</x:v>
      </x:c>
      <x:c r="I4" s="4" t="n">
        <x:v>53400</x:v>
      </x:c>
      <x:c r="J4" s="2" t="str">
        <x:v>В работе</x:v>
      </x:c>
    </x:row>
    <x:row r="5">
      <x:c r="A5" s="2" t="n">
        <x:v>1004</x:v>
      </x:c>
      <x:c r="B5" s="9" t="n">
        <x:v>46047</x:v>
      </x:c>
      <x:c r="C5" s="2" t="str">
        <x:v>C019</x:v>
      </x:c>
      <x:c r="D5" s="2" t="str">
        <x:v>Кузнецова</x:v>
      </x:c>
      <x:c r="E5" s="2" t="str">
        <x:v>Мониторы</x:v>
      </x:c>
      <x:c r="F5" s="2" t="str">
        <x:v>Samsung 27</x:v>
      </x:c>
      <x:c r="G5" s="4" t="n">
        <x:v>6</x:v>
      </x:c>
      <x:c r="H5" s="4" t="n">
        <x:v>72000</x:v>
      </x:c>
      <x:c r="I5" s="4" t="n">
        <x:v>432000</x:v>
      </x:c>
      <x:c r="J5" s="2" t="str">
        <x:v>Выполнен</x:v>
      </x:c>
    </x:row>
    <x:row r="6">
      <x:c r="A6" s="2" t="n">
        <x:v>1005</x:v>
      </x:c>
      <x:c r="B6" s="9" t="n">
        <x:v>46100</x:v>
      </x:c>
      <x:c r="C6" s="2" t="str">
        <x:v>C015</x:v>
      </x:c>
      <x:c r="D6" s="2" t="str">
        <x:v>Смирнова</x:v>
      </x:c>
      <x:c r="E6" s="2" t="str">
        <x:v>Мониторы</x:v>
      </x:c>
      <x:c r="F6" s="2" t="str">
        <x:v>LG UltraFine</x:v>
      </x:c>
      <x:c r="G6" s="4" t="n">
        <x:v>3</x:v>
      </x:c>
      <x:c r="H6" s="4" t="n">
        <x:v>4500</x:v>
      </x:c>
      <x:c r="I6" s="4" t="n">
        <x:v>13500</x:v>
      </x:c>
      <x:c r="J6" s="2" t="str">
        <x:v>Ожидает оплаты</x:v>
      </x:c>
    </x:row>
    <x:row r="7">
      <x:c r="A7" s="2" t="n">
        <x:v>1006</x:v>
      </x:c>
      <x:c r="B7" s="9" t="n">
        <x:v>46153</x:v>
      </x:c>
      <x:c r="C7" s="2" t="str">
        <x:v>C025</x:v>
      </x:c>
      <x:c r="D7" s="2" t="str">
        <x:v>Иванова</x:v>
      </x:c>
      <x:c r="E7" s="2" t="str">
        <x:v>Ноутбуки</x:v>
      </x:c>
      <x:c r="F7" s="2" t="str">
        <x:v>Lenovo IdeaPad</x:v>
      </x:c>
      <x:c r="G7" s="4" t="n">
        <x:v>2</x:v>
      </x:c>
      <x:c r="H7" s="4" t="n">
        <x:v>12000</x:v>
      </x:c>
      <x:c r="I7" s="4" t="n">
        <x:v>24000</x:v>
      </x:c>
      <x:c r="J7" s="2" t="str">
        <x:v>В работе</x:v>
      </x:c>
    </x:row>
    <x:row r="8">
      <x:c r="A8" s="2" t="n">
        <x:v>1007</x:v>
      </x:c>
      <x:c r="B8" s="9" t="n">
        <x:v>46131</x:v>
      </x:c>
      <x:c r="C8" s="2" t="str">
        <x:v>C021</x:v>
      </x:c>
      <x:c r="D8" s="2" t="str">
        <x:v>Кузнецова</x:v>
      </x:c>
      <x:c r="E8" s="2" t="str">
        <x:v>Периферия</x:v>
      </x:c>
      <x:c r="F8" s="2" t="str">
        <x:v>Logitech Mouse</x:v>
      </x:c>
      <x:c r="G8" s="4" t="n">
        <x:v>2</x:v>
      </x:c>
      <x:c r="H8" s="4" t="n">
        <x:v>4500</x:v>
      </x:c>
      <x:c r="I8" s="4" t="n">
        <x:v>9000</x:v>
      </x:c>
      <x:c r="J8" s="2" t="str">
        <x:v>Ожидает оплаты</x:v>
      </x:c>
    </x:row>
    <x:row r="9">
      <x:c r="A9" s="2" t="n">
        <x:v>1007</x:v>
      </x:c>
      <x:c r="B9" s="9" t="n">
        <x:v>46101</x:v>
      </x:c>
      <x:c r="C9" s="2" t="str">
        <x:v>C011</x:v>
      </x:c>
      <x:c r="D9" s="2" t="str">
        <x:v>Кузнецова</x:v>
      </x:c>
      <x:c r="E9" s="2" t="str">
        <x:v>Сервис</x:v>
      </x:c>
      <x:c r="F9" s="2" t="str">
        <x:v>Training Session</x:v>
      </x:c>
      <x:c r="G9" s="4" t="n">
        <x:v>1</x:v>
      </x:c>
      <x:c r="H9" s="4" t="n">
        <x:v>55000</x:v>
      </x:c>
      <x:c r="I9" s="4" t="n">
        <x:v>55000</x:v>
      </x:c>
      <x:c r="J9" s="2" t="str">
        <x:v>В работе</x:v>
      </x:c>
    </x:row>
    <x:row r="10">
      <x:c r="A10" s="2" t="n">
        <x:v>1009</x:v>
      </x:c>
      <x:c r="B10" s="9" t="n">
        <x:v>46111</x:v>
      </x:c>
      <x:c r="C10" s="2" t="str">
        <x:v>C027</x:v>
      </x:c>
      <x:c r="D10" s="2" t="str">
        <x:v>Петрова</x:v>
      </x:c>
      <x:c r="E10" s="2" t="str">
        <x:v>Ноутбуки</x:v>
      </x:c>
      <x:c r="F10" s="2" t="str">
        <x:v>ASUS VivoBook</x:v>
      </x:c>
      <x:c r="G10" s="4" t="n">
        <x:v>6</x:v>
      </x:c>
      <x:c r="H10" s="4" t="n">
        <x:v>55000</x:v>
      </x:c>
      <x:c r="I10" s="4" t="n">
        <x:v>330000</x:v>
      </x:c>
      <x:c r="J10" s="2" t="str">
        <x:v>Выполнен</x:v>
      </x:c>
    </x:row>
    <x:row r="11">
      <x:c r="A11" s="2" t="n">
        <x:v>1010</x:v>
      </x:c>
      <x:c r="B11" s="9" t="n">
        <x:v>46108</x:v>
      </x:c>
      <x:c r="C11" s="2" t="str">
        <x:v>C031</x:v>
      </x:c>
      <x:c r="D11" s="2" t="str">
        <x:v>Смирнова</x:v>
      </x:c>
      <x:c r="E11" s="2" t="str">
        <x:v>Периферия</x:v>
      </x:c>
      <x:c r="F11" s="2" t="str">
        <x:v>Keychron K2</x:v>
      </x:c>
      <x:c r="G11" s="4" t="n">
        <x:v>5</x:v>
      </x:c>
      <x:c r="H11" s="4" t="n">
        <x:v>72000</x:v>
      </x:c>
      <x:c r="I11" s="4" t="n">
        <x:v>360000</x:v>
      </x:c>
      <x:c r="J11" s="2" t="str">
        <x:v>Ожидает оплаты</x:v>
      </x:c>
    </x:row>
    <x:row r="12">
      <x:c r="A12" s="2" t="n">
        <x:v>1011</x:v>
      </x:c>
      <x:c r="B12" s="9" t="n">
        <x:v>46084</x:v>
      </x:c>
      <x:c r="C12" s="2" t="str">
        <x:v>C012</x:v>
      </x:c>
      <x:c r="D12" s="2" t="str">
        <x:v>Орлова</x:v>
      </x:c>
      <x:c r="E12" s="2" t="str">
        <x:v>Мониторы</x:v>
      </x:c>
      <x:c r="F12" s="2" t="str">
        <x:v>LG UltraFine</x:v>
      </x:c>
      <x:c r="G12" s="4" t="n">
        <x:v>6</x:v>
      </x:c>
      <x:c r="H12" s="4" t="n">
        <x:v>4500</x:v>
      </x:c>
      <x:c r="I12" s="4" t="n">
        <x:v>27000</x:v>
      </x:c>
      <x:c r="J12" s="2" t="str">
        <x:v>Ожидает оплаты</x:v>
      </x:c>
    </x:row>
    <x:row r="13">
      <x:c r="A13" s="2" t="n">
        <x:v>1012</x:v>
      </x:c>
      <x:c r="B13" s="9" t="n">
        <x:v>46170</x:v>
      </x:c>
      <x:c r="C13" s="2" t="str">
        <x:v>C012</x:v>
      </x:c>
      <x:c r="D13" s="2" t="str">
        <x:v>Сидорова</x:v>
      </x:c>
      <x:c r="E13" s="2" t="str">
        <x:v>Мониторы</x:v>
      </x:c>
      <x:c r="F13" s="2" t="str">
        <x:v>AOC 24</x:v>
      </x:c>
      <x:c r="G13" s="4" t="n">
        <x:v>6</x:v>
      </x:c>
      <x:c r="H13" s="4" t="n">
        <x:v>39000</x:v>
      </x:c>
      <x:c r="I13" s="4" t="n">
        <x:v>234000</x:v>
      </x:c>
      <x:c r="J13" s="2" t="str">
        <x:v>Ожидает оплаты</x:v>
      </x:c>
    </x:row>
    <x:row r="14">
      <x:c r="A14" s="2" t="n">
        <x:v>1013</x:v>
      </x:c>
      <x:c r="B14" s="9" t="n">
        <x:v>46057</x:v>
      </x:c>
      <x:c r="C14" s="2" t="str">
        <x:v>C031</x:v>
      </x:c>
      <x:c r="D14" s="2" t="str">
        <x:v>Орлова</x:v>
      </x:c>
      <x:c r="E14" s="2" t="str">
        <x:v>ПО</x:v>
      </x:c>
      <x:c r="F14" s="2" t="str">
        <x:v>BI Connector</x:v>
      </x:c>
      <x:c r="G14" s="4" t="n">
        <x:v>6</x:v>
      </x:c>
      <x:c r="H14" s="4" t="n">
        <x:v>72000</x:v>
      </x:c>
      <x:c r="I14" s="4" t="n">
        <x:v>432000</x:v>
      </x:c>
      <x:c r="J14" s="2" t="str">
        <x:v>Выполнен</x:v>
      </x:c>
    </x:row>
    <x:row r="15">
      <x:c r="A15" s="2" t="n">
        <x:v>1014</x:v>
      </x:c>
      <x:c r="B15" s="9" t="n">
        <x:v>46145</x:v>
      </x:c>
      <x:c r="C15" s="2" t="str">
        <x:v>C032</x:v>
      </x:c>
      <x:c r="D15" s="2" t="str">
        <x:v>Иванова</x:v>
      </x:c>
      <x:c r="E15" s="2" t="str">
        <x:v>Мониторы</x:v>
      </x:c>
      <x:c r="F15" s="2" t="str">
        <x:v>Dell P2422H</x:v>
      </x:c>
      <x:c r="G15" s="4" t="n">
        <x:v>6</x:v>
      </x:c>
      <x:c r="H15" s="4" t="n">
        <x:v>72000</x:v>
      </x:c>
      <x:c r="I15" s="4" t="n">
        <x:v>432000</x:v>
      </x:c>
      <x:c r="J15" s="2" t="str">
        <x:v>В работе</x:v>
      </x:c>
    </x:row>
    <x:row r="16">
      <x:c r="A16" s="2" t="n">
        <x:v>1015</x:v>
      </x:c>
      <x:c r="B16" s="9" t="n">
        <x:v>46092</x:v>
      </x:c>
      <x:c r="C16" s="2" t="str">
        <x:v>C010</x:v>
      </x:c>
      <x:c r="D16" s="2" t="str">
        <x:v>Петрова</x:v>
      </x:c>
      <x:c r="E16" s="2" t="str">
        <x:v>Периферия</x:v>
      </x:c>
      <x:c r="F16" s="2" t="str">
        <x:v>Logitech Mouse</x:v>
      </x:c>
      <x:c r="G16" s="4" t="n">
        <x:v>5</x:v>
      </x:c>
      <x:c r="H16" s="4" t="n">
        <x:v>12000</x:v>
      </x:c>
      <x:c r="I16" s="4" t="n">
        <x:v>60000</x:v>
      </x:c>
      <x:c r="J16" s="2" t="str">
        <x:v>Отменен</x:v>
      </x:c>
    </x:row>
    <x:row r="17">
      <x:c r="A17" s="2" t="n">
        <x:v>1016</x:v>
      </x:c>
      <x:c r="B17" s="9" t="n">
        <x:v>46134</x:v>
      </x:c>
      <x:c r="C17" s="2"/>
      <x:c r="D17" s="2" t="str">
        <x:v>Смирнова</x:v>
      </x:c>
      <x:c r="E17" s="2" t="str">
        <x:v>Ноутбуки</x:v>
      </x:c>
      <x:c r="F17" s="2" t="str">
        <x:v>HP Pavilion</x:v>
      </x:c>
      <x:c r="G17" s="4" t="n">
        <x:v>6</x:v>
      </x:c>
      <x:c r="H17" s="4" t="n">
        <x:v>72000</x:v>
      </x:c>
      <x:c r="I17" s="4" t="n">
        <x:v>432000</x:v>
      </x:c>
      <x:c r="J17" s="2" t="str">
        <x:v>В работе</x:v>
      </x:c>
    </x:row>
    <x:row r="18">
      <x:c r="A18" s="2" t="n">
        <x:v>1017</x:v>
      </x:c>
      <x:c r="B18" s="9" t="n">
        <x:v>46091</x:v>
      </x:c>
      <x:c r="C18" s="2" t="str">
        <x:v>C028</x:v>
      </x:c>
      <x:c r="D18" s="2" t="str">
        <x:v>Кузнецова</x:v>
      </x:c>
      <x:c r="E18" s="2" t="str">
        <x:v>Сервис</x:v>
      </x:c>
      <x:c r="F18" s="2" t="str">
        <x:v>Setup Service</x:v>
      </x:c>
      <x:c r="G18" s="4" t="n">
        <x:v>3</x:v>
      </x:c>
      <x:c r="H18" s="4" t="n">
        <x:v>8900</x:v>
      </x:c>
      <x:c r="I18" s="4" t="n">
        <x:v>26700</x:v>
      </x:c>
      <x:c r="J18" s="2" t="str">
        <x:v>Ожидает оплаты</x:v>
      </x:c>
    </x:row>
    <x:row r="19">
      <x:c r="A19" s="2" t="n">
        <x:v>1018</x:v>
      </x:c>
      <x:c r="B19" s="9" t="n">
        <x:v>46116</x:v>
      </x:c>
      <x:c r="C19" s="2" t="str">
        <x:v>C016</x:v>
      </x:c>
      <x:c r="D19" s="2" t="str">
        <x:v>Сидорова</x:v>
      </x:c>
      <x:c r="E19" s="2" t="str">
        <x:v>ПО</x:v>
      </x:c>
      <x:c r="F19" s="2" t="str">
        <x:v>BI Connector</x:v>
      </x:c>
      <x:c r="G19" s="4" t="n">
        <x:v>4</x:v>
      </x:c>
      <x:c r="H19" s="4" t="n">
        <x:v>72000</x:v>
      </x:c>
      <x:c r="I19" s="4" t="n">
        <x:v>288000</x:v>
      </x:c>
      <x:c r="J19" s="2" t="str">
        <x:v>Выполнен</x:v>
      </x:c>
    </x:row>
    <x:row r="20">
      <x:c r="A20" s="2" t="n">
        <x:v>1019</x:v>
      </x:c>
      <x:c r="B20" s="9" t="n">
        <x:v>46172</x:v>
      </x:c>
      <x:c r="C20" s="2" t="str">
        <x:v>C016</x:v>
      </x:c>
      <x:c r="D20" s="2" t="str">
        <x:v>Петрова</x:v>
      </x:c>
      <x:c r="E20" s="2" t="str">
        <x:v>Сервис</x:v>
      </x:c>
      <x:c r="F20" s="2" t="str">
        <x:v>Training Session</x:v>
      </x:c>
      <x:c r="G20" s="4" t="n">
        <x:v>3</x:v>
      </x:c>
      <x:c r="H20" s="4" t="n">
        <x:v>55000</x:v>
      </x:c>
      <x:c r="I20" s="4" t="n">
        <x:v>165000</x:v>
      </x:c>
      <x:c r="J20" s="2" t="str">
        <x:v>Ожидает оплаты</x:v>
      </x:c>
    </x:row>
    <x:row r="21">
      <x:c r="A21" s="2" t="n">
        <x:v>1020</x:v>
      </x:c>
      <x:c r="B21" s="9" t="n">
        <x:v>46038</x:v>
      </x:c>
      <x:c r="C21" s="2" t="str">
        <x:v>C001</x:v>
      </x:c>
      <x:c r="D21" s="2" t="str">
        <x:v>Петрова</x:v>
      </x:c>
      <x:c r="E21" s="2" t="str">
        <x:v>Ноутбуки</x:v>
      </x:c>
      <x:c r="F21" s="2" t="str">
        <x:v>Lenovo IdeaPad</x:v>
      </x:c>
      <x:c r="G21" s="4" t="n">
        <x:v>5</x:v>
      </x:c>
      <x:c r="H21" s="4" t="n">
        <x:v>4500</x:v>
      </x:c>
      <x:c r="I21" s="4" t="n">
        <x:v>22500</x:v>
      </x:c>
      <x:c r="J21" s="2" t="str">
        <x:v>В работе</x:v>
      </x:c>
    </x:row>
    <x:row r="22">
      <x:c r="A22" s="2" t="n">
        <x:v>1021</x:v>
      </x:c>
      <x:c r="B22" s="9" t="n">
        <x:v>46164</x:v>
      </x:c>
      <x:c r="C22" s="2" t="str">
        <x:v>C038</x:v>
      </x:c>
      <x:c r="D22" s="2" t="str">
        <x:v>Кузнецова</x:v>
      </x:c>
      <x:c r="E22" s="2" t="str">
        <x:v>Ноутбуки</x:v>
      </x:c>
      <x:c r="F22" s="2" t="str">
        <x:v>HP Pavilion</x:v>
      </x:c>
      <x:c r="G22" s="4" t="n">
        <x:v>4</x:v>
      </x:c>
      <x:c r="H22" s="4" t="n">
        <x:v>39000</x:v>
      </x:c>
      <x:c r="I22" s="4" t="n">
        <x:v>156000</x:v>
      </x:c>
      <x:c r="J22" s="2" t="str">
        <x:v>Отменен</x:v>
      </x:c>
    </x:row>
    <x:row r="23">
      <x:c r="A23" s="2" t="n">
        <x:v>1022</x:v>
      </x:c>
      <x:c r="B23" s="9" t="n">
        <x:v>46043</x:v>
      </x:c>
      <x:c r="C23" s="2" t="str">
        <x:v>C007</x:v>
      </x:c>
      <x:c r="D23" s="2" t="str">
        <x:v>Орлова</x:v>
      </x:c>
      <x:c r="E23" s="2" t="str">
        <x:v>Ноутбуки</x:v>
      </x:c>
      <x:c r="F23" s="2" t="str">
        <x:v>Lenovo IdeaPad</x:v>
      </x:c>
      <x:c r="G23" s="4" t="n">
        <x:v>1</x:v>
      </x:c>
      <x:c r="H23" s="4" t="n">
        <x:v>55000</x:v>
      </x:c>
      <x:c r="I23" s="4" t="n">
        <x:v>55000</x:v>
      </x:c>
      <x:c r="J23" s="2" t="str">
        <x:v>В работе</x:v>
      </x:c>
    </x:row>
    <x:row r="24">
      <x:c r="A24" s="2" t="n">
        <x:v>1023</x:v>
      </x:c>
      <x:c r="B24" s="9" t="n">
        <x:v>46133</x:v>
      </x:c>
      <x:c r="C24" s="2" t="str">
        <x:v>C043</x:v>
      </x:c>
      <x:c r="D24" s="2" t="str">
        <x:v>Сидорова</x:v>
      </x:c>
      <x:c r="E24" s="2" t="str">
        <x:v>Ноутбуки</x:v>
      </x:c>
      <x:c r="F24" s="2" t="str">
        <x:v>Acer Aspire</x:v>
      </x:c>
      <x:c r="G24" s="4" t="n">
        <x:v>1</x:v>
      </x:c>
      <x:c r="H24" s="4" t="n">
        <x:v>72000</x:v>
      </x:c>
      <x:c r="I24" s="4" t="n">
        <x:v>72000</x:v>
      </x:c>
      <x:c r="J24" s="2" t="str">
        <x:v>Ожидает оплаты</x:v>
      </x:c>
    </x:row>
    <x:row r="25">
      <x:c r="A25" s="2" t="n">
        <x:v>1024</x:v>
      </x:c>
      <x:c r="B25" s="9" t="n">
        <x:v>46105</x:v>
      </x:c>
      <x:c r="C25" s="2" t="str">
        <x:v>C016</x:v>
      </x:c>
      <x:c r="D25" s="2" t="str">
        <x:v>Петрова</x:v>
      </x:c>
      <x:c r="E25" s="2" t="str">
        <x:v>Мониторы</x:v>
      </x:c>
      <x:c r="F25" s="2" t="str">
        <x:v>Samsung 27</x:v>
      </x:c>
      <x:c r="G25" s="4" t="n">
        <x:v>2</x:v>
      </x:c>
      <x:c r="H25" s="4" t="n">
        <x:v>12000</x:v>
      </x:c>
      <x:c r="I25" s="4" t="n">
        <x:v>24000</x:v>
      </x:c>
      <x:c r="J25" s="2" t="str">
        <x:v>Отменен</x:v>
      </x:c>
    </x:row>
    <x:row r="26">
      <x:c r="A26" s="2" t="n">
        <x:v>1025</x:v>
      </x:c>
      <x:c r="B26" s="9" t="n">
        <x:v>46173</x:v>
      </x:c>
      <x:c r="C26" s="2" t="str">
        <x:v>C005</x:v>
      </x:c>
      <x:c r="D26" s="2" t="str">
        <x:v>Кузнецова</x:v>
      </x:c>
      <x:c r="E26" s="2" t="str">
        <x:v>Сервис</x:v>
      </x:c>
      <x:c r="F26" s="2" t="str">
        <x:v>Training Session</x:v>
      </x:c>
      <x:c r="G26" s="4" t="n">
        <x:v>4</x:v>
      </x:c>
      <x:c r="H26" s="4" t="n">
        <x:v>24000</x:v>
      </x:c>
      <x:c r="I26" s="4" t="n">
        <x:v>96000</x:v>
      </x:c>
      <x:c r="J26" s="2" t="str">
        <x:v>Ожидает оплаты</x:v>
      </x:c>
    </x:row>
    <x:row r="27">
      <x:c r="A27" s="2" t="n">
        <x:v>1026</x:v>
      </x:c>
      <x:c r="B27" s="9" t="n">
        <x:v>46117</x:v>
      </x:c>
      <x:c r="C27" s="2" t="str">
        <x:v>C023</x:v>
      </x:c>
      <x:c r="D27" s="2" t="str">
        <x:v>Кузнецова</x:v>
      </x:c>
      <x:c r="E27" s="2" t="str">
        <x:v>Мониторы</x:v>
      </x:c>
      <x:c r="F27" s="2" t="str">
        <x:v>LG UltraFine</x:v>
      </x:c>
      <x:c r="G27" s="4" t="n">
        <x:v>4</x:v>
      </x:c>
      <x:c r="H27" s="4" t="n">
        <x:v>12000</x:v>
      </x:c>
      <x:c r="I27" s="4" t="n">
        <x:v>48000</x:v>
      </x:c>
      <x:c r="J27" s="2" t="str">
        <x:v>Выполнен</x:v>
      </x:c>
    </x:row>
    <x:row r="28">
      <x:c r="A28" s="2" t="n">
        <x:v>1027</x:v>
      </x:c>
      <x:c r="B28" s="9" t="n">
        <x:v>46034</x:v>
      </x:c>
      <x:c r="C28" s="2" t="str">
        <x:v>C032</x:v>
      </x:c>
      <x:c r="D28" s="2" t="str">
        <x:v>Орлова</x:v>
      </x:c>
      <x:c r="E28" s="2" t="str">
        <x:v>Периферия</x:v>
      </x:c>
      <x:c r="F28" s="2" t="str">
        <x:v>Keychron K2</x:v>
      </x:c>
      <x:c r="G28" s="4" t="n">
        <x:v>4</x:v>
      </x:c>
      <x:c r="H28" s="4" t="n">
        <x:v>4500</x:v>
      </x:c>
      <x:c r="I28" s="4" t="n">
        <x:v>18000</x:v>
      </x:c>
      <x:c r="J28" s="2" t="str">
        <x:v>Отменен</x:v>
      </x:c>
    </x:row>
    <x:row r="29">
      <x:c r="A29" s="2" t="n">
        <x:v>1028</x:v>
      </x:c>
      <x:c r="B29" s="9" t="n">
        <x:v>46123</x:v>
      </x:c>
      <x:c r="C29" s="2" t="str">
        <x:v>C006</x:v>
      </x:c>
      <x:c r="D29" s="2" t="str">
        <x:v>Смирнова</x:v>
      </x:c>
      <x:c r="E29" s="2" t="str">
        <x:v>ПО</x:v>
      </x:c>
      <x:c r="F29" s="2" t="str">
        <x:v>Office Suite</x:v>
      </x:c>
      <x:c r="G29" s="4" t="n">
        <x:v>1</x:v>
      </x:c>
      <x:c r="H29" s="4" t="n">
        <x:v>55000</x:v>
      </x:c>
      <x:c r="I29" s="4" t="n">
        <x:v>55000</x:v>
      </x:c>
      <x:c r="J29" s="2" t="str">
        <x:v>Ожидает оплаты</x:v>
      </x:c>
    </x:row>
    <x:row r="30">
      <x:c r="A30" s="2" t="n">
        <x:v>1029</x:v>
      </x:c>
      <x:c r="B30" s="9" t="n">
        <x:v>46111</x:v>
      </x:c>
      <x:c r="C30" s="2" t="str">
        <x:v>C020</x:v>
      </x:c>
      <x:c r="D30" s="2"/>
      <x:c r="E30" s="2" t="str">
        <x:v>Периферия</x:v>
      </x:c>
      <x:c r="F30" s="2" t="str">
        <x:v>Canon Scanner</x:v>
      </x:c>
      <x:c r="G30" s="4" t="n">
        <x:v>4</x:v>
      </x:c>
      <x:c r="H30" s="4" t="n">
        <x:v>55000</x:v>
      </x:c>
      <x:c r="I30" s="4" t="n">
        <x:v>220000</x:v>
      </x:c>
      <x:c r="J30" s="2" t="str">
        <x:v>Отменен</x:v>
      </x:c>
    </x:row>
    <x:row r="31">
      <x:c r="A31" s="2" t="n">
        <x:v>1030</x:v>
      </x:c>
      <x:c r="B31" s="9" t="n">
        <x:v>46103</x:v>
      </x:c>
      <x:c r="C31" s="2" t="str">
        <x:v>C029</x:v>
      </x:c>
      <x:c r="D31" s="2" t="str">
        <x:v>Орлова</x:v>
      </x:c>
      <x:c r="E31" s="2" t="str">
        <x:v>Сервис</x:v>
      </x:c>
      <x:c r="F31" s="2" t="str">
        <x:v>Setup Service</x:v>
      </x:c>
      <x:c r="G31" s="4" t="n">
        <x:v>4</x:v>
      </x:c>
      <x:c r="H31" s="4" t="n">
        <x:v>8900</x:v>
      </x:c>
      <x:c r="I31" s="4" t="n">
        <x:v>35600</x:v>
      </x:c>
      <x:c r="J31" s="2" t="str">
        <x:v>Ожидает оплаты</x:v>
      </x:c>
    </x:row>
    <x:row r="32">
      <x:c r="A32" s="2" t="n">
        <x:v>1031</x:v>
      </x:c>
      <x:c r="B32" s="9" t="n">
        <x:v>46027</x:v>
      </x:c>
      <x:c r="C32" s="2" t="str">
        <x:v>C026</x:v>
      </x:c>
      <x:c r="D32" s="2" t="str">
        <x:v>Кузнецова</x:v>
      </x:c>
      <x:c r="E32" s="2" t="str">
        <x:v>Периферия</x:v>
      </x:c>
      <x:c r="F32" s="2" t="str">
        <x:v>Canon Scanner</x:v>
      </x:c>
      <x:c r="G32" s="4" t="n">
        <x:v>4</x:v>
      </x:c>
      <x:c r="H32" s="4" t="n">
        <x:v>4500</x:v>
      </x:c>
      <x:c r="I32" s="4" t="n">
        <x:v>18000</x:v>
      </x:c>
      <x:c r="J32" s="2" t="str">
        <x:v>Ожидает оплаты</x:v>
      </x:c>
    </x:row>
    <x:row r="33">
      <x:c r="A33" s="2" t="n">
        <x:v>1032</x:v>
      </x:c>
      <x:c r="B33" s="9" t="n">
        <x:v>46055</x:v>
      </x:c>
      <x:c r="C33" s="2" t="str">
        <x:v>C033</x:v>
      </x:c>
      <x:c r="D33" s="2" t="str">
        <x:v>Сидорова</x:v>
      </x:c>
      <x:c r="E33" s="2" t="str">
        <x:v>ПО</x:v>
      </x:c>
      <x:c r="F33" s="2" t="str">
        <x:v>Antivirus Pro</x:v>
      </x:c>
      <x:c r="G33" s="4" t="n">
        <x:v>6</x:v>
      </x:c>
      <x:c r="H33" s="4" t="n">
        <x:v>39000</x:v>
      </x:c>
      <x:c r="I33" s="4" t="n">
        <x:v>234000</x:v>
      </x:c>
      <x:c r="J33" s="2" t="str">
        <x:v>Выполнен</x:v>
      </x:c>
    </x:row>
    <x:row r="34">
      <x:c r="A34" s="2" t="n">
        <x:v>1033</x:v>
      </x:c>
      <x:c r="B34" s="9" t="n">
        <x:v>46067</x:v>
      </x:c>
      <x:c r="C34" s="2" t="str">
        <x:v>C012</x:v>
      </x:c>
      <x:c r="D34" s="2" t="str">
        <x:v>Орлова</x:v>
      </x:c>
      <x:c r="E34" s="2" t="str">
        <x:v>Периферия</x:v>
      </x:c>
      <x:c r="F34" s="2" t="str">
        <x:v>Jabra Headset</x:v>
      </x:c>
      <x:c r="G34" s="4" t="n">
        <x:v>5</x:v>
      </x:c>
      <x:c r="H34" s="4" t="n">
        <x:v>12000</x:v>
      </x:c>
      <x:c r="I34" s="4" t="n">
        <x:v>60000</x:v>
      </x:c>
      <x:c r="J34" s="2" t="str">
        <x:v>В работе</x:v>
      </x:c>
    </x:row>
    <x:row r="35">
      <x:c r="A35" s="2" t="n">
        <x:v>1034</x:v>
      </x:c>
      <x:c r="B35" s="9" t="n">
        <x:v>46085</x:v>
      </x:c>
      <x:c r="C35" s="2" t="str">
        <x:v>C026</x:v>
      </x:c>
      <x:c r="D35" s="2" t="str">
        <x:v>Кузнецова</x:v>
      </x:c>
      <x:c r="E35" s="2" t="str">
        <x:v>Мониторы</x:v>
      </x:c>
      <x:c r="F35" s="2" t="str">
        <x:v>Samsung 27</x:v>
      </x:c>
      <x:c r="G35" s="4" t="n">
        <x:v>6</x:v>
      </x:c>
      <x:c r="H35" s="4" t="n">
        <x:v>8900</x:v>
      </x:c>
      <x:c r="I35" s="4" t="n">
        <x:v>53400</x:v>
      </x:c>
      <x:c r="J35" s="2" t="str">
        <x:v>В работе</x:v>
      </x:c>
    </x:row>
    <x:row r="36">
      <x:c r="A36" s="2" t="n">
        <x:v>1035</x:v>
      </x:c>
      <x:c r="B36" s="9" t="n">
        <x:v>46062</x:v>
      </x:c>
      <x:c r="C36" s="2" t="str">
        <x:v>C040</x:v>
      </x:c>
      <x:c r="D36" s="2" t="str">
        <x:v>Сидорова</x:v>
      </x:c>
      <x:c r="E36" s="2" t="str">
        <x:v>Мониторы</x:v>
      </x:c>
      <x:c r="F36" s="2" t="str">
        <x:v>Dell P2422H</x:v>
      </x:c>
      <x:c r="G36" s="4" t="n">
        <x:v>3</x:v>
      </x:c>
      <x:c r="H36" s="4" t="n">
        <x:v>24000</x:v>
      </x:c>
      <x:c r="I36" s="4" t="n">
        <x:v>72000</x:v>
      </x:c>
      <x:c r="J36" s="2" t="str">
        <x:v>Отменен</x:v>
      </x:c>
    </x:row>
    <x:row r="37">
      <x:c r="A37" s="2" t="n">
        <x:v>1036</x:v>
      </x:c>
      <x:c r="B37" s="9" t="n">
        <x:v>46035</x:v>
      </x:c>
      <x:c r="C37" s="2" t="str">
        <x:v>C014</x:v>
      </x:c>
      <x:c r="D37" s="2" t="str">
        <x:v>Орлова</x:v>
      </x:c>
      <x:c r="E37" s="2" t="str">
        <x:v>Мониторы</x:v>
      </x:c>
      <x:c r="F37" s="2" t="str">
        <x:v>LG UltraFine</x:v>
      </x:c>
      <x:c r="G37" s="4" t="n">
        <x:v>5</x:v>
      </x:c>
      <x:c r="H37" s="4" t="n">
        <x:v>8900</x:v>
      </x:c>
      <x:c r="I37" s="4" t="n">
        <x:v>44500</x:v>
      </x:c>
      <x:c r="J37" s="2" t="str">
        <x:v>Ожидает оплаты</x:v>
      </x:c>
    </x:row>
    <x:row r="38">
      <x:c r="A38" s="2" t="n">
        <x:v>1037</x:v>
      </x:c>
      <x:c r="B38" s="9" t="n">
        <x:v>46075</x:v>
      </x:c>
      <x:c r="C38" s="2" t="str">
        <x:v>C014</x:v>
      </x:c>
      <x:c r="D38" s="2" t="str">
        <x:v>Кузнецова</x:v>
      </x:c>
      <x:c r="E38" s="2" t="str">
        <x:v>ПО</x:v>
      </x:c>
      <x:c r="F38" s="2" t="str">
        <x:v>Antivirus Pro</x:v>
      </x:c>
      <x:c r="G38" s="4" t="n">
        <x:v>2</x:v>
      </x:c>
      <x:c r="H38" s="4" t="n">
        <x:v>72000</x:v>
      </x:c>
      <x:c r="I38" s="4" t="n">
        <x:v>144000</x:v>
      </x:c>
      <x:c r="J38" s="2" t="str">
        <x:v>В работе</x:v>
      </x:c>
    </x:row>
    <x:row r="39">
      <x:c r="A39" s="2" t="n">
        <x:v>1038</x:v>
      </x:c>
      <x:c r="B39" s="9" t="n">
        <x:v>46170</x:v>
      </x:c>
      <x:c r="C39" s="2" t="str">
        <x:v>C009</x:v>
      </x:c>
      <x:c r="D39" s="2" t="str">
        <x:v>Кузнецова</x:v>
      </x:c>
      <x:c r="E39" s="2" t="str">
        <x:v>ПО</x:v>
      </x:c>
      <x:c r="F39" s="2" t="str">
        <x:v>Antivirus Pro</x:v>
      </x:c>
      <x:c r="G39" s="4" t="n">
        <x:v>1</x:v>
      </x:c>
      <x:c r="H39" s="4" t="n">
        <x:v>39000</x:v>
      </x:c>
      <x:c r="I39" s="4" t="n">
        <x:v>39000</x:v>
      </x:c>
      <x:c r="J39" s="2" t="str">
        <x:v>Ожидает оплаты</x:v>
      </x:c>
    </x:row>
    <x:row r="40">
      <x:c r="A40" s="2" t="n">
        <x:v>1039</x:v>
      </x:c>
      <x:c r="B40" s="9" t="n">
        <x:v>46035</x:v>
      </x:c>
      <x:c r="C40" s="2" t="str">
        <x:v>C012</x:v>
      </x:c>
      <x:c r="D40" s="2" t="str">
        <x:v>Сидорова</x:v>
      </x:c>
      <x:c r="E40" s="2" t="str">
        <x:v>ПО</x:v>
      </x:c>
      <x:c r="F40" s="2" t="str">
        <x:v>BI Connector</x:v>
      </x:c>
      <x:c r="G40" s="4" t="n">
        <x:v>5</x:v>
      </x:c>
      <x:c r="H40" s="4" t="n">
        <x:v>72000</x:v>
      </x:c>
      <x:c r="I40" s="4" t="n">
        <x:v>360000</x:v>
      </x:c>
      <x:c r="J40" s="2" t="str">
        <x:v>Ожидает оплаты</x:v>
      </x:c>
    </x:row>
    <x:row r="41">
      <x:c r="A41" s="2" t="n">
        <x:v>1040</x:v>
      </x:c>
      <x:c r="B41" s="9" t="n">
        <x:v>46064</x:v>
      </x:c>
      <x:c r="C41" s="2" t="str">
        <x:v>C043</x:v>
      </x:c>
      <x:c r="D41" s="2" t="str">
        <x:v>Смирнова</x:v>
      </x:c>
      <x:c r="E41" s="2" t="str">
        <x:v>Сервис</x:v>
      </x:c>
      <x:c r="F41" s="2" t="str">
        <x:v>Maintenance Pack</x:v>
      </x:c>
      <x:c r="G41" s="4" t="n">
        <x:v>1</x:v>
      </x:c>
      <x:c r="H41" s="4" t="n">
        <x:v>55000</x:v>
      </x:c>
      <x:c r="I41" s="4" t="n">
        <x:v>60000</x:v>
      </x:c>
      <x:c r="J41" s="2" t="str">
        <x:v>В работе</x:v>
      </x:c>
    </x:row>
    <x:row r="42">
      <x:c r="A42" s="2" t="n">
        <x:v>1041</x:v>
      </x:c>
      <x:c r="B42" s="9" t="n">
        <x:v>46118</x:v>
      </x:c>
      <x:c r="C42" s="2" t="str">
        <x:v>C027</x:v>
      </x:c>
      <x:c r="D42" s="2" t="str">
        <x:v>Иванова</x:v>
      </x:c>
      <x:c r="E42" s="2" t="str">
        <x:v>Периферия</x:v>
      </x:c>
      <x:c r="F42" s="2" t="str">
        <x:v>Logitech Mouse</x:v>
      </x:c>
      <x:c r="G42" s="4" t="n">
        <x:v>3</x:v>
      </x:c>
      <x:c r="H42" s="4" t="n">
        <x:v>12000</x:v>
      </x:c>
      <x:c r="I42" s="4" t="n">
        <x:v>36000</x:v>
      </x:c>
      <x:c r="J42" s="2" t="str">
        <x:v>Выполнен</x:v>
      </x:c>
    </x:row>
    <x:row r="43">
      <x:c r="A43" s="2" t="n">
        <x:v>1042</x:v>
      </x:c>
      <x:c r="B43" s="9" t="n">
        <x:v>46034</x:v>
      </x:c>
      <x:c r="C43" s="2" t="str">
        <x:v>C008</x:v>
      </x:c>
      <x:c r="D43" s="2" t="str">
        <x:v>Иванова</x:v>
      </x:c>
      <x:c r="E43" s="2" t="str">
        <x:v>Периферия</x:v>
      </x:c>
      <x:c r="F43" s="2" t="str">
        <x:v>Logitech Mouse</x:v>
      </x:c>
      <x:c r="G43" s="4" t="n">
        <x:v>2</x:v>
      </x:c>
      <x:c r="H43" s="4" t="n">
        <x:v>39000</x:v>
      </x:c>
      <x:c r="I43" s="4" t="n">
        <x:v>78000</x:v>
      </x:c>
      <x:c r="J43" s="2" t="str">
        <x:v>Выполнен</x:v>
      </x:c>
    </x:row>
    <x:row r="44">
      <x:c r="A44" s="2" t="n">
        <x:v>1043</x:v>
      </x:c>
      <x:c r="B44" s="9" t="n">
        <x:v>46087</x:v>
      </x:c>
      <x:c r="C44" s="2" t="str">
        <x:v>C030</x:v>
      </x:c>
      <x:c r="D44" s="2" t="str">
        <x:v>Петрова</x:v>
      </x:c>
      <x:c r="E44" s="2" t="str">
        <x:v>Мониторы</x:v>
      </x:c>
      <x:c r="F44" s="2" t="str">
        <x:v>Dell P2422H</x:v>
      </x:c>
      <x:c r="G44" s="4" t="n">
        <x:v>5</x:v>
      </x:c>
      <x:c r="H44" s="4" t="n">
        <x:v>4500</x:v>
      </x:c>
      <x:c r="I44" s="4" t="n">
        <x:v>22500</x:v>
      </x:c>
      <x:c r="J44" s="2" t="str">
        <x:v>Ожидает оплаты</x:v>
      </x:c>
    </x:row>
    <x:row r="45">
      <x:c r="A45" s="2" t="n">
        <x:v>1044</x:v>
      </x:c>
      <x:c r="B45" s="9" t="n">
        <x:v>46170</x:v>
      </x:c>
      <x:c r="C45" s="2" t="str">
        <x:v>C023</x:v>
      </x:c>
      <x:c r="D45" s="2" t="str">
        <x:v>Смирнова</x:v>
      </x:c>
      <x:c r="E45" s="2" t="str">
        <x:v>Сервис</x:v>
      </x:c>
      <x:c r="F45" s="2" t="str">
        <x:v>Training Session</x:v>
      </x:c>
      <x:c r="G45" s="4" t="n">
        <x:v>6</x:v>
      </x:c>
      <x:c r="H45" s="4" t="n">
        <x:v>39000</x:v>
      </x:c>
      <x:c r="I45" s="4" t="n">
        <x:v>234000</x:v>
      </x:c>
      <x:c r="J45" s="2" t="str">
        <x:v>Выполнен</x:v>
      </x:c>
    </x:row>
    <x:row r="46">
      <x:c r="A46" s="2" t="n">
        <x:v>1045</x:v>
      </x:c>
      <x:c r="B46" s="9" t="n">
        <x:v>46121</x:v>
      </x:c>
      <x:c r="C46" s="2" t="str">
        <x:v>C024</x:v>
      </x:c>
      <x:c r="D46" s="2" t="str">
        <x:v>Иванова</x:v>
      </x:c>
      <x:c r="E46" s="2" t="str">
        <x:v>ПО</x:v>
      </x:c>
      <x:c r="F46" s="2" t="str">
        <x:v>Office Suite</x:v>
      </x:c>
      <x:c r="G46" s="4" t="n">
        <x:v>3</x:v>
      </x:c>
      <x:c r="H46" s="4" t="n">
        <x:v>55000</x:v>
      </x:c>
      <x:c r="I46" s="4" t="n">
        <x:v>165000</x:v>
      </x:c>
      <x:c r="J46" s="2" t="str">
        <x:v>Отменен</x:v>
      </x:c>
    </x:row>
    <x:row r="47">
      <x:c r="A47" s="2" t="n">
        <x:v>1046</x:v>
      </x:c>
      <x:c r="B47" s="9" t="n">
        <x:v>46125</x:v>
      </x:c>
      <x:c r="C47" s="2" t="str">
        <x:v>C002</x:v>
      </x:c>
      <x:c r="D47" s="2" t="str">
        <x:v>Смирнова</x:v>
      </x:c>
      <x:c r="E47" s="2" t="str">
        <x:v>ПО</x:v>
      </x:c>
      <x:c r="F47" s="2" t="str">
        <x:v>BI Connector</x:v>
      </x:c>
      <x:c r="G47" s="4" t="n">
        <x:v>5</x:v>
      </x:c>
      <x:c r="H47" s="4" t="n">
        <x:v>55000</x:v>
      </x:c>
      <x:c r="I47" s="4" t="n">
        <x:v>275000</x:v>
      </x:c>
      <x:c r="J47" s="2" t="str">
        <x:v>Выполнен</x:v>
      </x:c>
    </x:row>
    <x:row r="48">
      <x:c r="A48" s="2" t="n">
        <x:v>1047</x:v>
      </x:c>
      <x:c r="B48" s="9" t="n">
        <x:v>46156</x:v>
      </x:c>
      <x:c r="C48" s="2" t="str">
        <x:v>C018</x:v>
      </x:c>
      <x:c r="D48" s="2" t="str">
        <x:v>Кузнецова</x:v>
      </x:c>
      <x:c r="E48" s="2" t="str">
        <x:v>Периферия</x:v>
      </x:c>
      <x:c r="F48" s="2" t="str">
        <x:v>Keychron K2</x:v>
      </x:c>
      <x:c r="G48" s="4" t="n">
        <x:v>2</x:v>
      </x:c>
      <x:c r="H48" s="4" t="n">
        <x:v>8900</x:v>
      </x:c>
      <x:c r="I48" s="4" t="n">
        <x:v>17800</x:v>
      </x:c>
      <x:c r="J48" s="2" t="str">
        <x:v>Ожидает оплаты</x:v>
      </x:c>
    </x:row>
    <x:row r="49">
      <x:c r="A49" s="2" t="n">
        <x:v>1048</x:v>
      </x:c>
      <x:c r="B49" s="9" t="n">
        <x:v>46098</x:v>
      </x:c>
      <x:c r="C49" s="2" t="str">
        <x:v>C029</x:v>
      </x:c>
      <x:c r="D49" s="2" t="str">
        <x:v>Иванова</x:v>
      </x:c>
      <x:c r="E49" s="2" t="str">
        <x:v>ПО</x:v>
      </x:c>
      <x:c r="F49" s="2" t="str">
        <x:v>BI Connector</x:v>
      </x:c>
      <x:c r="G49" s="4" t="n">
        <x:v>6</x:v>
      </x:c>
      <x:c r="H49" s="4" t="n">
        <x:v>12000</x:v>
      </x:c>
      <x:c r="I49" s="4" t="n">
        <x:v>72000</x:v>
      </x:c>
      <x:c r="J49" s="2" t="str">
        <x:v>Отменен</x:v>
      </x:c>
    </x:row>
    <x:row r="50">
      <x:c r="A50" s="2" t="n">
        <x:v>1049</x:v>
      </x:c>
      <x:c r="B50" s="9" t="n">
        <x:v>46110</x:v>
      </x:c>
      <x:c r="C50" s="2" t="str">
        <x:v>C037</x:v>
      </x:c>
      <x:c r="D50" s="2" t="str">
        <x:v>Орлова</x:v>
      </x:c>
      <x:c r="E50" s="2" t="str">
        <x:v>Ноутбуки</x:v>
      </x:c>
      <x:c r="F50" s="2" t="str">
        <x:v>Acer Aspire</x:v>
      </x:c>
      <x:c r="G50" s="4" t="n">
        <x:v>3</x:v>
      </x:c>
      <x:c r="H50" s="4" t="n">
        <x:v>39000</x:v>
      </x:c>
      <x:c r="I50" s="4" t="n">
        <x:v>117000</x:v>
      </x:c>
      <x:c r="J50" s="2" t="str">
        <x:v>В работе</x:v>
      </x:c>
    </x:row>
    <x:row r="51">
      <x:c r="A51" s="2" t="n">
        <x:v>1050</x:v>
      </x:c>
      <x:c r="B51" s="9" t="n">
        <x:v>46164</x:v>
      </x:c>
      <x:c r="C51" s="2" t="str">
        <x:v>C008</x:v>
      </x:c>
      <x:c r="D51" s="2" t="str">
        <x:v>Иванова</x:v>
      </x:c>
      <x:c r="E51" s="2" t="str">
        <x:v>Мониторы</x:v>
      </x:c>
      <x:c r="F51" s="2" t="str">
        <x:v>AOC 24</x:v>
      </x:c>
      <x:c r="G51" s="4" t="n">
        <x:v>6</x:v>
      </x:c>
      <x:c r="H51" s="4" t="n">
        <x:v>72000</x:v>
      </x:c>
      <x:c r="I51" s="4" t="n">
        <x:v>432000</x:v>
      </x:c>
      <x:c r="J51" s="2" t="str">
        <x:v>Ожидает оплаты</x:v>
      </x:c>
    </x:row>
    <x:row r="52">
      <x:c r="A52" s="2" t="n">
        <x:v>1051</x:v>
      </x:c>
      <x:c r="B52" s="9" t="n">
        <x:v>46126</x:v>
      </x:c>
      <x:c r="C52" s="2" t="str">
        <x:v>C003</x:v>
      </x:c>
      <x:c r="D52" s="2" t="str">
        <x:v>Сидорова</x:v>
      </x:c>
      <x:c r="E52" s="2" t="str">
        <x:v>Мониторы</x:v>
      </x:c>
      <x:c r="F52" s="2" t="str">
        <x:v>Samsung 27</x:v>
      </x:c>
      <x:c r="G52" s="4" t="n">
        <x:v>2</x:v>
      </x:c>
      <x:c r="H52" s="4" t="n">
        <x:v>12000</x:v>
      </x:c>
      <x:c r="I52" s="4" t="n">
        <x:v>24000</x:v>
      </x:c>
      <x:c r="J52" s="2" t="str">
        <x:v>В работе</x:v>
      </x:c>
    </x:row>
    <x:row r="53">
      <x:c r="A53" s="2" t="n">
        <x:v>1052</x:v>
      </x:c>
      <x:c r="B53" s="9" t="n">
        <x:v>46065</x:v>
      </x:c>
      <x:c r="C53" s="2" t="str">
        <x:v>C040</x:v>
      </x:c>
      <x:c r="D53" s="2" t="str">
        <x:v>Петрова</x:v>
      </x:c>
      <x:c r="E53" s="2" t="str">
        <x:v>Мониторы</x:v>
      </x:c>
      <x:c r="F53" s="2" t="str">
        <x:v>LG UltraFine</x:v>
      </x:c>
      <x:c r="G53" s="4" t="n">
        <x:v>6</x:v>
      </x:c>
      <x:c r="H53" s="4" t="n">
        <x:v>72000</x:v>
      </x:c>
      <x:c r="I53" s="4" t="n">
        <x:v>432000</x:v>
      </x:c>
      <x:c r="J53" s="2" t="str">
        <x:v>Отменен</x:v>
      </x:c>
    </x:row>
    <x:row r="54">
      <x:c r="A54" s="2" t="n">
        <x:v>1053</x:v>
      </x:c>
      <x:c r="B54" s="9" t="n">
        <x:v>46052</x:v>
      </x:c>
      <x:c r="C54" s="2" t="str">
        <x:v>C021</x:v>
      </x:c>
      <x:c r="D54" s="2" t="str">
        <x:v>Орлова</x:v>
      </x:c>
      <x:c r="E54" s="2" t="str">
        <x:v>Периферия</x:v>
      </x:c>
      <x:c r="F54" s="2" t="str">
        <x:v>Logitech Mouse</x:v>
      </x:c>
      <x:c r="G54" s="4" t="n">
        <x:v>5</x:v>
      </x:c>
      <x:c r="H54" s="4" t="n">
        <x:v>-12000</x:v>
      </x:c>
      <x:c r="I54" s="4" t="n">
        <x:v>-60000</x:v>
      </x:c>
      <x:c r="J54" s="2" t="str">
        <x:v>Выполнен</x:v>
      </x:c>
    </x:row>
    <x:row r="55">
      <x:c r="A55" s="2" t="n">
        <x:v>1054</x:v>
      </x:c>
      <x:c r="B55" s="9" t="n">
        <x:v>46039</x:v>
      </x:c>
      <x:c r="C55" s="2" t="str">
        <x:v>C033</x:v>
      </x:c>
      <x:c r="D55" s="2" t="str">
        <x:v>Сидорова</x:v>
      </x:c>
      <x:c r="E55" s="2" t="str">
        <x:v>Мониторы</x:v>
      </x:c>
      <x:c r="F55" s="2" t="str">
        <x:v>LG UltraFine</x:v>
      </x:c>
      <x:c r="G55" s="4" t="n">
        <x:v>2</x:v>
      </x:c>
      <x:c r="H55" s="4" t="n">
        <x:v>55000</x:v>
      </x:c>
      <x:c r="I55" s="4" t="n">
        <x:v>110000</x:v>
      </x:c>
      <x:c r="J55" s="2" t="str">
        <x:v>Выполнен</x:v>
      </x:c>
    </x:row>
    <x:row r="56">
      <x:c r="A56" s="2" t="n">
        <x:v>1055</x:v>
      </x:c>
      <x:c r="B56" s="9" t="n">
        <x:v>46126</x:v>
      </x:c>
      <x:c r="C56" s="2" t="str">
        <x:v>C029</x:v>
      </x:c>
      <x:c r="D56" s="2" t="str">
        <x:v>Петрова</x:v>
      </x:c>
      <x:c r="E56" s="2" t="str">
        <x:v>Мониторы</x:v>
      </x:c>
      <x:c r="F56" s="2" t="str">
        <x:v>Dell P2422H</x:v>
      </x:c>
      <x:c r="G56" s="4" t="n">
        <x:v>6</x:v>
      </x:c>
      <x:c r="H56" s="4" t="n">
        <x:v>72000</x:v>
      </x:c>
      <x:c r="I56" s="4" t="n">
        <x:v>432000</x:v>
      </x:c>
      <x:c r="J56" s="2" t="str">
        <x:v>Выполнен</x:v>
      </x:c>
    </x:row>
    <x:row r="57">
      <x:c r="A57" s="2" t="n">
        <x:v>1056</x:v>
      </x:c>
      <x:c r="B57" s="9" t="n">
        <x:v>46159</x:v>
      </x:c>
      <x:c r="C57" s="2" t="str">
        <x:v>C027</x:v>
      </x:c>
      <x:c r="D57" s="2" t="str">
        <x:v>Смирнова</x:v>
      </x:c>
      <x:c r="E57" s="2" t="str">
        <x:v>Сервис</x:v>
      </x:c>
      <x:c r="F57" s="2" t="str">
        <x:v>Training Session</x:v>
      </x:c>
      <x:c r="G57" s="4" t="n">
        <x:v>5</x:v>
      </x:c>
      <x:c r="H57" s="4" t="n">
        <x:v>8900</x:v>
      </x:c>
      <x:c r="I57" s="4" t="n">
        <x:v>44500</x:v>
      </x:c>
      <x:c r="J57" s="2" t="str">
        <x:v>Ожидает оплаты</x:v>
      </x:c>
    </x:row>
    <x:row r="58">
      <x:c r="A58" s="2" t="n">
        <x:v>1057</x:v>
      </x:c>
      <x:c r="B58" s="9" t="n">
        <x:v>46163</x:v>
      </x:c>
      <x:c r="C58" s="2" t="str">
        <x:v>C040</x:v>
      </x:c>
      <x:c r="D58" s="2" t="str">
        <x:v>Смирнова</x:v>
      </x:c>
      <x:c r="E58" s="2" t="str">
        <x:v>Периферия</x:v>
      </x:c>
      <x:c r="F58" s="2" t="str">
        <x:v>Jabra Headset</x:v>
      </x:c>
      <x:c r="G58" s="4" t="n">
        <x:v>5</x:v>
      </x:c>
      <x:c r="H58" s="4" t="n">
        <x:v>4500</x:v>
      </x:c>
      <x:c r="I58" s="4" t="n">
        <x:v>22500</x:v>
      </x:c>
      <x:c r="J58" s="2" t="str">
        <x:v>Ожидает оплаты</x:v>
      </x:c>
    </x:row>
    <x:row r="59">
      <x:c r="A59" s="2" t="n">
        <x:v>1058</x:v>
      </x:c>
      <x:c r="B59" s="9" t="n">
        <x:v>46113</x:v>
      </x:c>
      <x:c r="C59" s="2" t="str">
        <x:v>C032</x:v>
      </x:c>
      <x:c r="D59" s="2" t="str">
        <x:v>Смирнова</x:v>
      </x:c>
      <x:c r="E59" s="2" t="str">
        <x:v>Периферия</x:v>
      </x:c>
      <x:c r="F59" s="2" t="str">
        <x:v>Logitech Mouse</x:v>
      </x:c>
      <x:c r="G59" s="4" t="n">
        <x:v>5</x:v>
      </x:c>
      <x:c r="H59" s="4" t="n">
        <x:v>55000</x:v>
      </x:c>
      <x:c r="I59" s="4" t="n">
        <x:v>275000</x:v>
      </x:c>
      <x:c r="J59" s="2" t="str">
        <x:v>Ожидает оплаты</x:v>
      </x:c>
    </x:row>
    <x:row r="60">
      <x:c r="A60" s="2" t="n">
        <x:v>1059</x:v>
      </x:c>
      <x:c r="B60" s="9" t="n">
        <x:v>46084</x:v>
      </x:c>
      <x:c r="C60" s="2" t="str">
        <x:v>C018</x:v>
      </x:c>
      <x:c r="D60" s="2" t="str">
        <x:v>Петрова</x:v>
      </x:c>
      <x:c r="E60" s="2" t="str">
        <x:v>Мониторы</x:v>
      </x:c>
      <x:c r="F60" s="2" t="str">
        <x:v>LG UltraFine</x:v>
      </x:c>
      <x:c r="G60" s="4" t="n">
        <x:v>2</x:v>
      </x:c>
      <x:c r="H60" s="4" t="n">
        <x:v>39000</x:v>
      </x:c>
      <x:c r="I60" s="4" t="n">
        <x:v>78000</x:v>
      </x:c>
      <x:c r="J60" s="2" t="str">
        <x:v>В работе</x:v>
      </x:c>
    </x:row>
    <x:row r="61">
      <x:c r="A61" s="2" t="n">
        <x:v>1060</x:v>
      </x:c>
      <x:c r="B61" s="9" t="n">
        <x:v>46040</x:v>
      </x:c>
      <x:c r="C61" s="2" t="str">
        <x:v>C041</x:v>
      </x:c>
      <x:c r="D61" s="2" t="str">
        <x:v>Смирнова</x:v>
      </x:c>
      <x:c r="E61" s="2" t="str">
        <x:v>Периферия</x:v>
      </x:c>
      <x:c r="F61" s="2" t="str">
        <x:v>Keychron K2</x:v>
      </x:c>
      <x:c r="G61" s="4" t="n">
        <x:v>2</x:v>
      </x:c>
      <x:c r="H61" s="4" t="n">
        <x:v>39000</x:v>
      </x:c>
      <x:c r="I61" s="4" t="n">
        <x:v>78000</x:v>
      </x:c>
      <x:c r="J61" s="2" t="str">
        <x:v>Отменен</x:v>
      </x:c>
    </x:row>
    <x:row r="62">
      <x:c r="A62" s="2" t="n">
        <x:v>1061</x:v>
      </x:c>
      <x:c r="B62" s="9" t="n">
        <x:v>46155</x:v>
      </x:c>
      <x:c r="C62" s="2" t="str">
        <x:v>C033</x:v>
      </x:c>
      <x:c r="D62" s="2" t="str">
        <x:v>Сидорова</x:v>
      </x:c>
      <x:c r="E62" s="2" t="str">
        <x:v>ПО</x:v>
      </x:c>
      <x:c r="F62" s="2" t="str">
        <x:v>Office Suite</x:v>
      </x:c>
      <x:c r="G62" s="4" t="n">
        <x:v>4</x:v>
      </x:c>
      <x:c r="H62" s="4" t="n">
        <x:v>24000</x:v>
      </x:c>
      <x:c r="I62" s="4" t="n">
        <x:v>96000</x:v>
      </x:c>
      <x:c r="J62" s="2" t="str">
        <x:v>Отменен</x:v>
      </x:c>
    </x:row>
    <x:row r="63">
      <x:c r="A63" s="2" t="n">
        <x:v>1062</x:v>
      </x:c>
      <x:c r="B63" s="9" t="n">
        <x:v>46167</x:v>
      </x:c>
      <x:c r="C63" s="2" t="str">
        <x:v>C044</x:v>
      </x:c>
      <x:c r="D63" s="2" t="str">
        <x:v>Иванова</x:v>
      </x:c>
      <x:c r="E63" s="2" t="str">
        <x:v>Периферия</x:v>
      </x:c>
      <x:c r="F63" s="2" t="str">
        <x:v>Logitech Mouse</x:v>
      </x:c>
      <x:c r="G63" s="4" t="n">
        <x:v>1</x:v>
      </x:c>
      <x:c r="H63" s="4" t="n">
        <x:v>72000</x:v>
      </x:c>
      <x:c r="I63" s="4" t="n">
        <x:v>72000</x:v>
      </x:c>
      <x:c r="J63" s="2" t="str">
        <x:v>Отменен</x:v>
      </x:c>
    </x:row>
    <x:row r="64">
      <x:c r="A64" s="2" t="n">
        <x:v>1063</x:v>
      </x:c>
      <x:c r="B64" s="9" t="n">
        <x:v>46171</x:v>
      </x:c>
      <x:c r="C64" s="2" t="str">
        <x:v>C042</x:v>
      </x:c>
      <x:c r="D64" s="2" t="str">
        <x:v>Кузнецова</x:v>
      </x:c>
      <x:c r="E64" s="2" t="str">
        <x:v>Мониторы</x:v>
      </x:c>
      <x:c r="F64" s="2" t="str">
        <x:v>Dell P2422H</x:v>
      </x:c>
      <x:c r="G64" s="4" t="n">
        <x:v>1</x:v>
      </x:c>
      <x:c r="H64" s="4" t="n">
        <x:v>8900</x:v>
      </x:c>
      <x:c r="I64" s="4" t="n">
        <x:v>8900</x:v>
      </x:c>
      <x:c r="J64" s="2" t="str">
        <x:v>В работе</x:v>
      </x:c>
    </x:row>
    <x:row r="65">
      <x:c r="A65" s="2" t="n">
        <x:v>1064</x:v>
      </x:c>
      <x:c r="B65" s="9" t="n">
        <x:v>46139</x:v>
      </x:c>
      <x:c r="C65" s="2" t="str">
        <x:v>C039</x:v>
      </x:c>
      <x:c r="D65" s="2" t="str">
        <x:v>Иванова</x:v>
      </x:c>
      <x:c r="E65" s="2" t="str">
        <x:v>Сервис</x:v>
      </x:c>
      <x:c r="F65" s="2" t="str">
        <x:v>Training Session</x:v>
      </x:c>
      <x:c r="G65" s="4" t="n">
        <x:v>3</x:v>
      </x:c>
      <x:c r="H65" s="4" t="n">
        <x:v>24000</x:v>
      </x:c>
      <x:c r="I65" s="4" t="n">
        <x:v>72000</x:v>
      </x:c>
      <x:c r="J65" s="2" t="str">
        <x:v>В работе</x:v>
      </x:c>
    </x:row>
    <x:row r="66">
      <x:c r="A66" s="2" t="n">
        <x:v>1065</x:v>
      </x:c>
      <x:c r="B66" s="9" t="n">
        <x:v>46136</x:v>
      </x:c>
      <x:c r="C66" s="2" t="str">
        <x:v>C001</x:v>
      </x:c>
      <x:c r="D66" s="2" t="str">
        <x:v>Орлова</x:v>
      </x:c>
      <x:c r="E66" s="2" t="str">
        <x:v>Мониторы</x:v>
      </x:c>
      <x:c r="F66" s="2" t="str">
        <x:v>AOC 24</x:v>
      </x:c>
      <x:c r="G66" s="4" t="n">
        <x:v>4</x:v>
      </x:c>
      <x:c r="H66" s="4" t="n">
        <x:v>39000</x:v>
      </x:c>
      <x:c r="I66" s="4" t="n">
        <x:v>156000</x:v>
      </x:c>
      <x:c r="J66" s="2" t="str">
        <x:v>Выполнен</x:v>
      </x:c>
    </x:row>
    <x:row r="67">
      <x:c r="A67" s="2" t="n">
        <x:v>1066</x:v>
      </x:c>
      <x:c r="B67" s="9" t="n">
        <x:v>46157</x:v>
      </x:c>
      <x:c r="C67" s="2" t="str">
        <x:v>C007</x:v>
      </x:c>
      <x:c r="D67" s="2" t="str">
        <x:v>Кузнецова</x:v>
      </x:c>
      <x:c r="E67" s="2" t="str">
        <x:v>ПО</x:v>
      </x:c>
      <x:c r="F67" s="2" t="str">
        <x:v>BI Connector</x:v>
      </x:c>
      <x:c r="G67" s="4" t="n">
        <x:v>3</x:v>
      </x:c>
      <x:c r="H67" s="4" t="n">
        <x:v>72000</x:v>
      </x:c>
      <x:c r="I67" s="4" t="n">
        <x:v>216000</x:v>
      </x:c>
      <x:c r="J67" s="2" t="str">
        <x:v>Выполнен</x:v>
      </x:c>
    </x:row>
    <x:row r="68">
      <x:c r="A68" s="2" t="n">
        <x:v>1067</x:v>
      </x:c>
      <x:c r="B68" s="9" t="n">
        <x:v>46055</x:v>
      </x:c>
      <x:c r="C68" s="2" t="str">
        <x:v>C009</x:v>
      </x:c>
      <x:c r="D68" s="2" t="str">
        <x:v>Петрова</x:v>
      </x:c>
      <x:c r="E68" s="2" t="str">
        <x:v>Мониторы</x:v>
      </x:c>
      <x:c r="F68" s="2" t="str">
        <x:v>AOC 24</x:v>
      </x:c>
      <x:c r="G68" s="4" t="n">
        <x:v>5</x:v>
      </x:c>
      <x:c r="H68" s="4" t="n">
        <x:v>55000</x:v>
      </x:c>
      <x:c r="I68" s="4" t="n">
        <x:v>275000</x:v>
      </x:c>
      <x:c r="J68" s="2" t="str">
        <x:v>Ожидает оплаты</x:v>
      </x:c>
    </x:row>
    <x:row r="69">
      <x:c r="A69" s="2" t="n">
        <x:v>1068</x:v>
      </x:c>
      <x:c r="B69" s="9" t="n">
        <x:v>46158</x:v>
      </x:c>
      <x:c r="C69" s="2" t="str">
        <x:v>C012</x:v>
      </x:c>
      <x:c r="D69" s="2" t="str">
        <x:v>Сидорова</x:v>
      </x:c>
      <x:c r="E69" s="2" t="str">
        <x:v>ПО</x:v>
      </x:c>
      <x:c r="F69" s="2" t="str">
        <x:v>Antivirus Pro</x:v>
      </x:c>
      <x:c r="G69" s="4" t="n">
        <x:v>6</x:v>
      </x:c>
      <x:c r="H69" s="4" t="n">
        <x:v>24000</x:v>
      </x:c>
      <x:c r="I69" s="4" t="n">
        <x:v>144000</x:v>
      </x:c>
      <x:c r="J69" s="2" t="str">
        <x:v>Отменен</x:v>
      </x:c>
    </x:row>
    <x:row r="70">
      <x:c r="A70" s="2" t="n">
        <x:v>1069</x:v>
      </x:c>
      <x:c r="B70" s="9" t="n">
        <x:v>46160</x:v>
      </x:c>
      <x:c r="C70" s="2" t="str">
        <x:v>C006</x:v>
      </x:c>
      <x:c r="D70" s="2" t="str">
        <x:v>Орлова</x:v>
      </x:c>
      <x:c r="E70" s="2" t="str">
        <x:v>ПО</x:v>
      </x:c>
      <x:c r="F70" s="2" t="str">
        <x:v>BI Connector</x:v>
      </x:c>
      <x:c r="G70" s="4" t="n">
        <x:v>1</x:v>
      </x:c>
      <x:c r="H70" s="4" t="n">
        <x:v>8900</x:v>
      </x:c>
      <x:c r="I70" s="4" t="n">
        <x:v>8900</x:v>
      </x:c>
      <x:c r="J70" s="2" t="str">
        <x:v>Ожидает оплаты</x:v>
      </x:c>
    </x:row>
    <x:row r="71">
      <x:c r="A71" s="2" t="n">
        <x:v>1070</x:v>
      </x:c>
      <x:c r="B71" s="9" t="n">
        <x:v>46055</x:v>
      </x:c>
      <x:c r="C71" s="2" t="str">
        <x:v>C035</x:v>
      </x:c>
      <x:c r="D71" s="2" t="str">
        <x:v>Иванова</x:v>
      </x:c>
      <x:c r="E71" s="2" t="str">
        <x:v>ПО</x:v>
      </x:c>
      <x:c r="F71" s="2" t="str">
        <x:v>Office Suite</x:v>
      </x:c>
      <x:c r="G71" s="4" t="n">
        <x:v>2</x:v>
      </x:c>
      <x:c r="H71" s="4" t="n">
        <x:v>24000</x:v>
      </x:c>
      <x:c r="I71" s="4" t="n">
        <x:v>48000</x:v>
      </x:c>
      <x:c r="J71" s="2" t="str">
        <x:v>Выполнен</x:v>
      </x:c>
    </x:row>
    <x:row r="72">
      <x:c r="A72" s="2" t="n">
        <x:v>1071</x:v>
      </x:c>
      <x:c r="B72" s="9" t="n">
        <x:v>46100</x:v>
      </x:c>
      <x:c r="C72" s="2" t="str">
        <x:v>C019</x:v>
      </x:c>
      <x:c r="D72" s="2" t="str">
        <x:v>Кузнецова</x:v>
      </x:c>
      <x:c r="E72" s="2" t="str">
        <x:v>ПО</x:v>
      </x:c>
      <x:c r="F72" s="2" t="str">
        <x:v>Antivirus Pro</x:v>
      </x:c>
      <x:c r="G72" s="4" t="n">
        <x:v>2</x:v>
      </x:c>
      <x:c r="H72" s="4" t="n">
        <x:v>24000</x:v>
      </x:c>
      <x:c r="I72" s="4" t="n">
        <x:v>48000</x:v>
      </x:c>
      <x:c r="J72" s="2" t="str">
        <x:v>Отменен</x:v>
      </x:c>
    </x:row>
    <x:row r="73">
      <x:c r="A73" s="2" t="n">
        <x:v>1072</x:v>
      </x:c>
      <x:c r="B73" s="9" t="n">
        <x:v>46118</x:v>
      </x:c>
      <x:c r="C73" s="2" t="str">
        <x:v>C035</x:v>
      </x:c>
      <x:c r="D73" s="2" t="str">
        <x:v>Кузнецова</x:v>
      </x:c>
      <x:c r="E73" s="2" t="str">
        <x:v>Ноутбуки</x:v>
      </x:c>
      <x:c r="F73" s="2" t="str">
        <x:v>Acer Aspire</x:v>
      </x:c>
      <x:c r="G73" s="4" t="n">
        <x:v>6</x:v>
      </x:c>
      <x:c r="H73" s="4" t="n">
        <x:v>24000</x:v>
      </x:c>
      <x:c r="I73" s="4" t="n">
        <x:v>144000</x:v>
      </x:c>
      <x:c r="J73" s="2" t="str">
        <x:v>Ожидает оплаты</x:v>
      </x:c>
    </x:row>
    <x:row r="74">
      <x:c r="A74" s="2" t="n">
        <x:v>1073</x:v>
      </x:c>
      <x:c r="B74" s="9" t="n">
        <x:v>46075</x:v>
      </x:c>
      <x:c r="C74" s="2" t="str">
        <x:v>C033</x:v>
      </x:c>
      <x:c r="D74" s="2" t="str">
        <x:v>Иванова</x:v>
      </x:c>
      <x:c r="E74" s="2" t="str">
        <x:v>Мониторы</x:v>
      </x:c>
      <x:c r="F74" s="2" t="str">
        <x:v>LG UltraFine</x:v>
      </x:c>
      <x:c r="G74" s="4" t="n">
        <x:v>4</x:v>
      </x:c>
      <x:c r="H74" s="4" t="n">
        <x:v>24000</x:v>
      </x:c>
      <x:c r="I74" s="4" t="n">
        <x:v>96000</x:v>
      </x:c>
      <x:c r="J74" s="2" t="str">
        <x:v>В работе</x:v>
      </x:c>
    </x:row>
    <x:row r="75">
      <x:c r="A75" s="2" t="n">
        <x:v>1074</x:v>
      </x:c>
      <x:c r="B75" s="9" t="n">
        <x:v>46428</x:v>
      </x:c>
      <x:c r="C75" s="2" t="str">
        <x:v>C007</x:v>
      </x:c>
      <x:c r="D75" s="2" t="str">
        <x:v>Петрова</x:v>
      </x:c>
      <x:c r="E75" s="2" t="str">
        <x:v>Ноутбуки</x:v>
      </x:c>
      <x:c r="F75" s="2" t="str">
        <x:v>ASUS VivoBook</x:v>
      </x:c>
      <x:c r="G75" s="4" t="n">
        <x:v>6</x:v>
      </x:c>
      <x:c r="H75" s="4" t="n">
        <x:v>39000</x:v>
      </x:c>
      <x:c r="I75" s="4" t="n">
        <x:v>234000</x:v>
      </x:c>
      <x:c r="J75" s="2" t="str">
        <x:v>Выполнен</x:v>
      </x:c>
    </x:row>
    <x:row r="76">
      <x:c r="A76" s="2" t="n">
        <x:v>1075</x:v>
      </x:c>
      <x:c r="B76" s="9" t="n">
        <x:v>46168</x:v>
      </x:c>
      <x:c r="C76" s="2" t="str">
        <x:v>C010</x:v>
      </x:c>
      <x:c r="D76" s="2" t="str">
        <x:v>Иванова</x:v>
      </x:c>
      <x:c r="E76" s="2" t="str">
        <x:v>Периферия</x:v>
      </x:c>
      <x:c r="F76" s="2" t="str">
        <x:v>Jabra Headset</x:v>
      </x:c>
      <x:c r="G76" s="4" t="n">
        <x:v>4</x:v>
      </x:c>
      <x:c r="H76" s="4" t="n">
        <x:v>55000</x:v>
      </x:c>
      <x:c r="I76" s="4" t="n">
        <x:v>220000</x:v>
      </x:c>
      <x:c r="J76" s="2" t="str">
        <x:v>Выполнен</x:v>
      </x:c>
    </x:row>
    <x:row r="77">
      <x:c r="A77" s="2" t="n">
        <x:v>1076</x:v>
      </x:c>
      <x:c r="B77" s="9" t="n">
        <x:v>46063</x:v>
      </x:c>
      <x:c r="C77" s="2" t="str">
        <x:v>C040</x:v>
      </x:c>
      <x:c r="D77" s="2" t="str">
        <x:v>Сидорова</x:v>
      </x:c>
      <x:c r="E77" s="2" t="str">
        <x:v>Ноутбуки</x:v>
      </x:c>
      <x:c r="F77" s="2" t="str">
        <x:v>HP Pavilion</x:v>
      </x:c>
      <x:c r="G77" s="4" t="n">
        <x:v>1</x:v>
      </x:c>
      <x:c r="H77" s="4" t="n">
        <x:v>24000</x:v>
      </x:c>
      <x:c r="I77" s="4" t="n">
        <x:v>24000</x:v>
      </x:c>
      <x:c r="J77" s="2" t="str">
        <x:v>Выполнен</x:v>
      </x:c>
    </x:row>
    <x:row r="78">
      <x:c r="A78" s="2" t="n">
        <x:v>1077</x:v>
      </x:c>
      <x:c r="B78" s="9" t="n">
        <x:v>46129</x:v>
      </x:c>
      <x:c r="C78" s="2" t="str">
        <x:v>C037</x:v>
      </x:c>
      <x:c r="D78" s="2" t="str">
        <x:v>Сидорова</x:v>
      </x:c>
      <x:c r="E78" s="2" t="str">
        <x:v>Сервис</x:v>
      </x:c>
      <x:c r="F78" s="2" t="str">
        <x:v>Data Migration</x:v>
      </x:c>
      <x:c r="G78" s="4" t="n">
        <x:v>1</x:v>
      </x:c>
      <x:c r="H78" s="4" t="n">
        <x:v>24000</x:v>
      </x:c>
      <x:c r="I78" s="4" t="n">
        <x:v>24000</x:v>
      </x:c>
      <x:c r="J78" s="2" t="str">
        <x:v>Ожидает оплаты</x:v>
      </x:c>
    </x:row>
    <x:row r="79">
      <x:c r="A79" s="2" t="n">
        <x:v>1078</x:v>
      </x:c>
      <x:c r="B79" s="9" t="n">
        <x:v>46033</x:v>
      </x:c>
      <x:c r="C79" s="2" t="str">
        <x:v>C019</x:v>
      </x:c>
      <x:c r="D79" s="2" t="str">
        <x:v>Петрова</x:v>
      </x:c>
      <x:c r="E79" s="2" t="str">
        <x:v>ПО</x:v>
      </x:c>
      <x:c r="F79" s="2" t="str">
        <x:v>CRM License</x:v>
      </x:c>
      <x:c r="G79" s="4" t="n">
        <x:v>6</x:v>
      </x:c>
      <x:c r="H79" s="4" t="n">
        <x:v>12000</x:v>
      </x:c>
      <x:c r="I79" s="4" t="n">
        <x:v>72000</x:v>
      </x:c>
      <x:c r="J79" s="2" t="str">
        <x:v>Ожидает оплаты</x:v>
      </x:c>
    </x:row>
    <x:row r="80">
      <x:c r="A80" s="2" t="n">
        <x:v>1079</x:v>
      </x:c>
      <x:c r="B80" s="9" t="n">
        <x:v>46064</x:v>
      </x:c>
      <x:c r="C80" s="2" t="str">
        <x:v>C023</x:v>
      </x:c>
      <x:c r="D80" s="2" t="str">
        <x:v>Смирнова</x:v>
      </x:c>
      <x:c r="E80" s="2" t="str">
        <x:v>Ноутбуки</x:v>
      </x:c>
      <x:c r="F80" s="2" t="str">
        <x:v>HP Pavilion</x:v>
      </x:c>
      <x:c r="G80" s="4" t="n">
        <x:v>1</x:v>
      </x:c>
      <x:c r="H80" s="4" t="n">
        <x:v>12000</x:v>
      </x:c>
      <x:c r="I80" s="4" t="n">
        <x:v>12000</x:v>
      </x:c>
      <x:c r="J80" s="2" t="str">
        <x:v>Ожидает оплаты</x:v>
      </x:c>
    </x:row>
    <x:row r="81">
      <x:c r="A81" s="2" t="n">
        <x:v>1080</x:v>
      </x:c>
      <x:c r="B81" s="9" t="n">
        <x:v>46060</x:v>
      </x:c>
      <x:c r="C81" s="2" t="str">
        <x:v>C041</x:v>
      </x:c>
      <x:c r="D81" s="2" t="str">
        <x:v>Иванова</x:v>
      </x:c>
      <x:c r="E81" s="2" t="str">
        <x:v>Мониторы</x:v>
      </x:c>
      <x:c r="F81" s="2" t="str">
        <x:v>AOC 24</x:v>
      </x:c>
      <x:c r="G81" s="4" t="n">
        <x:v>3</x:v>
      </x:c>
      <x:c r="H81" s="4" t="n">
        <x:v>39000</x:v>
      </x:c>
      <x:c r="I81" s="4" t="n">
        <x:v>117000</x:v>
      </x:c>
      <x:c r="J81" s="2" t="str">
        <x:v>Выполнен</x:v>
      </x:c>
    </x:row>
    <x:row r="82">
      <x:c r="A82" s="2" t="n">
        <x:v>1081</x:v>
      </x:c>
      <x:c r="B82" s="9" t="n">
        <x:v>46064</x:v>
      </x:c>
      <x:c r="C82" s="2" t="str">
        <x:v>C032</x:v>
      </x:c>
      <x:c r="D82" s="2" t="str">
        <x:v>Иванова</x:v>
      </x:c>
      <x:c r="E82" s="2" t="str">
        <x:v>Периферия</x:v>
      </x:c>
      <x:c r="F82" s="2" t="str">
        <x:v>Canon Scanner</x:v>
      </x:c>
      <x:c r="G82" s="4" t="n">
        <x:v>2</x:v>
      </x:c>
      <x:c r="H82" s="4" t="n">
        <x:v>8900</x:v>
      </x:c>
      <x:c r="I82" s="4" t="n">
        <x:v>17800</x:v>
      </x:c>
      <x:c r="J82" s="2" t="str">
        <x:v>Ожидает оплаты</x:v>
      </x:c>
    </x:row>
    <x:row r="83">
      <x:c r="A83" s="2" t="n">
        <x:v>1082</x:v>
      </x:c>
      <x:c r="B83" s="9" t="n">
        <x:v>46168</x:v>
      </x:c>
      <x:c r="C83" s="2" t="str">
        <x:v>C026</x:v>
      </x:c>
      <x:c r="D83" s="2" t="str">
        <x:v>Кузнецова</x:v>
      </x:c>
      <x:c r="E83" s="2" t="str">
        <x:v>ПО</x:v>
      </x:c>
      <x:c r="F83" s="2" t="str">
        <x:v>CRM License</x:v>
      </x:c>
      <x:c r="G83" s="4" t="n">
        <x:v>3</x:v>
      </x:c>
      <x:c r="H83" s="4" t="n">
        <x:v>8900</x:v>
      </x:c>
      <x:c r="I83" s="4" t="n">
        <x:v>26700</x:v>
      </x:c>
      <x:c r="J83" s="2" t="str">
        <x:v>Ожидает оплаты</x:v>
      </x:c>
    </x:row>
    <x:row r="84">
      <x:c r="A84" s="2" t="n">
        <x:v>1083</x:v>
      </x:c>
      <x:c r="B84" s="9" t="n">
        <x:v>46141</x:v>
      </x:c>
      <x:c r="C84" s="2" t="str">
        <x:v>C024</x:v>
      </x:c>
      <x:c r="D84" s="2" t="str">
        <x:v>Кузнецова</x:v>
      </x:c>
      <x:c r="E84" s="2" t="str">
        <x:v>ПО</x:v>
      </x:c>
      <x:c r="F84" s="2" t="str">
        <x:v>Antivirus Pro</x:v>
      </x:c>
      <x:c r="G84" s="4" t="n">
        <x:v>4</x:v>
      </x:c>
      <x:c r="H84" s="4" t="n">
        <x:v>72000</x:v>
      </x:c>
      <x:c r="I84" s="4" t="n">
        <x:v>288000</x:v>
      </x:c>
      <x:c r="J84" s="2" t="str">
        <x:v>Ожидает оплаты</x:v>
      </x:c>
    </x:row>
    <x:row r="85">
      <x:c r="A85" s="2" t="n">
        <x:v>1084</x:v>
      </x:c>
      <x:c r="B85" s="9" t="n">
        <x:v>46043</x:v>
      </x:c>
      <x:c r="C85" s="2" t="str">
        <x:v>C044</x:v>
      </x:c>
      <x:c r="D85" s="2" t="str">
        <x:v>Сидорова</x:v>
      </x:c>
      <x:c r="E85" s="2" t="str">
        <x:v>Ноутбуки</x:v>
      </x:c>
      <x:c r="F85" s="2" t="str">
        <x:v>ASUS VivoBook</x:v>
      </x:c>
      <x:c r="G85" s="4" t="n">
        <x:v>6</x:v>
      </x:c>
      <x:c r="H85" s="4" t="n">
        <x:v>39000</x:v>
      </x:c>
      <x:c r="I85" s="4" t="n">
        <x:v>234000</x:v>
      </x:c>
      <x:c r="J85" s="2" t="str">
        <x:v>Ожидает оплаты</x:v>
      </x:c>
    </x:row>
    <x:row r="86">
      <x:c r="A86" s="2" t="n">
        <x:v>1085</x:v>
      </x:c>
      <x:c r="B86" s="9" t="n">
        <x:v>46166</x:v>
      </x:c>
      <x:c r="C86" s="2" t="str">
        <x:v>C004</x:v>
      </x:c>
      <x:c r="D86" s="2" t="str">
        <x:v>Смирнова</x:v>
      </x:c>
      <x:c r="E86" s="2" t="str">
        <x:v>Сервис</x:v>
      </x:c>
      <x:c r="F86" s="2" t="str">
        <x:v>Maintenance Pack</x:v>
      </x:c>
      <x:c r="G86" s="4" t="n">
        <x:v>3</x:v>
      </x:c>
      <x:c r="H86" s="4" t="n">
        <x:v>39000</x:v>
      </x:c>
      <x:c r="I86" s="4" t="n">
        <x:v>117000</x:v>
      </x:c>
      <x:c r="J86" s="2" t="str">
        <x:v>Отменен</x:v>
      </x:c>
    </x:row>
    <x:row r="87">
      <x:c r="A87" s="2" t="n">
        <x:v>1086</x:v>
      </x:c>
      <x:c r="B87" s="9" t="n">
        <x:v>46171</x:v>
      </x:c>
      <x:c r="C87" s="2" t="str">
        <x:v>C018</x:v>
      </x:c>
      <x:c r="D87" s="2" t="str">
        <x:v>Смирнова</x:v>
      </x:c>
      <x:c r="E87" s="2" t="str">
        <x:v>Периферия</x:v>
      </x:c>
      <x:c r="F87" s="2" t="str">
        <x:v>Keychron K2</x:v>
      </x:c>
      <x:c r="G87" s="4" t="n">
        <x:v>3</x:v>
      </x:c>
      <x:c r="H87" s="4" t="n">
        <x:v>24000</x:v>
      </x:c>
      <x:c r="I87" s="4" t="n">
        <x:v>72000</x:v>
      </x:c>
      <x:c r="J87" s="2" t="str">
        <x:v>В работе</x:v>
      </x:c>
    </x:row>
    <x:row r="88">
      <x:c r="A88" s="2" t="n">
        <x:v>1087</x:v>
      </x:c>
      <x:c r="B88" s="9" t="n">
        <x:v>46098</x:v>
      </x:c>
      <x:c r="C88" s="2" t="str">
        <x:v>C039</x:v>
      </x:c>
      <x:c r="D88" s="2" t="str">
        <x:v>Петрова</x:v>
      </x:c>
      <x:c r="E88" s="2" t="str">
        <x:v>Сервис</x:v>
      </x:c>
      <x:c r="F88" s="2" t="str">
        <x:v>Maintenance Pack</x:v>
      </x:c>
      <x:c r="G88" s="4" t="n">
        <x:v>3</x:v>
      </x:c>
      <x:c r="H88" s="4" t="n">
        <x:v>39000</x:v>
      </x:c>
      <x:c r="I88" s="4" t="n">
        <x:v>117000</x:v>
      </x:c>
      <x:c r="J88" s="2" t="str">
        <x:v>Отменен</x:v>
      </x:c>
    </x:row>
    <x:row r="89">
      <x:c r="A89" s="2" t="n">
        <x:v>1088</x:v>
      </x:c>
      <x:c r="B89" s="9" t="n">
        <x:v>46120</x:v>
      </x:c>
      <x:c r="C89" s="2" t="str">
        <x:v>C004</x:v>
      </x:c>
      <x:c r="D89" s="2" t="str">
        <x:v>Орлова</x:v>
      </x:c>
      <x:c r="E89" s="2" t="str">
        <x:v>Периферия</x:v>
      </x:c>
      <x:c r="F89" s="2" t="str">
        <x:v>Keychron K2</x:v>
      </x:c>
      <x:c r="G89" s="4" t="n">
        <x:v>3</x:v>
      </x:c>
      <x:c r="H89" s="4" t="n">
        <x:v>55000</x:v>
      </x:c>
      <x:c r="I89" s="4" t="n">
        <x:v>165000</x:v>
      </x:c>
      <x:c r="J89" s="2" t="str">
        <x:v>Отменен</x:v>
      </x:c>
    </x:row>
    <x:row r="90">
      <x:c r="A90" s="2" t="n">
        <x:v>1089</x:v>
      </x:c>
      <x:c r="B90" s="9" t="n">
        <x:v>46072</x:v>
      </x:c>
      <x:c r="C90" s="2" t="str">
        <x:v>C043</x:v>
      </x:c>
      <x:c r="D90" s="2" t="str">
        <x:v>Петрова</x:v>
      </x:c>
      <x:c r="E90" s="2" t="str">
        <x:v>Ноутбуки</x:v>
      </x:c>
      <x:c r="F90" s="2" t="str">
        <x:v>HP Pavilion</x:v>
      </x:c>
      <x:c r="G90" s="4" t="n">
        <x:v>6</x:v>
      </x:c>
      <x:c r="H90" s="4" t="n">
        <x:v>12000</x:v>
      </x:c>
      <x:c r="I90" s="4" t="n">
        <x:v>72000</x:v>
      </x:c>
      <x:c r="J90" s="2" t="str">
        <x:v>Выполнен</x:v>
      </x:c>
    </x:row>
    <x:row r="91">
      <x:c r="A91" s="2" t="n">
        <x:v>1090</x:v>
      </x:c>
      <x:c r="B91" s="9" t="n">
        <x:v>46124</x:v>
      </x:c>
      <x:c r="C91" s="2" t="str">
        <x:v>C025</x:v>
      </x:c>
      <x:c r="D91" s="2" t="str">
        <x:v>Орлова</x:v>
      </x:c>
      <x:c r="E91" s="2" t="str">
        <x:v>Периферия</x:v>
      </x:c>
      <x:c r="F91" s="2" t="str">
        <x:v>Keychron K2</x:v>
      </x:c>
      <x:c r="G91" s="4" t="n">
        <x:v>5</x:v>
      </x:c>
      <x:c r="H91" s="4" t="n">
        <x:v>8900</x:v>
      </x:c>
      <x:c r="I91" s="4" t="n">
        <x:v>44500</x:v>
      </x:c>
      <x:c r="J91" s="2" t="str">
        <x:v>Ожидает оплаты</x:v>
      </x:c>
    </x:row>
    <x:row r="92">
      <x:c r="A92" s="2" t="n">
        <x:v>1091</x:v>
      </x:c>
      <x:c r="B92" s="9" t="n">
        <x:v>46030</x:v>
      </x:c>
      <x:c r="C92" s="2" t="str">
        <x:v>C018</x:v>
      </x:c>
      <x:c r="D92" s="2" t="str">
        <x:v>Петрова</x:v>
      </x:c>
      <x:c r="E92" s="2" t="str">
        <x:v>Периферия</x:v>
      </x:c>
      <x:c r="F92" s="2" t="str">
        <x:v>Jabra Headset</x:v>
      </x:c>
      <x:c r="G92" s="4" t="n">
        <x:v>4</x:v>
      </x:c>
      <x:c r="H92" s="4" t="n">
        <x:v>55000</x:v>
      </x:c>
      <x:c r="I92" s="4" t="n">
        <x:v>220000</x:v>
      </x:c>
      <x:c r="J92" s="2" t="str">
        <x:v>Выполнен</x:v>
      </x:c>
    </x:row>
    <x:row r="93">
      <x:c r="A93" s="2" t="n">
        <x:v>1092</x:v>
      </x:c>
      <x:c r="B93" s="9" t="n">
        <x:v>46119</x:v>
      </x:c>
      <x:c r="C93" s="2" t="str">
        <x:v>C044</x:v>
      </x:c>
      <x:c r="D93" s="2" t="str">
        <x:v>Орлова</x:v>
      </x:c>
      <x:c r="E93" s="2" t="str">
        <x:v>Сервис</x:v>
      </x:c>
      <x:c r="F93" s="2" t="str">
        <x:v>Setup Service</x:v>
      </x:c>
      <x:c r="G93" s="4" t="n">
        <x:v>1</x:v>
      </x:c>
      <x:c r="H93" s="4" t="n">
        <x:v>12000</x:v>
      </x:c>
      <x:c r="I93" s="4" t="n">
        <x:v>12000</x:v>
      </x:c>
      <x:c r="J93" s="2" t="str">
        <x:v>Выполен</x:v>
      </x:c>
    </x:row>
    <x:row r="94">
      <x:c r="A94" s="2" t="n">
        <x:v>1093</x:v>
      </x:c>
      <x:c r="B94" s="9" t="n">
        <x:v>46110</x:v>
      </x:c>
      <x:c r="C94" s="2" t="str">
        <x:v>C026</x:v>
      </x:c>
      <x:c r="D94" s="2" t="str">
        <x:v>Сидорова</x:v>
      </x:c>
      <x:c r="E94" s="2" t="str">
        <x:v>Периферия</x:v>
      </x:c>
      <x:c r="F94" s="2" t="str">
        <x:v>Logitech Mouse</x:v>
      </x:c>
      <x:c r="G94" s="4" t="n">
        <x:v>2</x:v>
      </x:c>
      <x:c r="H94" s="4" t="n">
        <x:v>55000</x:v>
      </x:c>
      <x:c r="I94" s="4" t="n">
        <x:v>110000</x:v>
      </x:c>
      <x:c r="J94" s="2" t="str">
        <x:v>Ожидает оплаты</x:v>
      </x:c>
    </x:row>
    <x:row r="95">
      <x:c r="A95" s="2" t="n">
        <x:v>1094</x:v>
      </x:c>
      <x:c r="B95" s="9" t="n">
        <x:v>46126</x:v>
      </x:c>
      <x:c r="C95" s="2" t="str">
        <x:v>C021</x:v>
      </x:c>
      <x:c r="D95" s="2" t="str">
        <x:v>Орлова</x:v>
      </x:c>
      <x:c r="E95" s="2" t="str">
        <x:v>Сервис</x:v>
      </x:c>
      <x:c r="F95" s="2" t="str">
        <x:v>Data Migration</x:v>
      </x:c>
      <x:c r="G95" s="4" t="n">
        <x:v>3</x:v>
      </x:c>
      <x:c r="H95" s="4" t="n">
        <x:v>8900</x:v>
      </x:c>
      <x:c r="I95" s="4" t="n">
        <x:v>26700</x:v>
      </x:c>
      <x:c r="J95" s="2" t="str">
        <x:v>Отменен</x:v>
      </x:c>
    </x:row>
    <x:row r="96">
      <x:c r="A96" s="2" t="n">
        <x:v>1095</x:v>
      </x:c>
      <x:c r="B96" s="9" t="n">
        <x:v>46127</x:v>
      </x:c>
      <x:c r="C96" s="2" t="str">
        <x:v>C018</x:v>
      </x:c>
      <x:c r="D96" s="2" t="str">
        <x:v>Сидорова</x:v>
      </x:c>
      <x:c r="E96" s="2" t="str">
        <x:v>Ноутбуки</x:v>
      </x:c>
      <x:c r="F96" s="2" t="str">
        <x:v>HP Pavilion</x:v>
      </x:c>
      <x:c r="G96" s="4" t="n">
        <x:v>3</x:v>
      </x:c>
      <x:c r="H96" s="4" t="n">
        <x:v>55000</x:v>
      </x:c>
      <x:c r="I96" s="4" t="n">
        <x:v>165000</x:v>
      </x:c>
      <x:c r="J96" s="2" t="str">
        <x:v>Ожидает оплаты</x:v>
      </x:c>
    </x:row>
    <x:row r="97">
      <x:c r="A97" s="2" t="n">
        <x:v>1096</x:v>
      </x:c>
      <x:c r="B97" s="9" t="n">
        <x:v>46039</x:v>
      </x:c>
      <x:c r="C97" s="2" t="str">
        <x:v>C015</x:v>
      </x:c>
      <x:c r="D97" s="2" t="str">
        <x:v>Сидорова</x:v>
      </x:c>
      <x:c r="E97" s="2" t="str">
        <x:v>Ноутбуки</x:v>
      </x:c>
      <x:c r="F97" s="2" t="str">
        <x:v>HP Pavilion</x:v>
      </x:c>
      <x:c r="G97" s="4" t="n">
        <x:v>5</x:v>
      </x:c>
      <x:c r="H97" s="4" t="n">
        <x:v>4500</x:v>
      </x:c>
      <x:c r="I97" s="4" t="n">
        <x:v>22500</x:v>
      </x:c>
      <x:c r="J97" s="2" t="str">
        <x:v>В работе</x:v>
      </x:c>
    </x:row>
    <x:row r="98">
      <x:c r="A98" s="2" t="n">
        <x:v>1097</x:v>
      </x:c>
      <x:c r="B98" s="9" t="n">
        <x:v>46108</x:v>
      </x:c>
      <x:c r="C98" s="2" t="str">
        <x:v>C029</x:v>
      </x:c>
      <x:c r="D98" s="2" t="str">
        <x:v>Смирнова</x:v>
      </x:c>
      <x:c r="E98" s="2" t="str">
        <x:v>ПО</x:v>
      </x:c>
      <x:c r="F98" s="2" t="str">
        <x:v>Antivirus Pro</x:v>
      </x:c>
      <x:c r="G98" s="4" t="n">
        <x:v>4</x:v>
      </x:c>
      <x:c r="H98" s="4" t="n">
        <x:v>72000</x:v>
      </x:c>
      <x:c r="I98" s="4" t="n">
        <x:v>288000</x:v>
      </x:c>
      <x:c r="J98" s="2" t="str">
        <x:v>Выполнен</x:v>
      </x:c>
    </x:row>
    <x:row r="99">
      <x:c r="A99" s="2" t="n">
        <x:v>1098</x:v>
      </x:c>
      <x:c r="B99" s="9" t="n">
        <x:v>46151</x:v>
      </x:c>
      <x:c r="C99" s="2" t="str">
        <x:v>C021</x:v>
      </x:c>
      <x:c r="D99" s="2" t="str">
        <x:v>Кузнецова</x:v>
      </x:c>
      <x:c r="E99" s="2" t="str">
        <x:v>Ноутбуки</x:v>
      </x:c>
      <x:c r="F99" s="2" t="str">
        <x:v>Acer Aspire</x:v>
      </x:c>
      <x:c r="G99" s="4" t="n">
        <x:v>4</x:v>
      </x:c>
      <x:c r="H99" s="4" t="n">
        <x:v>39000</x:v>
      </x:c>
      <x:c r="I99" s="4" t="n">
        <x:v>156000</x:v>
      </x:c>
      <x:c r="J99" s="2" t="str">
        <x:v>В работе</x:v>
      </x:c>
    </x:row>
    <x:row r="100">
      <x:c r="A100" s="2" t="n">
        <x:v>1099</x:v>
      </x:c>
      <x:c r="B100" s="9" t="n">
        <x:v>46077</x:v>
      </x:c>
      <x:c r="C100" s="2" t="str">
        <x:v>C017</x:v>
      </x:c>
      <x:c r="D100" s="2" t="str">
        <x:v>Петрова</x:v>
      </x:c>
      <x:c r="E100" s="2" t="str">
        <x:v>Мониторы</x:v>
      </x:c>
      <x:c r="F100" s="2" t="str">
        <x:v>Samsung 27</x:v>
      </x:c>
      <x:c r="G100" s="4" t="n">
        <x:v>1</x:v>
      </x:c>
      <x:c r="H100" s="4" t="n">
        <x:v>4500</x:v>
      </x:c>
      <x:c r="I100" s="4" t="n">
        <x:v>4500</x:v>
      </x:c>
      <x:c r="J100" s="2" t="str">
        <x:v>Отменен</x:v>
      </x:c>
    </x:row>
    <x:row r="101">
      <x:c r="A101" s="2" t="n">
        <x:v>1100</x:v>
      </x:c>
      <x:c r="B101" s="9" t="n">
        <x:v>46050</x:v>
      </x:c>
      <x:c r="C101" s="2" t="str">
        <x:v>C026</x:v>
      </x:c>
      <x:c r="D101" s="2" t="str">
        <x:v>Петрова</x:v>
      </x:c>
      <x:c r="E101" s="2" t="str">
        <x:v>Ноутбуки</x:v>
      </x:c>
      <x:c r="F101" s="2" t="str">
        <x:v>Lenovo IdeaPad</x:v>
      </x:c>
      <x:c r="G101" s="4" t="n">
        <x:v>4</x:v>
      </x:c>
      <x:c r="H101" s="4" t="n">
        <x:v>24000</x:v>
      </x:c>
      <x:c r="I101" s="4" t="n">
        <x:v>96000</x:v>
      </x:c>
      <x:c r="J101" s="2" t="str">
        <x:v>Отменен</x:v>
      </x:c>
    </x:row>
    <x:row r="102">
      <x:c r="A102" s="2" t="n">
        <x:v>1101</x:v>
      </x:c>
      <x:c r="B102" s="9" t="n">
        <x:v>46138</x:v>
      </x:c>
      <x:c r="C102" s="2" t="str">
        <x:v>C006</x:v>
      </x:c>
      <x:c r="D102" s="2" t="str">
        <x:v>Смирнова</x:v>
      </x:c>
      <x:c r="E102" s="2" t="str">
        <x:v>Ноутбуки</x:v>
      </x:c>
      <x:c r="F102" s="2" t="str">
        <x:v>Lenovo IdeaPad</x:v>
      </x:c>
      <x:c r="G102" s="4" t="n">
        <x:v>5</x:v>
      </x:c>
      <x:c r="H102" s="4" t="n">
        <x:v>39000</x:v>
      </x:c>
      <x:c r="I102" s="4" t="n">
        <x:v>195000</x:v>
      </x:c>
      <x:c r="J102" s="2" t="str">
        <x:v>Отменен</x:v>
      </x:c>
    </x:row>
    <x:row r="103">
      <x:c r="A103" s="2" t="n">
        <x:v>1102</x:v>
      </x:c>
      <x:c r="B103" s="9" t="n">
        <x:v>46043</x:v>
      </x:c>
      <x:c r="C103" s="2" t="str">
        <x:v>C029</x:v>
      </x:c>
      <x:c r="D103" s="2" t="str">
        <x:v>Петрова</x:v>
      </x:c>
      <x:c r="E103" s="2" t="str">
        <x:v>Сервис</x:v>
      </x:c>
      <x:c r="F103" s="2" t="str">
        <x:v>Training Session</x:v>
      </x:c>
      <x:c r="G103" s="4" t="n">
        <x:v>6</x:v>
      </x:c>
      <x:c r="H103" s="4" t="n">
        <x:v>72000</x:v>
      </x:c>
      <x:c r="I103" s="4" t="n">
        <x:v>432000</x:v>
      </x:c>
      <x:c r="J103" s="2" t="str">
        <x:v>Выполнен</x:v>
      </x:c>
    </x:row>
    <x:row r="104">
      <x:c r="A104" s="2" t="n">
        <x:v>1103</x:v>
      </x:c>
      <x:c r="B104" s="9" t="n">
        <x:v>46112</x:v>
      </x:c>
      <x:c r="C104" s="2" t="str">
        <x:v>C012</x:v>
      </x:c>
      <x:c r="D104" s="2" t="str">
        <x:v>Орлова</x:v>
      </x:c>
      <x:c r="E104" s="2" t="str">
        <x:v>Мониторы</x:v>
      </x:c>
      <x:c r="F104" s="2" t="str">
        <x:v>Dell P2422H</x:v>
      </x:c>
      <x:c r="G104" s="4" t="n">
        <x:v>6</x:v>
      </x:c>
      <x:c r="H104" s="4" t="n">
        <x:v>55000</x:v>
      </x:c>
      <x:c r="I104" s="4" t="n">
        <x:v>330000</x:v>
      </x:c>
      <x:c r="J104" s="2" t="str">
        <x:v>Отменен</x:v>
      </x:c>
    </x:row>
    <x:row r="105">
      <x:c r="A105" s="2" t="n">
        <x:v>1104</x:v>
      </x:c>
      <x:c r="B105" s="9" t="n">
        <x:v>46045</x:v>
      </x:c>
      <x:c r="C105" s="2" t="str">
        <x:v>C001</x:v>
      </x:c>
      <x:c r="D105" s="2" t="str">
        <x:v>Иванова</x:v>
      </x:c>
      <x:c r="E105" s="2" t="str">
        <x:v>Периферия</x:v>
      </x:c>
      <x:c r="F105" s="2" t="str">
        <x:v>Jabra Headset</x:v>
      </x:c>
      <x:c r="G105" s="4" t="n">
        <x:v>2</x:v>
      </x:c>
      <x:c r="H105" s="4" t="n">
        <x:v>55000</x:v>
      </x:c>
      <x:c r="I105" s="4" t="n">
        <x:v>110000</x:v>
      </x:c>
      <x:c r="J105" s="2" t="str">
        <x:v>В работе</x:v>
      </x:c>
    </x:row>
    <x:row r="106">
      <x:c r="A106" s="2" t="n">
        <x:v>1105</x:v>
      </x:c>
      <x:c r="B106" s="9" t="n">
        <x:v>46069</x:v>
      </x:c>
      <x:c r="C106" s="2" t="str">
        <x:v>C014</x:v>
      </x:c>
      <x:c r="D106" s="2" t="str">
        <x:v>Сидорова</x:v>
      </x:c>
      <x:c r="E106" s="2" t="str">
        <x:v>Ноутбуки</x:v>
      </x:c>
      <x:c r="F106" s="2" t="str">
        <x:v>HP Pavilion</x:v>
      </x:c>
      <x:c r="G106" s="4" t="n">
        <x:v>1</x:v>
      </x:c>
      <x:c r="H106" s="4" t="n">
        <x:v>4500</x:v>
      </x:c>
      <x:c r="I106" s="4" t="n">
        <x:v>4500</x:v>
      </x:c>
      <x:c r="J106" s="2" t="str">
        <x:v>Отменен</x:v>
      </x:c>
    </x:row>
    <x:row r="107">
      <x:c r="A107" s="2" t="n">
        <x:v>1106</x:v>
      </x:c>
      <x:c r="B107" s="9" t="n">
        <x:v>46114</x:v>
      </x:c>
      <x:c r="C107" s="2" t="str">
        <x:v>C042</x:v>
      </x:c>
      <x:c r="D107" s="2" t="str">
        <x:v>Сидорова</x:v>
      </x:c>
      <x:c r="E107" s="2" t="str">
        <x:v>ПО</x:v>
      </x:c>
      <x:c r="F107" s="2" t="str">
        <x:v>Antivirus Pro</x:v>
      </x:c>
      <x:c r="G107" s="4" t="n">
        <x:v>6</x:v>
      </x:c>
      <x:c r="H107" s="4" t="n">
        <x:v>39000</x:v>
      </x:c>
      <x:c r="I107" s="4" t="n">
        <x:v>234000</x:v>
      </x:c>
      <x:c r="J107" s="2" t="str">
        <x:v>Выполнен</x:v>
      </x:c>
    </x:row>
    <x:row r="108">
      <x:c r="A108" s="2" t="n">
        <x:v>1107</x:v>
      </x:c>
      <x:c r="B108" s="9" t="n">
        <x:v>46112</x:v>
      </x:c>
      <x:c r="C108" s="2" t="str">
        <x:v>C011</x:v>
      </x:c>
      <x:c r="D108" s="2" t="str">
        <x:v>Сидорова</x:v>
      </x:c>
      <x:c r="E108" s="2" t="str">
        <x:v>Периферия</x:v>
      </x:c>
      <x:c r="F108" s="2" t="str">
        <x:v>Logitech Mouse</x:v>
      </x:c>
      <x:c r="G108" s="4" t="n">
        <x:v>5</x:v>
      </x:c>
      <x:c r="H108" s="4" t="n">
        <x:v>72000</x:v>
      </x:c>
      <x:c r="I108" s="4" t="n">
        <x:v>360000</x:v>
      </x:c>
      <x:c r="J108" s="2" t="str">
        <x:v>Ожидает оплаты</x:v>
      </x:c>
    </x:row>
    <x:row r="109">
      <x:c r="A109" s="2" t="n">
        <x:v>1108</x:v>
      </x:c>
      <x:c r="B109" s="9" t="n">
        <x:v>46085</x:v>
      </x:c>
      <x:c r="C109" s="2" t="str">
        <x:v>C033</x:v>
      </x:c>
      <x:c r="D109" s="2" t="str">
        <x:v>Сидорова</x:v>
      </x:c>
      <x:c r="E109" s="2" t="str">
        <x:v>Ноутбуки</x:v>
      </x:c>
      <x:c r="F109" s="2" t="str">
        <x:v>HP Pavilion</x:v>
      </x:c>
      <x:c r="G109" s="4" t="n">
        <x:v>2</x:v>
      </x:c>
      <x:c r="H109" s="4" t="n">
        <x:v>72000</x:v>
      </x:c>
      <x:c r="I109" s="4" t="n">
        <x:v>144000</x:v>
      </x:c>
      <x:c r="J109" s="2" t="str">
        <x:v>Выполнен</x:v>
      </x:c>
    </x:row>
    <x:row r="110">
      <x:c r="A110" s="2" t="n">
        <x:v>1109</x:v>
      </x:c>
      <x:c r="B110" s="9" t="n">
        <x:v>46165</x:v>
      </x:c>
      <x:c r="C110" s="2" t="str">
        <x:v>C037</x:v>
      </x:c>
      <x:c r="D110" s="2" t="str">
        <x:v>Смирнова</x:v>
      </x:c>
      <x:c r="E110" s="2" t="str">
        <x:v>ПО</x:v>
      </x:c>
      <x:c r="F110" s="2" t="str">
        <x:v>CRM License</x:v>
      </x:c>
      <x:c r="G110" s="4" t="n">
        <x:v>6</x:v>
      </x:c>
      <x:c r="H110" s="4" t="n">
        <x:v>72000</x:v>
      </x:c>
      <x:c r="I110" s="4" t="n">
        <x:v>432000</x:v>
      </x:c>
      <x:c r="J110" s="2" t="str">
        <x:v>Выполнен</x:v>
      </x:c>
    </x:row>
    <x:row r="111">
      <x:c r="A111" s="2" t="n">
        <x:v>1110</x:v>
      </x:c>
      <x:c r="B111" s="9" t="n">
        <x:v>46102</x:v>
      </x:c>
      <x:c r="C111" s="2" t="str">
        <x:v>C006</x:v>
      </x:c>
      <x:c r="D111" s="2" t="str">
        <x:v>Смирнова</x:v>
      </x:c>
      <x:c r="E111" s="2" t="str">
        <x:v>ПО</x:v>
      </x:c>
      <x:c r="F111" s="2" t="str">
        <x:v>Office Suite</x:v>
      </x:c>
      <x:c r="G111" s="4" t="n">
        <x:v>1</x:v>
      </x:c>
      <x:c r="H111" s="4" t="n">
        <x:v>12000</x:v>
      </x:c>
      <x:c r="I111" s="4" t="n">
        <x:v>12000</x:v>
      </x:c>
      <x:c r="J111" s="2" t="str">
        <x:v>Отменен</x:v>
      </x:c>
    </x:row>
    <x:row r="112">
      <x:c r="A112" s="2" t="n">
        <x:v>1111</x:v>
      </x:c>
      <x:c r="B112" s="9" t="n">
        <x:v>46052</x:v>
      </x:c>
      <x:c r="C112" s="2" t="str">
        <x:v>C040</x:v>
      </x:c>
      <x:c r="D112" s="2" t="str">
        <x:v>Кузнецова</x:v>
      </x:c>
      <x:c r="E112" s="2" t="str">
        <x:v>ПО</x:v>
      </x:c>
      <x:c r="F112" s="2" t="str">
        <x:v>CRM License</x:v>
      </x:c>
      <x:c r="G112" s="4" t="n">
        <x:v>1</x:v>
      </x:c>
      <x:c r="H112" s="4" t="n">
        <x:v>39000</x:v>
      </x:c>
      <x:c r="I112" s="4" t="n">
        <x:v>39000</x:v>
      </x:c>
      <x:c r="J112" s="2" t="str">
        <x:v>Отменен</x:v>
      </x:c>
    </x:row>
    <x:row r="113">
      <x:c r="A113" s="2" t="n">
        <x:v>1112</x:v>
      </x:c>
      <x:c r="B113" s="9" t="n">
        <x:v>46105</x:v>
      </x:c>
      <x:c r="C113" s="2" t="str">
        <x:v>C030</x:v>
      </x:c>
      <x:c r="D113" s="2" t="str">
        <x:v>Орлова</x:v>
      </x:c>
      <x:c r="E113" s="2" t="str">
        <x:v>Периферия</x:v>
      </x:c>
      <x:c r="F113" s="2" t="str">
        <x:v>Canon Scanner</x:v>
      </x:c>
      <x:c r="G113" s="4" t="n">
        <x:v>3</x:v>
      </x:c>
      <x:c r="H113" s="4" t="n">
        <x:v>24000</x:v>
      </x:c>
      <x:c r="I113" s="4" t="n">
        <x:v>72000</x:v>
      </x:c>
      <x:c r="J113" s="2" t="str">
        <x:v>Выполнен</x:v>
      </x:c>
    </x:row>
    <x:row r="114">
      <x:c r="A114" s="2" t="n">
        <x:v>1113</x:v>
      </x:c>
      <x:c r="B114" s="9" t="n">
        <x:v>46037</x:v>
      </x:c>
      <x:c r="C114" s="2" t="str">
        <x:v>C029</x:v>
      </x:c>
      <x:c r="D114" s="2" t="str">
        <x:v>Иванова</x:v>
      </x:c>
      <x:c r="E114" s="2" t="str">
        <x:v>Мониторы</x:v>
      </x:c>
      <x:c r="F114" s="2" t="str">
        <x:v>AOC 24</x:v>
      </x:c>
      <x:c r="G114" s="4" t="n">
        <x:v>6</x:v>
      </x:c>
      <x:c r="H114" s="4" t="n">
        <x:v>24000</x:v>
      </x:c>
      <x:c r="I114" s="4" t="n">
        <x:v>144000</x:v>
      </x:c>
      <x:c r="J114" s="2" t="str">
        <x:v>Выполнен</x:v>
      </x:c>
    </x:row>
    <x:row r="115">
      <x:c r="A115" s="2" t="n">
        <x:v>1114</x:v>
      </x:c>
      <x:c r="B115" s="9" t="n">
        <x:v>46062</x:v>
      </x:c>
      <x:c r="C115" s="2" t="str">
        <x:v>C038</x:v>
      </x:c>
      <x:c r="D115" s="2" t="str">
        <x:v>Иванова</x:v>
      </x:c>
      <x:c r="E115" s="2" t="str">
        <x:v>Периферия</x:v>
      </x:c>
      <x:c r="F115" s="2" t="str">
        <x:v>Jabra Headset</x:v>
      </x:c>
      <x:c r="G115" s="4" t="n">
        <x:v>1</x:v>
      </x:c>
      <x:c r="H115" s="4" t="n">
        <x:v>12000</x:v>
      </x:c>
      <x:c r="I115" s="4" t="n">
        <x:v>12000</x:v>
      </x:c>
      <x:c r="J115" s="2" t="str">
        <x:v>Отменен</x:v>
      </x:c>
    </x:row>
    <x:row r="116">
      <x:c r="A116" s="2" t="n">
        <x:v>1115</x:v>
      </x:c>
      <x:c r="B116" s="9" t="n">
        <x:v>46154</x:v>
      </x:c>
      <x:c r="C116" s="2" t="str">
        <x:v>C002</x:v>
      </x:c>
      <x:c r="D116" s="2" t="str">
        <x:v>Орлова</x:v>
      </x:c>
      <x:c r="E116" s="2" t="str">
        <x:v>Мониторы</x:v>
      </x:c>
      <x:c r="F116" s="2" t="str">
        <x:v>LG UltraFine</x:v>
      </x:c>
      <x:c r="G116" s="4" t="n">
        <x:v>2</x:v>
      </x:c>
      <x:c r="H116" s="4" t="n">
        <x:v>24000</x:v>
      </x:c>
      <x:c r="I116" s="4" t="n">
        <x:v>48000</x:v>
      </x:c>
      <x:c r="J116" s="2" t="str">
        <x:v>Отменен</x:v>
      </x:c>
    </x:row>
    <x:row r="117">
      <x:c r="A117" s="2" t="n">
        <x:v>1116</x:v>
      </x:c>
      <x:c r="B117" s="9" t="n">
        <x:v>46058</x:v>
      </x:c>
      <x:c r="C117" s="2" t="str">
        <x:v>C027</x:v>
      </x:c>
      <x:c r="D117" s="2" t="str">
        <x:v>Орлова</x:v>
      </x:c>
      <x:c r="E117" s="2" t="str">
        <x:v>Сервис</x:v>
      </x:c>
      <x:c r="F117" s="2" t="str">
        <x:v>Maintenance Pack</x:v>
      </x:c>
      <x:c r="G117" s="4" t="n">
        <x:v>5</x:v>
      </x:c>
      <x:c r="H117" s="4" t="n">
        <x:v>55000</x:v>
      </x:c>
      <x:c r="I117" s="4" t="n">
        <x:v>275000</x:v>
      </x:c>
      <x:c r="J117" s="2" t="str">
        <x:v>Выполнен</x:v>
      </x:c>
    </x:row>
    <x:row r="118">
      <x:c r="A118" s="2" t="n">
        <x:v>1117</x:v>
      </x:c>
      <x:c r="B118" s="9" t="n">
        <x:v>46142</x:v>
      </x:c>
      <x:c r="C118" s="2" t="str">
        <x:v>C999</x:v>
      </x:c>
      <x:c r="D118" s="2" t="str">
        <x:v>Петрова</x:v>
      </x:c>
      <x:c r="E118" s="2" t="str">
        <x:v>ПО</x:v>
      </x:c>
      <x:c r="F118" s="2" t="str">
        <x:v>Office Suite</x:v>
      </x:c>
      <x:c r="G118" s="4" t="n">
        <x:v>3</x:v>
      </x:c>
      <x:c r="H118" s="4" t="n">
        <x:v>55000</x:v>
      </x:c>
      <x:c r="I118" s="4" t="n">
        <x:v>165000</x:v>
      </x:c>
      <x:c r="J118" s="2" t="str">
        <x:v>В работе</x:v>
      </x:c>
    </x:row>
    <x:row r="119">
      <x:c r="A119" s="2" t="n">
        <x:v>1118</x:v>
      </x:c>
      <x:c r="B119" s="9" t="n">
        <x:v>46073</x:v>
      </x:c>
      <x:c r="C119" s="2" t="str">
        <x:v>C023</x:v>
      </x:c>
      <x:c r="D119" s="2" t="str">
        <x:v>Иванова</x:v>
      </x:c>
      <x:c r="E119" s="2" t="str">
        <x:v>Сервис</x:v>
      </x:c>
      <x:c r="F119" s="2" t="str">
        <x:v>Training Session</x:v>
      </x:c>
      <x:c r="G119" s="4" t="n">
        <x:v>3</x:v>
      </x:c>
      <x:c r="H119" s="4" t="n">
        <x:v>39000</x:v>
      </x:c>
      <x:c r="I119" s="4" t="n">
        <x:v>117000</x:v>
      </x:c>
      <x:c r="J119" s="2" t="str">
        <x:v>В работе</x:v>
      </x:c>
    </x:row>
    <x:row r="120">
      <x:c r="A120" s="2" t="n">
        <x:v>1119</x:v>
      </x:c>
      <x:c r="B120" s="9" t="n">
        <x:v>46134</x:v>
      </x:c>
      <x:c r="C120" s="2" t="str">
        <x:v>C041</x:v>
      </x:c>
      <x:c r="D120" s="2" t="str">
        <x:v>Кузнецова</x:v>
      </x:c>
      <x:c r="E120" s="2" t="str">
        <x:v>Ноутбуки</x:v>
      </x:c>
      <x:c r="F120" s="2" t="str">
        <x:v>Lenovo IdeaPad</x:v>
      </x:c>
      <x:c r="G120" s="4" t="n">
        <x:v>3</x:v>
      </x:c>
      <x:c r="H120" s="4" t="n">
        <x:v>4500</x:v>
      </x:c>
      <x:c r="I120" s="4" t="n">
        <x:v>13500</x:v>
      </x:c>
      <x:c r="J120" s="2" t="str">
        <x:v>Отменен</x:v>
      </x:c>
    </x:row>
    <x:row r="121">
      <x:c r="A121" s="2" t="n">
        <x:v>1120</x:v>
      </x:c>
      <x:c r="B121" s="9" t="n">
        <x:v>46072</x:v>
      </x:c>
      <x:c r="C121" s="2" t="str">
        <x:v>C006</x:v>
      </x:c>
      <x:c r="D121" s="2" t="str">
        <x:v>Иванова</x:v>
      </x:c>
      <x:c r="E121" s="2" t="str">
        <x:v>Сервис</x:v>
      </x:c>
      <x:c r="F121" s="2" t="str">
        <x:v>Training Session</x:v>
      </x:c>
      <x:c r="G121" s="4" t="n">
        <x:v>3</x:v>
      </x:c>
      <x:c r="H121" s="4" t="n">
        <x:v>72000</x:v>
      </x:c>
      <x:c r="I121" s="4" t="n">
        <x:v>216000</x:v>
      </x:c>
      <x:c r="J121" s="2" t="str">
        <x:v>Ожидает оплаты</x:v>
      </x:c>
    </x:row>
    <x:row r="122">
      <x:c r="A122" s="2" t="n">
        <x:v>1121</x:v>
      </x:c>
      <x:c r="B122" s="9" t="n">
        <x:v>46134</x:v>
      </x:c>
      <x:c r="C122" s="2" t="str">
        <x:v>C028</x:v>
      </x:c>
      <x:c r="D122" s="2" t="str">
        <x:v>Орлова</x:v>
      </x:c>
      <x:c r="E122" s="2" t="str">
        <x:v>Сервис</x:v>
      </x:c>
      <x:c r="F122" s="2" t="str">
        <x:v>Training Session</x:v>
      </x:c>
      <x:c r="G122" s="4" t="n">
        <x:v>1</x:v>
      </x:c>
      <x:c r="H122" s="4" t="n">
        <x:v>55000</x:v>
      </x:c>
      <x:c r="I122" s="4" t="n">
        <x:v>55000</x:v>
      </x:c>
      <x:c r="J122" s="2" t="str">
        <x:v>Выполнен</x:v>
      </x:c>
    </x:row>
    <x:row r="123">
      <x:c r="A123" s="2" t="n">
        <x:v>1122</x:v>
      </x:c>
      <x:c r="B123" s="9" t="n">
        <x:v>46084</x:v>
      </x:c>
      <x:c r="C123" s="2" t="str">
        <x:v>C016</x:v>
      </x:c>
      <x:c r="D123" s="2" t="str">
        <x:v>Орлова</x:v>
      </x:c>
      <x:c r="E123" s="2" t="str">
        <x:v>Ноутбуки</x:v>
      </x:c>
      <x:c r="F123" s="2" t="str">
        <x:v>HP Pavilion</x:v>
      </x:c>
      <x:c r="G123" s="4" t="n">
        <x:v>4</x:v>
      </x:c>
      <x:c r="H123" s="4" t="n">
        <x:v>39000</x:v>
      </x:c>
      <x:c r="I123" s="4" t="n">
        <x:v>156000</x:v>
      </x:c>
      <x:c r="J123" s="2" t="str">
        <x:v>Ожидает оплаты</x:v>
      </x:c>
    </x:row>
    <x:row r="124">
      <x:c r="A124" s="2" t="n">
        <x:v>1123</x:v>
      </x:c>
      <x:c r="B124" s="9" t="n">
        <x:v>46106</x:v>
      </x:c>
      <x:c r="C124" s="2" t="str">
        <x:v>C002</x:v>
      </x:c>
      <x:c r="D124" s="2" t="str">
        <x:v>Кузнецова</x:v>
      </x:c>
      <x:c r="E124" s="2" t="str">
        <x:v>Сервис</x:v>
      </x:c>
      <x:c r="F124" s="2" t="str">
        <x:v>Maintenance Pack</x:v>
      </x:c>
      <x:c r="G124" s="4" t="n">
        <x:v>5</x:v>
      </x:c>
      <x:c r="H124" s="4" t="n">
        <x:v>8900</x:v>
      </x:c>
      <x:c r="I124" s="4" t="n">
        <x:v>44500</x:v>
      </x:c>
      <x:c r="J124" s="2" t="str">
        <x:v>Отменен</x:v>
      </x:c>
    </x:row>
    <x:row r="125">
      <x:c r="A125" s="2" t="n">
        <x:v>1124</x:v>
      </x:c>
      <x:c r="B125" s="9" t="n">
        <x:v>46142</x:v>
      </x:c>
      <x:c r="C125" s="2" t="str">
        <x:v>C030</x:v>
      </x:c>
      <x:c r="D125" s="2" t="str">
        <x:v>Кузнецова</x:v>
      </x:c>
      <x:c r="E125" s="2" t="str">
        <x:v>ПО</x:v>
      </x:c>
      <x:c r="F125" s="2" t="str">
        <x:v>Office Suite</x:v>
      </x:c>
      <x:c r="G125" s="4" t="n">
        <x:v>4</x:v>
      </x:c>
      <x:c r="H125" s="4" t="n">
        <x:v>24000</x:v>
      </x:c>
      <x:c r="I125" s="4" t="n">
        <x:v>96000</x:v>
      </x:c>
      <x:c r="J125" s="2" t="str">
        <x:v>В работе</x:v>
      </x:c>
    </x:row>
    <x:row r="126">
      <x:c r="A126" s="2" t="n">
        <x:v>1125</x:v>
      </x:c>
      <x:c r="B126" s="9" t="n">
        <x:v>46060</x:v>
      </x:c>
      <x:c r="C126" s="2" t="str">
        <x:v>C015</x:v>
      </x:c>
      <x:c r="D126" s="2" t="str">
        <x:v>Кузнецова</x:v>
      </x:c>
      <x:c r="E126" s="2" t="str">
        <x:v>Мониторы</x:v>
      </x:c>
      <x:c r="F126" s="2" t="str">
        <x:v>Dell P2422H</x:v>
      </x:c>
      <x:c r="G126" s="4" t="n">
        <x:v>3</x:v>
      </x:c>
      <x:c r="H126" s="4" t="n">
        <x:v>39000</x:v>
      </x:c>
      <x:c r="I126" s="4" t="n">
        <x:v>117000</x:v>
      </x:c>
      <x:c r="J126" s="2" t="str">
        <x:v>Отменен</x:v>
      </x:c>
    </x:row>
    <x:row r="127">
      <x:c r="A127" s="2" t="n">
        <x:v>1126</x:v>
      </x:c>
      <x:c r="B127" s="9" t="n">
        <x:v>46064</x:v>
      </x:c>
      <x:c r="C127" s="2" t="str">
        <x:v>C021</x:v>
      </x:c>
      <x:c r="D127" s="2" t="str">
        <x:v>Орлова</x:v>
      </x:c>
      <x:c r="E127" s="2" t="str">
        <x:v>Сервис</x:v>
      </x:c>
      <x:c r="F127" s="2" t="str">
        <x:v>Training Session</x:v>
      </x:c>
      <x:c r="G127" s="4" t="n">
        <x:v>3</x:v>
      </x:c>
      <x:c r="H127" s="4" t="n">
        <x:v>72000</x:v>
      </x:c>
      <x:c r="I127" s="4" t="n">
        <x:v>216000</x:v>
      </x:c>
      <x:c r="J127" s="2" t="str">
        <x:v>Выполнен</x:v>
      </x:c>
    </x:row>
    <x:row r="128">
      <x:c r="A128" s="2" t="n">
        <x:v>1127</x:v>
      </x:c>
      <x:c r="B128" s="9" t="n">
        <x:v>46131</x:v>
      </x:c>
      <x:c r="C128" s="2" t="str">
        <x:v>C012</x:v>
      </x:c>
      <x:c r="D128" s="2" t="str">
        <x:v>Иванова</x:v>
      </x:c>
      <x:c r="E128" s="2" t="str">
        <x:v>Мониторы</x:v>
      </x:c>
      <x:c r="F128" s="2" t="str">
        <x:v>Samsung 27</x:v>
      </x:c>
      <x:c r="G128" s="4" t="n">
        <x:v>5</x:v>
      </x:c>
      <x:c r="H128" s="4" t="n">
        <x:v>8900</x:v>
      </x:c>
      <x:c r="I128" s="4" t="n">
        <x:v>44500</x:v>
      </x:c>
      <x:c r="J128" s="2" t="str">
        <x:v>В работе</x:v>
      </x:c>
    </x:row>
    <x:row r="129">
      <x:c r="A129" s="2" t="n">
        <x:v>1128</x:v>
      </x:c>
      <x:c r="B129" s="9" t="n">
        <x:v>46137</x:v>
      </x:c>
      <x:c r="C129" s="2" t="str">
        <x:v>C020</x:v>
      </x:c>
      <x:c r="D129" s="2" t="str">
        <x:v>Смирнова</x:v>
      </x:c>
      <x:c r="E129" s="2" t="str">
        <x:v>Мониторы</x:v>
      </x:c>
      <x:c r="F129" s="2" t="str">
        <x:v>Dell P2422H</x:v>
      </x:c>
      <x:c r="G129" s="4" t="n">
        <x:v>2</x:v>
      </x:c>
      <x:c r="H129" s="4" t="n">
        <x:v>8900</x:v>
      </x:c>
      <x:c r="I129" s="4" t="n">
        <x:v>17800</x:v>
      </x:c>
      <x:c r="J129" s="2" t="str">
        <x:v>Выполнен</x:v>
      </x:c>
    </x:row>
    <x:row r="130">
      <x:c r="A130" s="2" t="n">
        <x:v>1129</x:v>
      </x:c>
      <x:c r="B130" s="9" t="n">
        <x:v>46067</x:v>
      </x:c>
      <x:c r="C130" s="2" t="str">
        <x:v>C021</x:v>
      </x:c>
      <x:c r="D130" s="2" t="str">
        <x:v>Сидорова</x:v>
      </x:c>
      <x:c r="E130" s="2" t="str">
        <x:v>Сервис</x:v>
      </x:c>
      <x:c r="F130" s="2" t="str">
        <x:v>Training Session</x:v>
      </x:c>
      <x:c r="G130" s="4" t="n">
        <x:v>1</x:v>
      </x:c>
      <x:c r="H130" s="4" t="n">
        <x:v>72000</x:v>
      </x:c>
      <x:c r="I130" s="4" t="n">
        <x:v>72000</x:v>
      </x:c>
      <x:c r="J130" s="2" t="str">
        <x:v>Выполнен</x:v>
      </x:c>
    </x:row>
    <x:row r="131">
      <x:c r="A131" s="2" t="n">
        <x:v>1130</x:v>
      </x:c>
      <x:c r="B131" s="9" t="n">
        <x:v>46154</x:v>
      </x:c>
      <x:c r="C131" s="2" t="str">
        <x:v>C036</x:v>
      </x:c>
      <x:c r="D131" s="2" t="str">
        <x:v>Кузнецова</x:v>
      </x:c>
      <x:c r="E131" s="2" t="str">
        <x:v>Ноутбуки</x:v>
      </x:c>
      <x:c r="F131" s="2" t="str">
        <x:v>Acer Aspire</x:v>
      </x:c>
      <x:c r="G131" s="4" t="n">
        <x:v>2</x:v>
      </x:c>
      <x:c r="H131" s="4" t="n">
        <x:v>12000</x:v>
      </x:c>
      <x:c r="I131" s="4" t="n">
        <x:v>24000</x:v>
      </x:c>
      <x:c r="J131" s="2" t="str">
        <x:v>Выполнен</x:v>
      </x:c>
    </x:row>
    <x:row r="132">
      <x:c r="A132" s="2" t="n">
        <x:v>1131</x:v>
      </x:c>
      <x:c r="B132" s="9" t="n">
        <x:v>46063</x:v>
      </x:c>
      <x:c r="C132" s="2" t="str">
        <x:v>C035</x:v>
      </x:c>
      <x:c r="D132" s="2" t="str">
        <x:v>Петрова</x:v>
      </x:c>
      <x:c r="E132" s="2" t="str">
        <x:v>Мониторы</x:v>
      </x:c>
      <x:c r="F132" s="2" t="str">
        <x:v>AOC 24</x:v>
      </x:c>
      <x:c r="G132" s="4" t="n">
        <x:v>4</x:v>
      </x:c>
      <x:c r="H132" s="4" t="n">
        <x:v>8900</x:v>
      </x:c>
      <x:c r="I132" s="4"/>
      <x:c r="J132" s="2" t="str">
        <x:v>Отменен</x:v>
      </x:c>
    </x:row>
    <x:row r="133">
      <x:c r="A133" s="2" t="n">
        <x:v>1132</x:v>
      </x:c>
      <x:c r="B133" s="9" t="n">
        <x:v>46097</x:v>
      </x:c>
      <x:c r="C133" s="2" t="str">
        <x:v>C026</x:v>
      </x:c>
      <x:c r="D133" s="2" t="str">
        <x:v>Сидорова</x:v>
      </x:c>
      <x:c r="E133" s="2" t="str">
        <x:v>Сервис</x:v>
      </x:c>
      <x:c r="F133" s="2" t="str">
        <x:v>Maintenance Pack</x:v>
      </x:c>
      <x:c r="G133" s="4" t="n">
        <x:v>4</x:v>
      </x:c>
      <x:c r="H133" s="4" t="n">
        <x:v>72000</x:v>
      </x:c>
      <x:c r="I133" s="4" t="n">
        <x:v>288000</x:v>
      </x:c>
      <x:c r="J133" s="2" t="str">
        <x:v>Выполнен</x:v>
      </x:c>
    </x:row>
    <x:row r="134">
      <x:c r="A134" s="2" t="n">
        <x:v>1133</x:v>
      </x:c>
      <x:c r="B134" s="9" t="n">
        <x:v>46095</x:v>
      </x:c>
      <x:c r="C134" s="2" t="str">
        <x:v>C027</x:v>
      </x:c>
      <x:c r="D134" s="2" t="str">
        <x:v>Петрова</x:v>
      </x:c>
      <x:c r="E134" s="2" t="str">
        <x:v>Ноутбуки</x:v>
      </x:c>
      <x:c r="F134" s="2" t="str">
        <x:v>Lenovo IdeaPad</x:v>
      </x:c>
      <x:c r="G134" s="4" t="n">
        <x:v>3</x:v>
      </x:c>
      <x:c r="H134" s="4" t="n">
        <x:v>4500</x:v>
      </x:c>
      <x:c r="I134" s="4" t="n">
        <x:v>13500</x:v>
      </x:c>
      <x:c r="J134" s="2" t="str">
        <x:v>В работе</x:v>
      </x:c>
    </x:row>
    <x:row r="135">
      <x:c r="A135" s="2" t="n">
        <x:v>1134</x:v>
      </x:c>
      <x:c r="B135" s="9" t="n">
        <x:v>46068</x:v>
      </x:c>
      <x:c r="C135" s="2" t="str">
        <x:v>C003</x:v>
      </x:c>
      <x:c r="D135" s="2" t="str">
        <x:v>Кузнецова</x:v>
      </x:c>
      <x:c r="E135" s="2" t="str">
        <x:v>ПО</x:v>
      </x:c>
      <x:c r="F135" s="2" t="str">
        <x:v>Antivirus Pro</x:v>
      </x:c>
      <x:c r="G135" s="4" t="n">
        <x:v>1</x:v>
      </x:c>
      <x:c r="H135" s="4" t="n">
        <x:v>39000</x:v>
      </x:c>
      <x:c r="I135" s="4" t="n">
        <x:v>39000</x:v>
      </x:c>
      <x:c r="J135" s="2" t="str">
        <x:v>Отменен</x:v>
      </x:c>
    </x:row>
    <x:row r="136">
      <x:c r="A136" s="2" t="n">
        <x:v>1135</x:v>
      </x:c>
      <x:c r="B136" s="9" t="n">
        <x:v>46155</x:v>
      </x:c>
      <x:c r="C136" s="2" t="str">
        <x:v>C004</x:v>
      </x:c>
      <x:c r="D136" s="2" t="str">
        <x:v>Смирнова</x:v>
      </x:c>
      <x:c r="E136" s="2" t="str">
        <x:v>Сервис</x:v>
      </x:c>
      <x:c r="F136" s="2" t="str">
        <x:v>Training Session</x:v>
      </x:c>
      <x:c r="G136" s="4" t="n">
        <x:v>4</x:v>
      </x:c>
      <x:c r="H136" s="4" t="n">
        <x:v>39000</x:v>
      </x:c>
      <x:c r="I136" s="4" t="n">
        <x:v>156000</x:v>
      </x:c>
      <x:c r="J136" s="2" t="str">
        <x:v>В работе</x:v>
      </x:c>
    </x:row>
    <x:row r="137">
      <x:c r="A137" s="2" t="n">
        <x:v>1136</x:v>
      </x:c>
      <x:c r="B137" s="9" t="n">
        <x:v>46080</x:v>
      </x:c>
      <x:c r="C137" s="2" t="str">
        <x:v>C043</x:v>
      </x:c>
      <x:c r="D137" s="2" t="str">
        <x:v>Кузнецова</x:v>
      </x:c>
      <x:c r="E137" s="2" t="str">
        <x:v>Ноутбуки</x:v>
      </x:c>
      <x:c r="F137" s="2" t="str">
        <x:v>Acer Aspire</x:v>
      </x:c>
      <x:c r="G137" s="4" t="n">
        <x:v>4</x:v>
      </x:c>
      <x:c r="H137" s="4" t="n">
        <x:v>39000</x:v>
      </x:c>
      <x:c r="I137" s="4" t="n">
        <x:v>156000</x:v>
      </x:c>
      <x:c r="J137" s="2" t="str">
        <x:v>Отменен</x:v>
      </x:c>
    </x:row>
    <x:row r="138">
      <x:c r="A138" s="2" t="n">
        <x:v>1137</x:v>
      </x:c>
      <x:c r="B138" s="9" t="n">
        <x:v>46033</x:v>
      </x:c>
      <x:c r="C138" s="2" t="str">
        <x:v>C029</x:v>
      </x:c>
      <x:c r="D138" s="2" t="str">
        <x:v>Иванова</x:v>
      </x:c>
      <x:c r="E138" s="2" t="str">
        <x:v>Периферия</x:v>
      </x:c>
      <x:c r="F138" s="2" t="str">
        <x:v>Logitech Mouse</x:v>
      </x:c>
      <x:c r="G138" s="4" t="n">
        <x:v>2</x:v>
      </x:c>
      <x:c r="H138" s="4" t="n">
        <x:v>4500</x:v>
      </x:c>
      <x:c r="I138" s="4" t="n">
        <x:v>9000</x:v>
      </x:c>
      <x:c r="J138" s="2" t="str">
        <x:v>Отменен</x:v>
      </x:c>
    </x:row>
    <x:row r="139">
      <x:c r="A139" s="2" t="n">
        <x:v>1138</x:v>
      </x:c>
      <x:c r="B139" s="9" t="n">
        <x:v>46137</x:v>
      </x:c>
      <x:c r="C139" s="2" t="str">
        <x:v>C037</x:v>
      </x:c>
      <x:c r="D139" s="2" t="str">
        <x:v>Сидорова</x:v>
      </x:c>
      <x:c r="E139" s="2" t="str">
        <x:v>Ноутбуки</x:v>
      </x:c>
      <x:c r="F139" s="2" t="str">
        <x:v>HP Pavilion</x:v>
      </x:c>
      <x:c r="G139" s="4" t="n">
        <x:v>2</x:v>
      </x:c>
      <x:c r="H139" s="4" t="n">
        <x:v>12000</x:v>
      </x:c>
      <x:c r="I139" s="4" t="n">
        <x:v>24000</x:v>
      </x:c>
      <x:c r="J139" s="2" t="str">
        <x:v>Отменен</x:v>
      </x:c>
    </x:row>
    <x:row r="140">
      <x:c r="A140" s="2" t="n">
        <x:v>1139</x:v>
      </x:c>
      <x:c r="B140" s="9" t="n">
        <x:v>46154</x:v>
      </x:c>
      <x:c r="C140" s="2" t="str">
        <x:v>C003</x:v>
      </x:c>
      <x:c r="D140" s="2" t="str">
        <x:v>Сидорова</x:v>
      </x:c>
      <x:c r="E140" s="2" t="str">
        <x:v>ПО</x:v>
      </x:c>
      <x:c r="F140" s="2" t="str">
        <x:v>BI Connector</x:v>
      </x:c>
      <x:c r="G140" s="4" t="n">
        <x:v>2</x:v>
      </x:c>
      <x:c r="H140" s="4" t="n">
        <x:v>8900</x:v>
      </x:c>
      <x:c r="I140" s="4" t="n">
        <x:v>17800</x:v>
      </x:c>
      <x:c r="J140" s="2" t="str">
        <x:v>Ожидает оплаты</x:v>
      </x:c>
    </x:row>
    <x:row r="141">
      <x:c r="A141" s="2" t="n">
        <x:v>1140</x:v>
      </x:c>
      <x:c r="B141" s="9" t="n">
        <x:v>46169</x:v>
      </x:c>
      <x:c r="C141" s="2" t="str">
        <x:v>C014</x:v>
      </x:c>
      <x:c r="D141" s="2" t="str">
        <x:v>Кузнецова</x:v>
      </x:c>
      <x:c r="E141" s="2" t="str">
        <x:v>Сервис</x:v>
      </x:c>
      <x:c r="F141" s="2" t="str">
        <x:v>Setup Service</x:v>
      </x:c>
      <x:c r="G141" s="4" t="n">
        <x:v>5</x:v>
      </x:c>
      <x:c r="H141" s="4" t="n">
        <x:v>55000</x:v>
      </x:c>
      <x:c r="I141" s="4" t="n">
        <x:v>275000</x:v>
      </x:c>
      <x:c r="J141" s="2" t="str">
        <x:v>В работе</x:v>
      </x:c>
    </x:row>
    <x:row r="142">
      <x:c r="A142" s="2" t="n">
        <x:v>1141</x:v>
      </x:c>
      <x:c r="B142" s="9" t="n">
        <x:v>46163</x:v>
      </x:c>
      <x:c r="C142" s="2" t="str">
        <x:v>C040</x:v>
      </x:c>
      <x:c r="D142" s="2" t="str">
        <x:v>Петрова</x:v>
      </x:c>
      <x:c r="E142" s="2" t="str">
        <x:v>Ноутбуки</x:v>
      </x:c>
      <x:c r="F142" s="2" t="str">
        <x:v>Lenovo IdeaPad</x:v>
      </x:c>
      <x:c r="G142" s="4" t="n">
        <x:v>6</x:v>
      </x:c>
      <x:c r="H142" s="4" t="n">
        <x:v>55000</x:v>
      </x:c>
      <x:c r="I142" s="4" t="n">
        <x:v>330000</x:v>
      </x:c>
      <x:c r="J142" s="2" t="str">
        <x:v>Ожидает оплаты</x:v>
      </x:c>
    </x:row>
    <x:row r="143">
      <x:c r="A143" s="2" t="n">
        <x:v>1142</x:v>
      </x:c>
      <x:c r="B143" s="9" t="n">
        <x:v>46117</x:v>
      </x:c>
      <x:c r="C143" s="2" t="str">
        <x:v>C023</x:v>
      </x:c>
      <x:c r="D143" s="2" t="str">
        <x:v>Иванова</x:v>
      </x:c>
      <x:c r="E143" s="2" t="str">
        <x:v>ПО</x:v>
      </x:c>
      <x:c r="F143" s="2" t="str">
        <x:v>CRM License</x:v>
      </x:c>
      <x:c r="G143" s="4" t="n">
        <x:v>5</x:v>
      </x:c>
      <x:c r="H143" s="4" t="n">
        <x:v>39000</x:v>
      </x:c>
      <x:c r="I143" s="4" t="n">
        <x:v>195000</x:v>
      </x:c>
      <x:c r="J143" s="2" t="str">
        <x:v>Ожидает оплаты</x:v>
      </x:c>
    </x:row>
    <x:row r="144">
      <x:c r="A144" s="2" t="n">
        <x:v>1143</x:v>
      </x:c>
      <x:c r="B144" s="9" t="n">
        <x:v>46055</x:v>
      </x:c>
      <x:c r="C144" s="2" t="str">
        <x:v>C037</x:v>
      </x:c>
      <x:c r="D144" s="2" t="str">
        <x:v>Сидорова</x:v>
      </x:c>
      <x:c r="E144" s="2" t="str">
        <x:v>Ноутбуки</x:v>
      </x:c>
      <x:c r="F144" s="2" t="str">
        <x:v>ASUS VivoBook</x:v>
      </x:c>
      <x:c r="G144" s="4" t="n">
        <x:v>5</x:v>
      </x:c>
      <x:c r="H144" s="4" t="n">
        <x:v>55000</x:v>
      </x:c>
      <x:c r="I144" s="4" t="n">
        <x:v>275000</x:v>
      </x:c>
      <x:c r="J144" s="2" t="str">
        <x:v>Ожидает оплаты</x:v>
      </x:c>
    </x:row>
    <x:row r="145">
      <x:c r="A145" s="2" t="n">
        <x:v>1144</x:v>
      </x:c>
      <x:c r="B145" s="9" t="n">
        <x:v>46166</x:v>
      </x:c>
      <x:c r="C145" s="2" t="str">
        <x:v>C010</x:v>
      </x:c>
      <x:c r="D145" s="2" t="str">
        <x:v>Кузнецова</x:v>
      </x:c>
      <x:c r="E145" s="2" t="str">
        <x:v>Сервис</x:v>
      </x:c>
      <x:c r="F145" s="2" t="str">
        <x:v>Training Session</x:v>
      </x:c>
      <x:c r="G145" s="4" t="n">
        <x:v>1</x:v>
      </x:c>
      <x:c r="H145" s="4" t="n">
        <x:v>55000</x:v>
      </x:c>
      <x:c r="I145" s="4" t="n">
        <x:v>55000</x:v>
      </x:c>
      <x:c r="J145" s="2" t="str">
        <x:v>Ожидает оплаты</x:v>
      </x:c>
    </x:row>
    <x:row r="146">
      <x:c r="A146" s="2" t="n">
        <x:v>1145</x:v>
      </x:c>
      <x:c r="B146" s="9" t="n">
        <x:v>46114</x:v>
      </x:c>
      <x:c r="C146" s="2" t="str">
        <x:v>C041</x:v>
      </x:c>
      <x:c r="D146" s="2" t="str">
        <x:v>Орлова</x:v>
      </x:c>
      <x:c r="E146" s="2" t="str">
        <x:v>Периферия</x:v>
      </x:c>
      <x:c r="F146" s="2" t="str">
        <x:v>Jabra Headset</x:v>
      </x:c>
      <x:c r="G146" s="4" t="n">
        <x:v>2</x:v>
      </x:c>
      <x:c r="H146" s="4" t="n">
        <x:v>39000</x:v>
      </x:c>
      <x:c r="I146" s="4" t="n">
        <x:v>78000</x:v>
      </x:c>
      <x:c r="J146" s="2" t="str">
        <x:v>Ожидает оплаты</x:v>
      </x:c>
    </x:row>
    <x:row r="147">
      <x:c r="A147" s="2" t="n">
        <x:v>1146</x:v>
      </x:c>
      <x:c r="B147" s="9" t="n">
        <x:v>46082</x:v>
      </x:c>
      <x:c r="C147" s="2" t="str">
        <x:v>C015</x:v>
      </x:c>
      <x:c r="D147" s="2" t="str">
        <x:v>Сидорова</x:v>
      </x:c>
      <x:c r="E147" s="2" t="str">
        <x:v>Сервис</x:v>
      </x:c>
      <x:c r="F147" s="2" t="str">
        <x:v>Data Migration</x:v>
      </x:c>
      <x:c r="G147" s="4" t="n">
        <x:v>5</x:v>
      </x:c>
      <x:c r="H147" s="4" t="n">
        <x:v>12000</x:v>
      </x:c>
      <x:c r="I147" s="4" t="n">
        <x:v>60000</x:v>
      </x:c>
      <x:c r="J147" s="2" t="str">
        <x:v>Выполнен</x:v>
      </x:c>
    </x:row>
    <x:row r="148">
      <x:c r="A148" s="2" t="n">
        <x:v>1147</x:v>
      </x:c>
      <x:c r="B148" s="9" t="n">
        <x:v>46097</x:v>
      </x:c>
      <x:c r="C148" s="2" t="str">
        <x:v>C041</x:v>
      </x:c>
      <x:c r="D148" s="2" t="str">
        <x:v>Петрова</x:v>
      </x:c>
      <x:c r="E148" s="2" t="str">
        <x:v>Ноутбуки</x:v>
      </x:c>
      <x:c r="F148" s="2" t="str">
        <x:v>Acer Aspire</x:v>
      </x:c>
      <x:c r="G148" s="4" t="n">
        <x:v>4</x:v>
      </x:c>
      <x:c r="H148" s="4" t="n">
        <x:v>39000</x:v>
      </x:c>
      <x:c r="I148" s="4" t="n">
        <x:v>156000</x:v>
      </x:c>
      <x:c r="J148" s="2" t="str">
        <x:v>Ожидает оплаты</x:v>
      </x:c>
    </x:row>
    <x:row r="149">
      <x:c r="A149" s="2" t="n">
        <x:v>1148</x:v>
      </x:c>
      <x:c r="B149" s="9" t="n">
        <x:v>46044</x:v>
      </x:c>
      <x:c r="C149" s="2" t="str">
        <x:v>C003</x:v>
      </x:c>
      <x:c r="D149" s="2" t="str">
        <x:v>Орлова</x:v>
      </x:c>
      <x:c r="E149" s="2" t="str">
        <x:v>ПО</x:v>
      </x:c>
      <x:c r="F149" s="2" t="str">
        <x:v>Antivirus Pro</x:v>
      </x:c>
      <x:c r="G149" s="4" t="n">
        <x:v>5</x:v>
      </x:c>
      <x:c r="H149" s="4" t="n">
        <x:v>12000</x:v>
      </x:c>
      <x:c r="I149" s="4" t="n">
        <x:v>60000</x:v>
      </x:c>
      <x:c r="J149" s="2" t="str">
        <x:v>Ожидает оплаты</x:v>
      </x:c>
    </x:row>
    <x:row r="150">
      <x:c r="A150" s="2" t="n">
        <x:v>1149</x:v>
      </x:c>
      <x:c r="B150" s="9" t="n">
        <x:v>46064</x:v>
      </x:c>
      <x:c r="C150" s="2" t="str">
        <x:v>C027</x:v>
      </x:c>
      <x:c r="D150" s="2" t="str">
        <x:v>Петрова</x:v>
      </x:c>
      <x:c r="E150" s="2" t="str">
        <x:v>Периферия</x:v>
      </x:c>
      <x:c r="F150" s="2" t="str">
        <x:v>Canon Scanner</x:v>
      </x:c>
      <x:c r="G150" s="4" t="n">
        <x:v>6</x:v>
      </x:c>
      <x:c r="H150" s="4" t="n">
        <x:v>72000</x:v>
      </x:c>
      <x:c r="I150" s="4" t="n">
        <x:v>432000</x:v>
      </x:c>
      <x:c r="J150" s="2" t="str">
        <x:v>Отменен</x:v>
      </x:c>
    </x:row>
    <x:row r="151">
      <x:c r="A151" s="2" t="n">
        <x:v>1150</x:v>
      </x:c>
      <x:c r="B151" s="9" t="n">
        <x:v>46130</x:v>
      </x:c>
      <x:c r="C151" s="2" t="str">
        <x:v>C015</x:v>
      </x:c>
      <x:c r="D151" s="2" t="str">
        <x:v>Петрова</x:v>
      </x:c>
      <x:c r="E151" s="2" t="str">
        <x:v>Ноутбуки</x:v>
      </x:c>
      <x:c r="F151" s="2" t="str">
        <x:v>Lenovo IdeaPad</x:v>
      </x:c>
      <x:c r="G151" s="4" t="n">
        <x:v>4</x:v>
      </x:c>
      <x:c r="H151" s="4" t="n">
        <x:v>72000</x:v>
      </x:c>
      <x:c r="I151" s="4" t="n">
        <x:v>288000</x:v>
      </x:c>
      <x:c r="J151" s="2" t="str">
        <x:v>В работе</x:v>
      </x:c>
    </x:row>
    <x:row r="152">
      <x:c r="A152" s="2" t="n">
        <x:v>1151</x:v>
      </x:c>
      <x:c r="B152" s="9" t="n">
        <x:v>46167</x:v>
      </x:c>
      <x:c r="C152" s="2" t="str">
        <x:v>C005</x:v>
      </x:c>
      <x:c r="D152" s="2" t="str">
        <x:v>Петрова</x:v>
      </x:c>
      <x:c r="E152" s="2" t="str">
        <x:v>Периферия</x:v>
      </x:c>
      <x:c r="F152" s="2" t="str">
        <x:v>Logitech Mouse</x:v>
      </x:c>
      <x:c r="G152" s="4" t="n">
        <x:v>1</x:v>
      </x:c>
      <x:c r="H152" s="4" t="n">
        <x:v>55000</x:v>
      </x:c>
      <x:c r="I152" s="4" t="n">
        <x:v>55000</x:v>
      </x:c>
      <x:c r="J152" s="2" t="str">
        <x:v>Отменен</x:v>
      </x:c>
    </x:row>
    <x:row r="153">
      <x:c r="A153" s="2" t="n">
        <x:v>1152</x:v>
      </x:c>
      <x:c r="B153" s="9" t="n">
        <x:v>46099</x:v>
      </x:c>
      <x:c r="C153" s="2" t="str">
        <x:v>C002</x:v>
      </x:c>
      <x:c r="D153" s="2" t="str">
        <x:v>Орлова</x:v>
      </x:c>
      <x:c r="E153" s="2" t="str">
        <x:v>ПО</x:v>
      </x:c>
      <x:c r="F153" s="2" t="str">
        <x:v>Antivirus Pro</x:v>
      </x:c>
      <x:c r="G153" s="4" t="n">
        <x:v>5</x:v>
      </x:c>
      <x:c r="H153" s="4" t="n">
        <x:v>12000</x:v>
      </x:c>
      <x:c r="I153" s="4" t="n">
        <x:v>60000</x:v>
      </x:c>
      <x:c r="J153" s="2" t="str">
        <x:v>В работе</x:v>
      </x:c>
    </x:row>
    <x:row r="154">
      <x:c r="A154" s="2" t="n">
        <x:v>1153</x:v>
      </x:c>
      <x:c r="B154" s="9" t="n">
        <x:v>46133</x:v>
      </x:c>
      <x:c r="C154" s="2" t="str">
        <x:v>C009</x:v>
      </x:c>
      <x:c r="D154" s="2" t="str">
        <x:v>Иванова</x:v>
      </x:c>
      <x:c r="E154" s="2" t="str">
        <x:v>Периферия</x:v>
      </x:c>
      <x:c r="F154" s="2" t="str">
        <x:v>Canon Scanner</x:v>
      </x:c>
      <x:c r="G154" s="4" t="n">
        <x:v>3</x:v>
      </x:c>
      <x:c r="H154" s="4" t="n">
        <x:v>24000</x:v>
      </x:c>
      <x:c r="I154" s="4" t="n">
        <x:v>72000</x:v>
      </x:c>
      <x:c r="J154" s="2" t="str">
        <x:v>Выполнен</x:v>
      </x:c>
    </x:row>
    <x:row r="155">
      <x:c r="A155" s="2" t="n">
        <x:v>1154</x:v>
      </x:c>
      <x:c r="B155" s="9" t="n">
        <x:v>46078</x:v>
      </x:c>
      <x:c r="C155" s="2" t="str">
        <x:v>C019</x:v>
      </x:c>
      <x:c r="D155" s="2" t="str">
        <x:v>Иванова</x:v>
      </x:c>
      <x:c r="E155" s="2" t="str">
        <x:v>Периферия</x:v>
      </x:c>
      <x:c r="F155" s="2" t="str">
        <x:v>Logitech Mouse</x:v>
      </x:c>
      <x:c r="G155" s="4" t="n">
        <x:v>3</x:v>
      </x:c>
      <x:c r="H155" s="4" t="n">
        <x:v>55000</x:v>
      </x:c>
      <x:c r="I155" s="4" t="n">
        <x:v>165000</x:v>
      </x:c>
      <x:c r="J155" s="2" t="str">
        <x:v>Ожидает оплаты</x:v>
      </x:c>
    </x:row>
    <x:row r="156">
      <x:c r="A156" s="2" t="n">
        <x:v>1155</x:v>
      </x:c>
      <x:c r="B156" s="9" t="n">
        <x:v>46097</x:v>
      </x:c>
      <x:c r="C156" s="2" t="str">
        <x:v>C027</x:v>
      </x:c>
      <x:c r="D156" s="2" t="str">
        <x:v>Смирнова</x:v>
      </x:c>
      <x:c r="E156" s="2" t="str">
        <x:v>Сервис</x:v>
      </x:c>
      <x:c r="F156" s="2" t="str">
        <x:v>Training Session</x:v>
      </x:c>
      <x:c r="G156" s="4" t="n">
        <x:v>5</x:v>
      </x:c>
      <x:c r="H156" s="4" t="n">
        <x:v>72000</x:v>
      </x:c>
      <x:c r="I156" s="4" t="n">
        <x:v>360000</x:v>
      </x:c>
      <x:c r="J156" s="2" t="str">
        <x:v>В работе</x:v>
      </x:c>
    </x:row>
    <x:row r="157">
      <x:c r="A157" s="2" t="n">
        <x:v>1156</x:v>
      </x:c>
      <x:c r="B157" s="9" t="n">
        <x:v>46045</x:v>
      </x:c>
      <x:c r="C157" s="2" t="str">
        <x:v>C011</x:v>
      </x:c>
      <x:c r="D157" s="2" t="str">
        <x:v>Сидорова</x:v>
      </x:c>
      <x:c r="E157" s="2" t="str">
        <x:v>Периферия</x:v>
      </x:c>
      <x:c r="F157" s="2" t="str">
        <x:v>Jabra Headset</x:v>
      </x:c>
      <x:c r="G157" s="4" t="n">
        <x:v>6</x:v>
      </x:c>
      <x:c r="H157" s="4" t="n">
        <x:v>4500</x:v>
      </x:c>
      <x:c r="I157" s="4" t="n">
        <x:v>27000</x:v>
      </x:c>
      <x:c r="J157" s="2" t="str">
        <x:v>Выполнен</x:v>
      </x:c>
    </x:row>
    <x:row r="158">
      <x:c r="A158" s="2" t="n">
        <x:v>1157</x:v>
      </x:c>
      <x:c r="B158" s="9" t="n">
        <x:v>46089</x:v>
      </x:c>
      <x:c r="C158" s="2" t="str">
        <x:v>C013</x:v>
      </x:c>
      <x:c r="D158" s="2" t="str">
        <x:v>Орлова</x:v>
      </x:c>
      <x:c r="E158" s="2" t="str">
        <x:v>ПО</x:v>
      </x:c>
      <x:c r="F158" s="2" t="str">
        <x:v>Office Suite</x:v>
      </x:c>
      <x:c r="G158" s="4" t="n">
        <x:v>4</x:v>
      </x:c>
      <x:c r="H158" s="4" t="n">
        <x:v>72000</x:v>
      </x:c>
      <x:c r="I158" s="4" t="n">
        <x:v>288000</x:v>
      </x:c>
      <x:c r="J158" s="2" t="str">
        <x:v>В работе</x:v>
      </x:c>
    </x:row>
    <x:row r="159">
      <x:c r="A159" s="2" t="n">
        <x:v>1158</x:v>
      </x:c>
      <x:c r="B159" s="9" t="n">
        <x:v>46065</x:v>
      </x:c>
      <x:c r="C159" s="2" t="str">
        <x:v>C013</x:v>
      </x:c>
      <x:c r="D159" s="2" t="str">
        <x:v>Смирнова</x:v>
      </x:c>
      <x:c r="E159" s="2" t="str">
        <x:v>Сервис</x:v>
      </x:c>
      <x:c r="F159" s="2" t="str">
        <x:v>Training Session</x:v>
      </x:c>
      <x:c r="G159" s="4" t="n">
        <x:v>2</x:v>
      </x:c>
      <x:c r="H159" s="4" t="n">
        <x:v>55000</x:v>
      </x:c>
      <x:c r="I159" s="4" t="n">
        <x:v>110000</x:v>
      </x:c>
      <x:c r="J159" s="2" t="str">
        <x:v>Отменен</x:v>
      </x:c>
    </x:row>
    <x:row r="160">
      <x:c r="A160" s="2" t="n">
        <x:v>1159</x:v>
      </x:c>
      <x:c r="B160" s="9" t="n">
        <x:v>46116</x:v>
      </x:c>
      <x:c r="C160" s="2" t="str">
        <x:v>C039</x:v>
      </x:c>
      <x:c r="D160" s="2" t="str">
        <x:v>Кузнецова</x:v>
      </x:c>
      <x:c r="E160" s="2" t="str">
        <x:v>Периферия</x:v>
      </x:c>
      <x:c r="F160" s="2" t="str">
        <x:v>Logitech Mouse</x:v>
      </x:c>
      <x:c r="G160" s="4" t="n">
        <x:v>6</x:v>
      </x:c>
      <x:c r="H160" s="4" t="n">
        <x:v>39000</x:v>
      </x:c>
      <x:c r="I160" s="4" t="n">
        <x:v>234000</x:v>
      </x:c>
      <x:c r="J160" s="2" t="str">
        <x:v>Ожидает оплаты</x:v>
      </x:c>
    </x:row>
    <x:row r="161">
      <x:c r="A161" s="2" t="n">
        <x:v>1160</x:v>
      </x:c>
      <x:c r="B161" s="9" t="n">
        <x:v>46070</x:v>
      </x:c>
      <x:c r="C161" s="2" t="str">
        <x:v>C023</x:v>
      </x:c>
      <x:c r="D161" s="2" t="str">
        <x:v>Смирнова</x:v>
      </x:c>
      <x:c r="E161" s="2" t="str">
        <x:v>Сервис</x:v>
      </x:c>
      <x:c r="F161" s="2" t="str">
        <x:v>Maintenance Pack</x:v>
      </x:c>
      <x:c r="G161" s="4" t="n">
        <x:v>5</x:v>
      </x:c>
      <x:c r="H161" s="4" t="n">
        <x:v>39000</x:v>
      </x:c>
      <x:c r="I161" s="4" t="n">
        <x:v>195000</x:v>
      </x:c>
      <x:c r="J161" s="2" t="str">
        <x:v>В работе</x:v>
      </x:c>
    </x:row>
    <x:row r="162">
      <x:c r="A162"/>
      <x:c r="B162" s="10"/>
      <x:c r="C162"/>
      <x:c r="D162"/>
      <x:c r="E162"/>
      <x:c r="F162"/>
      <x:c r="G162"/>
      <x:c r="H162"/>
      <x:c r="I162"/>
      <x:c r="J162"/>
    </x:row>
    <x:row r="163">
      <x:c r="B163" s="10"/>
    </x:row>
    <x:row r="164">
      <x:c r="B164" s="10"/>
    </x:row>
    <x:row r="165">
      <x:c r="B165" s="10"/>
    </x:row>
    <x:row r="166">
      <x:c r="B166" s="10"/>
    </x:row>
    <x:row r="167">
      <x:c r="B167" s="10"/>
    </x:row>
    <x:row r="168">
      <x:c r="B168" s="10"/>
    </x:row>
    <x:row r="169">
      <x:c r="B169" s="10"/>
    </x:row>
    <x:row r="170">
      <x:c r="B170" s="10"/>
    </x:row>
    <x:row r="171">
      <x:c r="B171" s="10"/>
    </x:row>
    <x:row r="172">
      <x:c r="B172" s="10"/>
    </x:row>
    <x:row r="173">
      <x:c r="B173" s="10"/>
    </x:row>
    <x:row r="174">
      <x:c r="B174" s="10"/>
    </x:row>
    <x:row r="175">
      <x:c r="B175" s="10"/>
    </x:row>
    <x:row r="176">
      <x:c r="B176" s="10"/>
    </x:row>
    <x:row r="177">
      <x:c r="B177" s="10"/>
    </x:row>
    <x:row r="178">
      <x:c r="B178" s="10"/>
    </x:row>
    <x:row r="179">
      <x:c r="B179" s="10"/>
    </x:row>
    <x:row r="180">
      <x:c r="B180" s="10"/>
    </x:row>
    <x:row r="181">
      <x:c r="B181" s="10"/>
    </x:row>
  </x:sheetData>
  <x:pageMargins left="0.7" right="0.7" top="0.75" bottom="0.75" header="0.3" footer="0.3"/>
  <x:tableParts count="1">
    <x:tablePart xmlns:r="http://schemas.openxmlformats.org/officeDocument/2006/relationships" r:id="R37e337d494704b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7109375" customWidth="1"/>
    <x:col min="2" max="2" width="20.7109375" customWidth="1"/>
    <x:col min="3" max="3" width="15.7109375" customWidth="1"/>
    <x:col min="4" max="4" width="18.7109375" customWidth="1"/>
    <x:col min="5" max="5" width="17.7109375" customWidth="1"/>
    <x:col min="6" max="6" width="16.7109375" customWidth="1"/>
  </x:cols>
  <x:sheetData>
    <x:row r="1">
      <x:c r="A1" s="1" t="str">
        <x:v>client_id</x:v>
      </x:c>
      <x:c r="B1" s="1" t="str">
        <x:v>client_name</x:v>
      </x:c>
      <x:c r="C1" s="1" t="str">
        <x:v>inn</x:v>
      </x:c>
      <x:c r="D1" s="1" t="str">
        <x:v>city</x:v>
      </x:c>
      <x:c r="E1" s="1" t="str">
        <x:v>registration_date</x:v>
      </x:c>
      <x:c r="F1" s="1" t="str">
        <x:v>client_segment</x:v>
      </x:c>
    </x:row>
    <x:row r="2">
      <x:c r="A2" s="2" t="str">
        <x:v>C001</x:v>
      </x:c>
      <x:c r="B2" s="2" t="str">
        <x:v>Клиент 001</x:v>
      </x:c>
      <x:c r="C2" s="2" t="str">
        <x:v>7700000001</x:v>
      </x:c>
      <x:c r="D2" s="2" t="str">
        <x:v>Казань</x:v>
      </x:c>
      <x:c r="E2" s="9" t="n">
        <x:v>45472</x:v>
      </x:c>
      <x:c r="F2" s="2" t="str">
        <x:v>B2C</x:v>
      </x:c>
    </x:row>
    <x:row r="3">
      <x:c r="A3" s="2" t="str">
        <x:v>C002</x:v>
      </x:c>
      <x:c r="B3" s="2" t="str">
        <x:v>Клиент 002</x:v>
      </x:c>
      <x:c r="C3" s="2" t="str">
        <x:v>7700000002</x:v>
      </x:c>
      <x:c r="D3" s="2" t="str">
        <x:v>Казань</x:v>
      </x:c>
      <x:c r="E3" s="9" t="n">
        <x:v>45513</x:v>
      </x:c>
      <x:c r="F3" s="2" t="str">
        <x:v>B2B</x:v>
      </x:c>
    </x:row>
    <x:row r="4">
      <x:c r="A4" s="2" t="str">
        <x:v>C003</x:v>
      </x:c>
      <x:c r="B4" s="2" t="str">
        <x:v>Клиент 003</x:v>
      </x:c>
      <x:c r="C4" s="2" t="str">
        <x:v>7700000003</x:v>
      </x:c>
      <x:c r="D4" s="2" t="str">
        <x:v>Москва</x:v>
      </x:c>
      <x:c r="E4" s="9" t="n">
        <x:v>45465</x:v>
      </x:c>
      <x:c r="F4" s="2" t="str">
        <x:v>B2B</x:v>
      </x:c>
    </x:row>
    <x:row r="5">
      <x:c r="A5" s="2" t="str">
        <x:v>C004</x:v>
      </x:c>
      <x:c r="B5" s="2" t="str">
        <x:v>Клиент 004</x:v>
      </x:c>
      <x:c r="C5" s="2" t="str">
        <x:v>7700000004</x:v>
      </x:c>
      <x:c r="D5" s="2" t="str">
        <x:v>Самара</x:v>
      </x:c>
      <x:c r="E5" s="9" t="n">
        <x:v>45299</x:v>
      </x:c>
      <x:c r="F5" s="2" t="str">
        <x:v>B2C</x:v>
      </x:c>
    </x:row>
    <x:row r="6">
      <x:c r="A6" s="2" t="str">
        <x:v>C005</x:v>
      </x:c>
      <x:c r="B6" s="2" t="str">
        <x:v>Клиент 005</x:v>
      </x:c>
      <x:c r="C6" s="2"/>
      <x:c r="D6" s="2" t="str">
        <x:v>Краснодар</x:v>
      </x:c>
      <x:c r="E6" s="9" t="n">
        <x:v>45872</x:v>
      </x:c>
      <x:c r="F6" s="2" t="str">
        <x:v>B2B</x:v>
      </x:c>
    </x:row>
    <x:row r="7">
      <x:c r="A7" s="2" t="str">
        <x:v>C006</x:v>
      </x:c>
      <x:c r="B7" s="2" t="str">
        <x:v>Клиент 006</x:v>
      </x:c>
      <x:c r="C7" s="2" t="str">
        <x:v>7700000006</x:v>
      </x:c>
      <x:c r="D7" s="2" t="str">
        <x:v>Москва</x:v>
      </x:c>
      <x:c r="E7" s="9" t="n">
        <x:v>45846</x:v>
      </x:c>
      <x:c r="F7" s="2" t="str">
        <x:v>B2B</x:v>
      </x:c>
    </x:row>
    <x:row r="8">
      <x:c r="A8" s="2" t="str">
        <x:v>C007</x:v>
      </x:c>
      <x:c r="B8" s="2" t="str">
        <x:v>Клиент 007</x:v>
      </x:c>
      <x:c r="C8" s="2" t="str">
        <x:v>7700000007</x:v>
      </x:c>
      <x:c r="D8" s="2" t="str">
        <x:v>Санкт-Петербург</x:v>
      </x:c>
      <x:c r="E8" s="9" t="n">
        <x:v>45601</x:v>
      </x:c>
      <x:c r="F8" s="2" t="str">
        <x:v>SMB</x:v>
      </x:c>
    </x:row>
    <x:row r="9">
      <x:c r="A9" s="2" t="str">
        <x:v>C008</x:v>
      </x:c>
      <x:c r="B9" s="2" t="str">
        <x:v>Клиент 008</x:v>
      </x:c>
      <x:c r="C9" s="2" t="str">
        <x:v>7700000008</x:v>
      </x:c>
      <x:c r="D9" s="2" t="str">
        <x:v>Екатеринбург</x:v>
      </x:c>
      <x:c r="E9" s="9" t="n">
        <x:v>45750</x:v>
      </x:c>
      <x:c r="F9" s="2" t="str">
        <x:v>SMB</x:v>
      </x:c>
    </x:row>
    <x:row r="10">
      <x:c r="A10" s="2" t="str">
        <x:v>C009</x:v>
      </x:c>
      <x:c r="B10" s="2" t="str">
        <x:v>Клиент 009</x:v>
      </x:c>
      <x:c r="C10" s="2" t="str">
        <x:v>7700000009</x:v>
      </x:c>
      <x:c r="D10" s="2" t="str">
        <x:v>Санкт-Петербург</x:v>
      </x:c>
      <x:c r="E10" s="9" t="n">
        <x:v>45304</x:v>
      </x:c>
      <x:c r="F10" s="2" t="str">
        <x:v>B2C</x:v>
      </x:c>
    </x:row>
    <x:row r="11">
      <x:c r="A11" s="2" t="str">
        <x:v>C010</x:v>
      </x:c>
      <x:c r="B11" s="2" t="str">
        <x:v>Клиент 010</x:v>
      </x:c>
      <x:c r="C11" s="2" t="str">
        <x:v>7700000010</x:v>
      </x:c>
      <x:c r="D11" s="2" t="str">
        <x:v>Москва</x:v>
      </x:c>
      <x:c r="E11" s="9" t="n">
        <x:v>45313</x:v>
      </x:c>
      <x:c r="F11" s="2" t="str">
        <x:v>B2B</x:v>
      </x:c>
    </x:row>
    <x:row r="12">
      <x:c r="A12" s="2" t="str">
        <x:v>C011</x:v>
      </x:c>
      <x:c r="B12" s="2" t="str">
        <x:v>Клиент 011</x:v>
      </x:c>
      <x:c r="C12" s="2" t="str">
        <x:v>7700000011</x:v>
      </x:c>
      <x:c r="D12" s="2" t="str">
        <x:v>Краснодар</x:v>
      </x:c>
      <x:c r="E12" s="9" t="n">
        <x:v>45995</x:v>
      </x:c>
      <x:c r="F12" s="2" t="str">
        <x:v>B2B</x:v>
      </x:c>
    </x:row>
    <x:row r="13">
      <x:c r="A13" s="2" t="str">
        <x:v>C012</x:v>
      </x:c>
      <x:c r="B13" s="2" t="str">
        <x:v>Клиент 012</x:v>
      </x:c>
      <x:c r="C13" s="2" t="str">
        <x:v>77000012</x:v>
      </x:c>
      <x:c r="D13" s="2" t="str">
        <x:v>Екатеринбург</x:v>
      </x:c>
      <x:c r="E13" s="9" t="n">
        <x:v>45413</x:v>
      </x:c>
      <x:c r="F13" s="2" t="str">
        <x:v>B2B</x:v>
      </x:c>
    </x:row>
    <x:row r="14">
      <x:c r="A14" s="2" t="str">
        <x:v>C013</x:v>
      </x:c>
      <x:c r="B14" s="2" t="str">
        <x:v>Клиент 013</x:v>
      </x:c>
      <x:c r="C14" s="2" t="str">
        <x:v>7700000013</x:v>
      </x:c>
      <x:c r="D14" s="2" t="str">
        <x:v>Москва</x:v>
      </x:c>
      <x:c r="E14" s="9" t="n">
        <x:v>45657</x:v>
      </x:c>
      <x:c r="F14" s="2" t="str">
        <x:v>Enterprise</x:v>
      </x:c>
    </x:row>
    <x:row r="15">
      <x:c r="A15" s="2" t="str">
        <x:v>C014</x:v>
      </x:c>
      <x:c r="B15" s="2" t="str">
        <x:v>Клиент 014</x:v>
      </x:c>
      <x:c r="C15" s="2" t="str">
        <x:v>7700000014</x:v>
      </x:c>
      <x:c r="D15" s="2" t="str">
        <x:v>Самара</x:v>
      </x:c>
      <x:c r="E15" s="9" t="n">
        <x:v>45553</x:v>
      </x:c>
      <x:c r="F15" s="2" t="str">
        <x:v>Enterprise</x:v>
      </x:c>
    </x:row>
    <x:row r="16">
      <x:c r="A16" s="2" t="str">
        <x:v>C015</x:v>
      </x:c>
      <x:c r="B16" s="2" t="str">
        <x:v>Клиент 015</x:v>
      </x:c>
      <x:c r="C16" s="2" t="str">
        <x:v>7700000015</x:v>
      </x:c>
      <x:c r="D16" s="2" t="str">
        <x:v>Казань</x:v>
      </x:c>
      <x:c r="E16" s="9" t="n">
        <x:v>45732</x:v>
      </x:c>
      <x:c r="F16" s="2" t="str">
        <x:v>SMB</x:v>
      </x:c>
    </x:row>
    <x:row r="17">
      <x:c r="A17" s="2" t="str">
        <x:v>C016</x:v>
      </x:c>
      <x:c r="B17" s="2" t="str">
        <x:v>Клиент 016</x:v>
      </x:c>
      <x:c r="C17" s="2" t="str">
        <x:v>7700000016</x:v>
      </x:c>
      <x:c r="D17" s="2" t="str">
        <x:v>Краснодар</x:v>
      </x:c>
      <x:c r="E17" s="9" t="n">
        <x:v>45998</x:v>
      </x:c>
      <x:c r="F17" s="2" t="str">
        <x:v>SMB</x:v>
      </x:c>
    </x:row>
    <x:row r="18">
      <x:c r="A18" s="2" t="str">
        <x:v>C017</x:v>
      </x:c>
      <x:c r="B18" s="2" t="str">
        <x:v>Клиент 017</x:v>
      </x:c>
      <x:c r="C18" s="2" t="str">
        <x:v>7700000017</x:v>
      </x:c>
      <x:c r="D18" s="2" t="str">
        <x:v>Санкт-Петербург</x:v>
      </x:c>
      <x:c r="E18" s="9" t="n">
        <x:v>45923</x:v>
      </x:c>
      <x:c r="F18" s="2" t="str">
        <x:v>Enterprise</x:v>
      </x:c>
    </x:row>
    <x:row r="19">
      <x:c r="A19" s="2" t="str">
        <x:v>C018</x:v>
      </x:c>
      <x:c r="B19" s="2" t="str">
        <x:v>Клиент 018</x:v>
      </x:c>
      <x:c r="C19" s="2" t="str">
        <x:v>7700000018</x:v>
      </x:c>
      <x:c r="D19" s="2"/>
      <x:c r="E19" s="9" t="n">
        <x:v>45555</x:v>
      </x:c>
      <x:c r="F19" s="2" t="str">
        <x:v>B2C</x:v>
      </x:c>
    </x:row>
    <x:row r="20">
      <x:c r="A20" s="2" t="str">
        <x:v>C019</x:v>
      </x:c>
      <x:c r="B20" s="2" t="str">
        <x:v>Клиент 019</x:v>
      </x:c>
      <x:c r="C20" s="2" t="str">
        <x:v>7700000019</x:v>
      </x:c>
      <x:c r="D20" s="2" t="str">
        <x:v>Самара</x:v>
      </x:c>
      <x:c r="E20" s="9" t="n">
        <x:v>45603</x:v>
      </x:c>
      <x:c r="F20" s="2" t="str">
        <x:v>SMB</x:v>
      </x:c>
    </x:row>
    <x:row r="21">
      <x:c r="A21" s="2" t="str">
        <x:v>C020</x:v>
      </x:c>
      <x:c r="B21" s="2" t="str">
        <x:v>Клиент 020</x:v>
      </x:c>
      <x:c r="C21" s="2" t="str">
        <x:v>7700000020</x:v>
      </x:c>
      <x:c r="D21" s="2" t="str">
        <x:v>Краснодар</x:v>
      </x:c>
      <x:c r="E21" s="9" t="n">
        <x:v>45296</x:v>
      </x:c>
      <x:c r="F21" s="2" t="str">
        <x:v>B2B</x:v>
      </x:c>
    </x:row>
    <x:row r="22">
      <x:c r="A22" s="2" t="str">
        <x:v>C021</x:v>
      </x:c>
      <x:c r="B22" s="2" t="str">
        <x:v>Клиент 021</x:v>
      </x:c>
      <x:c r="C22" s="2" t="str">
        <x:v>7700000021</x:v>
      </x:c>
      <x:c r="D22" s="2" t="str">
        <x:v>Екатеринбург</x:v>
      </x:c>
      <x:c r="E22" s="9" t="n">
        <x:v>45926</x:v>
      </x:c>
      <x:c r="F22" s="2" t="str">
        <x:v>Enterprise</x:v>
      </x:c>
    </x:row>
    <x:row r="23">
      <x:c r="A23" s="2" t="str">
        <x:v>C022</x:v>
      </x:c>
      <x:c r="B23" s="2" t="str">
        <x:v>Клиент 022</x:v>
      </x:c>
      <x:c r="C23" s="2" t="str">
        <x:v>7700000022</x:v>
      </x:c>
      <x:c r="D23" s="2" t="str">
        <x:v>Казань</x:v>
      </x:c>
      <x:c r="E23" s="9" t="n">
        <x:v>45381</x:v>
      </x:c>
      <x:c r="F23" s="2" t="str">
        <x:v>SMB</x:v>
      </x:c>
    </x:row>
    <x:row r="24">
      <x:c r="A24" s="2" t="str">
        <x:v>C023</x:v>
      </x:c>
      <x:c r="B24" s="2" t="str">
        <x:v>Клиент 023</x:v>
      </x:c>
      <x:c r="C24" s="2" t="str">
        <x:v>7700000023</x:v>
      </x:c>
      <x:c r="D24" s="2" t="str">
        <x:v>Екатеринбург</x:v>
      </x:c>
      <x:c r="E24" s="9" t="n">
        <x:v>45994</x:v>
      </x:c>
      <x:c r="F24" s="2" t="str">
        <x:v>B2B</x:v>
      </x:c>
    </x:row>
    <x:row r="25">
      <x:c r="A25" s="2" t="str">
        <x:v>C024</x:v>
      </x:c>
      <x:c r="B25" s="2" t="str">
        <x:v>Клиент 024</x:v>
      </x:c>
      <x:c r="C25" s="2" t="str">
        <x:v>7700000024</x:v>
      </x:c>
      <x:c r="D25" s="2" t="str">
        <x:v>Екатеринбург</x:v>
      </x:c>
      <x:c r="E25" s="9" t="n">
        <x:v>45514</x:v>
      </x:c>
      <x:c r="F25" s="2" t="str">
        <x:v>B2C</x:v>
      </x:c>
    </x:row>
    <x:row r="26">
      <x:c r="A26" s="2" t="str">
        <x:v>C025</x:v>
      </x:c>
      <x:c r="B26" s="2" t="str">
        <x:v>Клиент 025</x:v>
      </x:c>
      <x:c r="C26" s="2" t="str">
        <x:v>7700000025</x:v>
      </x:c>
      <x:c r="D26" s="2" t="str">
        <x:v>Санкт-Петербург</x:v>
      </x:c>
      <x:c r="E26" s="9"/>
      <x:c r="F26" s="2" t="str">
        <x:v>B2C</x:v>
      </x:c>
    </x:row>
    <x:row r="27">
      <x:c r="A27" s="2" t="str">
        <x:v>C026</x:v>
      </x:c>
      <x:c r="B27" s="2" t="str">
        <x:v>Клиент 026</x:v>
      </x:c>
      <x:c r="C27" s="2" t="str">
        <x:v>7700000026</x:v>
      </x:c>
      <x:c r="D27" s="2" t="str">
        <x:v>Самара</x:v>
      </x:c>
      <x:c r="E27" s="9" t="n">
        <x:v>45509</x:v>
      </x:c>
      <x:c r="F27" s="2" t="str">
        <x:v>Enterprise</x:v>
      </x:c>
    </x:row>
    <x:row r="28">
      <x:c r="A28" s="2" t="str">
        <x:v>C027</x:v>
      </x:c>
      <x:c r="B28" s="2" t="str">
        <x:v>Клиент 027</x:v>
      </x:c>
      <x:c r="C28" s="2" t="str">
        <x:v>7700000027</x:v>
      </x:c>
      <x:c r="D28" s="2" t="str">
        <x:v>Самара</x:v>
      </x:c>
      <x:c r="E28" s="9" t="n">
        <x:v>45549</x:v>
      </x:c>
      <x:c r="F28" s="2" t="str">
        <x:v>B2B</x:v>
      </x:c>
    </x:row>
    <x:row r="29">
      <x:c r="A29" s="2" t="str">
        <x:v>C028</x:v>
      </x:c>
      <x:c r="B29" s="2" t="str">
        <x:v>Клиент 028</x:v>
      </x:c>
      <x:c r="C29" s="2" t="str">
        <x:v>7700000028</x:v>
      </x:c>
      <x:c r="D29" s="2" t="str">
        <x:v>Санкт-Петербург</x:v>
      </x:c>
      <x:c r="E29" s="9" t="n">
        <x:v>45502</x:v>
      </x:c>
      <x:c r="F29" s="2" t="str">
        <x:v>B2B</x:v>
      </x:c>
    </x:row>
    <x:row r="30">
      <x:c r="A30" s="2" t="str">
        <x:v>C029</x:v>
      </x:c>
      <x:c r="B30" s="2" t="str">
        <x:v>Клиент 029</x:v>
      </x:c>
      <x:c r="C30" s="2" t="str">
        <x:v>7700000029</x:v>
      </x:c>
      <x:c r="D30" s="2" t="str">
        <x:v>Новосибирск</x:v>
      </x:c>
      <x:c r="E30" s="9" t="n">
        <x:v>45370</x:v>
      </x:c>
      <x:c r="F30" s="2" t="str">
        <x:v>B2B</x:v>
      </x:c>
    </x:row>
    <x:row r="31">
      <x:c r="A31" s="2" t="str">
        <x:v>C030</x:v>
      </x:c>
      <x:c r="B31" s="2" t="str">
        <x:v>Клиент 030</x:v>
      </x:c>
      <x:c r="C31" s="2" t="str">
        <x:v>7700000030</x:v>
      </x:c>
      <x:c r="D31" s="2" t="str">
        <x:v>Краснодар</x:v>
      </x:c>
      <x:c r="E31" s="9" t="n">
        <x:v>45540</x:v>
      </x:c>
      <x:c r="F31" s="2" t="str">
        <x:v>B2C</x:v>
      </x:c>
    </x:row>
    <x:row r="32">
      <x:c r="A32" s="2" t="str">
        <x:v>C031</x:v>
      </x:c>
      <x:c r="B32" s="2" t="str">
        <x:v>Клиент 031</x:v>
      </x:c>
      <x:c r="C32" s="2" t="str">
        <x:v>7700000031</x:v>
      </x:c>
      <x:c r="D32" s="2" t="str">
        <x:v>Москва</x:v>
      </x:c>
      <x:c r="E32" s="9" t="n">
        <x:v>45619</x:v>
      </x:c>
      <x:c r="F32" s="2" t="str">
        <x:v>B2B</x:v>
      </x:c>
    </x:row>
    <x:row r="33">
      <x:c r="A33" s="2" t="str">
        <x:v>C032</x:v>
      </x:c>
      <x:c r="B33" s="2" t="str">
        <x:v>Клиент 032</x:v>
      </x:c>
      <x:c r="C33" s="2" t="str">
        <x:v>7700000032</x:v>
      </x:c>
      <x:c r="D33" s="2" t="str">
        <x:v>Москва</x:v>
      </x:c>
      <x:c r="E33" s="9" t="n">
        <x:v>45909</x:v>
      </x:c>
      <x:c r="F33" s="2" t="str">
        <x:v>B2B</x:v>
      </x:c>
    </x:row>
    <x:row r="34">
      <x:c r="A34" s="2" t="str">
        <x:v>C033</x:v>
      </x:c>
      <x:c r="B34" s="2" t="str">
        <x:v>Клиент 033</x:v>
      </x:c>
      <x:c r="C34" s="2" t="str">
        <x:v>7700000033</x:v>
      </x:c>
      <x:c r="D34" s="2" t="str">
        <x:v>Новосибирск</x:v>
      </x:c>
      <x:c r="E34" s="9" t="n">
        <x:v>45662</x:v>
      </x:c>
      <x:c r="F34" s="2" t="str">
        <x:v>Enterprise</x:v>
      </x:c>
    </x:row>
    <x:row r="35">
      <x:c r="A35" s="2" t="str">
        <x:v>C034</x:v>
      </x:c>
      <x:c r="B35" s="2" t="str">
        <x:v>Клиент 034</x:v>
      </x:c>
      <x:c r="C35" s="2" t="str">
        <x:v>7700000034</x:v>
      </x:c>
      <x:c r="D35" s="2" t="str">
        <x:v>Новосибирск</x:v>
      </x:c>
      <x:c r="E35" s="9" t="n">
        <x:v>45525</x:v>
      </x:c>
      <x:c r="F35" s="2" t="str">
        <x:v>SMB</x:v>
      </x:c>
    </x:row>
    <x:row r="36">
      <x:c r="A36" s="2" t="str">
        <x:v>C035</x:v>
      </x:c>
      <x:c r="B36" s="2" t="str">
        <x:v>Клиент 035</x:v>
      </x:c>
      <x:c r="C36" s="2" t="str">
        <x:v>7700000035</x:v>
      </x:c>
      <x:c r="D36" s="2" t="str">
        <x:v>Новосибирск</x:v>
      </x:c>
      <x:c r="E36" s="9" t="n">
        <x:v>45472</x:v>
      </x:c>
      <x:c r="F36" s="2" t="str">
        <x:v>B2C</x:v>
      </x:c>
    </x:row>
    <x:row r="37">
      <x:c r="A37" s="2" t="str">
        <x:v>C036</x:v>
      </x:c>
      <x:c r="B37" s="2" t="str">
        <x:v>Клиент 036</x:v>
      </x:c>
      <x:c r="C37" s="2" t="str">
        <x:v>7700000036</x:v>
      </x:c>
      <x:c r="D37" s="2" t="str">
        <x:v>Санкт-Петербург</x:v>
      </x:c>
      <x:c r="E37" s="9" t="n">
        <x:v>45408</x:v>
      </x:c>
      <x:c r="F37" s="2" t="str">
        <x:v>B2B</x:v>
      </x:c>
    </x:row>
    <x:row r="38">
      <x:c r="A38" s="2" t="str">
        <x:v>C037</x:v>
      </x:c>
      <x:c r="B38" s="2" t="str">
        <x:v>Клиент 037</x:v>
      </x:c>
      <x:c r="C38" s="2" t="str">
        <x:v>7700000037</x:v>
      </x:c>
      <x:c r="D38" s="2" t="str">
        <x:v>Екатеринбург</x:v>
      </x:c>
      <x:c r="E38" s="9" t="n">
        <x:v>45507</x:v>
      </x:c>
      <x:c r="F38" s="2" t="str">
        <x:v>B2B</x:v>
      </x:c>
    </x:row>
    <x:row r="39">
      <x:c r="A39" s="2" t="str">
        <x:v>C038</x:v>
      </x:c>
      <x:c r="B39" s="2" t="str">
        <x:v>Клиент 038</x:v>
      </x:c>
      <x:c r="C39" s="2" t="str">
        <x:v>7700000038</x:v>
      </x:c>
      <x:c r="D39" s="2" t="str">
        <x:v>Новосибирск</x:v>
      </x:c>
      <x:c r="E39" s="9" t="n">
        <x:v>45386</x:v>
      </x:c>
      <x:c r="F39" s="2" t="str">
        <x:v>Enterprise</x:v>
      </x:c>
    </x:row>
    <x:row r="40">
      <x:c r="A40" s="2" t="str">
        <x:v>C039</x:v>
      </x:c>
      <x:c r="B40" s="2" t="str">
        <x:v>Клиент 039</x:v>
      </x:c>
      <x:c r="C40" s="2" t="str">
        <x:v>7700000039</x:v>
      </x:c>
      <x:c r="D40" s="2" t="str">
        <x:v>Санкт-Петербург</x:v>
      </x:c>
      <x:c r="E40" s="9" t="n">
        <x:v>45876</x:v>
      </x:c>
      <x:c r="F40" s="2" t="str">
        <x:v>B2B</x:v>
      </x:c>
    </x:row>
    <x:row r="41">
      <x:c r="A41" s="2" t="str">
        <x:v>C040</x:v>
      </x:c>
      <x:c r="B41" s="2" t="str">
        <x:v>Клиент 040</x:v>
      </x:c>
      <x:c r="C41" s="2" t="str">
        <x:v>7700000040</x:v>
      </x:c>
      <x:c r="D41" s="2" t="str">
        <x:v>Новосибирск</x:v>
      </x:c>
      <x:c r="E41" s="9" t="n">
        <x:v>45875</x:v>
      </x:c>
      <x:c r="F41" s="2" t="str">
        <x:v>Enterprise</x:v>
      </x:c>
    </x:row>
    <x:row r="42">
      <x:c r="A42" s="2" t="str">
        <x:v>C041</x:v>
      </x:c>
      <x:c r="B42" s="2" t="str">
        <x:v>Клиент 041</x:v>
      </x:c>
      <x:c r="C42" s="2" t="str">
        <x:v>7700000041</x:v>
      </x:c>
      <x:c r="D42" s="2" t="str">
        <x:v>Самара</x:v>
      </x:c>
      <x:c r="E42" s="9" t="n">
        <x:v>45927</x:v>
      </x:c>
      <x:c r="F42" s="2" t="str">
        <x:v>B2B</x:v>
      </x:c>
    </x:row>
    <x:row r="43">
      <x:c r="A43" s="2" t="str">
        <x:v>C042</x:v>
      </x:c>
      <x:c r="B43" s="2" t="str">
        <x:v>Клиент 042</x:v>
      </x:c>
      <x:c r="C43" s="2" t="str">
        <x:v>7700000042</x:v>
      </x:c>
      <x:c r="D43" s="2" t="str">
        <x:v>Санкт-Петербург</x:v>
      </x:c>
      <x:c r="E43" s="9" t="n">
        <x:v>45295</x:v>
      </x:c>
      <x:c r="F43" s="2" t="str">
        <x:v>B2C</x:v>
      </x:c>
    </x:row>
    <x:row r="44">
      <x:c r="A44" s="2" t="str">
        <x:v>C043</x:v>
      </x:c>
      <x:c r="B44" s="2" t="str">
        <x:v>Клиент 043</x:v>
      </x:c>
      <x:c r="C44" s="2" t="str">
        <x:v>7700000043</x:v>
      </x:c>
      <x:c r="D44" s="2" t="str">
        <x:v>Москва</x:v>
      </x:c>
      <x:c r="E44" s="9" t="n">
        <x:v>45673</x:v>
      </x:c>
      <x:c r="F44" s="2" t="str">
        <x:v>B2B</x:v>
      </x:c>
    </x:row>
    <x:row r="45">
      <x:c r="A45" s="2" t="str">
        <x:v>C044</x:v>
      </x:c>
      <x:c r="B45" s="2" t="str">
        <x:v>Клиент 044</x:v>
      </x:c>
      <x:c r="C45" s="2" t="str">
        <x:v>7700000044</x:v>
      </x:c>
      <x:c r="D45" s="2" t="str">
        <x:v>Екатеринбург</x:v>
      </x:c>
      <x:c r="E45" s="9" t="n">
        <x:v>45723</x:v>
      </x:c>
      <x:c r="F45" s="2" t="str">
        <x:v>SMB</x:v>
      </x:c>
    </x:row>
    <x:row r="46">
      <x:c r="A46" s="2" t="str">
        <x:v>C045</x:v>
      </x:c>
      <x:c r="B46" s="2" t="str">
        <x:v>Клиент 045</x:v>
      </x:c>
      <x:c r="C46" s="2" t="str">
        <x:v>7700000045</x:v>
      </x:c>
      <x:c r="D46" s="2" t="str">
        <x:v>Новосибирск</x:v>
      </x:c>
      <x:c r="E46" s="9" t="n">
        <x:v>45554</x:v>
      </x:c>
      <x:c r="F46" s="2" t="str">
        <x:v>SMB</x:v>
      </x:c>
    </x:row>
    <x:row r="47">
      <x:c r="A47" s="2" t="str">
        <x:v>C009</x:v>
      </x:c>
      <x:c r="B47" s="2" t="str">
        <x:v>Клиент 009 дубль</x:v>
      </x:c>
      <x:c r="C47" s="2" t="str">
        <x:v>7700000009</x:v>
      </x:c>
      <x:c r="D47" s="2" t="str">
        <x:v>Санкт-Петербург</x:v>
      </x:c>
      <x:c r="E47" s="9" t="n">
        <x:v>45304</x:v>
      </x:c>
      <x:c r="F47" s="2" t="str">
        <x:v>B2C</x:v>
      </x:c>
    </x:row>
    <x:row r="48">
      <x:c r="E48" s="10"/>
    </x:row>
    <x:row r="49">
      <x:c r="E49" s="10"/>
    </x:row>
    <x:row r="50">
      <x:c r="E50" s="10"/>
    </x:row>
    <x:row r="51">
      <x:c r="E51" s="10"/>
    </x:row>
    <x:row r="52">
      <x:c r="E52" s="10"/>
    </x:row>
    <x:row r="53">
      <x:c r="E53" s="10"/>
    </x:row>
    <x:row r="54">
      <x:c r="E54" s="10"/>
    </x:row>
    <x:row r="55">
      <x:c r="E55" s="10"/>
    </x:row>
    <x:row r="56">
      <x:c r="E56" s="10"/>
    </x:row>
    <x:row r="57">
      <x:c r="E57" s="10"/>
    </x:row>
    <x:row r="58">
      <x:c r="E58" s="10"/>
    </x:row>
    <x:row r="59">
      <x:c r="E59" s="10"/>
    </x:row>
    <x:row r="60">
      <x:c r="E60" s="10"/>
    </x:row>
    <x:row r="61">
      <x:c r="E61" s="10"/>
    </x:row>
    <x:row r="62">
      <x:c r="E62" s="10"/>
    </x:row>
    <x:row r="63">
      <x:c r="E63" s="10"/>
    </x:row>
    <x:row r="64">
      <x:c r="E64" s="10"/>
    </x:row>
    <x:row r="65">
      <x:c r="E65" s="10"/>
    </x:row>
    <x:row r="66">
      <x:c r="E66" s="10"/>
    </x:row>
    <x:row r="67">
      <x:c r="E67" s="10"/>
    </x:row>
  </x:sheetData>
  <x:pageMargins left="0.7" right="0.7" top="0.75" bottom="0.75" header="0.3" footer="0.3"/>
  <x:tableParts count="1">
    <x:tablePart xmlns:r="http://schemas.openxmlformats.org/officeDocument/2006/relationships" r:id="R2b90e884ef3a4b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2" width="12.7109375" customWidth="1"/>
    <x:col min="3" max="4" width="15.7109375" customWidth="1"/>
    <x:col min="5" max="5" width="20.7109375" customWidth="1"/>
  </x:cols>
  <x:sheetData>
    <x:row r="1">
      <x:c r="A1" s="1" t="str">
        <x:v>payment_id</x:v>
      </x:c>
      <x:c r="B1" s="1" t="str">
        <x:v>order_id</x:v>
      </x:c>
      <x:c r="C1" s="1" t="str">
        <x:v>payment_date</x:v>
      </x:c>
      <x:c r="D1" s="1" t="str">
        <x:v>payment_sum</x:v>
      </x:c>
      <x:c r="E1" s="1" t="str">
        <x:v>payment_status</x:v>
      </x:c>
    </x:row>
    <x:row r="2">
      <x:c r="A2" s="2" t="str">
        <x:v>P001</x:v>
      </x:c>
      <x:c r="B2" s="2" t="n">
        <x:v>1100</x:v>
      </x:c>
      <x:c r="C2" s="9" t="n">
        <x:v>46067</x:v>
      </x:c>
      <x:c r="D2" s="4" t="n">
        <x:v>0</x:v>
      </x:c>
      <x:c r="E2" s="2" t="str">
        <x:v>Не оплачено</x:v>
      </x:c>
    </x:row>
    <x:row r="3">
      <x:c r="A3" s="2" t="str">
        <x:v>P002</x:v>
      </x:c>
      <x:c r="B3" s="2" t="n">
        <x:v>1079</x:v>
      </x:c>
      <x:c r="C3" s="9" t="n">
        <x:v>46065</x:v>
      </x:c>
      <x:c r="D3" s="4" t="n">
        <x:v>7522</x:v>
      </x:c>
      <x:c r="E3" s="2" t="str">
        <x:v>Частично оплачено</x:v>
      </x:c>
    </x:row>
    <x:row r="4">
      <x:c r="A4" s="2" t="str">
        <x:v>P003</x:v>
      </x:c>
      <x:c r="B4" s="2" t="n">
        <x:v>1041</x:v>
      </x:c>
      <x:c r="C4" s="9" t="n">
        <x:v>46121</x:v>
      </x:c>
      <x:c r="D4" s="4" t="n">
        <x:v>36000</x:v>
      </x:c>
      <x:c r="E4" s="2" t="str">
        <x:v>Оплачено</x:v>
      </x:c>
    </x:row>
    <x:row r="5">
      <x:c r="A5" s="2" t="str">
        <x:v>P004</x:v>
      </x:c>
      <x:c r="B5" s="2" t="n">
        <x:v>1126</x:v>
      </x:c>
      <x:c r="C5" s="9" t="n">
        <x:v>46074</x:v>
      </x:c>
      <x:c r="D5" s="4" t="n">
        <x:v>106765</x:v>
      </x:c>
      <x:c r="E5" s="2" t="str">
        <x:v>Частично оплачено</x:v>
      </x:c>
    </x:row>
    <x:row r="6">
      <x:c r="A6" s="2" t="str">
        <x:v>P005</x:v>
      </x:c>
      <x:c r="B6" s="2" t="n">
        <x:v>1071</x:v>
      </x:c>
      <x:c r="C6" s="9" t="n">
        <x:v>46109</x:v>
      </x:c>
      <x:c r="D6" s="4" t="n">
        <x:v>0</x:v>
      </x:c>
      <x:c r="E6" s="2" t="str">
        <x:v>Не оплачено</x:v>
      </x:c>
    </x:row>
    <x:row r="7">
      <x:c r="A7" s="2" t="str">
        <x:v>P006</x:v>
      </x:c>
      <x:c r="B7" s="2" t="n">
        <x:v>1111</x:v>
      </x:c>
      <x:c r="C7" s="9" t="n">
        <x:v>46070</x:v>
      </x:c>
      <x:c r="D7" s="4" t="n">
        <x:v>0</x:v>
      </x:c>
      <x:c r="E7" s="2" t="str">
        <x:v>Не оплачено</x:v>
      </x:c>
    </x:row>
    <x:row r="8">
      <x:c r="A8" s="2" t="str">
        <x:v>P007</x:v>
      </x:c>
      <x:c r="B8" s="2" t="n">
        <x:v>1076</x:v>
      </x:c>
      <x:c r="C8" s="9" t="n">
        <x:v>46072</x:v>
      </x:c>
      <x:c r="D8" s="4" t="n">
        <x:v>0</x:v>
      </x:c>
      <x:c r="E8" s="2" t="str">
        <x:v>Не оплачено</x:v>
      </x:c>
    </x:row>
    <x:row r="9">
      <x:c r="A9" s="2" t="str">
        <x:v>P008</x:v>
      </x:c>
      <x:c r="B9" s="2" t="n">
        <x:v>1007</x:v>
      </x:c>
      <x:c r="C9" s="9" t="n">
        <x:v>46103</x:v>
      </x:c>
      <x:c r="D9" s="4" t="n">
        <x:v>32282</x:v>
      </x:c>
      <x:c r="E9" s="2" t="str">
        <x:v>Частично оплачено</x:v>
      </x:c>
    </x:row>
    <x:row r="10">
      <x:c r="A10" s="2" t="str">
        <x:v>P009</x:v>
      </x:c>
      <x:c r="B10" s="2" t="n">
        <x:v>1105</x:v>
      </x:c>
      <x:c r="C10" s="9" t="n">
        <x:v>46070</x:v>
      </x:c>
      <x:c r="D10" s="4" t="n">
        <x:v>2392</x:v>
      </x:c>
      <x:c r="E10" s="2" t="str">
        <x:v>Частично оплачено</x:v>
      </x:c>
    </x:row>
    <x:row r="11">
      <x:c r="A11" s="2" t="str">
        <x:v>P010</x:v>
      </x:c>
      <x:c r="B11" s="2" t="n">
        <x:v>9999</x:v>
      </x:c>
      <x:c r="C11" s="9" t="n">
        <x:v>46131</x:v>
      </x:c>
      <x:c r="D11" s="4" t="n">
        <x:v>16740</x:v>
      </x:c>
      <x:c r="E11" s="2" t="str">
        <x:v>Частично оплачено</x:v>
      </x:c>
    </x:row>
    <x:row r="12">
      <x:c r="A12" s="2" t="str">
        <x:v>P011</x:v>
      </x:c>
      <x:c r="B12" s="2" t="n">
        <x:v>1052</x:v>
      </x:c>
      <x:c r="C12" s="9" t="n">
        <x:v>46075</x:v>
      </x:c>
      <x:c r="D12" s="4" t="n">
        <x:v>286488</x:v>
      </x:c>
      <x:c r="E12" s="2" t="str">
        <x:v>Частично оплачено</x:v>
      </x:c>
    </x:row>
    <x:row r="13">
      <x:c r="A13" s="2" t="str">
        <x:v>P012</x:v>
      </x:c>
      <x:c r="B13" s="2" t="n">
        <x:v>1119</x:v>
      </x:c>
      <x:c r="C13" s="9" t="n">
        <x:v>46153</x:v>
      </x:c>
      <x:c r="D13" s="4" t="n">
        <x:v>6575</x:v>
      </x:c>
      <x:c r="E13" s="2" t="str">
        <x:v>Частично оплачено</x:v>
      </x:c>
    </x:row>
    <x:row r="14">
      <x:c r="A14" s="2" t="str">
        <x:v>P013</x:v>
      </x:c>
      <x:c r="B14" s="2" t="n">
        <x:v>1093</x:v>
      </x:c>
      <x:c r="C14" s="9" t="n">
        <x:v>46118</x:v>
      </x:c>
      <x:c r="D14" s="4" t="n">
        <x:v>110000</x:v>
      </x:c>
      <x:c r="E14" s="2" t="str">
        <x:v>Оплачено</x:v>
      </x:c>
    </x:row>
    <x:row r="15">
      <x:c r="A15" s="2" t="str">
        <x:v>P014</x:v>
      </x:c>
      <x:c r="B15" s="2" t="n">
        <x:v>1135</x:v>
      </x:c>
      <x:c r="C15" s="9" t="n">
        <x:v>46156</x:v>
      </x:c>
      <x:c r="D15" s="4" t="n">
        <x:v>156000</x:v>
      </x:c>
      <x:c r="E15" s="2" t="str">
        <x:v>Оплачено</x:v>
      </x:c>
    </x:row>
    <x:row r="16">
      <x:c r="A16" s="2" t="str">
        <x:v>P015</x:v>
      </x:c>
      <x:c r="B16" s="2" t="n">
        <x:v>1147</x:v>
      </x:c>
      <x:c r="C16" s="9" t="n">
        <x:v>46116</x:v>
      </x:c>
      <x:c r="D16" s="4" t="n">
        <x:v>95893</x:v>
      </x:c>
      <x:c r="E16" s="2" t="str">
        <x:v>Частично оплачено</x:v>
      </x:c>
    </x:row>
    <x:row r="17">
      <x:c r="A17" s="2" t="str">
        <x:v>P016</x:v>
      </x:c>
      <x:c r="B17" s="2" t="n">
        <x:v>1036</x:v>
      </x:c>
      <x:c r="C17" s="9" t="n">
        <x:v>46047</x:v>
      </x:c>
      <x:c r="D17" s="4" t="n">
        <x:v>0</x:v>
      </x:c>
      <x:c r="E17" s="2" t="str">
        <x:v>Не оплачено</x:v>
      </x:c>
    </x:row>
    <x:row r="18">
      <x:c r="A18" s="2" t="str">
        <x:v>P017</x:v>
      </x:c>
      <x:c r="B18" s="2" t="n">
        <x:v>1021</x:v>
      </x:c>
      <x:c r="C18" s="9" t="n">
        <x:v>46179</x:v>
      </x:c>
      <x:c r="D18" s="4" t="n">
        <x:v>105748</x:v>
      </x:c>
      <x:c r="E18" s="2" t="str">
        <x:v>Частично оплачено</x:v>
      </x:c>
    </x:row>
    <x:row r="19">
      <x:c r="A19" s="2" t="str">
        <x:v>P018</x:v>
      </x:c>
      <x:c r="B19" s="2" t="n">
        <x:v>1141</x:v>
      </x:c>
      <x:c r="C19" s="9" t="n">
        <x:v>46183</x:v>
      </x:c>
      <x:c r="D19" s="4" t="n">
        <x:v>0</x:v>
      </x:c>
      <x:c r="E19" s="2" t="str">
        <x:v>Не оплачено</x:v>
      </x:c>
    </x:row>
    <x:row r="20">
      <x:c r="A20" s="2" t="str">
        <x:v>P019</x:v>
      </x:c>
      <x:c r="B20" s="2" t="n">
        <x:v>1093</x:v>
      </x:c>
      <x:c r="C20" s="9" t="n">
        <x:v>46130</x:v>
      </x:c>
      <x:c r="D20" s="4" t="n">
        <x:v>999999</x:v>
      </x:c>
      <x:c r="E20" s="2" t="str">
        <x:v>Не оплачено</x:v>
      </x:c>
    </x:row>
    <x:row r="21">
      <x:c r="A21" s="2" t="str">
        <x:v>P020</x:v>
      </x:c>
      <x:c r="B21" s="2" t="n">
        <x:v>1160</x:v>
      </x:c>
      <x:c r="C21" s="9" t="n">
        <x:v>46074</x:v>
      </x:c>
      <x:c r="D21" s="4" t="n">
        <x:v>0</x:v>
      </x:c>
      <x:c r="E21" s="2" t="str">
        <x:v>Не оплачено</x:v>
      </x:c>
    </x:row>
    <x:row r="22">
      <x:c r="A22" s="2" t="str">
        <x:v>P021</x:v>
      </x:c>
      <x:c r="B22" s="2" t="n">
        <x:v>1009</x:v>
      </x:c>
      <x:c r="C22" s="9" t="n">
        <x:v>46120</x:v>
      </x:c>
      <x:c r="D22" s="4" t="n">
        <x:v>330000</x:v>
      </x:c>
      <x:c r="E22" s="2" t="str">
        <x:v>Оплачено</x:v>
      </x:c>
    </x:row>
    <x:row r="23">
      <x:c r="A23" s="2" t="str">
        <x:v>P022</x:v>
      </x:c>
      <x:c r="B23" s="2" t="n">
        <x:v>1104</x:v>
      </x:c>
      <x:c r="C23" s="9" t="n">
        <x:v>46062</x:v>
      </x:c>
      <x:c r="D23" s="4" t="n">
        <x:v>35838</x:v>
      </x:c>
      <x:c r="E23" s="2" t="str">
        <x:v>Частично оплачено</x:v>
      </x:c>
    </x:row>
    <x:row r="24">
      <x:c r="A24" s="2" t="str">
        <x:v>P023</x:v>
      </x:c>
      <x:c r="B24" s="2" t="n">
        <x:v>1144</x:v>
      </x:c>
      <x:c r="C24" s="9" t="n">
        <x:v>46175</x:v>
      </x:c>
      <x:c r="D24" s="4" t="n">
        <x:v>55000</x:v>
      </x:c>
      <x:c r="E24" s="2" t="str">
        <x:v>Оплачено</x:v>
      </x:c>
    </x:row>
    <x:row r="25">
      <x:c r="A25" s="2" t="str">
        <x:v>P024</x:v>
      </x:c>
      <x:c r="B25" s="2" t="n">
        <x:v>1062</x:v>
      </x:c>
      <x:c r="C25" s="9" t="n">
        <x:v>46172</x:v>
      </x:c>
      <x:c r="D25" s="4" t="n">
        <x:v>72000</x:v>
      </x:c>
      <x:c r="E25" s="2" t="str">
        <x:v>Оплачено</x:v>
      </x:c>
    </x:row>
    <x:row r="26">
      <x:c r="A26" s="2" t="str">
        <x:v>P025</x:v>
      </x:c>
      <x:c r="B26" s="2" t="n">
        <x:v>1149</x:v>
      </x:c>
      <x:c r="C26" s="9" t="n">
        <x:v>46083</x:v>
      </x:c>
      <x:c r="D26" s="4" t="n">
        <x:v>181458</x:v>
      </x:c>
      <x:c r="E26" s="2" t="str">
        <x:v>Частично оплачено</x:v>
      </x:c>
    </x:row>
    <x:row r="27">
      <x:c r="A27" s="2" t="str">
        <x:v>P026</x:v>
      </x:c>
      <x:c r="B27" s="2" t="n">
        <x:v>1022</x:v>
      </x:c>
      <x:c r="C27" s="9" t="n">
        <x:v>46054</x:v>
      </x:c>
      <x:c r="D27" s="4" t="n">
        <x:v>31445</x:v>
      </x:c>
      <x:c r="E27" s="2" t="str">
        <x:v>Частично оплачено</x:v>
      </x:c>
    </x:row>
    <x:row r="28">
      <x:c r="A28" s="2" t="str">
        <x:v>P027</x:v>
      </x:c>
      <x:c r="B28" s="2" t="n">
        <x:v>1093</x:v>
      </x:c>
      <x:c r="C28" s="9" t="n">
        <x:v>46120</x:v>
      </x:c>
      <x:c r="D28" s="4" t="n">
        <x:v>0</x:v>
      </x:c>
      <x:c r="E28" s="2"/>
    </x:row>
    <x:row r="29">
      <x:c r="A29" s="2" t="str">
        <x:v>P028</x:v>
      </x:c>
      <x:c r="B29" s="2" t="n">
        <x:v>1156</x:v>
      </x:c>
      <x:c r="C29" s="9" t="n">
        <x:v>46064</x:v>
      </x:c>
      <x:c r="D29" s="4" t="n">
        <x:v>27000</x:v>
      </x:c>
      <x:c r="E29" s="2" t="str">
        <x:v>Оплачено</x:v>
      </x:c>
    </x:row>
    <x:row r="30">
      <x:c r="A30" s="2" t="str">
        <x:v>P029</x:v>
      </x:c>
      <x:c r="B30" s="2" t="n">
        <x:v>1072</x:v>
      </x:c>
      <x:c r="C30" s="9" t="n">
        <x:v>46124</x:v>
      </x:c>
      <x:c r="D30" s="4" t="n">
        <x:v>144000</x:v>
      </x:c>
      <x:c r="E30" s="2" t="str">
        <x:v>Оплачено</x:v>
      </x:c>
    </x:row>
    <x:row r="31">
      <x:c r="A31" s="2" t="str">
        <x:v>P030</x:v>
      </x:c>
      <x:c r="B31" s="2" t="n">
        <x:v>1148</x:v>
      </x:c>
      <x:c r="C31" s="9" t="n">
        <x:v>46051</x:v>
      </x:c>
      <x:c r="D31" s="4" t="n">
        <x:v>60000</x:v>
      </x:c>
      <x:c r="E31" s="2" t="str">
        <x:v>Оплачено</x:v>
      </x:c>
    </x:row>
    <x:row r="32">
      <x:c r="A32" s="2" t="str">
        <x:v>P031</x:v>
      </x:c>
      <x:c r="B32" s="2" t="n">
        <x:v>1134</x:v>
      </x:c>
      <x:c r="C32" s="9" t="n">
        <x:v>46086</x:v>
      </x:c>
      <x:c r="D32" s="4" t="n">
        <x:v>39000</x:v>
      </x:c>
      <x:c r="E32" s="2" t="str">
        <x:v>Оплачено</x:v>
      </x:c>
    </x:row>
    <x:row r="33">
      <x:c r="A33" s="2" t="str">
        <x:v>P032</x:v>
      </x:c>
      <x:c r="B33" s="2" t="n">
        <x:v>1153</x:v>
      </x:c>
      <x:c r="C33" s="9" t="n">
        <x:v>46152</x:v>
      </x:c>
      <x:c r="D33" s="4" t="n">
        <x:v>22493</x:v>
      </x:c>
      <x:c r="E33" s="2" t="str">
        <x:v>Частично оплачено</x:v>
      </x:c>
    </x:row>
    <x:row r="34">
      <x:c r="A34" s="2" t="str">
        <x:v>P033</x:v>
      </x:c>
      <x:c r="B34" s="2" t="n">
        <x:v>1134</x:v>
      </x:c>
      <x:c r="C34" s="9" t="n">
        <x:v>46080</x:v>
      </x:c>
      <x:c r="D34" s="4" t="n">
        <x:v>21959</x:v>
      </x:c>
      <x:c r="E34" s="2" t="str">
        <x:v>Частично оплачено</x:v>
      </x:c>
    </x:row>
    <x:row r="35">
      <x:c r="A35" s="2" t="str">
        <x:v>P034</x:v>
      </x:c>
      <x:c r="B35" s="2" t="n">
        <x:v>1041</x:v>
      </x:c>
      <x:c r="C35" s="9" t="n">
        <x:v>46135</x:v>
      </x:c>
      <x:c r="D35" s="4" t="n">
        <x:v>0</x:v>
      </x:c>
      <x:c r="E35" s="2" t="str">
        <x:v>Не оплачено</x:v>
      </x:c>
    </x:row>
    <x:row r="36">
      <x:c r="A36" s="2" t="str">
        <x:v>P035</x:v>
      </x:c>
      <x:c r="B36" s="2" t="n">
        <x:v>1138</x:v>
      </x:c>
      <x:c r="C36" s="9" t="n">
        <x:v>46144</x:v>
      </x:c>
      <x:c r="D36" s="4" t="n">
        <x:v>8696</x:v>
      </x:c>
      <x:c r="E36" s="2" t="str">
        <x:v>Частично оплачено</x:v>
      </x:c>
    </x:row>
    <x:row r="37">
      <x:c r="A37" s="2" t="str">
        <x:v>P036</x:v>
      </x:c>
      <x:c r="B37" s="2" t="n">
        <x:v>1145</x:v>
      </x:c>
      <x:c r="C37" s="9" t="n">
        <x:v>46121</x:v>
      </x:c>
      <x:c r="D37" s="4" t="n">
        <x:v>0</x:v>
      </x:c>
      <x:c r="E37" s="2" t="str">
        <x:v>Не оплачено</x:v>
      </x:c>
    </x:row>
    <x:row r="38">
      <x:c r="A38" s="2" t="str">
        <x:v>P037</x:v>
      </x:c>
      <x:c r="B38" s="2" t="n">
        <x:v>1041</x:v>
      </x:c>
      <x:c r="C38" s="9" t="n">
        <x:v>46136</x:v>
      </x:c>
      <x:c r="D38" s="4" t="n">
        <x:v>36000</x:v>
      </x:c>
      <x:c r="E38" s="2" t="str">
        <x:v>Оплачено</x:v>
      </x:c>
    </x:row>
    <x:row r="39">
      <x:c r="A39" s="2" t="str">
        <x:v>P038</x:v>
      </x:c>
      <x:c r="B39" s="2" t="n">
        <x:v>1021</x:v>
      </x:c>
      <x:c r="C39" s="9" t="n">
        <x:v>46160</x:v>
      </x:c>
      <x:c r="D39" s="4" t="n">
        <x:v>0</x:v>
      </x:c>
      <x:c r="E39" s="2" t="str">
        <x:v>Не оплачено</x:v>
      </x:c>
    </x:row>
    <x:row r="40">
      <x:c r="A40" s="2" t="str">
        <x:v>P039</x:v>
      </x:c>
      <x:c r="B40" s="2" t="n">
        <x:v>1039</x:v>
      </x:c>
      <x:c r="C40" s="9" t="n">
        <x:v>46040</x:v>
      </x:c>
      <x:c r="D40" s="4" t="n">
        <x:v>0</x:v>
      </x:c>
      <x:c r="E40" s="2" t="str">
        <x:v>Не оплачено</x:v>
      </x:c>
    </x:row>
    <x:row r="41">
      <x:c r="A41" s="2" t="str">
        <x:v>P040</x:v>
      </x:c>
      <x:c r="B41" s="2" t="n">
        <x:v>1057</x:v>
      </x:c>
      <x:c r="C41" s="9" t="n">
        <x:v>46179</x:v>
      </x:c>
      <x:c r="D41" s="4" t="n">
        <x:v>0</x:v>
      </x:c>
      <x:c r="E41" s="2" t="str">
        <x:v>Не оплачено</x:v>
      </x:c>
    </x:row>
    <x:row r="42">
      <x:c r="A42" s="2" t="str">
        <x:v>P041</x:v>
      </x:c>
      <x:c r="B42" s="2" t="n">
        <x:v>1138</x:v>
      </x:c>
      <x:c r="C42" s="9" t="n">
        <x:v>46156</x:v>
      </x:c>
      <x:c r="D42" s="4" t="n">
        <x:v>0</x:v>
      </x:c>
      <x:c r="E42" s="2" t="str">
        <x:v>Не оплачено</x:v>
      </x:c>
    </x:row>
    <x:row r="43">
      <x:c r="A43" s="2" t="str">
        <x:v>P042</x:v>
      </x:c>
      <x:c r="B43" s="2" t="n">
        <x:v>1119</x:v>
      </x:c>
      <x:c r="C43" s="9" t="n">
        <x:v>46153</x:v>
      </x:c>
      <x:c r="D43" s="4" t="n">
        <x:v>0</x:v>
      </x:c>
      <x:c r="E43" s="2" t="str">
        <x:v>Не оплачено</x:v>
      </x:c>
    </x:row>
    <x:row r="44">
      <x:c r="A44" s="2" t="str">
        <x:v>P043</x:v>
      </x:c>
      <x:c r="B44" s="2" t="n">
        <x:v>1047</x:v>
      </x:c>
      <x:c r="C44" s="9" t="n">
        <x:v>46164</x:v>
      </x:c>
      <x:c r="D44" s="4" t="n">
        <x:v>0</x:v>
      </x:c>
      <x:c r="E44" s="2" t="str">
        <x:v>Не оплачено</x:v>
      </x:c>
    </x:row>
    <x:row r="45">
      <x:c r="A45" s="2" t="str">
        <x:v>P044</x:v>
      </x:c>
      <x:c r="B45" s="2" t="n">
        <x:v>1044</x:v>
      </x:c>
      <x:c r="C45" s="9" t="n">
        <x:v>46175</x:v>
      </x:c>
      <x:c r="D45" s="4" t="n">
        <x:v>107761</x:v>
      </x:c>
      <x:c r="E45" s="2" t="str">
        <x:v>Частично оплачено</x:v>
      </x:c>
    </x:row>
    <x:row r="46">
      <x:c r="A46" s="2" t="str">
        <x:v>P045</x:v>
      </x:c>
      <x:c r="B46" s="2" t="n">
        <x:v>1032</x:v>
      </x:c>
      <x:c r="C46" s="9" t="n">
        <x:v>46074</x:v>
      </x:c>
      <x:c r="D46" s="4" t="n">
        <x:v>146003</x:v>
      </x:c>
      <x:c r="E46" s="2" t="str">
        <x:v>Частично оплачено</x:v>
      </x:c>
    </x:row>
    <x:row r="47">
      <x:c r="A47" s="2" t="str">
        <x:v>P046</x:v>
      </x:c>
      <x:c r="B47" s="2" t="n">
        <x:v>1096</x:v>
      </x:c>
      <x:c r="C47" s="9" t="n">
        <x:v>46043</x:v>
      </x:c>
      <x:c r="D47" s="4" t="n">
        <x:v>12824</x:v>
      </x:c>
      <x:c r="E47" s="2" t="str">
        <x:v>Частично оплачено</x:v>
      </x:c>
    </x:row>
    <x:row r="48">
      <x:c r="A48" s="2" t="str">
        <x:v>P047</x:v>
      </x:c>
      <x:c r="B48" s="2" t="n">
        <x:v>1064</x:v>
      </x:c>
      <x:c r="C48" s="9" t="n">
        <x:v>46142</x:v>
      </x:c>
      <x:c r="D48" s="4" t="n">
        <x:v>21398</x:v>
      </x:c>
      <x:c r="E48" s="2" t="str">
        <x:v>Частично оплачено</x:v>
      </x:c>
    </x:row>
    <x:row r="49">
      <x:c r="A49" s="2" t="str">
        <x:v>P048</x:v>
      </x:c>
      <x:c r="B49" s="2" t="n">
        <x:v>1001</x:v>
      </x:c>
      <x:c r="C49" s="9" t="n">
        <x:v>46116</x:v>
      </x:c>
      <x:c r="D49" s="4" t="n">
        <x:v>12000</x:v>
      </x:c>
      <x:c r="E49" s="2" t="str">
        <x:v>Оплачено</x:v>
      </x:c>
    </x:row>
    <x:row r="50">
      <x:c r="A50" s="2" t="str">
        <x:v>P049</x:v>
      </x:c>
      <x:c r="B50" s="2" t="n">
        <x:v>1134</x:v>
      </x:c>
      <x:c r="C50" s="9" t="n">
        <x:v>46070</x:v>
      </x:c>
      <x:c r="D50" s="4" t="n">
        <x:v>0</x:v>
      </x:c>
      <x:c r="E50" s="2" t="str">
        <x:v>Не оплачено</x:v>
      </x:c>
    </x:row>
    <x:row r="51">
      <x:c r="A51" s="2" t="str">
        <x:v>P050</x:v>
      </x:c>
      <x:c r="B51" s="2" t="n">
        <x:v>1007</x:v>
      </x:c>
      <x:c r="C51" s="9" t="n">
        <x:v>46119</x:v>
      </x:c>
      <x:c r="D51" s="4" t="n">
        <x:v>55000</x:v>
      </x:c>
      <x:c r="E51" s="2" t="str">
        <x:v>Оплачено</x:v>
      </x:c>
    </x:row>
    <x:row r="52">
      <x:c r="A52" s="2" t="str">
        <x:v>P051</x:v>
      </x:c>
      <x:c r="B52" s="2" t="n">
        <x:v>1042</x:v>
      </x:c>
      <x:c r="C52" s="9" t="n">
        <x:v>46043</x:v>
      </x:c>
      <x:c r="D52" s="4" t="n">
        <x:v>0</x:v>
      </x:c>
      <x:c r="E52" s="2" t="str">
        <x:v>Не оплачено</x:v>
      </x:c>
    </x:row>
    <x:row r="53">
      <x:c r="A53" s="2" t="str">
        <x:v>P052</x:v>
      </x:c>
      <x:c r="B53" s="2" t="n">
        <x:v>1106</x:v>
      </x:c>
      <x:c r="C53" s="9" t="n">
        <x:v>46127</x:v>
      </x:c>
      <x:c r="D53" s="4" t="n">
        <x:v>234000</x:v>
      </x:c>
      <x:c r="E53" s="2" t="str">
        <x:v>Оплачено</x:v>
      </x:c>
    </x:row>
    <x:row r="54">
      <x:c r="A54" s="2" t="str">
        <x:v>P053</x:v>
      </x:c>
      <x:c r="B54" s="2" t="n">
        <x:v>1153</x:v>
      </x:c>
      <x:c r="C54" s="9" t="n">
        <x:v>46134</x:v>
      </x:c>
      <x:c r="D54" s="4" t="n">
        <x:v>0</x:v>
      </x:c>
      <x:c r="E54" s="2" t="str">
        <x:v>Не оплачено</x:v>
      </x:c>
    </x:row>
    <x:row r="55">
      <x:c r="A55" s="2" t="str">
        <x:v>P054</x:v>
      </x:c>
      <x:c r="B55" s="2" t="n">
        <x:v>1081</x:v>
      </x:c>
      <x:c r="C55" s="9" t="n">
        <x:v>46079</x:v>
      </x:c>
      <x:c r="D55" s="4" t="n">
        <x:v>0</x:v>
      </x:c>
      <x:c r="E55" s="2" t="str">
        <x:v>Не оплачено</x:v>
      </x:c>
    </x:row>
    <x:row r="56">
      <x:c r="A56" s="2" t="str">
        <x:v>P055</x:v>
      </x:c>
      <x:c r="B56" s="2" t="n">
        <x:v>1121</x:v>
      </x:c>
      <x:c r="C56" s="9" t="n">
        <x:v>46141</x:v>
      </x:c>
      <x:c r="D56" s="4" t="n">
        <x:v>35516</x:v>
      </x:c>
      <x:c r="E56" s="2" t="str">
        <x:v>Частично оплачено</x:v>
      </x:c>
    </x:row>
    <x:row r="57">
      <x:c r="A57" s="2" t="str">
        <x:v>P056</x:v>
      </x:c>
      <x:c r="B57" s="2" t="n">
        <x:v>1090</x:v>
      </x:c>
      <x:c r="C57" s="9" t="n">
        <x:v>46139</x:v>
      </x:c>
      <x:c r="D57" s="4" t="n">
        <x:v>12310</x:v>
      </x:c>
      <x:c r="E57" s="2" t="str">
        <x:v>Частично оплачено</x:v>
      </x:c>
    </x:row>
    <x:row r="58">
      <x:c r="A58" s="2" t="str">
        <x:v>P057</x:v>
      </x:c>
      <x:c r="B58" s="2" t="n">
        <x:v>1025</x:v>
      </x:c>
      <x:c r="C58" s="9" t="n">
        <x:v>46175</x:v>
      </x:c>
      <x:c r="D58" s="4" t="n">
        <x:v>0</x:v>
      </x:c>
      <x:c r="E58" s="2" t="str">
        <x:v>Не оплачено</x:v>
      </x:c>
    </x:row>
    <x:row r="59">
      <x:c r="A59" s="2" t="str">
        <x:v>P058</x:v>
      </x:c>
      <x:c r="B59" s="2" t="n">
        <x:v>1069</x:v>
      </x:c>
      <x:c r="C59" s="9" t="n">
        <x:v>46180</x:v>
      </x:c>
      <x:c r="D59" s="4" t="n">
        <x:v>0</x:v>
      </x:c>
      <x:c r="E59" s="2" t="str">
        <x:v>Не оплачено</x:v>
      </x:c>
    </x:row>
    <x:row r="60">
      <x:c r="A60" s="2" t="str">
        <x:v>P059</x:v>
      </x:c>
      <x:c r="B60" s="2" t="n">
        <x:v>1013</x:v>
      </x:c>
      <x:c r="C60" s="9" t="n">
        <x:v>46058</x:v>
      </x:c>
      <x:c r="D60" s="4" t="n">
        <x:v>0</x:v>
      </x:c>
      <x:c r="E60" s="2" t="str">
        <x:v>Не оплачено</x:v>
      </x:c>
    </x:row>
    <x:row r="61">
      <x:c r="A61" s="2" t="str">
        <x:v>P060</x:v>
      </x:c>
      <x:c r="B61" s="2" t="n">
        <x:v>1122</x:v>
      </x:c>
      <x:c r="C61" s="9" t="n">
        <x:v>46091</x:v>
      </x:c>
      <x:c r="D61" s="4" t="n">
        <x:v>156000</x:v>
      </x:c>
      <x:c r="E61" s="2" t="str">
        <x:v>Оплачено</x:v>
      </x:c>
    </x:row>
    <x:row r="62">
      <x:c r="A62" s="2" t="str">
        <x:v>P061</x:v>
      </x:c>
      <x:c r="B62" s="2" t="n">
        <x:v>1045</x:v>
      </x:c>
      <x:c r="C62" s="9" t="n">
        <x:v>46131</x:v>
      </x:c>
      <x:c r="D62" s="4" t="n">
        <x:v>165000</x:v>
      </x:c>
      <x:c r="E62" s="2" t="str">
        <x:v>Оплачено</x:v>
      </x:c>
    </x:row>
    <x:row r="63">
      <x:c r="A63" s="2" t="str">
        <x:v>P062</x:v>
      </x:c>
      <x:c r="B63" s="2" t="n">
        <x:v>1015</x:v>
      </x:c>
      <x:c r="C63" s="9" t="n">
        <x:v>46095</x:v>
      </x:c>
      <x:c r="D63" s="4" t="n">
        <x:v>60000</x:v>
      </x:c>
      <x:c r="E63" s="2" t="str">
        <x:v>Оплачено</x:v>
      </x:c>
    </x:row>
    <x:row r="64">
      <x:c r="A64" s="2" t="str">
        <x:v>P063</x:v>
      </x:c>
      <x:c r="B64" s="2" t="n">
        <x:v>1110</x:v>
      </x:c>
      <x:c r="C64" s="9" t="n">
        <x:v>46110</x:v>
      </x:c>
      <x:c r="D64" s="4" t="n">
        <x:v>12000</x:v>
      </x:c>
      <x:c r="E64" s="2" t="str">
        <x:v>Оплачено</x:v>
      </x:c>
    </x:row>
    <x:row r="65">
      <x:c r="A65" s="2" t="str">
        <x:v>P064</x:v>
      </x:c>
      <x:c r="B65" s="2" t="n">
        <x:v>1083</x:v>
      </x:c>
      <x:c r="C65" s="9" t="n">
        <x:v>46150</x:v>
      </x:c>
      <x:c r="D65" s="4" t="n">
        <x:v>129963</x:v>
      </x:c>
      <x:c r="E65" s="2" t="str">
        <x:v>Частично оплачено</x:v>
      </x:c>
    </x:row>
    <x:row r="66">
      <x:c r="A66" s="2" t="str">
        <x:v>P065</x:v>
      </x:c>
      <x:c r="B66" s="2" t="n">
        <x:v>1081</x:v>
      </x:c>
      <x:c r="C66" s="9" t="n">
        <x:v>46075</x:v>
      </x:c>
      <x:c r="D66" s="4" t="n">
        <x:v>0</x:v>
      </x:c>
      <x:c r="E66" s="2" t="str">
        <x:v>Не оплачено</x:v>
      </x:c>
    </x:row>
    <x:row r="67">
      <x:c r="A67" s="2" t="str">
        <x:v>P066</x:v>
      </x:c>
      <x:c r="B67" s="2" t="n">
        <x:v>1147</x:v>
      </x:c>
      <x:c r="C67" s="9" t="n">
        <x:v>46114</x:v>
      </x:c>
      <x:c r="D67" s="4" t="n">
        <x:v>0</x:v>
      </x:c>
      <x:c r="E67" s="2" t="str">
        <x:v>Не оплачено</x:v>
      </x:c>
    </x:row>
    <x:row r="68">
      <x:c r="A68" s="2" t="str">
        <x:v>P067</x:v>
      </x:c>
      <x:c r="B68" s="2" t="n">
        <x:v>1039</x:v>
      </x:c>
      <x:c r="C68" s="9" t="n">
        <x:v>46053</x:v>
      </x:c>
      <x:c r="D68" s="4" t="n">
        <x:v>360000</x:v>
      </x:c>
      <x:c r="E68" s="2" t="str">
        <x:v>Оплачено</x:v>
      </x:c>
    </x:row>
    <x:row r="69">
      <x:c r="A69" s="2" t="str">
        <x:v>P068</x:v>
      </x:c>
      <x:c r="B69" s="2" t="n">
        <x:v>1116</x:v>
      </x:c>
      <x:c r="C69" s="9" t="n">
        <x:v>46066</x:v>
      </x:c>
      <x:c r="D69" s="4" t="n">
        <x:v>170735</x:v>
      </x:c>
      <x:c r="E69" s="2" t="str">
        <x:v>Частично оплачено</x:v>
      </x:c>
    </x:row>
    <x:row r="70">
      <x:c r="A70" s="2" t="str">
        <x:v>P069</x:v>
      </x:c>
      <x:c r="B70" s="2" t="n">
        <x:v>1066</x:v>
      </x:c>
      <x:c r="C70" s="9" t="n">
        <x:v>46173</x:v>
      </x:c>
      <x:c r="D70" s="4" t="n">
        <x:v>0</x:v>
      </x:c>
      <x:c r="E70" s="2" t="str">
        <x:v>Не оплачено</x:v>
      </x:c>
    </x:row>
    <x:row r="71">
      <x:c r="A71" s="2" t="str">
        <x:v>P070</x:v>
      </x:c>
      <x:c r="B71" s="2" t="n">
        <x:v>1060</x:v>
      </x:c>
      <x:c r="C71" s="9" t="n">
        <x:v>46048</x:v>
      </x:c>
      <x:c r="D71" s="4" t="n">
        <x:v>78000</x:v>
      </x:c>
      <x:c r="E71" s="2" t="str">
        <x:v>Оплачено</x:v>
      </x:c>
    </x:row>
    <x:row r="72">
      <x:c r="A72" s="2" t="str">
        <x:v>P071</x:v>
      </x:c>
      <x:c r="B72" s="2" t="n">
        <x:v>1151</x:v>
      </x:c>
      <x:c r="C72" s="9" t="n">
        <x:v>46182</x:v>
      </x:c>
      <x:c r="D72" s="4" t="n">
        <x:v>0</x:v>
      </x:c>
      <x:c r="E72" s="2" t="str">
        <x:v>Не оплачено</x:v>
      </x:c>
    </x:row>
    <x:row r="73">
      <x:c r="A73" s="2" t="str">
        <x:v>P072</x:v>
      </x:c>
      <x:c r="B73" s="2" t="n">
        <x:v>1039</x:v>
      </x:c>
      <x:c r="C73" s="9" t="n">
        <x:v>46049</x:v>
      </x:c>
      <x:c r="D73" s="4" t="n">
        <x:v>360000</x:v>
      </x:c>
      <x:c r="E73" s="2" t="str">
        <x:v>Оплачено</x:v>
      </x:c>
    </x:row>
    <x:row r="74">
      <x:c r="A74" s="2" t="str">
        <x:v>P073</x:v>
      </x:c>
      <x:c r="B74" s="2" t="n">
        <x:v>1130</x:v>
      </x:c>
      <x:c r="C74" s="9" t="n">
        <x:v>46164</x:v>
      </x:c>
      <x:c r="D74" s="4" t="n">
        <x:v>24000</x:v>
      </x:c>
      <x:c r="E74" s="2" t="str">
        <x:v>Оплачено</x:v>
      </x:c>
    </x:row>
    <x:row r="75">
      <x:c r="A75" s="2" t="str">
        <x:v>P074</x:v>
      </x:c>
      <x:c r="B75" s="2" t="n">
        <x:v>1002</x:v>
      </x:c>
      <x:c r="C75" s="9" t="n">
        <x:v>46163</x:v>
      </x:c>
      <x:c r="D75" s="4" t="n">
        <x:v>196926</x:v>
      </x:c>
      <x:c r="E75" s="2" t="str">
        <x:v>Частично оплачено</x:v>
      </x:c>
    </x:row>
    <x:row r="76">
      <x:c r="A76" s="2" t="str">
        <x:v>P075</x:v>
      </x:c>
      <x:c r="B76" s="2" t="n">
        <x:v>1016</x:v>
      </x:c>
      <x:c r="C76" s="9" t="n">
        <x:v>46147</x:v>
      </x:c>
      <x:c r="D76" s="4" t="n">
        <x:v>432000</x:v>
      </x:c>
      <x:c r="E76" s="2" t="str">
        <x:v>Оплачено</x:v>
      </x:c>
    </x:row>
    <x:row r="77">
      <x:c r="A77" s="2" t="str">
        <x:v>P076</x:v>
      </x:c>
      <x:c r="B77" s="2" t="n">
        <x:v>1016</x:v>
      </x:c>
      <x:c r="C77" s="9" t="n">
        <x:v>46140</x:v>
      </x:c>
      <x:c r="D77" s="4" t="n">
        <x:v>143092</x:v>
      </x:c>
      <x:c r="E77" s="2" t="str">
        <x:v>Частично оплачено</x:v>
      </x:c>
    </x:row>
    <x:row r="78">
      <x:c r="A78" s="2" t="str">
        <x:v>P077</x:v>
      </x:c>
      <x:c r="B78" s="2" t="n">
        <x:v>1136</x:v>
      </x:c>
      <x:c r="C78" s="9" t="n">
        <x:v>46100</x:v>
      </x:c>
      <x:c r="D78" s="4" t="n">
        <x:v>0</x:v>
      </x:c>
      <x:c r="E78" s="2" t="str">
        <x:v>Не оплачено</x:v>
      </x:c>
    </x:row>
    <x:row r="79">
      <x:c r="A79" s="2" t="str">
        <x:v>P078</x:v>
      </x:c>
      <x:c r="B79" s="2" t="n">
        <x:v>1062</x:v>
      </x:c>
      <x:c r="C79" s="9" t="n">
        <x:v>46178</x:v>
      </x:c>
      <x:c r="D79" s="4" t="n">
        <x:v>20279</x:v>
      </x:c>
      <x:c r="E79" s="2" t="str">
        <x:v>Частично оплачено</x:v>
      </x:c>
    </x:row>
    <x:row r="80">
      <x:c r="A80" s="2" t="str">
        <x:v>P079</x:v>
      </x:c>
      <x:c r="B80" s="2" t="n">
        <x:v>1112</x:v>
      </x:c>
      <x:c r="C80" s="9" t="n">
        <x:v>46117</x:v>
      </x:c>
      <x:c r="D80" s="4" t="n">
        <x:v>0</x:v>
      </x:c>
      <x:c r="E80" s="2" t="str">
        <x:v>Не оплачено</x:v>
      </x:c>
    </x:row>
    <x:row r="81">
      <x:c r="A81" s="2" t="str">
        <x:v>P080</x:v>
      </x:c>
      <x:c r="B81" s="2" t="n">
        <x:v>1160</x:v>
      </x:c>
      <x:c r="C81" s="9" t="n">
        <x:v>46085</x:v>
      </x:c>
      <x:c r="D81" s="4" t="n">
        <x:v>195000</x:v>
      </x:c>
      <x:c r="E81" s="2" t="str">
        <x:v>Оплачено</x:v>
      </x:c>
    </x:row>
    <x:row r="82">
      <x:c r="A82" s="2" t="str">
        <x:v>P081</x:v>
      </x:c>
      <x:c r="B82" s="2" t="n">
        <x:v>1003</x:v>
      </x:c>
      <x:c r="C82" s="9" t="n">
        <x:v>46181</x:v>
      </x:c>
      <x:c r="D82" s="4" t="n">
        <x:v>21425</x:v>
      </x:c>
      <x:c r="E82" s="2" t="str">
        <x:v>Частично оплачено</x:v>
      </x:c>
    </x:row>
    <x:row r="83">
      <x:c r="A83" s="2" t="str">
        <x:v>P082</x:v>
      </x:c>
      <x:c r="B83" s="2" t="n">
        <x:v>1069</x:v>
      </x:c>
      <x:c r="C83" s="9" t="n">
        <x:v>46168</x:v>
      </x:c>
      <x:c r="D83" s="4" t="n">
        <x:v>4016</x:v>
      </x:c>
      <x:c r="E83" s="2" t="str">
        <x:v>Частично оплачено</x:v>
      </x:c>
    </x:row>
    <x:row r="84">
      <x:c r="A84" s="2" t="str">
        <x:v>P083</x:v>
      </x:c>
      <x:c r="B84" s="2" t="n">
        <x:v>1088</x:v>
      </x:c>
      <x:c r="C84" s="9" t="n">
        <x:v>46132</x:v>
      </x:c>
      <x:c r="D84" s="4" t="n">
        <x:v>0</x:v>
      </x:c>
      <x:c r="E84" s="2" t="str">
        <x:v>Не оплачено</x:v>
      </x:c>
    </x:row>
    <x:row r="85">
      <x:c r="A85" s="2" t="str">
        <x:v>P084</x:v>
      </x:c>
      <x:c r="B85" s="2" t="n">
        <x:v>1067</x:v>
      </x:c>
      <x:c r="C85" s="9" t="n">
        <x:v>46064</x:v>
      </x:c>
      <x:c r="D85" s="4" t="n">
        <x:v>0</x:v>
      </x:c>
      <x:c r="E85" s="2" t="str">
        <x:v>Не оплачено</x:v>
      </x:c>
    </x:row>
    <x:row r="86">
      <x:c r="A86" s="2" t="str">
        <x:v>P085</x:v>
      </x:c>
      <x:c r="B86" s="2" t="n">
        <x:v>1138</x:v>
      </x:c>
      <x:c r="C86" s="9" t="n">
        <x:v>46142</x:v>
      </x:c>
      <x:c r="D86" s="4" t="n">
        <x:v>24000</x:v>
      </x:c>
      <x:c r="E86" s="2" t="str">
        <x:v>Оплачено</x:v>
      </x:c>
    </x:row>
    <x:row r="87">
      <x:c r="A87" s="2" t="str">
        <x:v>P086</x:v>
      </x:c>
      <x:c r="B87" s="2" t="n">
        <x:v>1079</x:v>
      </x:c>
      <x:c r="C87" s="9" t="n">
        <x:v>46065</x:v>
      </x:c>
      <x:c r="D87" s="4" t="n">
        <x:v>8160</x:v>
      </x:c>
      <x:c r="E87" s="2" t="str">
        <x:v>Частично оплачено</x:v>
      </x:c>
    </x:row>
    <x:row r="88">
      <x:c r="A88" s="2" t="str">
        <x:v>P087</x:v>
      </x:c>
      <x:c r="B88" s="2" t="n">
        <x:v>1130</x:v>
      </x:c>
      <x:c r="C88" s="9" t="n">
        <x:v>46171</x:v>
      </x:c>
      <x:c r="D88" s="4" t="n">
        <x:v>16179</x:v>
      </x:c>
      <x:c r="E88" s="2" t="str">
        <x:v>Частично оплачено</x:v>
      </x:c>
    </x:row>
    <x:row r="89">
      <x:c r="A89" s="2" t="str">
        <x:v>P088</x:v>
      </x:c>
      <x:c r="B89" s="2" t="n">
        <x:v>1038</x:v>
      </x:c>
      <x:c r="C89" s="9" t="n">
        <x:v>46174</x:v>
      </x:c>
      <x:c r="D89" s="4" t="n">
        <x:v>0</x:v>
      </x:c>
      <x:c r="E89" s="2" t="str">
        <x:v>Не оплачено</x:v>
      </x:c>
    </x:row>
    <x:row r="90">
      <x:c r="A90" s="2" t="str">
        <x:v>P089</x:v>
      </x:c>
      <x:c r="B90" s="2" t="n">
        <x:v>1054</x:v>
      </x:c>
      <x:c r="C90" s="9" t="n">
        <x:v>46046</x:v>
      </x:c>
      <x:c r="D90" s="4" t="n">
        <x:v>0</x:v>
      </x:c>
      <x:c r="E90" s="2" t="str">
        <x:v>Не оплачено</x:v>
      </x:c>
    </x:row>
    <x:row r="91">
      <x:c r="A91" s="2" t="str">
        <x:v>P090</x:v>
      </x:c>
      <x:c r="B91" s="2" t="n">
        <x:v>1128</x:v>
      </x:c>
      <x:c r="C91" s="9" t="n">
        <x:v>46147</x:v>
      </x:c>
      <x:c r="D91" s="4" t="n">
        <x:v>17800</x:v>
      </x:c>
      <x:c r="E91" s="2" t="str">
        <x:v>Оплачено</x:v>
      </x:c>
    </x:row>
    <x:row r="92">
      <x:c r="A92" s="2" t="str">
        <x:v>P091</x:v>
      </x:c>
      <x:c r="B92" s="2" t="n">
        <x:v>1097</x:v>
      </x:c>
      <x:c r="C92" s="9" t="n">
        <x:v>46112</x:v>
      </x:c>
      <x:c r="D92" s="4" t="n">
        <x:v>0</x:v>
      </x:c>
      <x:c r="E92" s="2" t="str">
        <x:v>Не оплачено</x:v>
      </x:c>
    </x:row>
    <x:row r="93">
      <x:c r="A93" s="2" t="str">
        <x:v>P092</x:v>
      </x:c>
      <x:c r="B93" s="2" t="n">
        <x:v>1004</x:v>
      </x:c>
      <x:c r="C93" s="9" t="n">
        <x:v>46048</x:v>
      </x:c>
      <x:c r="D93" s="4" t="n">
        <x:v>432000</x:v>
      </x:c>
      <x:c r="E93" s="2" t="str">
        <x:v>Оплачено</x:v>
      </x:c>
    </x:row>
    <x:row r="94">
      <x:c r="A94" s="2" t="str">
        <x:v>P093</x:v>
      </x:c>
      <x:c r="B94" s="2" t="n">
        <x:v>1113</x:v>
      </x:c>
      <x:c r="C94" s="9" t="n">
        <x:v>46043</x:v>
      </x:c>
      <x:c r="D94" s="4" t="n">
        <x:v>0</x:v>
      </x:c>
      <x:c r="E94" s="2" t="str">
        <x:v>Не оплачено</x:v>
      </x:c>
    </x:row>
    <x:row r="95">
      <x:c r="A95" s="2" t="str">
        <x:v>P094</x:v>
      </x:c>
      <x:c r="B95" s="2" t="n">
        <x:v>1157</x:v>
      </x:c>
      <x:c r="C95" s="9" t="n">
        <x:v>46097</x:v>
      </x:c>
      <x:c r="D95" s="4" t="n">
        <x:v>100928</x:v>
      </x:c>
      <x:c r="E95" s="2" t="str">
        <x:v>Частично оплачено</x:v>
      </x:c>
    </x:row>
    <x:row r="96">
      <x:c r="A96" s="2" t="str">
        <x:v>P095</x:v>
      </x:c>
      <x:c r="B96" s="2" t="n">
        <x:v>1114</x:v>
      </x:c>
      <x:c r="C96" s="9" t="n">
        <x:v>46080</x:v>
      </x:c>
      <x:c r="D96" s="4" t="n">
        <x:v>12000</x:v>
      </x:c>
      <x:c r="E96" s="2" t="str">
        <x:v>Оплачено</x:v>
      </x:c>
    </x:row>
    <x:row r="97">
      <x:c r="A97" s="2" t="str">
        <x:v>P096</x:v>
      </x:c>
      <x:c r="B97" s="2" t="n">
        <x:v>1039</x:v>
      </x:c>
      <x:c r="C97" s="9" t="n">
        <x:v>46041</x:v>
      </x:c>
      <x:c r="D97" s="4" t="n">
        <x:v>360000</x:v>
      </x:c>
      <x:c r="E97" s="2" t="str">
        <x:v>Оплачено</x:v>
      </x:c>
    </x:row>
    <x:row r="98">
      <x:c r="A98" s="2" t="str">
        <x:v>P097</x:v>
      </x:c>
      <x:c r="B98" s="2" t="n">
        <x:v>1013</x:v>
      </x:c>
      <x:c r="C98" s="9" t="n">
        <x:v>46072</x:v>
      </x:c>
      <x:c r="D98" s="4" t="n">
        <x:v>432000</x:v>
      </x:c>
      <x:c r="E98" s="2" t="str">
        <x:v>Оплачено</x:v>
      </x:c>
    </x:row>
    <x:row r="99">
      <x:c r="A99" s="2" t="str">
        <x:v>P098</x:v>
      </x:c>
      <x:c r="B99" s="2" t="n">
        <x:v>1081</x:v>
      </x:c>
      <x:c r="C99" s="9" t="n">
        <x:v>46069</x:v>
      </x:c>
      <x:c r="D99" s="4" t="n">
        <x:v>0</x:v>
      </x:c>
      <x:c r="E99" s="2" t="str">
        <x:v>Не оплачено</x:v>
      </x:c>
    </x:row>
    <x:row r="100">
      <x:c r="A100" s="2" t="str">
        <x:v>P099</x:v>
      </x:c>
      <x:c r="B100" s="2" t="n">
        <x:v>1137</x:v>
      </x:c>
      <x:c r="C100" s="9" t="n">
        <x:v>46044</x:v>
      </x:c>
      <x:c r="D100" s="4" t="n">
        <x:v>0</x:v>
      </x:c>
      <x:c r="E100" s="2" t="str">
        <x:v>Не оплачено</x:v>
      </x:c>
    </x:row>
    <x:row r="101">
      <x:c r="A101" s="2" t="str">
        <x:v>P100</x:v>
      </x:c>
      <x:c r="B101" s="2" t="n">
        <x:v>1007</x:v>
      </x:c>
      <x:c r="C101" s="9" t="n">
        <x:v>46143</x:v>
      </x:c>
      <x:c r="D101" s="4" t="n">
        <x:v>0</x:v>
      </x:c>
      <x:c r="E101" s="2" t="str">
        <x:v>Не оплачено</x:v>
      </x:c>
    </x:row>
    <x:row r="102">
      <x:c r="A102" s="2" t="str">
        <x:v>P101</x:v>
      </x:c>
      <x:c r="B102" s="2" t="n">
        <x:v>1115</x:v>
      </x:c>
      <x:c r="C102" s="9" t="n">
        <x:v>46166</x:v>
      </x:c>
      <x:c r="D102" s="4" t="n">
        <x:v>16826</x:v>
      </x:c>
      <x:c r="E102" s="2" t="str">
        <x:v>Частично оплачено</x:v>
      </x:c>
    </x:row>
    <x:row r="103">
      <x:c r="A103" s="2" t="str">
        <x:v>P102</x:v>
      </x:c>
      <x:c r="B103" s="2" t="n">
        <x:v>1060</x:v>
      </x:c>
      <x:c r="C103" s="9" t="n">
        <x:v>46054</x:v>
      </x:c>
      <x:c r="D103" s="4" t="n">
        <x:v>0</x:v>
      </x:c>
      <x:c r="E103" s="2" t="str">
        <x:v>Не оплачено</x:v>
      </x:c>
    </x:row>
    <x:row r="104">
      <x:c r="A104" s="2" t="str">
        <x:v>P103</x:v>
      </x:c>
      <x:c r="B104" s="2" t="n">
        <x:v>1014</x:v>
      </x:c>
      <x:c r="C104" s="9" t="n">
        <x:v>46158</x:v>
      </x:c>
      <x:c r="D104" s="4" t="n">
        <x:v>0</x:v>
      </x:c>
      <x:c r="E104" s="2" t="str">
        <x:v>Не оплачено</x:v>
      </x:c>
    </x:row>
    <x:row r="105">
      <x:c r="A105" s="2" t="str">
        <x:v>P104</x:v>
      </x:c>
      <x:c r="B105" s="2" t="n">
        <x:v>1041</x:v>
      </x:c>
      <x:c r="C105" s="9" t="n">
        <x:v>46122</x:v>
      </x:c>
      <x:c r="D105" s="4" t="n">
        <x:v>26334</x:v>
      </x:c>
      <x:c r="E105" s="2" t="str">
        <x:v>Частично оплачено</x:v>
      </x:c>
    </x:row>
    <x:row r="106">
      <x:c r="A106" s="2" t="str">
        <x:v>P105</x:v>
      </x:c>
      <x:c r="B106" s="2" t="n">
        <x:v>1158</x:v>
      </x:c>
      <x:c r="C106" s="9" t="n">
        <x:v>46069</x:v>
      </x:c>
      <x:c r="D106" s="4" t="n">
        <x:v>0</x:v>
      </x:c>
      <x:c r="E106" s="2" t="str">
        <x:v>Не оплачено</x:v>
      </x:c>
    </x:row>
    <x:row r="107">
      <x:c r="A107" s="2" t="str">
        <x:v>P106</x:v>
      </x:c>
      <x:c r="B107" s="2" t="n">
        <x:v>1092</x:v>
      </x:c>
      <x:c r="C107" s="9" t="n">
        <x:v>46126</x:v>
      </x:c>
      <x:c r="D107" s="4" t="n">
        <x:v>12000</x:v>
      </x:c>
      <x:c r="E107" s="2" t="str">
        <x:v>Оплачено</x:v>
      </x:c>
    </x:row>
    <x:row r="108">
      <x:c r="A108" s="2" t="str">
        <x:v>P107</x:v>
      </x:c>
      <x:c r="B108" s="2" t="n">
        <x:v>1101</x:v>
      </x:c>
      <x:c r="C108" s="9" t="n">
        <x:v>46158</x:v>
      </x:c>
      <x:c r="D108" s="4" t="n">
        <x:v>195000</x:v>
      </x:c>
      <x:c r="E108" s="2" t="str">
        <x:v>Оплачено</x:v>
      </x:c>
    </x:row>
    <x:row r="109">
      <x:c r="A109" s="2" t="str">
        <x:v>P108</x:v>
      </x:c>
      <x:c r="B109" s="2" t="n">
        <x:v>1153</x:v>
      </x:c>
      <x:c r="C109" s="9" t="n">
        <x:v>46141</x:v>
      </x:c>
      <x:c r="D109" s="4" t="n">
        <x:v>72000</x:v>
      </x:c>
      <x:c r="E109" s="2" t="str">
        <x:v>Оплачено</x:v>
      </x:c>
    </x:row>
    <x:row r="110">
      <x:c r="A110" s="2" t="str">
        <x:v>P109</x:v>
      </x:c>
      <x:c r="B110" s="2" t="n">
        <x:v>1067</x:v>
      </x:c>
      <x:c r="C110" s="9" t="n">
        <x:v>46074</x:v>
      </x:c>
      <x:c r="D110" s="4" t="n">
        <x:v>0</x:v>
      </x:c>
      <x:c r="E110" s="2" t="str">
        <x:v>Не оплачено</x:v>
      </x:c>
    </x:row>
    <x:row r="111">
      <x:c r="A111" s="2" t="str">
        <x:v>P110</x:v>
      </x:c>
      <x:c r="B111" s="2" t="n">
        <x:v>1149</x:v>
      </x:c>
      <x:c r="C111" s="9" t="n">
        <x:v>46082</x:v>
      </x:c>
      <x:c r="D111" s="4" t="n">
        <x:v>0</x:v>
      </x:c>
      <x:c r="E111" s="2" t="str">
        <x:v>Не оплачено</x:v>
      </x:c>
    </x:row>
    <x:row r="112">
      <x:c r="A112" s="2" t="str">
        <x:v>P111</x:v>
      </x:c>
      <x:c r="B112" s="2" t="n">
        <x:v>1079</x:v>
      </x:c>
      <x:c r="C112" s="9" t="n">
        <x:v>46073</x:v>
      </x:c>
      <x:c r="D112" s="4" t="n">
        <x:v>0</x:v>
      </x:c>
      <x:c r="E112" s="2" t="str">
        <x:v>Не оплачено</x:v>
      </x:c>
    </x:row>
    <x:row r="113">
      <x:c r="A113" s="2" t="str">
        <x:v>P112</x:v>
      </x:c>
      <x:c r="B113" s="2" t="n">
        <x:v>1152</x:v>
      </x:c>
      <x:c r="C113" s="9" t="n">
        <x:v>46108</x:v>
      </x:c>
      <x:c r="D113" s="4" t="n">
        <x:v>43723</x:v>
      </x:c>
      <x:c r="E113" s="2" t="str">
        <x:v>Частично оплачено</x:v>
      </x:c>
    </x:row>
    <x:row r="114">
      <x:c r="A114" s="2" t="str">
        <x:v>P113</x:v>
      </x:c>
      <x:c r="B114" s="2" t="n">
        <x:v>1048</x:v>
      </x:c>
      <x:c r="C114" s="9" t="n">
        <x:v>46112</x:v>
      </x:c>
      <x:c r="D114" s="4" t="n">
        <x:v>45121</x:v>
      </x:c>
      <x:c r="E114" s="2" t="str">
        <x:v>Частично оплачено</x:v>
      </x:c>
    </x:row>
    <x:row r="115">
      <x:c r="A115" s="2" t="str">
        <x:v>P114</x:v>
      </x:c>
      <x:c r="B115" s="2" t="n">
        <x:v>1158</x:v>
      </x:c>
      <x:c r="C115" s="9" t="n">
        <x:v>46071</x:v>
      </x:c>
      <x:c r="D115" s="4" t="n">
        <x:v>0</x:v>
      </x:c>
      <x:c r="E115" s="2" t="str">
        <x:v>Не оплачено</x:v>
      </x:c>
    </x:row>
    <x:row r="116">
      <x:c r="A116" s="2" t="str">
        <x:v>P115</x:v>
      </x:c>
      <x:c r="B116" s="2" t="n">
        <x:v>1122</x:v>
      </x:c>
      <x:c r="C116" s="9" t="n">
        <x:v>46091</x:v>
      </x:c>
      <x:c r="D116" s="4" t="n">
        <x:v>101819</x:v>
      </x:c>
      <x:c r="E116" s="2" t="str">
        <x:v>Частично оплачено</x:v>
      </x:c>
    </x:row>
    <x:row r="117">
      <x:c r="A117" s="2" t="str">
        <x:v>P116</x:v>
      </x:c>
      <x:c r="B117" s="2" t="n">
        <x:v>1154</x:v>
      </x:c>
      <x:c r="C117" s="9" t="n">
        <x:v>46083</x:v>
      </x:c>
      <x:c r="D117" s="4" t="n">
        <x:v>0</x:v>
      </x:c>
      <x:c r="E117" s="2" t="str">
        <x:v>Не оплачено</x:v>
      </x:c>
    </x:row>
    <x:row r="118">
      <x:c r="A118" s="2" t="str">
        <x:v>P117</x:v>
      </x:c>
      <x:c r="B118" s="2" t="n">
        <x:v>1115</x:v>
      </x:c>
      <x:c r="C118" s="9" t="n">
        <x:v>46157</x:v>
      </x:c>
      <x:c r="D118" s="4" t="n">
        <x:v>13246</x:v>
      </x:c>
      <x:c r="E118" s="2" t="str">
        <x:v>Частично оплачено</x:v>
      </x:c>
    </x:row>
    <x:row r="119">
      <x:c r="A119" s="2" t="str">
        <x:v>P118</x:v>
      </x:c>
      <x:c r="B119" s="2" t="n">
        <x:v>1151</x:v>
      </x:c>
      <x:c r="C119" s="9" t="n">
        <x:v>46180</x:v>
      </x:c>
      <x:c r="D119" s="4" t="n">
        <x:v>0</x:v>
      </x:c>
      <x:c r="E119" s="2" t="str">
        <x:v>Не оплачено</x:v>
      </x:c>
    </x:row>
    <x:row r="120">
      <x:c r="A120" s="2" t="str">
        <x:v>P119</x:v>
      </x:c>
      <x:c r="B120" s="2" t="n">
        <x:v>1003</x:v>
      </x:c>
      <x:c r="C120" s="9" t="n">
        <x:v>46165</x:v>
      </x:c>
      <x:c r="D120" s="4" t="n">
        <x:v>39958</x:v>
      </x:c>
      <x:c r="E120" s="2" t="str">
        <x:v>Частично оплачено</x:v>
      </x:c>
    </x:row>
    <x:row r="121">
      <x:c r="A121" s="2" t="str">
        <x:v>P120</x:v>
      </x:c>
      <x:c r="B121" s="2" t="n">
        <x:v>1144</x:v>
      </x:c>
      <x:c r="C121" s="9" t="n">
        <x:v>46176</x:v>
      </x:c>
      <x:c r="D121" s="4" t="n">
        <x:v>16148</x:v>
      </x:c>
      <x:c r="E121" s="2" t="str">
        <x:v>Частично оплачено</x:v>
      </x:c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</x:sheetData>
  <x:pageMargins left="0.7" right="0.7" top="0.75" bottom="0.75" header="0.3" footer="0.3"/>
  <x:tableParts count="1">
    <x:tablePart xmlns:r="http://schemas.openxmlformats.org/officeDocument/2006/relationships" r:id="R5122182677234b6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2" width="12.7109375" customWidth="1"/>
    <x:col min="3" max="3" width="18.7109375" customWidth="1"/>
    <x:col min="4" max="4" width="20.7109375" customWidth="1"/>
    <x:col min="5" max="5" width="22.7109375" customWidth="1"/>
    <x:col min="6" max="7" width="18.7109375" customWidth="1"/>
    <x:col min="8" max="8" width="16.7109375" customWidth="1"/>
    <x:col min="9" max="9" width="15.7109375" customWidth="1"/>
    <x:col min="10" max="10" width="12.7109375" customWidth="1"/>
    <x:col min="11" max="11" width="38.7109375" customWidth="1"/>
  </x:cols>
  <x:sheetData>
    <x:row r="1" ht="42" customHeight="1">
      <x:c r="A1" s="12" t="str">
        <x:v>entity</x:v>
      </x:c>
      <x:c r="B1" s="12" t="str">
        <x:v>record_id</x:v>
      </x:c>
      <x:c r="C1" s="12" t="str">
        <x:v>duplicate_id</x:v>
      </x:c>
      <x:c r="D1" s="12" t="str">
        <x:v>required_fields</x:v>
      </x:c>
      <x:c r="E1" s="12" t="str">
        <x:v>reference</x:v>
      </x:c>
      <x:c r="F1" s="12" t="str">
        <x:v>calculation_or_INN_format</x:v>
      </x:c>
      <x:c r="G1" s="12" t="str">
        <x:v>negative_price</x:v>
      </x:c>
      <x:c r="H1" s="12" t="str">
        <x:v>date</x:v>
      </x:c>
      <x:c r="I1" s="12" t="str">
        <x:v>status</x:v>
      </x:c>
      <x:c r="J1" s="12" t="str">
        <x:v>error_count</x:v>
      </x:c>
      <x:c r="K1" s="12" t="str">
        <x:v>source_row</x:v>
      </x:c>
    </x:row>
    <x:row r="2">
      <x:c r="A2" s="2" t="str">
        <x:f>IF(COUNTA('01_orders_raw'!A2:J2)&gt;0,"Order","")</x:f>
        <x:v>Order</x:v>
      </x:c>
      <x:c r="B2" s="2" t="n">
        <x:f>IF(COUNTA('01_orders_raw'!A2:J2)&gt;0,'01_orders_raw'!A2,"")</x:f>
        <x:v>1001</x:v>
      </x:c>
      <x:c r="C2" s="2" t="str">
        <x:f>IF(COUNTA('01_orders_raw'!A2:J2)&gt;0,IF(AND(LEN('01_orders_raw'!A2&amp;"")&gt;0,COUNTIF('01_orders_raw'!$A$2:$A$181,'01_orders_raw'!A2)&gt;1),"ERROR","OK"),"")</x:f>
        <x:v>OK</x:v>
      </x:c>
      <x:c r="D2" s="2" t="str">
        <x:f>IF(COUNTA('01_orders_raw'!A2:J2)&gt;0,IF(OR(LEN('01_orders_raw'!A2&amp;"")=0,LEN('01_orders_raw'!B2&amp;"")=0,LEN('01_orders_raw'!C2&amp;"")=0,LEN('01_orders_raw'!D2&amp;"")=0,LEN('01_orders_raw'!E2&amp;"")=0,LEN('01_orders_raw'!F2&amp;"")=0,LEN('01_orders_raw'!G2&amp;"")=0,LEN('01_orders_raw'!H2&amp;"")=0,LEN('01_orders_raw'!I2&amp;"")=0,LEN('01_orders_raw'!J2&amp;"")=0),"ERROR","OK"),"")</x:f>
        <x:v>OK</x:v>
      </x:c>
      <x:c r="E2" s="2" t="str">
        <x:f>IF(COUNTA('01_orders_raw'!A2:J2)&gt;0,IF(LEN('01_orders_raw'!C2&amp;"")=0,"SKIP",IF(COUNTIF('02_clients_raw'!$A$2:$A$67,'01_orders_raw'!C2)&lt;&gt;1,"ERROR","OK")),"")</x:f>
        <x:v>OK</x:v>
      </x:c>
      <x:c r="F2" s="2" t="str">
        <x:f>IF(COUNTA('01_orders_raw'!A2:J2)&gt;0,IF(OR(LEN('01_orders_raw'!G2&amp;"")=0,LEN('01_orders_raw'!H2&amp;"")=0,LEN('01_orders_raw'!I2&amp;"")=0),"SKIP",IF(AND(ISNUMBER('01_orders_raw'!G2),ISNUMBER('01_orders_raw'!H2),ISNUMBER('01_orders_raw'!I2)),IF(OR('01_orders_raw'!G2&lt;=0,MOD('01_orders_raw'!G2,1)&lt;&gt;0,ABS('01_orders_raw'!I2-'01_orders_raw'!G2*'01_orders_raw'!H2)&gt;'09_parameters'!$B$3),"ERROR","OK"),"ERROR")),"")</x:f>
        <x:v>OK</x:v>
      </x:c>
      <x:c r="G2" s="2" t="str">
        <x:f>IF(COUNTA('01_orders_raw'!A2:J2)&gt;0,IF(LEN('01_orders_raw'!H2&amp;"")=0,"SKIP",IF('01_orders_raw'!H2&lt;0,"ERROR","OK")),"")</x:f>
        <x:v>OK</x:v>
      </x:c>
      <x:c r="H2" s="2" t="str">
        <x:f>IF(COUNTA('01_orders_raw'!A2:J2)&gt;0,IF(LEN('01_orders_raw'!B2&amp;"")=0,"SKIP",IF(OR(NOT(ISNUMBER('01_orders_raw'!B2)),'01_orders_raw'!B2&lt;=0,'01_orders_raw'!B2&gt;'09_parameters'!$B$2),"ERROR","OK")),"")</x:f>
        <x:v>OK</x:v>
      </x:c>
      <x:c r="I2" s="2" t="str">
        <x:f>IF(COUNTA('01_orders_raw'!A2:J2)&gt;0,IF(LEN('01_orders_raw'!J2&amp;"")=0,"SKIP",IF(AND('01_orders_raw'!J2&lt;&gt;"Выполнен",'01_orders_raw'!J2&lt;&gt;"В работе",'01_orders_raw'!J2&lt;&gt;"Отменен",'01_orders_raw'!J2&lt;&gt;"Ожидает оплаты"),"ERROR","OK")),"")</x:f>
        <x:v>OK</x:v>
      </x:c>
      <x:c r="J2" s="2" t="n">
        <x:f>COUNTIF(C2:I2,"ERROR")</x:f>
        <x:v>0</x:v>
      </x:c>
      <x:c r="K2" s="2" t="n">
        <x:f>IF(COUNTA('01_orders_raw'!A2:J2)&gt;0,2,"")</x:f>
        <x:v>2</x:v>
      </x:c>
    </x:row>
    <x:row r="3">
      <x:c r="A3" s="2" t="str">
        <x:f>IF(COUNTA('01_orders_raw'!A3:J3)&gt;0,"Order","")</x:f>
        <x:v>Order</x:v>
      </x:c>
      <x:c r="B3" s="2" t="n">
        <x:f>IF(COUNTA('01_orders_raw'!A3:J3)&gt;0,'01_orders_raw'!A3,"")</x:f>
        <x:v>1002</x:v>
      </x:c>
      <x:c r="C3" s="2" t="str">
        <x:f>IF(COUNTA('01_orders_raw'!A3:J3)&gt;0,IF(AND(LEN('01_orders_raw'!A3&amp;"")&gt;0,COUNTIF('01_orders_raw'!$A$2:$A$181,'01_orders_raw'!A3)&gt;1),"ERROR","OK"),"")</x:f>
        <x:v>OK</x:v>
      </x:c>
      <x:c r="D3" s="2" t="str">
        <x:f>IF(COUNTA('01_orders_raw'!A3:J3)&gt;0,IF(OR(LEN('01_orders_raw'!A3&amp;"")=0,LEN('01_orders_raw'!B3&amp;"")=0,LEN('01_orders_raw'!C3&amp;"")=0,LEN('01_orders_raw'!D3&amp;"")=0,LEN('01_orders_raw'!E3&amp;"")=0,LEN('01_orders_raw'!F3&amp;"")=0,LEN('01_orders_raw'!G3&amp;"")=0,LEN('01_orders_raw'!H3&amp;"")=0,LEN('01_orders_raw'!I3&amp;"")=0,LEN('01_orders_raw'!J3&amp;"")=0),"ERROR","OK"),"")</x:f>
        <x:v>OK</x:v>
      </x:c>
      <x:c r="E3" s="2" t="str">
        <x:f>IF(COUNTA('01_orders_raw'!A3:J3)&gt;0,IF(LEN('01_orders_raw'!C3&amp;"")=0,"SKIP",IF(COUNTIF('02_clients_raw'!$A$2:$A$67,'01_orders_raw'!C3)&lt;&gt;1,"ERROR","OK")),"")</x:f>
        <x:v>OK</x:v>
      </x:c>
      <x:c r="F3" s="2" t="str">
        <x:f>IF(COUNTA('01_orders_raw'!A3:J3)&gt;0,IF(OR(LEN('01_orders_raw'!G3&amp;"")=0,LEN('01_orders_raw'!H3&amp;"")=0,LEN('01_orders_raw'!I3&amp;"")=0),"SKIP",IF(AND(ISNUMBER('01_orders_raw'!G3),ISNUMBER('01_orders_raw'!H3),ISNUMBER('01_orders_raw'!I3)),IF(OR('01_orders_raw'!G3&lt;=0,MOD('01_orders_raw'!G3,1)&lt;&gt;0,ABS('01_orders_raw'!I3-'01_orders_raw'!G3*'01_orders_raw'!H3)&gt;'09_parameters'!$B$3),"ERROR","OK"),"ERROR")),"")</x:f>
        <x:v>OK</x:v>
      </x:c>
      <x:c r="G3" s="2" t="str">
        <x:f>IF(COUNTA('01_orders_raw'!A3:J3)&gt;0,IF(LEN('01_orders_raw'!H3&amp;"")=0,"SKIP",IF('01_orders_raw'!H3&lt;0,"ERROR","OK")),"")</x:f>
        <x:v>OK</x:v>
      </x:c>
      <x:c r="H3" s="2" t="str">
        <x:f>IF(COUNTA('01_orders_raw'!A3:J3)&gt;0,IF(LEN('01_orders_raw'!B3&amp;"")=0,"SKIP",IF(OR(NOT(ISNUMBER('01_orders_raw'!B3)),'01_orders_raw'!B3&lt;=0,'01_orders_raw'!B3&gt;'09_parameters'!$B$2),"ERROR","OK")),"")</x:f>
        <x:v>OK</x:v>
      </x:c>
      <x:c r="I3" s="2" t="str">
        <x:f>IF(COUNTA('01_orders_raw'!A3:J3)&gt;0,IF(LEN('01_orders_raw'!J3&amp;"")=0,"SKIP",IF(AND('01_orders_raw'!J3&lt;&gt;"Выполнен",'01_orders_raw'!J3&lt;&gt;"В работе",'01_orders_raw'!J3&lt;&gt;"Отменен",'01_orders_raw'!J3&lt;&gt;"Ожидает оплаты"),"ERROR","OK")),"")</x:f>
        <x:v>OK</x:v>
      </x:c>
      <x:c r="J3" s="2" t="n">
        <x:f>COUNTIF(C3:I3,"ERROR")</x:f>
        <x:v>0</x:v>
      </x:c>
      <x:c r="K3" s="2" t="n">
        <x:f>IF(COUNTA('01_orders_raw'!A3:J3)&gt;0,3,"")</x:f>
        <x:v>3</x:v>
      </x:c>
    </x:row>
    <x:row r="4">
      <x:c r="A4" s="2" t="str">
        <x:f>IF(COUNTA('01_orders_raw'!A4:J4)&gt;0,"Order","")</x:f>
        <x:v>Order</x:v>
      </x:c>
      <x:c r="B4" s="2" t="n">
        <x:f>IF(COUNTA('01_orders_raw'!A4:J4)&gt;0,'01_orders_raw'!A4,"")</x:f>
        <x:v>1003</x:v>
      </x:c>
      <x:c r="C4" s="2" t="str">
        <x:f>IF(COUNTA('01_orders_raw'!A4:J4)&gt;0,IF(AND(LEN('01_orders_raw'!A4&amp;"")&gt;0,COUNTIF('01_orders_raw'!$A$2:$A$181,'01_orders_raw'!A4)&gt;1),"ERROR","OK"),"")</x:f>
        <x:v>OK</x:v>
      </x:c>
      <x:c r="D4" s="2" t="str">
        <x:f>IF(COUNTA('01_orders_raw'!A4:J4)&gt;0,IF(OR(LEN('01_orders_raw'!A4&amp;"")=0,LEN('01_orders_raw'!B4&amp;"")=0,LEN('01_orders_raw'!C4&amp;"")=0,LEN('01_orders_raw'!D4&amp;"")=0,LEN('01_orders_raw'!E4&amp;"")=0,LEN('01_orders_raw'!F4&amp;"")=0,LEN('01_orders_raw'!G4&amp;"")=0,LEN('01_orders_raw'!H4&amp;"")=0,LEN('01_orders_raw'!I4&amp;"")=0,LEN('01_orders_raw'!J4&amp;"")=0),"ERROR","OK"),"")</x:f>
        <x:v>OK</x:v>
      </x:c>
      <x:c r="E4" s="2" t="str">
        <x:f>IF(COUNTA('01_orders_raw'!A4:J4)&gt;0,IF(LEN('01_orders_raw'!C4&amp;"")=0,"SKIP",IF(COUNTIF('02_clients_raw'!$A$2:$A$67,'01_orders_raw'!C4)&lt;&gt;1,"ERROR","OK")),"")</x:f>
        <x:v>OK</x:v>
      </x:c>
      <x:c r="F4" s="2" t="str">
        <x:f>IF(COUNTA('01_orders_raw'!A4:J4)&gt;0,IF(OR(LEN('01_orders_raw'!G4&amp;"")=0,LEN('01_orders_raw'!H4&amp;"")=0,LEN('01_orders_raw'!I4&amp;"")=0),"SKIP",IF(AND(ISNUMBER('01_orders_raw'!G4),ISNUMBER('01_orders_raw'!H4),ISNUMBER('01_orders_raw'!I4)),IF(OR('01_orders_raw'!G4&lt;=0,MOD('01_orders_raw'!G4,1)&lt;&gt;0,ABS('01_orders_raw'!I4-'01_orders_raw'!G4*'01_orders_raw'!H4)&gt;'09_parameters'!$B$3),"ERROR","OK"),"ERROR")),"")</x:f>
        <x:v>OK</x:v>
      </x:c>
      <x:c r="G4" s="2" t="str">
        <x:f>IF(COUNTA('01_orders_raw'!A4:J4)&gt;0,IF(LEN('01_orders_raw'!H4&amp;"")=0,"SKIP",IF('01_orders_raw'!H4&lt;0,"ERROR","OK")),"")</x:f>
        <x:v>OK</x:v>
      </x:c>
      <x:c r="H4" s="2" t="str">
        <x:f>IF(COUNTA('01_orders_raw'!A4:J4)&gt;0,IF(LEN('01_orders_raw'!B4&amp;"")=0,"SKIP",IF(OR(NOT(ISNUMBER('01_orders_raw'!B4)),'01_orders_raw'!B4&lt;=0,'01_orders_raw'!B4&gt;'09_parameters'!$B$2),"ERROR","OK")),"")</x:f>
        <x:v>OK</x:v>
      </x:c>
      <x:c r="I4" s="2" t="str">
        <x:f>IF(COUNTA('01_orders_raw'!A4:J4)&gt;0,IF(LEN('01_orders_raw'!J4&amp;"")=0,"SKIP",IF(AND('01_orders_raw'!J4&lt;&gt;"Выполнен",'01_orders_raw'!J4&lt;&gt;"В работе",'01_orders_raw'!J4&lt;&gt;"Отменен",'01_orders_raw'!J4&lt;&gt;"Ожидает оплаты"),"ERROR","OK")),"")</x:f>
        <x:v>OK</x:v>
      </x:c>
      <x:c r="J4" s="2" t="n">
        <x:f>COUNTIF(C4:I4,"ERROR")</x:f>
        <x:v>0</x:v>
      </x:c>
      <x:c r="K4" s="2" t="n">
        <x:f>IF(COUNTA('01_orders_raw'!A4:J4)&gt;0,4,"")</x:f>
        <x:v>4</x:v>
      </x:c>
    </x:row>
    <x:row r="5">
      <x:c r="A5" s="2" t="str">
        <x:f>IF(COUNTA('01_orders_raw'!A5:J5)&gt;0,"Order","")</x:f>
        <x:v>Order</x:v>
      </x:c>
      <x:c r="B5" s="2" t="n">
        <x:f>IF(COUNTA('01_orders_raw'!A5:J5)&gt;0,'01_orders_raw'!A5,"")</x:f>
        <x:v>1004</x:v>
      </x:c>
      <x:c r="C5" s="2" t="str">
        <x:f>IF(COUNTA('01_orders_raw'!A5:J5)&gt;0,IF(AND(LEN('01_orders_raw'!A5&amp;"")&gt;0,COUNTIF('01_orders_raw'!$A$2:$A$181,'01_orders_raw'!A5)&gt;1),"ERROR","OK"),"")</x:f>
        <x:v>OK</x:v>
      </x:c>
      <x:c r="D5" s="2" t="str">
        <x:f>IF(COUNTA('01_orders_raw'!A5:J5)&gt;0,IF(OR(LEN('01_orders_raw'!A5&amp;"")=0,LEN('01_orders_raw'!B5&amp;"")=0,LEN('01_orders_raw'!C5&amp;"")=0,LEN('01_orders_raw'!D5&amp;"")=0,LEN('01_orders_raw'!E5&amp;"")=0,LEN('01_orders_raw'!F5&amp;"")=0,LEN('01_orders_raw'!G5&amp;"")=0,LEN('01_orders_raw'!H5&amp;"")=0,LEN('01_orders_raw'!I5&amp;"")=0,LEN('01_orders_raw'!J5&amp;"")=0),"ERROR","OK"),"")</x:f>
        <x:v>OK</x:v>
      </x:c>
      <x:c r="E5" s="2" t="str">
        <x:f>IF(COUNTA('01_orders_raw'!A5:J5)&gt;0,IF(LEN('01_orders_raw'!C5&amp;"")=0,"SKIP",IF(COUNTIF('02_clients_raw'!$A$2:$A$67,'01_orders_raw'!C5)&lt;&gt;1,"ERROR","OK")),"")</x:f>
        <x:v>OK</x:v>
      </x:c>
      <x:c r="F5" s="2" t="str">
        <x:f>IF(COUNTA('01_orders_raw'!A5:J5)&gt;0,IF(OR(LEN('01_orders_raw'!G5&amp;"")=0,LEN('01_orders_raw'!H5&amp;"")=0,LEN('01_orders_raw'!I5&amp;"")=0),"SKIP",IF(AND(ISNUMBER('01_orders_raw'!G5),ISNUMBER('01_orders_raw'!H5),ISNUMBER('01_orders_raw'!I5)),IF(OR('01_orders_raw'!G5&lt;=0,MOD('01_orders_raw'!G5,1)&lt;&gt;0,ABS('01_orders_raw'!I5-'01_orders_raw'!G5*'01_orders_raw'!H5)&gt;'09_parameters'!$B$3),"ERROR","OK"),"ERROR")),"")</x:f>
        <x:v>OK</x:v>
      </x:c>
      <x:c r="G5" s="2" t="str">
        <x:f>IF(COUNTA('01_orders_raw'!A5:J5)&gt;0,IF(LEN('01_orders_raw'!H5&amp;"")=0,"SKIP",IF('01_orders_raw'!H5&lt;0,"ERROR","OK")),"")</x:f>
        <x:v>OK</x:v>
      </x:c>
      <x:c r="H5" s="2" t="str">
        <x:f>IF(COUNTA('01_orders_raw'!A5:J5)&gt;0,IF(LEN('01_orders_raw'!B5&amp;"")=0,"SKIP",IF(OR(NOT(ISNUMBER('01_orders_raw'!B5)),'01_orders_raw'!B5&lt;=0,'01_orders_raw'!B5&gt;'09_parameters'!$B$2),"ERROR","OK")),"")</x:f>
        <x:v>OK</x:v>
      </x:c>
      <x:c r="I5" s="2" t="str">
        <x:f>IF(COUNTA('01_orders_raw'!A5:J5)&gt;0,IF(LEN('01_orders_raw'!J5&amp;"")=0,"SKIP",IF(AND('01_orders_raw'!J5&lt;&gt;"Выполнен",'01_orders_raw'!J5&lt;&gt;"В работе",'01_orders_raw'!J5&lt;&gt;"Отменен",'01_orders_raw'!J5&lt;&gt;"Ожидает оплаты"),"ERROR","OK")),"")</x:f>
        <x:v>OK</x:v>
      </x:c>
      <x:c r="J5" s="2" t="n">
        <x:f>COUNTIF(C5:I5,"ERROR")</x:f>
        <x:v>0</x:v>
      </x:c>
      <x:c r="K5" s="2" t="n">
        <x:f>IF(COUNTA('01_orders_raw'!A5:J5)&gt;0,5,"")</x:f>
        <x:v>5</x:v>
      </x:c>
    </x:row>
    <x:row r="6">
      <x:c r="A6" s="2" t="str">
        <x:f>IF(COUNTA('01_orders_raw'!A6:J6)&gt;0,"Order","")</x:f>
        <x:v>Order</x:v>
      </x:c>
      <x:c r="B6" s="2" t="n">
        <x:f>IF(COUNTA('01_orders_raw'!A6:J6)&gt;0,'01_orders_raw'!A6,"")</x:f>
        <x:v>1005</x:v>
      </x:c>
      <x:c r="C6" s="2" t="str">
        <x:f>IF(COUNTA('01_orders_raw'!A6:J6)&gt;0,IF(AND(LEN('01_orders_raw'!A6&amp;"")&gt;0,COUNTIF('01_orders_raw'!$A$2:$A$181,'01_orders_raw'!A6)&gt;1),"ERROR","OK"),"")</x:f>
        <x:v>OK</x:v>
      </x:c>
      <x:c r="D6" s="2" t="str">
        <x:f>IF(COUNTA('01_orders_raw'!A6:J6)&gt;0,IF(OR(LEN('01_orders_raw'!A6&amp;"")=0,LEN('01_orders_raw'!B6&amp;"")=0,LEN('01_orders_raw'!C6&amp;"")=0,LEN('01_orders_raw'!D6&amp;"")=0,LEN('01_orders_raw'!E6&amp;"")=0,LEN('01_orders_raw'!F6&amp;"")=0,LEN('01_orders_raw'!G6&amp;"")=0,LEN('01_orders_raw'!H6&amp;"")=0,LEN('01_orders_raw'!I6&amp;"")=0,LEN('01_orders_raw'!J6&amp;"")=0),"ERROR","OK"),"")</x:f>
        <x:v>OK</x:v>
      </x:c>
      <x:c r="E6" s="2" t="str">
        <x:f>IF(COUNTA('01_orders_raw'!A6:J6)&gt;0,IF(LEN('01_orders_raw'!C6&amp;"")=0,"SKIP",IF(COUNTIF('02_clients_raw'!$A$2:$A$67,'01_orders_raw'!C6)&lt;&gt;1,"ERROR","OK")),"")</x:f>
        <x:v>OK</x:v>
      </x:c>
      <x:c r="F6" s="2" t="str">
        <x:f>IF(COUNTA('01_orders_raw'!A6:J6)&gt;0,IF(OR(LEN('01_orders_raw'!G6&amp;"")=0,LEN('01_orders_raw'!H6&amp;"")=0,LEN('01_orders_raw'!I6&amp;"")=0),"SKIP",IF(AND(ISNUMBER('01_orders_raw'!G6),ISNUMBER('01_orders_raw'!H6),ISNUMBER('01_orders_raw'!I6)),IF(OR('01_orders_raw'!G6&lt;=0,MOD('01_orders_raw'!G6,1)&lt;&gt;0,ABS('01_orders_raw'!I6-'01_orders_raw'!G6*'01_orders_raw'!H6)&gt;'09_parameters'!$B$3),"ERROR","OK"),"ERROR")),"")</x:f>
        <x:v>OK</x:v>
      </x:c>
      <x:c r="G6" s="2" t="str">
        <x:f>IF(COUNTA('01_orders_raw'!A6:J6)&gt;0,IF(LEN('01_orders_raw'!H6&amp;"")=0,"SKIP",IF('01_orders_raw'!H6&lt;0,"ERROR","OK")),"")</x:f>
        <x:v>OK</x:v>
      </x:c>
      <x:c r="H6" s="2" t="str">
        <x:f>IF(COUNTA('01_orders_raw'!A6:J6)&gt;0,IF(LEN('01_orders_raw'!B6&amp;"")=0,"SKIP",IF(OR(NOT(ISNUMBER('01_orders_raw'!B6)),'01_orders_raw'!B6&lt;=0,'01_orders_raw'!B6&gt;'09_parameters'!$B$2),"ERROR","OK")),"")</x:f>
        <x:v>OK</x:v>
      </x:c>
      <x:c r="I6" s="2" t="str">
        <x:f>IF(COUNTA('01_orders_raw'!A6:J6)&gt;0,IF(LEN('01_orders_raw'!J6&amp;"")=0,"SKIP",IF(AND('01_orders_raw'!J6&lt;&gt;"Выполнен",'01_orders_raw'!J6&lt;&gt;"В работе",'01_orders_raw'!J6&lt;&gt;"Отменен",'01_orders_raw'!J6&lt;&gt;"Ожидает оплаты"),"ERROR","OK")),"")</x:f>
        <x:v>OK</x:v>
      </x:c>
      <x:c r="J6" s="2" t="n">
        <x:f>COUNTIF(C6:I6,"ERROR")</x:f>
        <x:v>0</x:v>
      </x:c>
      <x:c r="K6" s="2" t="n">
        <x:f>IF(COUNTA('01_orders_raw'!A6:J6)&gt;0,6,"")</x:f>
        <x:v>6</x:v>
      </x:c>
    </x:row>
    <x:row r="7">
      <x:c r="A7" s="2" t="str">
        <x:f>IF(COUNTA('01_orders_raw'!A7:J7)&gt;0,"Order","")</x:f>
        <x:v>Order</x:v>
      </x:c>
      <x:c r="B7" s="2" t="n">
        <x:f>IF(COUNTA('01_orders_raw'!A7:J7)&gt;0,'01_orders_raw'!A7,"")</x:f>
        <x:v>1006</x:v>
      </x:c>
      <x:c r="C7" s="2" t="str">
        <x:f>IF(COUNTA('01_orders_raw'!A7:J7)&gt;0,IF(AND(LEN('01_orders_raw'!A7&amp;"")&gt;0,COUNTIF('01_orders_raw'!$A$2:$A$181,'01_orders_raw'!A7)&gt;1),"ERROR","OK"),"")</x:f>
        <x:v>OK</x:v>
      </x:c>
      <x:c r="D7" s="2" t="str">
        <x:f>IF(COUNTA('01_orders_raw'!A7:J7)&gt;0,IF(OR(LEN('01_orders_raw'!A7&amp;"")=0,LEN('01_orders_raw'!B7&amp;"")=0,LEN('01_orders_raw'!C7&amp;"")=0,LEN('01_orders_raw'!D7&amp;"")=0,LEN('01_orders_raw'!E7&amp;"")=0,LEN('01_orders_raw'!F7&amp;"")=0,LEN('01_orders_raw'!G7&amp;"")=0,LEN('01_orders_raw'!H7&amp;"")=0,LEN('01_orders_raw'!I7&amp;"")=0,LEN('01_orders_raw'!J7&amp;"")=0),"ERROR","OK"),"")</x:f>
        <x:v>OK</x:v>
      </x:c>
      <x:c r="E7" s="2" t="str">
        <x:f>IF(COUNTA('01_orders_raw'!A7:J7)&gt;0,IF(LEN('01_orders_raw'!C7&amp;"")=0,"SKIP",IF(COUNTIF('02_clients_raw'!$A$2:$A$67,'01_orders_raw'!C7)&lt;&gt;1,"ERROR","OK")),"")</x:f>
        <x:v>OK</x:v>
      </x:c>
      <x:c r="F7" s="2" t="str">
        <x:f>IF(COUNTA('01_orders_raw'!A7:J7)&gt;0,IF(OR(LEN('01_orders_raw'!G7&amp;"")=0,LEN('01_orders_raw'!H7&amp;"")=0,LEN('01_orders_raw'!I7&amp;"")=0),"SKIP",IF(AND(ISNUMBER('01_orders_raw'!G7),ISNUMBER('01_orders_raw'!H7),ISNUMBER('01_orders_raw'!I7)),IF(OR('01_orders_raw'!G7&lt;=0,MOD('01_orders_raw'!G7,1)&lt;&gt;0,ABS('01_orders_raw'!I7-'01_orders_raw'!G7*'01_orders_raw'!H7)&gt;'09_parameters'!$B$3),"ERROR","OK"),"ERROR")),"")</x:f>
        <x:v>OK</x:v>
      </x:c>
      <x:c r="G7" s="2" t="str">
        <x:f>IF(COUNTA('01_orders_raw'!A7:J7)&gt;0,IF(LEN('01_orders_raw'!H7&amp;"")=0,"SKIP",IF('01_orders_raw'!H7&lt;0,"ERROR","OK")),"")</x:f>
        <x:v>OK</x:v>
      </x:c>
      <x:c r="H7" s="2" t="str">
        <x:f>IF(COUNTA('01_orders_raw'!A7:J7)&gt;0,IF(LEN('01_orders_raw'!B7&amp;"")=0,"SKIP",IF(OR(NOT(ISNUMBER('01_orders_raw'!B7)),'01_orders_raw'!B7&lt;=0,'01_orders_raw'!B7&gt;'09_parameters'!$B$2),"ERROR","OK")),"")</x:f>
        <x:v>OK</x:v>
      </x:c>
      <x:c r="I7" s="2" t="str">
        <x:f>IF(COUNTA('01_orders_raw'!A7:J7)&gt;0,IF(LEN('01_orders_raw'!J7&amp;"")=0,"SKIP",IF(AND('01_orders_raw'!J7&lt;&gt;"Выполнен",'01_orders_raw'!J7&lt;&gt;"В работе",'01_orders_raw'!J7&lt;&gt;"Отменен",'01_orders_raw'!J7&lt;&gt;"Ожидает оплаты"),"ERROR","OK")),"")</x:f>
        <x:v>OK</x:v>
      </x:c>
      <x:c r="J7" s="2" t="n">
        <x:f>COUNTIF(C7:I7,"ERROR")</x:f>
        <x:v>0</x:v>
      </x:c>
      <x:c r="K7" s="2" t="n">
        <x:f>IF(COUNTA('01_orders_raw'!A7:J7)&gt;0,7,"")</x:f>
        <x:v>7</x:v>
      </x:c>
    </x:row>
    <x:row r="8">
      <x:c r="A8" s="2" t="str">
        <x:f>IF(COUNTA('01_orders_raw'!A8:J8)&gt;0,"Order","")</x:f>
        <x:v>Order</x:v>
      </x:c>
      <x:c r="B8" s="2" t="n">
        <x:f>IF(COUNTA('01_orders_raw'!A8:J8)&gt;0,'01_orders_raw'!A8,"")</x:f>
        <x:v>1007</x:v>
      </x:c>
      <x:c r="C8" s="2" t="str">
        <x:f>IF(COUNTA('01_orders_raw'!A8:J8)&gt;0,IF(AND(LEN('01_orders_raw'!A8&amp;"")&gt;0,COUNTIF('01_orders_raw'!$A$2:$A$181,'01_orders_raw'!A8)&gt;1),"ERROR","OK"),"")</x:f>
        <x:v>ERROR</x:v>
      </x:c>
      <x:c r="D8" s="2" t="str">
        <x:f>IF(COUNTA('01_orders_raw'!A8:J8)&gt;0,IF(OR(LEN('01_orders_raw'!A8&amp;"")=0,LEN('01_orders_raw'!B8&amp;"")=0,LEN('01_orders_raw'!C8&amp;"")=0,LEN('01_orders_raw'!D8&amp;"")=0,LEN('01_orders_raw'!E8&amp;"")=0,LEN('01_orders_raw'!F8&amp;"")=0,LEN('01_orders_raw'!G8&amp;"")=0,LEN('01_orders_raw'!H8&amp;"")=0,LEN('01_orders_raw'!I8&amp;"")=0,LEN('01_orders_raw'!J8&amp;"")=0),"ERROR","OK"),"")</x:f>
        <x:v>OK</x:v>
      </x:c>
      <x:c r="E8" s="2" t="str">
        <x:f>IF(COUNTA('01_orders_raw'!A8:J8)&gt;0,IF(LEN('01_orders_raw'!C8&amp;"")=0,"SKIP",IF(COUNTIF('02_clients_raw'!$A$2:$A$67,'01_orders_raw'!C8)&lt;&gt;1,"ERROR","OK")),"")</x:f>
        <x:v>OK</x:v>
      </x:c>
      <x:c r="F8" s="2" t="str">
        <x:f>IF(COUNTA('01_orders_raw'!A8:J8)&gt;0,IF(OR(LEN('01_orders_raw'!G8&amp;"")=0,LEN('01_orders_raw'!H8&amp;"")=0,LEN('01_orders_raw'!I8&amp;"")=0),"SKIP",IF(AND(ISNUMBER('01_orders_raw'!G8),ISNUMBER('01_orders_raw'!H8),ISNUMBER('01_orders_raw'!I8)),IF(OR('01_orders_raw'!G8&lt;=0,MOD('01_orders_raw'!G8,1)&lt;&gt;0,ABS('01_orders_raw'!I8-'01_orders_raw'!G8*'01_orders_raw'!H8)&gt;'09_parameters'!$B$3),"ERROR","OK"),"ERROR")),"")</x:f>
        <x:v>OK</x:v>
      </x:c>
      <x:c r="G8" s="2" t="str">
        <x:f>IF(COUNTA('01_orders_raw'!A8:J8)&gt;0,IF(LEN('01_orders_raw'!H8&amp;"")=0,"SKIP",IF('01_orders_raw'!H8&lt;0,"ERROR","OK")),"")</x:f>
        <x:v>OK</x:v>
      </x:c>
      <x:c r="H8" s="2" t="str">
        <x:f>IF(COUNTA('01_orders_raw'!A8:J8)&gt;0,IF(LEN('01_orders_raw'!B8&amp;"")=0,"SKIP",IF(OR(NOT(ISNUMBER('01_orders_raw'!B8)),'01_orders_raw'!B8&lt;=0,'01_orders_raw'!B8&gt;'09_parameters'!$B$2),"ERROR","OK")),"")</x:f>
        <x:v>OK</x:v>
      </x:c>
      <x:c r="I8" s="2" t="str">
        <x:f>IF(COUNTA('01_orders_raw'!A8:J8)&gt;0,IF(LEN('01_orders_raw'!J8&amp;"")=0,"SKIP",IF(AND('01_orders_raw'!J8&lt;&gt;"Выполнен",'01_orders_raw'!J8&lt;&gt;"В работе",'01_orders_raw'!J8&lt;&gt;"Отменен",'01_orders_raw'!J8&lt;&gt;"Ожидает оплаты"),"ERROR","OK")),"")</x:f>
        <x:v>OK</x:v>
      </x:c>
      <x:c r="J8" s="2" t="n">
        <x:f>COUNTIF(C8:I8,"ERROR")</x:f>
        <x:v>1</x:v>
      </x:c>
      <x:c r="K8" s="2" t="n">
        <x:f>IF(COUNTA('01_orders_raw'!A8:J8)&gt;0,8,"")</x:f>
        <x:v>8</x:v>
      </x:c>
    </x:row>
    <x:row r="9">
      <x:c r="A9" s="2" t="str">
        <x:f>IF(COUNTA('01_orders_raw'!A9:J9)&gt;0,"Order","")</x:f>
        <x:v>Order</x:v>
      </x:c>
      <x:c r="B9" s="2" t="n">
        <x:f>IF(COUNTA('01_orders_raw'!A9:J9)&gt;0,'01_orders_raw'!A9,"")</x:f>
        <x:v>1007</x:v>
      </x:c>
      <x:c r="C9" s="2" t="str">
        <x:f>IF(COUNTA('01_orders_raw'!A9:J9)&gt;0,IF(AND(LEN('01_orders_raw'!A9&amp;"")&gt;0,COUNTIF('01_orders_raw'!$A$2:$A$181,'01_orders_raw'!A9)&gt;1),"ERROR","OK"),"")</x:f>
        <x:v>ERROR</x:v>
      </x:c>
      <x:c r="D9" s="2" t="str">
        <x:f>IF(COUNTA('01_orders_raw'!A9:J9)&gt;0,IF(OR(LEN('01_orders_raw'!A9&amp;"")=0,LEN('01_orders_raw'!B9&amp;"")=0,LEN('01_orders_raw'!C9&amp;"")=0,LEN('01_orders_raw'!D9&amp;"")=0,LEN('01_orders_raw'!E9&amp;"")=0,LEN('01_orders_raw'!F9&amp;"")=0,LEN('01_orders_raw'!G9&amp;"")=0,LEN('01_orders_raw'!H9&amp;"")=0,LEN('01_orders_raw'!I9&amp;"")=0,LEN('01_orders_raw'!J9&amp;"")=0),"ERROR","OK"),"")</x:f>
        <x:v>OK</x:v>
      </x:c>
      <x:c r="E9" s="2" t="str">
        <x:f>IF(COUNTA('01_orders_raw'!A9:J9)&gt;0,IF(LEN('01_orders_raw'!C9&amp;"")=0,"SKIP",IF(COUNTIF('02_clients_raw'!$A$2:$A$67,'01_orders_raw'!C9)&lt;&gt;1,"ERROR","OK")),"")</x:f>
        <x:v>OK</x:v>
      </x:c>
      <x:c r="F9" s="2" t="str">
        <x:f>IF(COUNTA('01_orders_raw'!A9:J9)&gt;0,IF(OR(LEN('01_orders_raw'!G9&amp;"")=0,LEN('01_orders_raw'!H9&amp;"")=0,LEN('01_orders_raw'!I9&amp;"")=0),"SKIP",IF(AND(ISNUMBER('01_orders_raw'!G9),ISNUMBER('01_orders_raw'!H9),ISNUMBER('01_orders_raw'!I9)),IF(OR('01_orders_raw'!G9&lt;=0,MOD('01_orders_raw'!G9,1)&lt;&gt;0,ABS('01_orders_raw'!I9-'01_orders_raw'!G9*'01_orders_raw'!H9)&gt;'09_parameters'!$B$3),"ERROR","OK"),"ERROR")),"")</x:f>
        <x:v>OK</x:v>
      </x:c>
      <x:c r="G9" s="2" t="str">
        <x:f>IF(COUNTA('01_orders_raw'!A9:J9)&gt;0,IF(LEN('01_orders_raw'!H9&amp;"")=0,"SKIP",IF('01_orders_raw'!H9&lt;0,"ERROR","OK")),"")</x:f>
        <x:v>OK</x:v>
      </x:c>
      <x:c r="H9" s="2" t="str">
        <x:f>IF(COUNTA('01_orders_raw'!A9:J9)&gt;0,IF(LEN('01_orders_raw'!B9&amp;"")=0,"SKIP",IF(OR(NOT(ISNUMBER('01_orders_raw'!B9)),'01_orders_raw'!B9&lt;=0,'01_orders_raw'!B9&gt;'09_parameters'!$B$2),"ERROR","OK")),"")</x:f>
        <x:v>OK</x:v>
      </x:c>
      <x:c r="I9" s="2" t="str">
        <x:f>IF(COUNTA('01_orders_raw'!A9:J9)&gt;0,IF(LEN('01_orders_raw'!J9&amp;"")=0,"SKIP",IF(AND('01_orders_raw'!J9&lt;&gt;"Выполнен",'01_orders_raw'!J9&lt;&gt;"В работе",'01_orders_raw'!J9&lt;&gt;"Отменен",'01_orders_raw'!J9&lt;&gt;"Ожидает оплаты"),"ERROR","OK")),"")</x:f>
        <x:v>OK</x:v>
      </x:c>
      <x:c r="J9" s="2" t="n">
        <x:f>COUNTIF(C9:I9,"ERROR")</x:f>
        <x:v>1</x:v>
      </x:c>
      <x:c r="K9" s="2" t="n">
        <x:f>IF(COUNTA('01_orders_raw'!A9:J9)&gt;0,9,"")</x:f>
        <x:v>9</x:v>
      </x:c>
    </x:row>
    <x:row r="10">
      <x:c r="A10" s="2" t="str">
        <x:f>IF(COUNTA('01_orders_raw'!A10:J10)&gt;0,"Order","")</x:f>
        <x:v>Order</x:v>
      </x:c>
      <x:c r="B10" s="2" t="n">
        <x:f>IF(COUNTA('01_orders_raw'!A10:J10)&gt;0,'01_orders_raw'!A10,"")</x:f>
        <x:v>1009</x:v>
      </x:c>
      <x:c r="C10" s="2" t="str">
        <x:f>IF(COUNTA('01_orders_raw'!A10:J10)&gt;0,IF(AND(LEN('01_orders_raw'!A10&amp;"")&gt;0,COUNTIF('01_orders_raw'!$A$2:$A$181,'01_orders_raw'!A10)&gt;1),"ERROR","OK"),"")</x:f>
        <x:v>OK</x:v>
      </x:c>
      <x:c r="D10" s="2" t="str">
        <x:f>IF(COUNTA('01_orders_raw'!A10:J10)&gt;0,IF(OR(LEN('01_orders_raw'!A10&amp;"")=0,LEN('01_orders_raw'!B10&amp;"")=0,LEN('01_orders_raw'!C10&amp;"")=0,LEN('01_orders_raw'!D10&amp;"")=0,LEN('01_orders_raw'!E10&amp;"")=0,LEN('01_orders_raw'!F10&amp;"")=0,LEN('01_orders_raw'!G10&amp;"")=0,LEN('01_orders_raw'!H10&amp;"")=0,LEN('01_orders_raw'!I10&amp;"")=0,LEN('01_orders_raw'!J10&amp;"")=0),"ERROR","OK"),"")</x:f>
        <x:v>OK</x:v>
      </x:c>
      <x:c r="E10" s="2" t="str">
        <x:f>IF(COUNTA('01_orders_raw'!A10:J10)&gt;0,IF(LEN('01_orders_raw'!C10&amp;"")=0,"SKIP",IF(COUNTIF('02_clients_raw'!$A$2:$A$67,'01_orders_raw'!C10)&lt;&gt;1,"ERROR","OK")),"")</x:f>
        <x:v>OK</x:v>
      </x:c>
      <x:c r="F10" s="2" t="str">
        <x:f>IF(COUNTA('01_orders_raw'!A10:J10)&gt;0,IF(OR(LEN('01_orders_raw'!G10&amp;"")=0,LEN('01_orders_raw'!H10&amp;"")=0,LEN('01_orders_raw'!I10&amp;"")=0),"SKIP",IF(AND(ISNUMBER('01_orders_raw'!G10),ISNUMBER('01_orders_raw'!H10),ISNUMBER('01_orders_raw'!I10)),IF(OR('01_orders_raw'!G10&lt;=0,MOD('01_orders_raw'!G10,1)&lt;&gt;0,ABS('01_orders_raw'!I10-'01_orders_raw'!G10*'01_orders_raw'!H10)&gt;'09_parameters'!$B$3),"ERROR","OK"),"ERROR")),"")</x:f>
        <x:v>OK</x:v>
      </x:c>
      <x:c r="G10" s="2" t="str">
        <x:f>IF(COUNTA('01_orders_raw'!A10:J10)&gt;0,IF(LEN('01_orders_raw'!H10&amp;"")=0,"SKIP",IF('01_orders_raw'!H10&lt;0,"ERROR","OK")),"")</x:f>
        <x:v>OK</x:v>
      </x:c>
      <x:c r="H10" s="2" t="str">
        <x:f>IF(COUNTA('01_orders_raw'!A10:J10)&gt;0,IF(LEN('01_orders_raw'!B10&amp;"")=0,"SKIP",IF(OR(NOT(ISNUMBER('01_orders_raw'!B10)),'01_orders_raw'!B10&lt;=0,'01_orders_raw'!B10&gt;'09_parameters'!$B$2),"ERROR","OK")),"")</x:f>
        <x:v>OK</x:v>
      </x:c>
      <x:c r="I10" s="2" t="str">
        <x:f>IF(COUNTA('01_orders_raw'!A10:J10)&gt;0,IF(LEN('01_orders_raw'!J10&amp;"")=0,"SKIP",IF(AND('01_orders_raw'!J10&lt;&gt;"Выполнен",'01_orders_raw'!J10&lt;&gt;"В работе",'01_orders_raw'!J10&lt;&gt;"Отменен",'01_orders_raw'!J10&lt;&gt;"Ожидает оплаты"),"ERROR","OK")),"")</x:f>
        <x:v>OK</x:v>
      </x:c>
      <x:c r="J10" s="2" t="n">
        <x:f>COUNTIF(C10:I10,"ERROR")</x:f>
        <x:v>0</x:v>
      </x:c>
      <x:c r="K10" s="2" t="n">
        <x:f>IF(COUNTA('01_orders_raw'!A10:J10)&gt;0,10,"")</x:f>
        <x:v>10</x:v>
      </x:c>
    </x:row>
    <x:row r="11">
      <x:c r="A11" s="2" t="str">
        <x:f>IF(COUNTA('01_orders_raw'!A11:J11)&gt;0,"Order","")</x:f>
        <x:v>Order</x:v>
      </x:c>
      <x:c r="B11" s="2" t="n">
        <x:f>IF(COUNTA('01_orders_raw'!A11:J11)&gt;0,'01_orders_raw'!A11,"")</x:f>
        <x:v>1010</x:v>
      </x:c>
      <x:c r="C11" s="2" t="str">
        <x:f>IF(COUNTA('01_orders_raw'!A11:J11)&gt;0,IF(AND(LEN('01_orders_raw'!A11&amp;"")&gt;0,COUNTIF('01_orders_raw'!$A$2:$A$181,'01_orders_raw'!A11)&gt;1),"ERROR","OK"),"")</x:f>
        <x:v>OK</x:v>
      </x:c>
      <x:c r="D11" s="2" t="str">
        <x:f>IF(COUNTA('01_orders_raw'!A11:J11)&gt;0,IF(OR(LEN('01_orders_raw'!A11&amp;"")=0,LEN('01_orders_raw'!B11&amp;"")=0,LEN('01_orders_raw'!C11&amp;"")=0,LEN('01_orders_raw'!D11&amp;"")=0,LEN('01_orders_raw'!E11&amp;"")=0,LEN('01_orders_raw'!F11&amp;"")=0,LEN('01_orders_raw'!G11&amp;"")=0,LEN('01_orders_raw'!H11&amp;"")=0,LEN('01_orders_raw'!I11&amp;"")=0,LEN('01_orders_raw'!J11&amp;"")=0),"ERROR","OK"),"")</x:f>
        <x:v>OK</x:v>
      </x:c>
      <x:c r="E11" s="2" t="str">
        <x:f>IF(COUNTA('01_orders_raw'!A11:J11)&gt;0,IF(LEN('01_orders_raw'!C11&amp;"")=0,"SKIP",IF(COUNTIF('02_clients_raw'!$A$2:$A$67,'01_orders_raw'!C11)&lt;&gt;1,"ERROR","OK")),"")</x:f>
        <x:v>OK</x:v>
      </x:c>
      <x:c r="F11" s="2" t="str">
        <x:f>IF(COUNTA('01_orders_raw'!A11:J11)&gt;0,IF(OR(LEN('01_orders_raw'!G11&amp;"")=0,LEN('01_orders_raw'!H11&amp;"")=0,LEN('01_orders_raw'!I11&amp;"")=0),"SKIP",IF(AND(ISNUMBER('01_orders_raw'!G11),ISNUMBER('01_orders_raw'!H11),ISNUMBER('01_orders_raw'!I11)),IF(OR('01_orders_raw'!G11&lt;=0,MOD('01_orders_raw'!G11,1)&lt;&gt;0,ABS('01_orders_raw'!I11-'01_orders_raw'!G11*'01_orders_raw'!H11)&gt;'09_parameters'!$B$3),"ERROR","OK"),"ERROR")),"")</x:f>
        <x:v>OK</x:v>
      </x:c>
      <x:c r="G11" s="2" t="str">
        <x:f>IF(COUNTA('01_orders_raw'!A11:J11)&gt;0,IF(LEN('01_orders_raw'!H11&amp;"")=0,"SKIP",IF('01_orders_raw'!H11&lt;0,"ERROR","OK")),"")</x:f>
        <x:v>OK</x:v>
      </x:c>
      <x:c r="H11" s="2" t="str">
        <x:f>IF(COUNTA('01_orders_raw'!A11:J11)&gt;0,IF(LEN('01_orders_raw'!B11&amp;"")=0,"SKIP",IF(OR(NOT(ISNUMBER('01_orders_raw'!B11)),'01_orders_raw'!B11&lt;=0,'01_orders_raw'!B11&gt;'09_parameters'!$B$2),"ERROR","OK")),"")</x:f>
        <x:v>OK</x:v>
      </x:c>
      <x:c r="I11" s="2" t="str">
        <x:f>IF(COUNTA('01_orders_raw'!A11:J11)&gt;0,IF(LEN('01_orders_raw'!J11&amp;"")=0,"SKIP",IF(AND('01_orders_raw'!J11&lt;&gt;"Выполнен",'01_orders_raw'!J11&lt;&gt;"В работе",'01_orders_raw'!J11&lt;&gt;"Отменен",'01_orders_raw'!J11&lt;&gt;"Ожидает оплаты"),"ERROR","OK")),"")</x:f>
        <x:v>OK</x:v>
      </x:c>
      <x:c r="J11" s="2" t="n">
        <x:f>COUNTIF(C11:I11,"ERROR")</x:f>
        <x:v>0</x:v>
      </x:c>
      <x:c r="K11" s="2" t="n">
        <x:f>IF(COUNTA('01_orders_raw'!A11:J11)&gt;0,11,"")</x:f>
        <x:v>11</x:v>
      </x:c>
    </x:row>
    <x:row r="12">
      <x:c r="A12" s="2" t="str">
        <x:f>IF(COUNTA('01_orders_raw'!A12:J12)&gt;0,"Order","")</x:f>
        <x:v>Order</x:v>
      </x:c>
      <x:c r="B12" s="2" t="n">
        <x:f>IF(COUNTA('01_orders_raw'!A12:J12)&gt;0,'01_orders_raw'!A12,"")</x:f>
        <x:v>1011</x:v>
      </x:c>
      <x:c r="C12" s="2" t="str">
        <x:f>IF(COUNTA('01_orders_raw'!A12:J12)&gt;0,IF(AND(LEN('01_orders_raw'!A12&amp;"")&gt;0,COUNTIF('01_orders_raw'!$A$2:$A$181,'01_orders_raw'!A12)&gt;1),"ERROR","OK"),"")</x:f>
        <x:v>OK</x:v>
      </x:c>
      <x:c r="D12" s="2" t="str">
        <x:f>IF(COUNTA('01_orders_raw'!A12:J12)&gt;0,IF(OR(LEN('01_orders_raw'!A12&amp;"")=0,LEN('01_orders_raw'!B12&amp;"")=0,LEN('01_orders_raw'!C12&amp;"")=0,LEN('01_orders_raw'!D12&amp;"")=0,LEN('01_orders_raw'!E12&amp;"")=0,LEN('01_orders_raw'!F12&amp;"")=0,LEN('01_orders_raw'!G12&amp;"")=0,LEN('01_orders_raw'!H12&amp;"")=0,LEN('01_orders_raw'!I12&amp;"")=0,LEN('01_orders_raw'!J12&amp;"")=0),"ERROR","OK"),"")</x:f>
        <x:v>OK</x:v>
      </x:c>
      <x:c r="E12" s="2" t="str">
        <x:f>IF(COUNTA('01_orders_raw'!A12:J12)&gt;0,IF(LEN('01_orders_raw'!C12&amp;"")=0,"SKIP",IF(COUNTIF('02_clients_raw'!$A$2:$A$67,'01_orders_raw'!C12)&lt;&gt;1,"ERROR","OK")),"")</x:f>
        <x:v>OK</x:v>
      </x:c>
      <x:c r="F12" s="2" t="str">
        <x:f>IF(COUNTA('01_orders_raw'!A12:J12)&gt;0,IF(OR(LEN('01_orders_raw'!G12&amp;"")=0,LEN('01_orders_raw'!H12&amp;"")=0,LEN('01_orders_raw'!I12&amp;"")=0),"SKIP",IF(AND(ISNUMBER('01_orders_raw'!G12),ISNUMBER('01_orders_raw'!H12),ISNUMBER('01_orders_raw'!I12)),IF(OR('01_orders_raw'!G12&lt;=0,MOD('01_orders_raw'!G12,1)&lt;&gt;0,ABS('01_orders_raw'!I12-'01_orders_raw'!G12*'01_orders_raw'!H12)&gt;'09_parameters'!$B$3),"ERROR","OK"),"ERROR")),"")</x:f>
        <x:v>OK</x:v>
      </x:c>
      <x:c r="G12" s="2" t="str">
        <x:f>IF(COUNTA('01_orders_raw'!A12:J12)&gt;0,IF(LEN('01_orders_raw'!H12&amp;"")=0,"SKIP",IF('01_orders_raw'!H12&lt;0,"ERROR","OK")),"")</x:f>
        <x:v>OK</x:v>
      </x:c>
      <x:c r="H12" s="2" t="str">
        <x:f>IF(COUNTA('01_orders_raw'!A12:J12)&gt;0,IF(LEN('01_orders_raw'!B12&amp;"")=0,"SKIP",IF(OR(NOT(ISNUMBER('01_orders_raw'!B12)),'01_orders_raw'!B12&lt;=0,'01_orders_raw'!B12&gt;'09_parameters'!$B$2),"ERROR","OK")),"")</x:f>
        <x:v>OK</x:v>
      </x:c>
      <x:c r="I12" s="2" t="str">
        <x:f>IF(COUNTA('01_orders_raw'!A12:J12)&gt;0,IF(LEN('01_orders_raw'!J12&amp;"")=0,"SKIP",IF(AND('01_orders_raw'!J12&lt;&gt;"Выполнен",'01_orders_raw'!J12&lt;&gt;"В работе",'01_orders_raw'!J12&lt;&gt;"Отменен",'01_orders_raw'!J12&lt;&gt;"Ожидает оплаты"),"ERROR","OK")),"")</x:f>
        <x:v>OK</x:v>
      </x:c>
      <x:c r="J12" s="2" t="n">
        <x:f>COUNTIF(C12:I12,"ERROR")</x:f>
        <x:v>0</x:v>
      </x:c>
      <x:c r="K12" s="2" t="n">
        <x:f>IF(COUNTA('01_orders_raw'!A12:J12)&gt;0,12,"")</x:f>
        <x:v>12</x:v>
      </x:c>
    </x:row>
    <x:row r="13">
      <x:c r="A13" s="2" t="str">
        <x:f>IF(COUNTA('01_orders_raw'!A13:J13)&gt;0,"Order","")</x:f>
        <x:v>Order</x:v>
      </x:c>
      <x:c r="B13" s="2" t="n">
        <x:f>IF(COUNTA('01_orders_raw'!A13:J13)&gt;0,'01_orders_raw'!A13,"")</x:f>
        <x:v>1012</x:v>
      </x:c>
      <x:c r="C13" s="2" t="str">
        <x:f>IF(COUNTA('01_orders_raw'!A13:J13)&gt;0,IF(AND(LEN('01_orders_raw'!A13&amp;"")&gt;0,COUNTIF('01_orders_raw'!$A$2:$A$181,'01_orders_raw'!A13)&gt;1),"ERROR","OK"),"")</x:f>
        <x:v>OK</x:v>
      </x:c>
      <x:c r="D13" s="2" t="str">
        <x:f>IF(COUNTA('01_orders_raw'!A13:J13)&gt;0,IF(OR(LEN('01_orders_raw'!A13&amp;"")=0,LEN('01_orders_raw'!B13&amp;"")=0,LEN('01_orders_raw'!C13&amp;"")=0,LEN('01_orders_raw'!D13&amp;"")=0,LEN('01_orders_raw'!E13&amp;"")=0,LEN('01_orders_raw'!F13&amp;"")=0,LEN('01_orders_raw'!G13&amp;"")=0,LEN('01_orders_raw'!H13&amp;"")=0,LEN('01_orders_raw'!I13&amp;"")=0,LEN('01_orders_raw'!J13&amp;"")=0),"ERROR","OK"),"")</x:f>
        <x:v>OK</x:v>
      </x:c>
      <x:c r="E13" s="2" t="str">
        <x:f>IF(COUNTA('01_orders_raw'!A13:J13)&gt;0,IF(LEN('01_orders_raw'!C13&amp;"")=0,"SKIP",IF(COUNTIF('02_clients_raw'!$A$2:$A$67,'01_orders_raw'!C13)&lt;&gt;1,"ERROR","OK")),"")</x:f>
        <x:v>OK</x:v>
      </x:c>
      <x:c r="F13" s="2" t="str">
        <x:f>IF(COUNTA('01_orders_raw'!A13:J13)&gt;0,IF(OR(LEN('01_orders_raw'!G13&amp;"")=0,LEN('01_orders_raw'!H13&amp;"")=0,LEN('01_orders_raw'!I13&amp;"")=0),"SKIP",IF(AND(ISNUMBER('01_orders_raw'!G13),ISNUMBER('01_orders_raw'!H13),ISNUMBER('01_orders_raw'!I13)),IF(OR('01_orders_raw'!G13&lt;=0,MOD('01_orders_raw'!G13,1)&lt;&gt;0,ABS('01_orders_raw'!I13-'01_orders_raw'!G13*'01_orders_raw'!H13)&gt;'09_parameters'!$B$3),"ERROR","OK"),"ERROR")),"")</x:f>
        <x:v>OK</x:v>
      </x:c>
      <x:c r="G13" s="2" t="str">
        <x:f>IF(COUNTA('01_orders_raw'!A13:J13)&gt;0,IF(LEN('01_orders_raw'!H13&amp;"")=0,"SKIP",IF('01_orders_raw'!H13&lt;0,"ERROR","OK")),"")</x:f>
        <x:v>OK</x:v>
      </x:c>
      <x:c r="H13" s="2" t="str">
        <x:f>IF(COUNTA('01_orders_raw'!A13:J13)&gt;0,IF(LEN('01_orders_raw'!B13&amp;"")=0,"SKIP",IF(OR(NOT(ISNUMBER('01_orders_raw'!B13)),'01_orders_raw'!B13&lt;=0,'01_orders_raw'!B13&gt;'09_parameters'!$B$2),"ERROR","OK")),"")</x:f>
        <x:v>OK</x:v>
      </x:c>
      <x:c r="I13" s="2" t="str">
        <x:f>IF(COUNTA('01_orders_raw'!A13:J13)&gt;0,IF(LEN('01_orders_raw'!J13&amp;"")=0,"SKIP",IF(AND('01_orders_raw'!J13&lt;&gt;"Выполнен",'01_orders_raw'!J13&lt;&gt;"В работе",'01_orders_raw'!J13&lt;&gt;"Отменен",'01_orders_raw'!J13&lt;&gt;"Ожидает оплаты"),"ERROR","OK")),"")</x:f>
        <x:v>OK</x:v>
      </x:c>
      <x:c r="J13" s="2" t="n">
        <x:f>COUNTIF(C13:I13,"ERROR")</x:f>
        <x:v>0</x:v>
      </x:c>
      <x:c r="K13" s="2" t="n">
        <x:f>IF(COUNTA('01_orders_raw'!A13:J13)&gt;0,13,"")</x:f>
        <x:v>13</x:v>
      </x:c>
    </x:row>
    <x:row r="14">
      <x:c r="A14" s="2" t="str">
        <x:f>IF(COUNTA('01_orders_raw'!A14:J14)&gt;0,"Order","")</x:f>
        <x:v>Order</x:v>
      </x:c>
      <x:c r="B14" s="2" t="n">
        <x:f>IF(COUNTA('01_orders_raw'!A14:J14)&gt;0,'01_orders_raw'!A14,"")</x:f>
        <x:v>1013</x:v>
      </x:c>
      <x:c r="C14" s="2" t="str">
        <x:f>IF(COUNTA('01_orders_raw'!A14:J14)&gt;0,IF(AND(LEN('01_orders_raw'!A14&amp;"")&gt;0,COUNTIF('01_orders_raw'!$A$2:$A$181,'01_orders_raw'!A14)&gt;1),"ERROR","OK"),"")</x:f>
        <x:v>OK</x:v>
      </x:c>
      <x:c r="D14" s="2" t="str">
        <x:f>IF(COUNTA('01_orders_raw'!A14:J14)&gt;0,IF(OR(LEN('01_orders_raw'!A14&amp;"")=0,LEN('01_orders_raw'!B14&amp;"")=0,LEN('01_orders_raw'!C14&amp;"")=0,LEN('01_orders_raw'!D14&amp;"")=0,LEN('01_orders_raw'!E14&amp;"")=0,LEN('01_orders_raw'!F14&amp;"")=0,LEN('01_orders_raw'!G14&amp;"")=0,LEN('01_orders_raw'!H14&amp;"")=0,LEN('01_orders_raw'!I14&amp;"")=0,LEN('01_orders_raw'!J14&amp;"")=0),"ERROR","OK"),"")</x:f>
        <x:v>OK</x:v>
      </x:c>
      <x:c r="E14" s="2" t="str">
        <x:f>IF(COUNTA('01_orders_raw'!A14:J14)&gt;0,IF(LEN('01_orders_raw'!C14&amp;"")=0,"SKIP",IF(COUNTIF('02_clients_raw'!$A$2:$A$67,'01_orders_raw'!C14)&lt;&gt;1,"ERROR","OK")),"")</x:f>
        <x:v>OK</x:v>
      </x:c>
      <x:c r="F14" s="2" t="str">
        <x:f>IF(COUNTA('01_orders_raw'!A14:J14)&gt;0,IF(OR(LEN('01_orders_raw'!G14&amp;"")=0,LEN('01_orders_raw'!H14&amp;"")=0,LEN('01_orders_raw'!I14&amp;"")=0),"SKIP",IF(AND(ISNUMBER('01_orders_raw'!G14),ISNUMBER('01_orders_raw'!H14),ISNUMBER('01_orders_raw'!I14)),IF(OR('01_orders_raw'!G14&lt;=0,MOD('01_orders_raw'!G14,1)&lt;&gt;0,ABS('01_orders_raw'!I14-'01_orders_raw'!G14*'01_orders_raw'!H14)&gt;'09_parameters'!$B$3),"ERROR","OK"),"ERROR")),"")</x:f>
        <x:v>OK</x:v>
      </x:c>
      <x:c r="G14" s="2" t="str">
        <x:f>IF(COUNTA('01_orders_raw'!A14:J14)&gt;0,IF(LEN('01_orders_raw'!H14&amp;"")=0,"SKIP",IF('01_orders_raw'!H14&lt;0,"ERROR","OK")),"")</x:f>
        <x:v>OK</x:v>
      </x:c>
      <x:c r="H14" s="2" t="str">
        <x:f>IF(COUNTA('01_orders_raw'!A14:J14)&gt;0,IF(LEN('01_orders_raw'!B14&amp;"")=0,"SKIP",IF(OR(NOT(ISNUMBER('01_orders_raw'!B14)),'01_orders_raw'!B14&lt;=0,'01_orders_raw'!B14&gt;'09_parameters'!$B$2),"ERROR","OK")),"")</x:f>
        <x:v>OK</x:v>
      </x:c>
      <x:c r="I14" s="2" t="str">
        <x:f>IF(COUNTA('01_orders_raw'!A14:J14)&gt;0,IF(LEN('01_orders_raw'!J14&amp;"")=0,"SKIP",IF(AND('01_orders_raw'!J14&lt;&gt;"Выполнен",'01_orders_raw'!J14&lt;&gt;"В работе",'01_orders_raw'!J14&lt;&gt;"Отменен",'01_orders_raw'!J14&lt;&gt;"Ожидает оплаты"),"ERROR","OK")),"")</x:f>
        <x:v>OK</x:v>
      </x:c>
      <x:c r="J14" s="2" t="n">
        <x:f>COUNTIF(C14:I14,"ERROR")</x:f>
        <x:v>0</x:v>
      </x:c>
      <x:c r="K14" s="2" t="n">
        <x:f>IF(COUNTA('01_orders_raw'!A14:J14)&gt;0,14,"")</x:f>
        <x:v>14</x:v>
      </x:c>
    </x:row>
    <x:row r="15">
      <x:c r="A15" s="2" t="str">
        <x:f>IF(COUNTA('01_orders_raw'!A15:J15)&gt;0,"Order","")</x:f>
        <x:v>Order</x:v>
      </x:c>
      <x:c r="B15" s="2" t="n">
        <x:f>IF(COUNTA('01_orders_raw'!A15:J15)&gt;0,'01_orders_raw'!A15,"")</x:f>
        <x:v>1014</x:v>
      </x:c>
      <x:c r="C15" s="2" t="str">
        <x:f>IF(COUNTA('01_orders_raw'!A15:J15)&gt;0,IF(AND(LEN('01_orders_raw'!A15&amp;"")&gt;0,COUNTIF('01_orders_raw'!$A$2:$A$181,'01_orders_raw'!A15)&gt;1),"ERROR","OK"),"")</x:f>
        <x:v>OK</x:v>
      </x:c>
      <x:c r="D15" s="2" t="str">
        <x:f>IF(COUNTA('01_orders_raw'!A15:J15)&gt;0,IF(OR(LEN('01_orders_raw'!A15&amp;"")=0,LEN('01_orders_raw'!B15&amp;"")=0,LEN('01_orders_raw'!C15&amp;"")=0,LEN('01_orders_raw'!D15&amp;"")=0,LEN('01_orders_raw'!E15&amp;"")=0,LEN('01_orders_raw'!F15&amp;"")=0,LEN('01_orders_raw'!G15&amp;"")=0,LEN('01_orders_raw'!H15&amp;"")=0,LEN('01_orders_raw'!I15&amp;"")=0,LEN('01_orders_raw'!J15&amp;"")=0),"ERROR","OK"),"")</x:f>
        <x:v>OK</x:v>
      </x:c>
      <x:c r="E15" s="2" t="str">
        <x:f>IF(COUNTA('01_orders_raw'!A15:J15)&gt;0,IF(LEN('01_orders_raw'!C15&amp;"")=0,"SKIP",IF(COUNTIF('02_clients_raw'!$A$2:$A$67,'01_orders_raw'!C15)&lt;&gt;1,"ERROR","OK")),"")</x:f>
        <x:v>OK</x:v>
      </x:c>
      <x:c r="F15" s="2" t="str">
        <x:f>IF(COUNTA('01_orders_raw'!A15:J15)&gt;0,IF(OR(LEN('01_orders_raw'!G15&amp;"")=0,LEN('01_orders_raw'!H15&amp;"")=0,LEN('01_orders_raw'!I15&amp;"")=0),"SKIP",IF(AND(ISNUMBER('01_orders_raw'!G15),ISNUMBER('01_orders_raw'!H15),ISNUMBER('01_orders_raw'!I15)),IF(OR('01_orders_raw'!G15&lt;=0,MOD('01_orders_raw'!G15,1)&lt;&gt;0,ABS('01_orders_raw'!I15-'01_orders_raw'!G15*'01_orders_raw'!H15)&gt;'09_parameters'!$B$3),"ERROR","OK"),"ERROR")),"")</x:f>
        <x:v>OK</x:v>
      </x:c>
      <x:c r="G15" s="2" t="str">
        <x:f>IF(COUNTA('01_orders_raw'!A15:J15)&gt;0,IF(LEN('01_orders_raw'!H15&amp;"")=0,"SKIP",IF('01_orders_raw'!H15&lt;0,"ERROR","OK")),"")</x:f>
        <x:v>OK</x:v>
      </x:c>
      <x:c r="H15" s="2" t="str">
        <x:f>IF(COUNTA('01_orders_raw'!A15:J15)&gt;0,IF(LEN('01_orders_raw'!B15&amp;"")=0,"SKIP",IF(OR(NOT(ISNUMBER('01_orders_raw'!B15)),'01_orders_raw'!B15&lt;=0,'01_orders_raw'!B15&gt;'09_parameters'!$B$2),"ERROR","OK")),"")</x:f>
        <x:v>OK</x:v>
      </x:c>
      <x:c r="I15" s="2" t="str">
        <x:f>IF(COUNTA('01_orders_raw'!A15:J15)&gt;0,IF(LEN('01_orders_raw'!J15&amp;"")=0,"SKIP",IF(AND('01_orders_raw'!J15&lt;&gt;"Выполнен",'01_orders_raw'!J15&lt;&gt;"В работе",'01_orders_raw'!J15&lt;&gt;"Отменен",'01_orders_raw'!J15&lt;&gt;"Ожидает оплаты"),"ERROR","OK")),"")</x:f>
        <x:v>OK</x:v>
      </x:c>
      <x:c r="J15" s="2" t="n">
        <x:f>COUNTIF(C15:I15,"ERROR")</x:f>
        <x:v>0</x:v>
      </x:c>
      <x:c r="K15" s="2" t="n">
        <x:f>IF(COUNTA('01_orders_raw'!A15:J15)&gt;0,15,"")</x:f>
        <x:v>15</x:v>
      </x:c>
    </x:row>
    <x:row r="16">
      <x:c r="A16" s="2" t="str">
        <x:f>IF(COUNTA('01_orders_raw'!A16:J16)&gt;0,"Order","")</x:f>
        <x:v>Order</x:v>
      </x:c>
      <x:c r="B16" s="2" t="n">
        <x:f>IF(COUNTA('01_orders_raw'!A16:J16)&gt;0,'01_orders_raw'!A16,"")</x:f>
        <x:v>1015</x:v>
      </x:c>
      <x:c r="C16" s="2" t="str">
        <x:f>IF(COUNTA('01_orders_raw'!A16:J16)&gt;0,IF(AND(LEN('01_orders_raw'!A16&amp;"")&gt;0,COUNTIF('01_orders_raw'!$A$2:$A$181,'01_orders_raw'!A16)&gt;1),"ERROR","OK"),"")</x:f>
        <x:v>OK</x:v>
      </x:c>
      <x:c r="D16" s="2" t="str">
        <x:f>IF(COUNTA('01_orders_raw'!A16:J16)&gt;0,IF(OR(LEN('01_orders_raw'!A16&amp;"")=0,LEN('01_orders_raw'!B16&amp;"")=0,LEN('01_orders_raw'!C16&amp;"")=0,LEN('01_orders_raw'!D16&amp;"")=0,LEN('01_orders_raw'!E16&amp;"")=0,LEN('01_orders_raw'!F16&amp;"")=0,LEN('01_orders_raw'!G16&amp;"")=0,LEN('01_orders_raw'!H16&amp;"")=0,LEN('01_orders_raw'!I16&amp;"")=0,LEN('01_orders_raw'!J16&amp;"")=0),"ERROR","OK"),"")</x:f>
        <x:v>OK</x:v>
      </x:c>
      <x:c r="E16" s="2" t="str">
        <x:f>IF(COUNTA('01_orders_raw'!A16:J16)&gt;0,IF(LEN('01_orders_raw'!C16&amp;"")=0,"SKIP",IF(COUNTIF('02_clients_raw'!$A$2:$A$67,'01_orders_raw'!C16)&lt;&gt;1,"ERROR","OK")),"")</x:f>
        <x:v>OK</x:v>
      </x:c>
      <x:c r="F16" s="2" t="str">
        <x:f>IF(COUNTA('01_orders_raw'!A16:J16)&gt;0,IF(OR(LEN('01_orders_raw'!G16&amp;"")=0,LEN('01_orders_raw'!H16&amp;"")=0,LEN('01_orders_raw'!I16&amp;"")=0),"SKIP",IF(AND(ISNUMBER('01_orders_raw'!G16),ISNUMBER('01_orders_raw'!H16),ISNUMBER('01_orders_raw'!I16)),IF(OR('01_orders_raw'!G16&lt;=0,MOD('01_orders_raw'!G16,1)&lt;&gt;0,ABS('01_orders_raw'!I16-'01_orders_raw'!G16*'01_orders_raw'!H16)&gt;'09_parameters'!$B$3),"ERROR","OK"),"ERROR")),"")</x:f>
        <x:v>OK</x:v>
      </x:c>
      <x:c r="G16" s="2" t="str">
        <x:f>IF(COUNTA('01_orders_raw'!A16:J16)&gt;0,IF(LEN('01_orders_raw'!H16&amp;"")=0,"SKIP",IF('01_orders_raw'!H16&lt;0,"ERROR","OK")),"")</x:f>
        <x:v>OK</x:v>
      </x:c>
      <x:c r="H16" s="2" t="str">
        <x:f>IF(COUNTA('01_orders_raw'!A16:J16)&gt;0,IF(LEN('01_orders_raw'!B16&amp;"")=0,"SKIP",IF(OR(NOT(ISNUMBER('01_orders_raw'!B16)),'01_orders_raw'!B16&lt;=0,'01_orders_raw'!B16&gt;'09_parameters'!$B$2),"ERROR","OK")),"")</x:f>
        <x:v>OK</x:v>
      </x:c>
      <x:c r="I16" s="2" t="str">
        <x:f>IF(COUNTA('01_orders_raw'!A16:J16)&gt;0,IF(LEN('01_orders_raw'!J16&amp;"")=0,"SKIP",IF(AND('01_orders_raw'!J16&lt;&gt;"Выполнен",'01_orders_raw'!J16&lt;&gt;"В работе",'01_orders_raw'!J16&lt;&gt;"Отменен",'01_orders_raw'!J16&lt;&gt;"Ожидает оплаты"),"ERROR","OK")),"")</x:f>
        <x:v>OK</x:v>
      </x:c>
      <x:c r="J16" s="2" t="n">
        <x:f>COUNTIF(C16:I16,"ERROR")</x:f>
        <x:v>0</x:v>
      </x:c>
      <x:c r="K16" s="2" t="n">
        <x:f>IF(COUNTA('01_orders_raw'!A16:J16)&gt;0,16,"")</x:f>
        <x:v>16</x:v>
      </x:c>
    </x:row>
    <x:row r="17">
      <x:c r="A17" s="2" t="str">
        <x:f>IF(COUNTA('01_orders_raw'!A17:J17)&gt;0,"Order","")</x:f>
        <x:v>Order</x:v>
      </x:c>
      <x:c r="B17" s="2" t="n">
        <x:f>IF(COUNTA('01_orders_raw'!A17:J17)&gt;0,'01_orders_raw'!A17,"")</x:f>
        <x:v>1016</x:v>
      </x:c>
      <x:c r="C17" s="2" t="str">
        <x:f>IF(COUNTA('01_orders_raw'!A17:J17)&gt;0,IF(AND(LEN('01_orders_raw'!A17&amp;"")&gt;0,COUNTIF('01_orders_raw'!$A$2:$A$181,'01_orders_raw'!A17)&gt;1),"ERROR","OK"),"")</x:f>
        <x:v>OK</x:v>
      </x:c>
      <x:c r="D17" s="2" t="str">
        <x:f>IF(COUNTA('01_orders_raw'!A17:J17)&gt;0,IF(OR(LEN('01_orders_raw'!A17&amp;"")=0,LEN('01_orders_raw'!B17&amp;"")=0,LEN('01_orders_raw'!C17&amp;"")=0,LEN('01_orders_raw'!D17&amp;"")=0,LEN('01_orders_raw'!E17&amp;"")=0,LEN('01_orders_raw'!F17&amp;"")=0,LEN('01_orders_raw'!G17&amp;"")=0,LEN('01_orders_raw'!H17&amp;"")=0,LEN('01_orders_raw'!I17&amp;"")=0,LEN('01_orders_raw'!J17&amp;"")=0),"ERROR","OK"),"")</x:f>
        <x:v>ERROR</x:v>
      </x:c>
      <x:c r="E17" s="2" t="str">
        <x:f>IF(COUNTA('01_orders_raw'!A17:J17)&gt;0,IF(LEN('01_orders_raw'!C17&amp;"")=0,"SKIP",IF(COUNTIF('02_clients_raw'!$A$2:$A$67,'01_orders_raw'!C17)&lt;&gt;1,"ERROR","OK")),"")</x:f>
        <x:v>SKIP</x:v>
      </x:c>
      <x:c r="F17" s="2" t="str">
        <x:f>IF(COUNTA('01_orders_raw'!A17:J17)&gt;0,IF(OR(LEN('01_orders_raw'!G17&amp;"")=0,LEN('01_orders_raw'!H17&amp;"")=0,LEN('01_orders_raw'!I17&amp;"")=0),"SKIP",IF(AND(ISNUMBER('01_orders_raw'!G17),ISNUMBER('01_orders_raw'!H17),ISNUMBER('01_orders_raw'!I17)),IF(OR('01_orders_raw'!G17&lt;=0,MOD('01_orders_raw'!G17,1)&lt;&gt;0,ABS('01_orders_raw'!I17-'01_orders_raw'!G17*'01_orders_raw'!H17)&gt;'09_parameters'!$B$3),"ERROR","OK"),"ERROR")),"")</x:f>
        <x:v>OK</x:v>
      </x:c>
      <x:c r="G17" s="2" t="str">
        <x:f>IF(COUNTA('01_orders_raw'!A17:J17)&gt;0,IF(LEN('01_orders_raw'!H17&amp;"")=0,"SKIP",IF('01_orders_raw'!H17&lt;0,"ERROR","OK")),"")</x:f>
        <x:v>OK</x:v>
      </x:c>
      <x:c r="H17" s="2" t="str">
        <x:f>IF(COUNTA('01_orders_raw'!A17:J17)&gt;0,IF(LEN('01_orders_raw'!B17&amp;"")=0,"SKIP",IF(OR(NOT(ISNUMBER('01_orders_raw'!B17)),'01_orders_raw'!B17&lt;=0,'01_orders_raw'!B17&gt;'09_parameters'!$B$2),"ERROR","OK")),"")</x:f>
        <x:v>OK</x:v>
      </x:c>
      <x:c r="I17" s="2" t="str">
        <x:f>IF(COUNTA('01_orders_raw'!A17:J17)&gt;0,IF(LEN('01_orders_raw'!J17&amp;"")=0,"SKIP",IF(AND('01_orders_raw'!J17&lt;&gt;"Выполнен",'01_orders_raw'!J17&lt;&gt;"В работе",'01_orders_raw'!J17&lt;&gt;"Отменен",'01_orders_raw'!J17&lt;&gt;"Ожидает оплаты"),"ERROR","OK")),"")</x:f>
        <x:v>OK</x:v>
      </x:c>
      <x:c r="J17" s="2" t="n">
        <x:f>COUNTIF(C17:I17,"ERROR")</x:f>
        <x:v>1</x:v>
      </x:c>
      <x:c r="K17" s="2" t="n">
        <x:f>IF(COUNTA('01_orders_raw'!A17:J17)&gt;0,17,"")</x:f>
        <x:v>17</x:v>
      </x:c>
    </x:row>
    <x:row r="18">
      <x:c r="A18" s="2" t="str">
        <x:f>IF(COUNTA('01_orders_raw'!A18:J18)&gt;0,"Order","")</x:f>
        <x:v>Order</x:v>
      </x:c>
      <x:c r="B18" s="2" t="n">
        <x:f>IF(COUNTA('01_orders_raw'!A18:J18)&gt;0,'01_orders_raw'!A18,"")</x:f>
        <x:v>1017</x:v>
      </x:c>
      <x:c r="C18" s="2" t="str">
        <x:f>IF(COUNTA('01_orders_raw'!A18:J18)&gt;0,IF(AND(LEN('01_orders_raw'!A18&amp;"")&gt;0,COUNTIF('01_orders_raw'!$A$2:$A$181,'01_orders_raw'!A18)&gt;1),"ERROR","OK"),"")</x:f>
        <x:v>OK</x:v>
      </x:c>
      <x:c r="D18" s="2" t="str">
        <x:f>IF(COUNTA('01_orders_raw'!A18:J18)&gt;0,IF(OR(LEN('01_orders_raw'!A18&amp;"")=0,LEN('01_orders_raw'!B18&amp;"")=0,LEN('01_orders_raw'!C18&amp;"")=0,LEN('01_orders_raw'!D18&amp;"")=0,LEN('01_orders_raw'!E18&amp;"")=0,LEN('01_orders_raw'!F18&amp;"")=0,LEN('01_orders_raw'!G18&amp;"")=0,LEN('01_orders_raw'!H18&amp;"")=0,LEN('01_orders_raw'!I18&amp;"")=0,LEN('01_orders_raw'!J18&amp;"")=0),"ERROR","OK"),"")</x:f>
        <x:v>OK</x:v>
      </x:c>
      <x:c r="E18" s="2" t="str">
        <x:f>IF(COUNTA('01_orders_raw'!A18:J18)&gt;0,IF(LEN('01_orders_raw'!C18&amp;"")=0,"SKIP",IF(COUNTIF('02_clients_raw'!$A$2:$A$67,'01_orders_raw'!C18)&lt;&gt;1,"ERROR","OK")),"")</x:f>
        <x:v>OK</x:v>
      </x:c>
      <x:c r="F18" s="2" t="str">
        <x:f>IF(COUNTA('01_orders_raw'!A18:J18)&gt;0,IF(OR(LEN('01_orders_raw'!G18&amp;"")=0,LEN('01_orders_raw'!H18&amp;"")=0,LEN('01_orders_raw'!I18&amp;"")=0),"SKIP",IF(AND(ISNUMBER('01_orders_raw'!G18),ISNUMBER('01_orders_raw'!H18),ISNUMBER('01_orders_raw'!I18)),IF(OR('01_orders_raw'!G18&lt;=0,MOD('01_orders_raw'!G18,1)&lt;&gt;0,ABS('01_orders_raw'!I18-'01_orders_raw'!G18*'01_orders_raw'!H18)&gt;'09_parameters'!$B$3),"ERROR","OK"),"ERROR")),"")</x:f>
        <x:v>OK</x:v>
      </x:c>
      <x:c r="G18" s="2" t="str">
        <x:f>IF(COUNTA('01_orders_raw'!A18:J18)&gt;0,IF(LEN('01_orders_raw'!H18&amp;"")=0,"SKIP",IF('01_orders_raw'!H18&lt;0,"ERROR","OK")),"")</x:f>
        <x:v>OK</x:v>
      </x:c>
      <x:c r="H18" s="2" t="str">
        <x:f>IF(COUNTA('01_orders_raw'!A18:J18)&gt;0,IF(LEN('01_orders_raw'!B18&amp;"")=0,"SKIP",IF(OR(NOT(ISNUMBER('01_orders_raw'!B18)),'01_orders_raw'!B18&lt;=0,'01_orders_raw'!B18&gt;'09_parameters'!$B$2),"ERROR","OK")),"")</x:f>
        <x:v>OK</x:v>
      </x:c>
      <x:c r="I18" s="2" t="str">
        <x:f>IF(COUNTA('01_orders_raw'!A18:J18)&gt;0,IF(LEN('01_orders_raw'!J18&amp;"")=0,"SKIP",IF(AND('01_orders_raw'!J18&lt;&gt;"Выполнен",'01_orders_raw'!J18&lt;&gt;"В работе",'01_orders_raw'!J18&lt;&gt;"Отменен",'01_orders_raw'!J18&lt;&gt;"Ожидает оплаты"),"ERROR","OK")),"")</x:f>
        <x:v>OK</x:v>
      </x:c>
      <x:c r="J18" s="2" t="n">
        <x:f>COUNTIF(C18:I18,"ERROR")</x:f>
        <x:v>0</x:v>
      </x:c>
      <x:c r="K18" s="2" t="n">
        <x:f>IF(COUNTA('01_orders_raw'!A18:J18)&gt;0,18,"")</x:f>
        <x:v>18</x:v>
      </x:c>
    </x:row>
    <x:row r="19">
      <x:c r="A19" s="2" t="str">
        <x:f>IF(COUNTA('01_orders_raw'!A19:J19)&gt;0,"Order","")</x:f>
        <x:v>Order</x:v>
      </x:c>
      <x:c r="B19" s="2" t="n">
        <x:f>IF(COUNTA('01_orders_raw'!A19:J19)&gt;0,'01_orders_raw'!A19,"")</x:f>
        <x:v>1018</x:v>
      </x:c>
      <x:c r="C19" s="2" t="str">
        <x:f>IF(COUNTA('01_orders_raw'!A19:J19)&gt;0,IF(AND(LEN('01_orders_raw'!A19&amp;"")&gt;0,COUNTIF('01_orders_raw'!$A$2:$A$181,'01_orders_raw'!A19)&gt;1),"ERROR","OK"),"")</x:f>
        <x:v>OK</x:v>
      </x:c>
      <x:c r="D19" s="2" t="str">
        <x:f>IF(COUNTA('01_orders_raw'!A19:J19)&gt;0,IF(OR(LEN('01_orders_raw'!A19&amp;"")=0,LEN('01_orders_raw'!B19&amp;"")=0,LEN('01_orders_raw'!C19&amp;"")=0,LEN('01_orders_raw'!D19&amp;"")=0,LEN('01_orders_raw'!E19&amp;"")=0,LEN('01_orders_raw'!F19&amp;"")=0,LEN('01_orders_raw'!G19&amp;"")=0,LEN('01_orders_raw'!H19&amp;"")=0,LEN('01_orders_raw'!I19&amp;"")=0,LEN('01_orders_raw'!J19&amp;"")=0),"ERROR","OK"),"")</x:f>
        <x:v>OK</x:v>
      </x:c>
      <x:c r="E19" s="2" t="str">
        <x:f>IF(COUNTA('01_orders_raw'!A19:J19)&gt;0,IF(LEN('01_orders_raw'!C19&amp;"")=0,"SKIP",IF(COUNTIF('02_clients_raw'!$A$2:$A$67,'01_orders_raw'!C19)&lt;&gt;1,"ERROR","OK")),"")</x:f>
        <x:v>OK</x:v>
      </x:c>
      <x:c r="F19" s="2" t="str">
        <x:f>IF(COUNTA('01_orders_raw'!A19:J19)&gt;0,IF(OR(LEN('01_orders_raw'!G19&amp;"")=0,LEN('01_orders_raw'!H19&amp;"")=0,LEN('01_orders_raw'!I19&amp;"")=0),"SKIP",IF(AND(ISNUMBER('01_orders_raw'!G19),ISNUMBER('01_orders_raw'!H19),ISNUMBER('01_orders_raw'!I19)),IF(OR('01_orders_raw'!G19&lt;=0,MOD('01_orders_raw'!G19,1)&lt;&gt;0,ABS('01_orders_raw'!I19-'01_orders_raw'!G19*'01_orders_raw'!H19)&gt;'09_parameters'!$B$3),"ERROR","OK"),"ERROR")),"")</x:f>
        <x:v>OK</x:v>
      </x:c>
      <x:c r="G19" s="2" t="str">
        <x:f>IF(COUNTA('01_orders_raw'!A19:J19)&gt;0,IF(LEN('01_orders_raw'!H19&amp;"")=0,"SKIP",IF('01_orders_raw'!H19&lt;0,"ERROR","OK")),"")</x:f>
        <x:v>OK</x:v>
      </x:c>
      <x:c r="H19" s="2" t="str">
        <x:f>IF(COUNTA('01_orders_raw'!A19:J19)&gt;0,IF(LEN('01_orders_raw'!B19&amp;"")=0,"SKIP",IF(OR(NOT(ISNUMBER('01_orders_raw'!B19)),'01_orders_raw'!B19&lt;=0,'01_orders_raw'!B19&gt;'09_parameters'!$B$2),"ERROR","OK")),"")</x:f>
        <x:v>OK</x:v>
      </x:c>
      <x:c r="I19" s="2" t="str">
        <x:f>IF(COUNTA('01_orders_raw'!A19:J19)&gt;0,IF(LEN('01_orders_raw'!J19&amp;"")=0,"SKIP",IF(AND('01_orders_raw'!J19&lt;&gt;"Выполнен",'01_orders_raw'!J19&lt;&gt;"В работе",'01_orders_raw'!J19&lt;&gt;"Отменен",'01_orders_raw'!J19&lt;&gt;"Ожидает оплаты"),"ERROR","OK")),"")</x:f>
        <x:v>OK</x:v>
      </x:c>
      <x:c r="J19" s="2" t="n">
        <x:f>COUNTIF(C19:I19,"ERROR")</x:f>
        <x:v>0</x:v>
      </x:c>
      <x:c r="K19" s="2" t="n">
        <x:f>IF(COUNTA('01_orders_raw'!A19:J19)&gt;0,19,"")</x:f>
        <x:v>19</x:v>
      </x:c>
    </x:row>
    <x:row r="20">
      <x:c r="A20" s="2" t="str">
        <x:f>IF(COUNTA('01_orders_raw'!A20:J20)&gt;0,"Order","")</x:f>
        <x:v>Order</x:v>
      </x:c>
      <x:c r="B20" s="2" t="n">
        <x:f>IF(COUNTA('01_orders_raw'!A20:J20)&gt;0,'01_orders_raw'!A20,"")</x:f>
        <x:v>1019</x:v>
      </x:c>
      <x:c r="C20" s="2" t="str">
        <x:f>IF(COUNTA('01_orders_raw'!A20:J20)&gt;0,IF(AND(LEN('01_orders_raw'!A20&amp;"")&gt;0,COUNTIF('01_orders_raw'!$A$2:$A$181,'01_orders_raw'!A20)&gt;1),"ERROR","OK"),"")</x:f>
        <x:v>OK</x:v>
      </x:c>
      <x:c r="D20" s="2" t="str">
        <x:f>IF(COUNTA('01_orders_raw'!A20:J20)&gt;0,IF(OR(LEN('01_orders_raw'!A20&amp;"")=0,LEN('01_orders_raw'!B20&amp;"")=0,LEN('01_orders_raw'!C20&amp;"")=0,LEN('01_orders_raw'!D20&amp;"")=0,LEN('01_orders_raw'!E20&amp;"")=0,LEN('01_orders_raw'!F20&amp;"")=0,LEN('01_orders_raw'!G20&amp;"")=0,LEN('01_orders_raw'!H20&amp;"")=0,LEN('01_orders_raw'!I20&amp;"")=0,LEN('01_orders_raw'!J20&amp;"")=0),"ERROR","OK"),"")</x:f>
        <x:v>OK</x:v>
      </x:c>
      <x:c r="E20" s="2" t="str">
        <x:f>IF(COUNTA('01_orders_raw'!A20:J20)&gt;0,IF(LEN('01_orders_raw'!C20&amp;"")=0,"SKIP",IF(COUNTIF('02_clients_raw'!$A$2:$A$67,'01_orders_raw'!C20)&lt;&gt;1,"ERROR","OK")),"")</x:f>
        <x:v>OK</x:v>
      </x:c>
      <x:c r="F20" s="2" t="str">
        <x:f>IF(COUNTA('01_orders_raw'!A20:J20)&gt;0,IF(OR(LEN('01_orders_raw'!G20&amp;"")=0,LEN('01_orders_raw'!H20&amp;"")=0,LEN('01_orders_raw'!I20&amp;"")=0),"SKIP",IF(AND(ISNUMBER('01_orders_raw'!G20),ISNUMBER('01_orders_raw'!H20),ISNUMBER('01_orders_raw'!I20)),IF(OR('01_orders_raw'!G20&lt;=0,MOD('01_orders_raw'!G20,1)&lt;&gt;0,ABS('01_orders_raw'!I20-'01_orders_raw'!G20*'01_orders_raw'!H20)&gt;'09_parameters'!$B$3),"ERROR","OK"),"ERROR")),"")</x:f>
        <x:v>OK</x:v>
      </x:c>
      <x:c r="G20" s="2" t="str">
        <x:f>IF(COUNTA('01_orders_raw'!A20:J20)&gt;0,IF(LEN('01_orders_raw'!H20&amp;"")=0,"SKIP",IF('01_orders_raw'!H20&lt;0,"ERROR","OK")),"")</x:f>
        <x:v>OK</x:v>
      </x:c>
      <x:c r="H20" s="2" t="str">
        <x:f>IF(COUNTA('01_orders_raw'!A20:J20)&gt;0,IF(LEN('01_orders_raw'!B20&amp;"")=0,"SKIP",IF(OR(NOT(ISNUMBER('01_orders_raw'!B20)),'01_orders_raw'!B20&lt;=0,'01_orders_raw'!B20&gt;'09_parameters'!$B$2),"ERROR","OK")),"")</x:f>
        <x:v>OK</x:v>
      </x:c>
      <x:c r="I20" s="2" t="str">
        <x:f>IF(COUNTA('01_orders_raw'!A20:J20)&gt;0,IF(LEN('01_orders_raw'!J20&amp;"")=0,"SKIP",IF(AND('01_orders_raw'!J20&lt;&gt;"Выполнен",'01_orders_raw'!J20&lt;&gt;"В работе",'01_orders_raw'!J20&lt;&gt;"Отменен",'01_orders_raw'!J20&lt;&gt;"Ожидает оплаты"),"ERROR","OK")),"")</x:f>
        <x:v>OK</x:v>
      </x:c>
      <x:c r="J20" s="2" t="n">
        <x:f>COUNTIF(C20:I20,"ERROR")</x:f>
        <x:v>0</x:v>
      </x:c>
      <x:c r="K20" s="2" t="n">
        <x:f>IF(COUNTA('01_orders_raw'!A20:J20)&gt;0,20,"")</x:f>
        <x:v>20</x:v>
      </x:c>
    </x:row>
    <x:row r="21">
      <x:c r="A21" s="2" t="str">
        <x:f>IF(COUNTA('01_orders_raw'!A21:J21)&gt;0,"Order","")</x:f>
        <x:v>Order</x:v>
      </x:c>
      <x:c r="B21" s="2" t="n">
        <x:f>IF(COUNTA('01_orders_raw'!A21:J21)&gt;0,'01_orders_raw'!A21,"")</x:f>
        <x:v>1020</x:v>
      </x:c>
      <x:c r="C21" s="2" t="str">
        <x:f>IF(COUNTA('01_orders_raw'!A21:J21)&gt;0,IF(AND(LEN('01_orders_raw'!A21&amp;"")&gt;0,COUNTIF('01_orders_raw'!$A$2:$A$181,'01_orders_raw'!A21)&gt;1),"ERROR","OK"),"")</x:f>
        <x:v>OK</x:v>
      </x:c>
      <x:c r="D21" s="2" t="str">
        <x:f>IF(COUNTA('01_orders_raw'!A21:J21)&gt;0,IF(OR(LEN('01_orders_raw'!A21&amp;"")=0,LEN('01_orders_raw'!B21&amp;"")=0,LEN('01_orders_raw'!C21&amp;"")=0,LEN('01_orders_raw'!D21&amp;"")=0,LEN('01_orders_raw'!E21&amp;"")=0,LEN('01_orders_raw'!F21&amp;"")=0,LEN('01_orders_raw'!G21&amp;"")=0,LEN('01_orders_raw'!H21&amp;"")=0,LEN('01_orders_raw'!I21&amp;"")=0,LEN('01_orders_raw'!J21&amp;"")=0),"ERROR","OK"),"")</x:f>
        <x:v>OK</x:v>
      </x:c>
      <x:c r="E21" s="2" t="str">
        <x:f>IF(COUNTA('01_orders_raw'!A21:J21)&gt;0,IF(LEN('01_orders_raw'!C21&amp;"")=0,"SKIP",IF(COUNTIF('02_clients_raw'!$A$2:$A$67,'01_orders_raw'!C21)&lt;&gt;1,"ERROR","OK")),"")</x:f>
        <x:v>OK</x:v>
      </x:c>
      <x:c r="F21" s="2" t="str">
        <x:f>IF(COUNTA('01_orders_raw'!A21:J21)&gt;0,IF(OR(LEN('01_orders_raw'!G21&amp;"")=0,LEN('01_orders_raw'!H21&amp;"")=0,LEN('01_orders_raw'!I21&amp;"")=0),"SKIP",IF(AND(ISNUMBER('01_orders_raw'!G21),ISNUMBER('01_orders_raw'!H21),ISNUMBER('01_orders_raw'!I21)),IF(OR('01_orders_raw'!G21&lt;=0,MOD('01_orders_raw'!G21,1)&lt;&gt;0,ABS('01_orders_raw'!I21-'01_orders_raw'!G21*'01_orders_raw'!H21)&gt;'09_parameters'!$B$3),"ERROR","OK"),"ERROR")),"")</x:f>
        <x:v>OK</x:v>
      </x:c>
      <x:c r="G21" s="2" t="str">
        <x:f>IF(COUNTA('01_orders_raw'!A21:J21)&gt;0,IF(LEN('01_orders_raw'!H21&amp;"")=0,"SKIP",IF('01_orders_raw'!H21&lt;0,"ERROR","OK")),"")</x:f>
        <x:v>OK</x:v>
      </x:c>
      <x:c r="H21" s="2" t="str">
        <x:f>IF(COUNTA('01_orders_raw'!A21:J21)&gt;0,IF(LEN('01_orders_raw'!B21&amp;"")=0,"SKIP",IF(OR(NOT(ISNUMBER('01_orders_raw'!B21)),'01_orders_raw'!B21&lt;=0,'01_orders_raw'!B21&gt;'09_parameters'!$B$2),"ERROR","OK")),"")</x:f>
        <x:v>OK</x:v>
      </x:c>
      <x:c r="I21" s="2" t="str">
        <x:f>IF(COUNTA('01_orders_raw'!A21:J21)&gt;0,IF(LEN('01_orders_raw'!J21&amp;"")=0,"SKIP",IF(AND('01_orders_raw'!J21&lt;&gt;"Выполнен",'01_orders_raw'!J21&lt;&gt;"В работе",'01_orders_raw'!J21&lt;&gt;"Отменен",'01_orders_raw'!J21&lt;&gt;"Ожидает оплаты"),"ERROR","OK")),"")</x:f>
        <x:v>OK</x:v>
      </x:c>
      <x:c r="J21" s="2" t="n">
        <x:f>COUNTIF(C21:I21,"ERROR")</x:f>
        <x:v>0</x:v>
      </x:c>
      <x:c r="K21" s="2" t="n">
        <x:f>IF(COUNTA('01_orders_raw'!A21:J21)&gt;0,21,"")</x:f>
        <x:v>21</x:v>
      </x:c>
    </x:row>
    <x:row r="22">
      <x:c r="A22" s="2" t="str">
        <x:f>IF(COUNTA('01_orders_raw'!A22:J22)&gt;0,"Order","")</x:f>
        <x:v>Order</x:v>
      </x:c>
      <x:c r="B22" s="2" t="n">
        <x:f>IF(COUNTA('01_orders_raw'!A22:J22)&gt;0,'01_orders_raw'!A22,"")</x:f>
        <x:v>1021</x:v>
      </x:c>
      <x:c r="C22" s="2" t="str">
        <x:f>IF(COUNTA('01_orders_raw'!A22:J22)&gt;0,IF(AND(LEN('01_orders_raw'!A22&amp;"")&gt;0,COUNTIF('01_orders_raw'!$A$2:$A$181,'01_orders_raw'!A22)&gt;1),"ERROR","OK"),"")</x:f>
        <x:v>OK</x:v>
      </x:c>
      <x:c r="D22" s="2" t="str">
        <x:f>IF(COUNTA('01_orders_raw'!A22:J22)&gt;0,IF(OR(LEN('01_orders_raw'!A22&amp;"")=0,LEN('01_orders_raw'!B22&amp;"")=0,LEN('01_orders_raw'!C22&amp;"")=0,LEN('01_orders_raw'!D22&amp;"")=0,LEN('01_orders_raw'!E22&amp;"")=0,LEN('01_orders_raw'!F22&amp;"")=0,LEN('01_orders_raw'!G22&amp;"")=0,LEN('01_orders_raw'!H22&amp;"")=0,LEN('01_orders_raw'!I22&amp;"")=0,LEN('01_orders_raw'!J22&amp;"")=0),"ERROR","OK"),"")</x:f>
        <x:v>OK</x:v>
      </x:c>
      <x:c r="E22" s="2" t="str">
        <x:f>IF(COUNTA('01_orders_raw'!A22:J22)&gt;0,IF(LEN('01_orders_raw'!C22&amp;"")=0,"SKIP",IF(COUNTIF('02_clients_raw'!$A$2:$A$67,'01_orders_raw'!C22)&lt;&gt;1,"ERROR","OK")),"")</x:f>
        <x:v>OK</x:v>
      </x:c>
      <x:c r="F22" s="2" t="str">
        <x:f>IF(COUNTA('01_orders_raw'!A22:J22)&gt;0,IF(OR(LEN('01_orders_raw'!G22&amp;"")=0,LEN('01_orders_raw'!H22&amp;"")=0,LEN('01_orders_raw'!I22&amp;"")=0),"SKIP",IF(AND(ISNUMBER('01_orders_raw'!G22),ISNUMBER('01_orders_raw'!H22),ISNUMBER('01_orders_raw'!I22)),IF(OR('01_orders_raw'!G22&lt;=0,MOD('01_orders_raw'!G22,1)&lt;&gt;0,ABS('01_orders_raw'!I22-'01_orders_raw'!G22*'01_orders_raw'!H22)&gt;'09_parameters'!$B$3),"ERROR","OK"),"ERROR")),"")</x:f>
        <x:v>OK</x:v>
      </x:c>
      <x:c r="G22" s="2" t="str">
        <x:f>IF(COUNTA('01_orders_raw'!A22:J22)&gt;0,IF(LEN('01_orders_raw'!H22&amp;"")=0,"SKIP",IF('01_orders_raw'!H22&lt;0,"ERROR","OK")),"")</x:f>
        <x:v>OK</x:v>
      </x:c>
      <x:c r="H22" s="2" t="str">
        <x:f>IF(COUNTA('01_orders_raw'!A22:J22)&gt;0,IF(LEN('01_orders_raw'!B22&amp;"")=0,"SKIP",IF(OR(NOT(ISNUMBER('01_orders_raw'!B22)),'01_orders_raw'!B22&lt;=0,'01_orders_raw'!B22&gt;'09_parameters'!$B$2),"ERROR","OK")),"")</x:f>
        <x:v>OK</x:v>
      </x:c>
      <x:c r="I22" s="2" t="str">
        <x:f>IF(COUNTA('01_orders_raw'!A22:J22)&gt;0,IF(LEN('01_orders_raw'!J22&amp;"")=0,"SKIP",IF(AND('01_orders_raw'!J22&lt;&gt;"Выполнен",'01_orders_raw'!J22&lt;&gt;"В работе",'01_orders_raw'!J22&lt;&gt;"Отменен",'01_orders_raw'!J22&lt;&gt;"Ожидает оплаты"),"ERROR","OK")),"")</x:f>
        <x:v>OK</x:v>
      </x:c>
      <x:c r="J22" s="2" t="n">
        <x:f>COUNTIF(C22:I22,"ERROR")</x:f>
        <x:v>0</x:v>
      </x:c>
      <x:c r="K22" s="2" t="n">
        <x:f>IF(COUNTA('01_orders_raw'!A22:J22)&gt;0,22,"")</x:f>
        <x:v>22</x:v>
      </x:c>
    </x:row>
    <x:row r="23">
      <x:c r="A23" s="2" t="str">
        <x:f>IF(COUNTA('01_orders_raw'!A23:J23)&gt;0,"Order","")</x:f>
        <x:v>Order</x:v>
      </x:c>
      <x:c r="B23" s="2" t="n">
        <x:f>IF(COUNTA('01_orders_raw'!A23:J23)&gt;0,'01_orders_raw'!A23,"")</x:f>
        <x:v>1022</x:v>
      </x:c>
      <x:c r="C23" s="2" t="str">
        <x:f>IF(COUNTA('01_orders_raw'!A23:J23)&gt;0,IF(AND(LEN('01_orders_raw'!A23&amp;"")&gt;0,COUNTIF('01_orders_raw'!$A$2:$A$181,'01_orders_raw'!A23)&gt;1),"ERROR","OK"),"")</x:f>
        <x:v>OK</x:v>
      </x:c>
      <x:c r="D23" s="2" t="str">
        <x:f>IF(COUNTA('01_orders_raw'!A23:J23)&gt;0,IF(OR(LEN('01_orders_raw'!A23&amp;"")=0,LEN('01_orders_raw'!B23&amp;"")=0,LEN('01_orders_raw'!C23&amp;"")=0,LEN('01_orders_raw'!D23&amp;"")=0,LEN('01_orders_raw'!E23&amp;"")=0,LEN('01_orders_raw'!F23&amp;"")=0,LEN('01_orders_raw'!G23&amp;"")=0,LEN('01_orders_raw'!H23&amp;"")=0,LEN('01_orders_raw'!I23&amp;"")=0,LEN('01_orders_raw'!J23&amp;"")=0),"ERROR","OK"),"")</x:f>
        <x:v>OK</x:v>
      </x:c>
      <x:c r="E23" s="2" t="str">
        <x:f>IF(COUNTA('01_orders_raw'!A23:J23)&gt;0,IF(LEN('01_orders_raw'!C23&amp;"")=0,"SKIP",IF(COUNTIF('02_clients_raw'!$A$2:$A$67,'01_orders_raw'!C23)&lt;&gt;1,"ERROR","OK")),"")</x:f>
        <x:v>OK</x:v>
      </x:c>
      <x:c r="F23" s="2" t="str">
        <x:f>IF(COUNTA('01_orders_raw'!A23:J23)&gt;0,IF(OR(LEN('01_orders_raw'!G23&amp;"")=0,LEN('01_orders_raw'!H23&amp;"")=0,LEN('01_orders_raw'!I23&amp;"")=0),"SKIP",IF(AND(ISNUMBER('01_orders_raw'!G23),ISNUMBER('01_orders_raw'!H23),ISNUMBER('01_orders_raw'!I23)),IF(OR('01_orders_raw'!G23&lt;=0,MOD('01_orders_raw'!G23,1)&lt;&gt;0,ABS('01_orders_raw'!I23-'01_orders_raw'!G23*'01_orders_raw'!H23)&gt;'09_parameters'!$B$3),"ERROR","OK"),"ERROR")),"")</x:f>
        <x:v>OK</x:v>
      </x:c>
      <x:c r="G23" s="2" t="str">
        <x:f>IF(COUNTA('01_orders_raw'!A23:J23)&gt;0,IF(LEN('01_orders_raw'!H23&amp;"")=0,"SKIP",IF('01_orders_raw'!H23&lt;0,"ERROR","OK")),"")</x:f>
        <x:v>OK</x:v>
      </x:c>
      <x:c r="H23" s="2" t="str">
        <x:f>IF(COUNTA('01_orders_raw'!A23:J23)&gt;0,IF(LEN('01_orders_raw'!B23&amp;"")=0,"SKIP",IF(OR(NOT(ISNUMBER('01_orders_raw'!B23)),'01_orders_raw'!B23&lt;=0,'01_orders_raw'!B23&gt;'09_parameters'!$B$2),"ERROR","OK")),"")</x:f>
        <x:v>OK</x:v>
      </x:c>
      <x:c r="I23" s="2" t="str">
        <x:f>IF(COUNTA('01_orders_raw'!A23:J23)&gt;0,IF(LEN('01_orders_raw'!J23&amp;"")=0,"SKIP",IF(AND('01_orders_raw'!J23&lt;&gt;"Выполнен",'01_orders_raw'!J23&lt;&gt;"В работе",'01_orders_raw'!J23&lt;&gt;"Отменен",'01_orders_raw'!J23&lt;&gt;"Ожидает оплаты"),"ERROR","OK")),"")</x:f>
        <x:v>OK</x:v>
      </x:c>
      <x:c r="J23" s="2" t="n">
        <x:f>COUNTIF(C23:I23,"ERROR")</x:f>
        <x:v>0</x:v>
      </x:c>
      <x:c r="K23" s="2" t="n">
        <x:f>IF(COUNTA('01_orders_raw'!A23:J23)&gt;0,23,"")</x:f>
        <x:v>23</x:v>
      </x:c>
    </x:row>
    <x:row r="24">
      <x:c r="A24" s="2" t="str">
        <x:f>IF(COUNTA('01_orders_raw'!A24:J24)&gt;0,"Order","")</x:f>
        <x:v>Order</x:v>
      </x:c>
      <x:c r="B24" s="2" t="n">
        <x:f>IF(COUNTA('01_orders_raw'!A24:J24)&gt;0,'01_orders_raw'!A24,"")</x:f>
        <x:v>1023</x:v>
      </x:c>
      <x:c r="C24" s="2" t="str">
        <x:f>IF(COUNTA('01_orders_raw'!A24:J24)&gt;0,IF(AND(LEN('01_orders_raw'!A24&amp;"")&gt;0,COUNTIF('01_orders_raw'!$A$2:$A$181,'01_orders_raw'!A24)&gt;1),"ERROR","OK"),"")</x:f>
        <x:v>OK</x:v>
      </x:c>
      <x:c r="D24" s="2" t="str">
        <x:f>IF(COUNTA('01_orders_raw'!A24:J24)&gt;0,IF(OR(LEN('01_orders_raw'!A24&amp;"")=0,LEN('01_orders_raw'!B24&amp;"")=0,LEN('01_orders_raw'!C24&amp;"")=0,LEN('01_orders_raw'!D24&amp;"")=0,LEN('01_orders_raw'!E24&amp;"")=0,LEN('01_orders_raw'!F24&amp;"")=0,LEN('01_orders_raw'!G24&amp;"")=0,LEN('01_orders_raw'!H24&amp;"")=0,LEN('01_orders_raw'!I24&amp;"")=0,LEN('01_orders_raw'!J24&amp;"")=0),"ERROR","OK"),"")</x:f>
        <x:v>OK</x:v>
      </x:c>
      <x:c r="E24" s="2" t="str">
        <x:f>IF(COUNTA('01_orders_raw'!A24:J24)&gt;0,IF(LEN('01_orders_raw'!C24&amp;"")=0,"SKIP",IF(COUNTIF('02_clients_raw'!$A$2:$A$67,'01_orders_raw'!C24)&lt;&gt;1,"ERROR","OK")),"")</x:f>
        <x:v>OK</x:v>
      </x:c>
      <x:c r="F24" s="2" t="str">
        <x:f>IF(COUNTA('01_orders_raw'!A24:J24)&gt;0,IF(OR(LEN('01_orders_raw'!G24&amp;"")=0,LEN('01_orders_raw'!H24&amp;"")=0,LEN('01_orders_raw'!I24&amp;"")=0),"SKIP",IF(AND(ISNUMBER('01_orders_raw'!G24),ISNUMBER('01_orders_raw'!H24),ISNUMBER('01_orders_raw'!I24)),IF(OR('01_orders_raw'!G24&lt;=0,MOD('01_orders_raw'!G24,1)&lt;&gt;0,ABS('01_orders_raw'!I24-'01_orders_raw'!G24*'01_orders_raw'!H24)&gt;'09_parameters'!$B$3),"ERROR","OK"),"ERROR")),"")</x:f>
        <x:v>OK</x:v>
      </x:c>
      <x:c r="G24" s="2" t="str">
        <x:f>IF(COUNTA('01_orders_raw'!A24:J24)&gt;0,IF(LEN('01_orders_raw'!H24&amp;"")=0,"SKIP",IF('01_orders_raw'!H24&lt;0,"ERROR","OK")),"")</x:f>
        <x:v>OK</x:v>
      </x:c>
      <x:c r="H24" s="2" t="str">
        <x:f>IF(COUNTA('01_orders_raw'!A24:J24)&gt;0,IF(LEN('01_orders_raw'!B24&amp;"")=0,"SKIP",IF(OR(NOT(ISNUMBER('01_orders_raw'!B24)),'01_orders_raw'!B24&lt;=0,'01_orders_raw'!B24&gt;'09_parameters'!$B$2),"ERROR","OK")),"")</x:f>
        <x:v>OK</x:v>
      </x:c>
      <x:c r="I24" s="2" t="str">
        <x:f>IF(COUNTA('01_orders_raw'!A24:J24)&gt;0,IF(LEN('01_orders_raw'!J24&amp;"")=0,"SKIP",IF(AND('01_orders_raw'!J24&lt;&gt;"Выполнен",'01_orders_raw'!J24&lt;&gt;"В работе",'01_orders_raw'!J24&lt;&gt;"Отменен",'01_orders_raw'!J24&lt;&gt;"Ожидает оплаты"),"ERROR","OK")),"")</x:f>
        <x:v>OK</x:v>
      </x:c>
      <x:c r="J24" s="2" t="n">
        <x:f>COUNTIF(C24:I24,"ERROR")</x:f>
        <x:v>0</x:v>
      </x:c>
      <x:c r="K24" s="2" t="n">
        <x:f>IF(COUNTA('01_orders_raw'!A24:J24)&gt;0,24,"")</x:f>
        <x:v>24</x:v>
      </x:c>
    </x:row>
    <x:row r="25">
      <x:c r="A25" s="2" t="str">
        <x:f>IF(COUNTA('01_orders_raw'!A25:J25)&gt;0,"Order","")</x:f>
        <x:v>Order</x:v>
      </x:c>
      <x:c r="B25" s="2" t="n">
        <x:f>IF(COUNTA('01_orders_raw'!A25:J25)&gt;0,'01_orders_raw'!A25,"")</x:f>
        <x:v>1024</x:v>
      </x:c>
      <x:c r="C25" s="2" t="str">
        <x:f>IF(COUNTA('01_orders_raw'!A25:J25)&gt;0,IF(AND(LEN('01_orders_raw'!A25&amp;"")&gt;0,COUNTIF('01_orders_raw'!$A$2:$A$181,'01_orders_raw'!A25)&gt;1),"ERROR","OK"),"")</x:f>
        <x:v>OK</x:v>
      </x:c>
      <x:c r="D25" s="2" t="str">
        <x:f>IF(COUNTA('01_orders_raw'!A25:J25)&gt;0,IF(OR(LEN('01_orders_raw'!A25&amp;"")=0,LEN('01_orders_raw'!B25&amp;"")=0,LEN('01_orders_raw'!C25&amp;"")=0,LEN('01_orders_raw'!D25&amp;"")=0,LEN('01_orders_raw'!E25&amp;"")=0,LEN('01_orders_raw'!F25&amp;"")=0,LEN('01_orders_raw'!G25&amp;"")=0,LEN('01_orders_raw'!H25&amp;"")=0,LEN('01_orders_raw'!I25&amp;"")=0,LEN('01_orders_raw'!J25&amp;"")=0),"ERROR","OK"),"")</x:f>
        <x:v>OK</x:v>
      </x:c>
      <x:c r="E25" s="2" t="str">
        <x:f>IF(COUNTA('01_orders_raw'!A25:J25)&gt;0,IF(LEN('01_orders_raw'!C25&amp;"")=0,"SKIP",IF(COUNTIF('02_clients_raw'!$A$2:$A$67,'01_orders_raw'!C25)&lt;&gt;1,"ERROR","OK")),"")</x:f>
        <x:v>OK</x:v>
      </x:c>
      <x:c r="F25" s="2" t="str">
        <x:f>IF(COUNTA('01_orders_raw'!A25:J25)&gt;0,IF(OR(LEN('01_orders_raw'!G25&amp;"")=0,LEN('01_orders_raw'!H25&amp;"")=0,LEN('01_orders_raw'!I25&amp;"")=0),"SKIP",IF(AND(ISNUMBER('01_orders_raw'!G25),ISNUMBER('01_orders_raw'!H25),ISNUMBER('01_orders_raw'!I25)),IF(OR('01_orders_raw'!G25&lt;=0,MOD('01_orders_raw'!G25,1)&lt;&gt;0,ABS('01_orders_raw'!I25-'01_orders_raw'!G25*'01_orders_raw'!H25)&gt;'09_parameters'!$B$3),"ERROR","OK"),"ERROR")),"")</x:f>
        <x:v>OK</x:v>
      </x:c>
      <x:c r="G25" s="2" t="str">
        <x:f>IF(COUNTA('01_orders_raw'!A25:J25)&gt;0,IF(LEN('01_orders_raw'!H25&amp;"")=0,"SKIP",IF('01_orders_raw'!H25&lt;0,"ERROR","OK")),"")</x:f>
        <x:v>OK</x:v>
      </x:c>
      <x:c r="H25" s="2" t="str">
        <x:f>IF(COUNTA('01_orders_raw'!A25:J25)&gt;0,IF(LEN('01_orders_raw'!B25&amp;"")=0,"SKIP",IF(OR(NOT(ISNUMBER('01_orders_raw'!B25)),'01_orders_raw'!B25&lt;=0,'01_orders_raw'!B25&gt;'09_parameters'!$B$2),"ERROR","OK")),"")</x:f>
        <x:v>OK</x:v>
      </x:c>
      <x:c r="I25" s="2" t="str">
        <x:f>IF(COUNTA('01_orders_raw'!A25:J25)&gt;0,IF(LEN('01_orders_raw'!J25&amp;"")=0,"SKIP",IF(AND('01_orders_raw'!J25&lt;&gt;"Выполнен",'01_orders_raw'!J25&lt;&gt;"В работе",'01_orders_raw'!J25&lt;&gt;"Отменен",'01_orders_raw'!J25&lt;&gt;"Ожидает оплаты"),"ERROR","OK")),"")</x:f>
        <x:v>OK</x:v>
      </x:c>
      <x:c r="J25" s="2" t="n">
        <x:f>COUNTIF(C25:I25,"ERROR")</x:f>
        <x:v>0</x:v>
      </x:c>
      <x:c r="K25" s="2" t="n">
        <x:f>IF(COUNTA('01_orders_raw'!A25:J25)&gt;0,25,"")</x:f>
        <x:v>25</x:v>
      </x:c>
    </x:row>
    <x:row r="26">
      <x:c r="A26" s="2" t="str">
        <x:f>IF(COUNTA('01_orders_raw'!A26:J26)&gt;0,"Order","")</x:f>
        <x:v>Order</x:v>
      </x:c>
      <x:c r="B26" s="2" t="n">
        <x:f>IF(COUNTA('01_orders_raw'!A26:J26)&gt;0,'01_orders_raw'!A26,"")</x:f>
        <x:v>1025</x:v>
      </x:c>
      <x:c r="C26" s="2" t="str">
        <x:f>IF(COUNTA('01_orders_raw'!A26:J26)&gt;0,IF(AND(LEN('01_orders_raw'!A26&amp;"")&gt;0,COUNTIF('01_orders_raw'!$A$2:$A$181,'01_orders_raw'!A26)&gt;1),"ERROR","OK"),"")</x:f>
        <x:v>OK</x:v>
      </x:c>
      <x:c r="D26" s="2" t="str">
        <x:f>IF(COUNTA('01_orders_raw'!A26:J26)&gt;0,IF(OR(LEN('01_orders_raw'!A26&amp;"")=0,LEN('01_orders_raw'!B26&amp;"")=0,LEN('01_orders_raw'!C26&amp;"")=0,LEN('01_orders_raw'!D26&amp;"")=0,LEN('01_orders_raw'!E26&amp;"")=0,LEN('01_orders_raw'!F26&amp;"")=0,LEN('01_orders_raw'!G26&amp;"")=0,LEN('01_orders_raw'!H26&amp;"")=0,LEN('01_orders_raw'!I26&amp;"")=0,LEN('01_orders_raw'!J26&amp;"")=0),"ERROR","OK"),"")</x:f>
        <x:v>OK</x:v>
      </x:c>
      <x:c r="E26" s="2" t="str">
        <x:f>IF(COUNTA('01_orders_raw'!A26:J26)&gt;0,IF(LEN('01_orders_raw'!C26&amp;"")=0,"SKIP",IF(COUNTIF('02_clients_raw'!$A$2:$A$67,'01_orders_raw'!C26)&lt;&gt;1,"ERROR","OK")),"")</x:f>
        <x:v>OK</x:v>
      </x:c>
      <x:c r="F26" s="2" t="str">
        <x:f>IF(COUNTA('01_orders_raw'!A26:J26)&gt;0,IF(OR(LEN('01_orders_raw'!G26&amp;"")=0,LEN('01_orders_raw'!H26&amp;"")=0,LEN('01_orders_raw'!I26&amp;"")=0),"SKIP",IF(AND(ISNUMBER('01_orders_raw'!G26),ISNUMBER('01_orders_raw'!H26),ISNUMBER('01_orders_raw'!I26)),IF(OR('01_orders_raw'!G26&lt;=0,MOD('01_orders_raw'!G26,1)&lt;&gt;0,ABS('01_orders_raw'!I26-'01_orders_raw'!G26*'01_orders_raw'!H26)&gt;'09_parameters'!$B$3),"ERROR","OK"),"ERROR")),"")</x:f>
        <x:v>OK</x:v>
      </x:c>
      <x:c r="G26" s="2" t="str">
        <x:f>IF(COUNTA('01_orders_raw'!A26:J26)&gt;0,IF(LEN('01_orders_raw'!H26&amp;"")=0,"SKIP",IF('01_orders_raw'!H26&lt;0,"ERROR","OK")),"")</x:f>
        <x:v>OK</x:v>
      </x:c>
      <x:c r="H26" s="2" t="str">
        <x:f>IF(COUNTA('01_orders_raw'!A26:J26)&gt;0,IF(LEN('01_orders_raw'!B26&amp;"")=0,"SKIP",IF(OR(NOT(ISNUMBER('01_orders_raw'!B26)),'01_orders_raw'!B26&lt;=0,'01_orders_raw'!B26&gt;'09_parameters'!$B$2),"ERROR","OK")),"")</x:f>
        <x:v>OK</x:v>
      </x:c>
      <x:c r="I26" s="2" t="str">
        <x:f>IF(COUNTA('01_orders_raw'!A26:J26)&gt;0,IF(LEN('01_orders_raw'!J26&amp;"")=0,"SKIP",IF(AND('01_orders_raw'!J26&lt;&gt;"Выполнен",'01_orders_raw'!J26&lt;&gt;"В работе",'01_orders_raw'!J26&lt;&gt;"Отменен",'01_orders_raw'!J26&lt;&gt;"Ожидает оплаты"),"ERROR","OK")),"")</x:f>
        <x:v>OK</x:v>
      </x:c>
      <x:c r="J26" s="2" t="n">
        <x:f>COUNTIF(C26:I26,"ERROR")</x:f>
        <x:v>0</x:v>
      </x:c>
      <x:c r="K26" s="2" t="n">
        <x:f>IF(COUNTA('01_orders_raw'!A26:J26)&gt;0,26,"")</x:f>
        <x:v>26</x:v>
      </x:c>
    </x:row>
    <x:row r="27">
      <x:c r="A27" s="2" t="str">
        <x:f>IF(COUNTA('01_orders_raw'!A27:J27)&gt;0,"Order","")</x:f>
        <x:v>Order</x:v>
      </x:c>
      <x:c r="B27" s="2" t="n">
        <x:f>IF(COUNTA('01_orders_raw'!A27:J27)&gt;0,'01_orders_raw'!A27,"")</x:f>
        <x:v>1026</x:v>
      </x:c>
      <x:c r="C27" s="2" t="str">
        <x:f>IF(COUNTA('01_orders_raw'!A27:J27)&gt;0,IF(AND(LEN('01_orders_raw'!A27&amp;"")&gt;0,COUNTIF('01_orders_raw'!$A$2:$A$181,'01_orders_raw'!A27)&gt;1),"ERROR","OK"),"")</x:f>
        <x:v>OK</x:v>
      </x:c>
      <x:c r="D27" s="2" t="str">
        <x:f>IF(COUNTA('01_orders_raw'!A27:J27)&gt;0,IF(OR(LEN('01_orders_raw'!A27&amp;"")=0,LEN('01_orders_raw'!B27&amp;"")=0,LEN('01_orders_raw'!C27&amp;"")=0,LEN('01_orders_raw'!D27&amp;"")=0,LEN('01_orders_raw'!E27&amp;"")=0,LEN('01_orders_raw'!F27&amp;"")=0,LEN('01_orders_raw'!G27&amp;"")=0,LEN('01_orders_raw'!H27&amp;"")=0,LEN('01_orders_raw'!I27&amp;"")=0,LEN('01_orders_raw'!J27&amp;"")=0),"ERROR","OK"),"")</x:f>
        <x:v>OK</x:v>
      </x:c>
      <x:c r="E27" s="2" t="str">
        <x:f>IF(COUNTA('01_orders_raw'!A27:J27)&gt;0,IF(LEN('01_orders_raw'!C27&amp;"")=0,"SKIP",IF(COUNTIF('02_clients_raw'!$A$2:$A$67,'01_orders_raw'!C27)&lt;&gt;1,"ERROR","OK")),"")</x:f>
        <x:v>OK</x:v>
      </x:c>
      <x:c r="F27" s="2" t="str">
        <x:f>IF(COUNTA('01_orders_raw'!A27:J27)&gt;0,IF(OR(LEN('01_orders_raw'!G27&amp;"")=0,LEN('01_orders_raw'!H27&amp;"")=0,LEN('01_orders_raw'!I27&amp;"")=0),"SKIP",IF(AND(ISNUMBER('01_orders_raw'!G27),ISNUMBER('01_orders_raw'!H27),ISNUMBER('01_orders_raw'!I27)),IF(OR('01_orders_raw'!G27&lt;=0,MOD('01_orders_raw'!G27,1)&lt;&gt;0,ABS('01_orders_raw'!I27-'01_orders_raw'!G27*'01_orders_raw'!H27)&gt;'09_parameters'!$B$3),"ERROR","OK"),"ERROR")),"")</x:f>
        <x:v>OK</x:v>
      </x:c>
      <x:c r="G27" s="2" t="str">
        <x:f>IF(COUNTA('01_orders_raw'!A27:J27)&gt;0,IF(LEN('01_orders_raw'!H27&amp;"")=0,"SKIP",IF('01_orders_raw'!H27&lt;0,"ERROR","OK")),"")</x:f>
        <x:v>OK</x:v>
      </x:c>
      <x:c r="H27" s="2" t="str">
        <x:f>IF(COUNTA('01_orders_raw'!A27:J27)&gt;0,IF(LEN('01_orders_raw'!B27&amp;"")=0,"SKIP",IF(OR(NOT(ISNUMBER('01_orders_raw'!B27)),'01_orders_raw'!B27&lt;=0,'01_orders_raw'!B27&gt;'09_parameters'!$B$2),"ERROR","OK")),"")</x:f>
        <x:v>OK</x:v>
      </x:c>
      <x:c r="I27" s="2" t="str">
        <x:f>IF(COUNTA('01_orders_raw'!A27:J27)&gt;0,IF(LEN('01_orders_raw'!J27&amp;"")=0,"SKIP",IF(AND('01_orders_raw'!J27&lt;&gt;"Выполнен",'01_orders_raw'!J27&lt;&gt;"В работе",'01_orders_raw'!J27&lt;&gt;"Отменен",'01_orders_raw'!J27&lt;&gt;"Ожидает оплаты"),"ERROR","OK")),"")</x:f>
        <x:v>OK</x:v>
      </x:c>
      <x:c r="J27" s="2" t="n">
        <x:f>COUNTIF(C27:I27,"ERROR")</x:f>
        <x:v>0</x:v>
      </x:c>
      <x:c r="K27" s="2" t="n">
        <x:f>IF(COUNTA('01_orders_raw'!A27:J27)&gt;0,27,"")</x:f>
        <x:v>27</x:v>
      </x:c>
    </x:row>
    <x:row r="28">
      <x:c r="A28" s="2" t="str">
        <x:f>IF(COUNTA('01_orders_raw'!A28:J28)&gt;0,"Order","")</x:f>
        <x:v>Order</x:v>
      </x:c>
      <x:c r="B28" s="2" t="n">
        <x:f>IF(COUNTA('01_orders_raw'!A28:J28)&gt;0,'01_orders_raw'!A28,"")</x:f>
        <x:v>1027</x:v>
      </x:c>
      <x:c r="C28" s="2" t="str">
        <x:f>IF(COUNTA('01_orders_raw'!A28:J28)&gt;0,IF(AND(LEN('01_orders_raw'!A28&amp;"")&gt;0,COUNTIF('01_orders_raw'!$A$2:$A$181,'01_orders_raw'!A28)&gt;1),"ERROR","OK"),"")</x:f>
        <x:v>OK</x:v>
      </x:c>
      <x:c r="D28" s="2" t="str">
        <x:f>IF(COUNTA('01_orders_raw'!A28:J28)&gt;0,IF(OR(LEN('01_orders_raw'!A28&amp;"")=0,LEN('01_orders_raw'!B28&amp;"")=0,LEN('01_orders_raw'!C28&amp;"")=0,LEN('01_orders_raw'!D28&amp;"")=0,LEN('01_orders_raw'!E28&amp;"")=0,LEN('01_orders_raw'!F28&amp;"")=0,LEN('01_orders_raw'!G28&amp;"")=0,LEN('01_orders_raw'!H28&amp;"")=0,LEN('01_orders_raw'!I28&amp;"")=0,LEN('01_orders_raw'!J28&amp;"")=0),"ERROR","OK"),"")</x:f>
        <x:v>OK</x:v>
      </x:c>
      <x:c r="E28" s="2" t="str">
        <x:f>IF(COUNTA('01_orders_raw'!A28:J28)&gt;0,IF(LEN('01_orders_raw'!C28&amp;"")=0,"SKIP",IF(COUNTIF('02_clients_raw'!$A$2:$A$67,'01_orders_raw'!C28)&lt;&gt;1,"ERROR","OK")),"")</x:f>
        <x:v>OK</x:v>
      </x:c>
      <x:c r="F28" s="2" t="str">
        <x:f>IF(COUNTA('01_orders_raw'!A28:J28)&gt;0,IF(OR(LEN('01_orders_raw'!G28&amp;"")=0,LEN('01_orders_raw'!H28&amp;"")=0,LEN('01_orders_raw'!I28&amp;"")=0),"SKIP",IF(AND(ISNUMBER('01_orders_raw'!G28),ISNUMBER('01_orders_raw'!H28),ISNUMBER('01_orders_raw'!I28)),IF(OR('01_orders_raw'!G28&lt;=0,MOD('01_orders_raw'!G28,1)&lt;&gt;0,ABS('01_orders_raw'!I28-'01_orders_raw'!G28*'01_orders_raw'!H28)&gt;'09_parameters'!$B$3),"ERROR","OK"),"ERROR")),"")</x:f>
        <x:v>OK</x:v>
      </x:c>
      <x:c r="G28" s="2" t="str">
        <x:f>IF(COUNTA('01_orders_raw'!A28:J28)&gt;0,IF(LEN('01_orders_raw'!H28&amp;"")=0,"SKIP",IF('01_orders_raw'!H28&lt;0,"ERROR","OK")),"")</x:f>
        <x:v>OK</x:v>
      </x:c>
      <x:c r="H28" s="2" t="str">
        <x:f>IF(COUNTA('01_orders_raw'!A28:J28)&gt;0,IF(LEN('01_orders_raw'!B28&amp;"")=0,"SKIP",IF(OR(NOT(ISNUMBER('01_orders_raw'!B28)),'01_orders_raw'!B28&lt;=0,'01_orders_raw'!B28&gt;'09_parameters'!$B$2),"ERROR","OK")),"")</x:f>
        <x:v>OK</x:v>
      </x:c>
      <x:c r="I28" s="2" t="str">
        <x:f>IF(COUNTA('01_orders_raw'!A28:J28)&gt;0,IF(LEN('01_orders_raw'!J28&amp;"")=0,"SKIP",IF(AND('01_orders_raw'!J28&lt;&gt;"Выполнен",'01_orders_raw'!J28&lt;&gt;"В работе",'01_orders_raw'!J28&lt;&gt;"Отменен",'01_orders_raw'!J28&lt;&gt;"Ожидает оплаты"),"ERROR","OK")),"")</x:f>
        <x:v>OK</x:v>
      </x:c>
      <x:c r="J28" s="2" t="n">
        <x:f>COUNTIF(C28:I28,"ERROR")</x:f>
        <x:v>0</x:v>
      </x:c>
      <x:c r="K28" s="2" t="n">
        <x:f>IF(COUNTA('01_orders_raw'!A28:J28)&gt;0,28,"")</x:f>
        <x:v>28</x:v>
      </x:c>
    </x:row>
    <x:row r="29">
      <x:c r="A29" s="2" t="str">
        <x:f>IF(COUNTA('01_orders_raw'!A29:J29)&gt;0,"Order","")</x:f>
        <x:v>Order</x:v>
      </x:c>
      <x:c r="B29" s="2" t="n">
        <x:f>IF(COUNTA('01_orders_raw'!A29:J29)&gt;0,'01_orders_raw'!A29,"")</x:f>
        <x:v>1028</x:v>
      </x:c>
      <x:c r="C29" s="2" t="str">
        <x:f>IF(COUNTA('01_orders_raw'!A29:J29)&gt;0,IF(AND(LEN('01_orders_raw'!A29&amp;"")&gt;0,COUNTIF('01_orders_raw'!$A$2:$A$181,'01_orders_raw'!A29)&gt;1),"ERROR","OK"),"")</x:f>
        <x:v>OK</x:v>
      </x:c>
      <x:c r="D29" s="2" t="str">
        <x:f>IF(COUNTA('01_orders_raw'!A29:J29)&gt;0,IF(OR(LEN('01_orders_raw'!A29&amp;"")=0,LEN('01_orders_raw'!B29&amp;"")=0,LEN('01_orders_raw'!C29&amp;"")=0,LEN('01_orders_raw'!D29&amp;"")=0,LEN('01_orders_raw'!E29&amp;"")=0,LEN('01_orders_raw'!F29&amp;"")=0,LEN('01_orders_raw'!G29&amp;"")=0,LEN('01_orders_raw'!H29&amp;"")=0,LEN('01_orders_raw'!I29&amp;"")=0,LEN('01_orders_raw'!J29&amp;"")=0),"ERROR","OK"),"")</x:f>
        <x:v>OK</x:v>
      </x:c>
      <x:c r="E29" s="2" t="str">
        <x:f>IF(COUNTA('01_orders_raw'!A29:J29)&gt;0,IF(LEN('01_orders_raw'!C29&amp;"")=0,"SKIP",IF(COUNTIF('02_clients_raw'!$A$2:$A$67,'01_orders_raw'!C29)&lt;&gt;1,"ERROR","OK")),"")</x:f>
        <x:v>OK</x:v>
      </x:c>
      <x:c r="F29" s="2" t="str">
        <x:f>IF(COUNTA('01_orders_raw'!A29:J29)&gt;0,IF(OR(LEN('01_orders_raw'!G29&amp;"")=0,LEN('01_orders_raw'!H29&amp;"")=0,LEN('01_orders_raw'!I29&amp;"")=0),"SKIP",IF(AND(ISNUMBER('01_orders_raw'!G29),ISNUMBER('01_orders_raw'!H29),ISNUMBER('01_orders_raw'!I29)),IF(OR('01_orders_raw'!G29&lt;=0,MOD('01_orders_raw'!G29,1)&lt;&gt;0,ABS('01_orders_raw'!I29-'01_orders_raw'!G29*'01_orders_raw'!H29)&gt;'09_parameters'!$B$3),"ERROR","OK"),"ERROR")),"")</x:f>
        <x:v>OK</x:v>
      </x:c>
      <x:c r="G29" s="2" t="str">
        <x:f>IF(COUNTA('01_orders_raw'!A29:J29)&gt;0,IF(LEN('01_orders_raw'!H29&amp;"")=0,"SKIP",IF('01_orders_raw'!H29&lt;0,"ERROR","OK")),"")</x:f>
        <x:v>OK</x:v>
      </x:c>
      <x:c r="H29" s="2" t="str">
        <x:f>IF(COUNTA('01_orders_raw'!A29:J29)&gt;0,IF(LEN('01_orders_raw'!B29&amp;"")=0,"SKIP",IF(OR(NOT(ISNUMBER('01_orders_raw'!B29)),'01_orders_raw'!B29&lt;=0,'01_orders_raw'!B29&gt;'09_parameters'!$B$2),"ERROR","OK")),"")</x:f>
        <x:v>OK</x:v>
      </x:c>
      <x:c r="I29" s="2" t="str">
        <x:f>IF(COUNTA('01_orders_raw'!A29:J29)&gt;0,IF(LEN('01_orders_raw'!J29&amp;"")=0,"SKIP",IF(AND('01_orders_raw'!J29&lt;&gt;"Выполнен",'01_orders_raw'!J29&lt;&gt;"В работе",'01_orders_raw'!J29&lt;&gt;"Отменен",'01_orders_raw'!J29&lt;&gt;"Ожидает оплаты"),"ERROR","OK")),"")</x:f>
        <x:v>OK</x:v>
      </x:c>
      <x:c r="J29" s="2" t="n">
        <x:f>COUNTIF(C29:I29,"ERROR")</x:f>
        <x:v>0</x:v>
      </x:c>
      <x:c r="K29" s="2" t="n">
        <x:f>IF(COUNTA('01_orders_raw'!A29:J29)&gt;0,29,"")</x:f>
        <x:v>29</x:v>
      </x:c>
    </x:row>
    <x:row r="30">
      <x:c r="A30" s="2" t="str">
        <x:f>IF(COUNTA('01_orders_raw'!A30:J30)&gt;0,"Order","")</x:f>
        <x:v>Order</x:v>
      </x:c>
      <x:c r="B30" s="2" t="n">
        <x:f>IF(COUNTA('01_orders_raw'!A30:J30)&gt;0,'01_orders_raw'!A30,"")</x:f>
        <x:v>1029</x:v>
      </x:c>
      <x:c r="C30" s="2" t="str">
        <x:f>IF(COUNTA('01_orders_raw'!A30:J30)&gt;0,IF(AND(LEN('01_orders_raw'!A30&amp;"")&gt;0,COUNTIF('01_orders_raw'!$A$2:$A$181,'01_orders_raw'!A30)&gt;1),"ERROR","OK"),"")</x:f>
        <x:v>OK</x:v>
      </x:c>
      <x:c r="D30" s="2" t="str">
        <x:f>IF(COUNTA('01_orders_raw'!A30:J30)&gt;0,IF(OR(LEN('01_orders_raw'!A30&amp;"")=0,LEN('01_orders_raw'!B30&amp;"")=0,LEN('01_orders_raw'!C30&amp;"")=0,LEN('01_orders_raw'!D30&amp;"")=0,LEN('01_orders_raw'!E30&amp;"")=0,LEN('01_orders_raw'!F30&amp;"")=0,LEN('01_orders_raw'!G30&amp;"")=0,LEN('01_orders_raw'!H30&amp;"")=0,LEN('01_orders_raw'!I30&amp;"")=0,LEN('01_orders_raw'!J30&amp;"")=0),"ERROR","OK"),"")</x:f>
        <x:v>ERROR</x:v>
      </x:c>
      <x:c r="E30" s="2" t="str">
        <x:f>IF(COUNTA('01_orders_raw'!A30:J30)&gt;0,IF(LEN('01_orders_raw'!C30&amp;"")=0,"SKIP",IF(COUNTIF('02_clients_raw'!$A$2:$A$67,'01_orders_raw'!C30)&lt;&gt;1,"ERROR","OK")),"")</x:f>
        <x:v>OK</x:v>
      </x:c>
      <x:c r="F30" s="2" t="str">
        <x:f>IF(COUNTA('01_orders_raw'!A30:J30)&gt;0,IF(OR(LEN('01_orders_raw'!G30&amp;"")=0,LEN('01_orders_raw'!H30&amp;"")=0,LEN('01_orders_raw'!I30&amp;"")=0),"SKIP",IF(AND(ISNUMBER('01_orders_raw'!G30),ISNUMBER('01_orders_raw'!H30),ISNUMBER('01_orders_raw'!I30)),IF(OR('01_orders_raw'!G30&lt;=0,MOD('01_orders_raw'!G30,1)&lt;&gt;0,ABS('01_orders_raw'!I30-'01_orders_raw'!G30*'01_orders_raw'!H30)&gt;'09_parameters'!$B$3),"ERROR","OK"),"ERROR")),"")</x:f>
        <x:v>OK</x:v>
      </x:c>
      <x:c r="G30" s="2" t="str">
        <x:f>IF(COUNTA('01_orders_raw'!A30:J30)&gt;0,IF(LEN('01_orders_raw'!H30&amp;"")=0,"SKIP",IF('01_orders_raw'!H30&lt;0,"ERROR","OK")),"")</x:f>
        <x:v>OK</x:v>
      </x:c>
      <x:c r="H30" s="2" t="str">
        <x:f>IF(COUNTA('01_orders_raw'!A30:J30)&gt;0,IF(LEN('01_orders_raw'!B30&amp;"")=0,"SKIP",IF(OR(NOT(ISNUMBER('01_orders_raw'!B30)),'01_orders_raw'!B30&lt;=0,'01_orders_raw'!B30&gt;'09_parameters'!$B$2),"ERROR","OK")),"")</x:f>
        <x:v>OK</x:v>
      </x:c>
      <x:c r="I30" s="2" t="str">
        <x:f>IF(COUNTA('01_orders_raw'!A30:J30)&gt;0,IF(LEN('01_orders_raw'!J30&amp;"")=0,"SKIP",IF(AND('01_orders_raw'!J30&lt;&gt;"Выполнен",'01_orders_raw'!J30&lt;&gt;"В работе",'01_orders_raw'!J30&lt;&gt;"Отменен",'01_orders_raw'!J30&lt;&gt;"Ожидает оплаты"),"ERROR","OK")),"")</x:f>
        <x:v>OK</x:v>
      </x:c>
      <x:c r="J30" s="2" t="n">
        <x:f>COUNTIF(C30:I30,"ERROR")</x:f>
        <x:v>1</x:v>
      </x:c>
      <x:c r="K30" s="2" t="n">
        <x:f>IF(COUNTA('01_orders_raw'!A30:J30)&gt;0,30,"")</x:f>
        <x:v>30</x:v>
      </x:c>
    </x:row>
    <x:row r="31">
      <x:c r="A31" s="2" t="str">
        <x:f>IF(COUNTA('01_orders_raw'!A31:J31)&gt;0,"Order","")</x:f>
        <x:v>Order</x:v>
      </x:c>
      <x:c r="B31" s="2" t="n">
        <x:f>IF(COUNTA('01_orders_raw'!A31:J31)&gt;0,'01_orders_raw'!A31,"")</x:f>
        <x:v>1030</x:v>
      </x:c>
      <x:c r="C31" s="2" t="str">
        <x:f>IF(COUNTA('01_orders_raw'!A31:J31)&gt;0,IF(AND(LEN('01_orders_raw'!A31&amp;"")&gt;0,COUNTIF('01_orders_raw'!$A$2:$A$181,'01_orders_raw'!A31)&gt;1),"ERROR","OK"),"")</x:f>
        <x:v>OK</x:v>
      </x:c>
      <x:c r="D31" s="2" t="str">
        <x:f>IF(COUNTA('01_orders_raw'!A31:J31)&gt;0,IF(OR(LEN('01_orders_raw'!A31&amp;"")=0,LEN('01_orders_raw'!B31&amp;"")=0,LEN('01_orders_raw'!C31&amp;"")=0,LEN('01_orders_raw'!D31&amp;"")=0,LEN('01_orders_raw'!E31&amp;"")=0,LEN('01_orders_raw'!F31&amp;"")=0,LEN('01_orders_raw'!G31&amp;"")=0,LEN('01_orders_raw'!H31&amp;"")=0,LEN('01_orders_raw'!I31&amp;"")=0,LEN('01_orders_raw'!J31&amp;"")=0),"ERROR","OK"),"")</x:f>
        <x:v>OK</x:v>
      </x:c>
      <x:c r="E31" s="2" t="str">
        <x:f>IF(COUNTA('01_orders_raw'!A31:J31)&gt;0,IF(LEN('01_orders_raw'!C31&amp;"")=0,"SKIP",IF(COUNTIF('02_clients_raw'!$A$2:$A$67,'01_orders_raw'!C31)&lt;&gt;1,"ERROR","OK")),"")</x:f>
        <x:v>OK</x:v>
      </x:c>
      <x:c r="F31" s="2" t="str">
        <x:f>IF(COUNTA('01_orders_raw'!A31:J31)&gt;0,IF(OR(LEN('01_orders_raw'!G31&amp;"")=0,LEN('01_orders_raw'!H31&amp;"")=0,LEN('01_orders_raw'!I31&amp;"")=0),"SKIP",IF(AND(ISNUMBER('01_orders_raw'!G31),ISNUMBER('01_orders_raw'!H31),ISNUMBER('01_orders_raw'!I31)),IF(OR('01_orders_raw'!G31&lt;=0,MOD('01_orders_raw'!G31,1)&lt;&gt;0,ABS('01_orders_raw'!I31-'01_orders_raw'!G31*'01_orders_raw'!H31)&gt;'09_parameters'!$B$3),"ERROR","OK"),"ERROR")),"")</x:f>
        <x:v>OK</x:v>
      </x:c>
      <x:c r="G31" s="2" t="str">
        <x:f>IF(COUNTA('01_orders_raw'!A31:J31)&gt;0,IF(LEN('01_orders_raw'!H31&amp;"")=0,"SKIP",IF('01_orders_raw'!H31&lt;0,"ERROR","OK")),"")</x:f>
        <x:v>OK</x:v>
      </x:c>
      <x:c r="H31" s="2" t="str">
        <x:f>IF(COUNTA('01_orders_raw'!A31:J31)&gt;0,IF(LEN('01_orders_raw'!B31&amp;"")=0,"SKIP",IF(OR(NOT(ISNUMBER('01_orders_raw'!B31)),'01_orders_raw'!B31&lt;=0,'01_orders_raw'!B31&gt;'09_parameters'!$B$2),"ERROR","OK")),"")</x:f>
        <x:v>OK</x:v>
      </x:c>
      <x:c r="I31" s="2" t="str">
        <x:f>IF(COUNTA('01_orders_raw'!A31:J31)&gt;0,IF(LEN('01_orders_raw'!J31&amp;"")=0,"SKIP",IF(AND('01_orders_raw'!J31&lt;&gt;"Выполнен",'01_orders_raw'!J31&lt;&gt;"В работе",'01_orders_raw'!J31&lt;&gt;"Отменен",'01_orders_raw'!J31&lt;&gt;"Ожидает оплаты"),"ERROR","OK")),"")</x:f>
        <x:v>OK</x:v>
      </x:c>
      <x:c r="J31" s="2" t="n">
        <x:f>COUNTIF(C31:I31,"ERROR")</x:f>
        <x:v>0</x:v>
      </x:c>
      <x:c r="K31" s="2" t="n">
        <x:f>IF(COUNTA('01_orders_raw'!A31:J31)&gt;0,31,"")</x:f>
        <x:v>31</x:v>
      </x:c>
    </x:row>
    <x:row r="32">
      <x:c r="A32" s="2" t="str">
        <x:f>IF(COUNTA('01_orders_raw'!A32:J32)&gt;0,"Order","")</x:f>
        <x:v>Order</x:v>
      </x:c>
      <x:c r="B32" s="2" t="n">
        <x:f>IF(COUNTA('01_orders_raw'!A32:J32)&gt;0,'01_orders_raw'!A32,"")</x:f>
        <x:v>1031</x:v>
      </x:c>
      <x:c r="C32" s="2" t="str">
        <x:f>IF(COUNTA('01_orders_raw'!A32:J32)&gt;0,IF(AND(LEN('01_orders_raw'!A32&amp;"")&gt;0,COUNTIF('01_orders_raw'!$A$2:$A$181,'01_orders_raw'!A32)&gt;1),"ERROR","OK"),"")</x:f>
        <x:v>OK</x:v>
      </x:c>
      <x:c r="D32" s="2" t="str">
        <x:f>IF(COUNTA('01_orders_raw'!A32:J32)&gt;0,IF(OR(LEN('01_orders_raw'!A32&amp;"")=0,LEN('01_orders_raw'!B32&amp;"")=0,LEN('01_orders_raw'!C32&amp;"")=0,LEN('01_orders_raw'!D32&amp;"")=0,LEN('01_orders_raw'!E32&amp;"")=0,LEN('01_orders_raw'!F32&amp;"")=0,LEN('01_orders_raw'!G32&amp;"")=0,LEN('01_orders_raw'!H32&amp;"")=0,LEN('01_orders_raw'!I32&amp;"")=0,LEN('01_orders_raw'!J32&amp;"")=0),"ERROR","OK"),"")</x:f>
        <x:v>OK</x:v>
      </x:c>
      <x:c r="E32" s="2" t="str">
        <x:f>IF(COUNTA('01_orders_raw'!A32:J32)&gt;0,IF(LEN('01_orders_raw'!C32&amp;"")=0,"SKIP",IF(COUNTIF('02_clients_raw'!$A$2:$A$67,'01_orders_raw'!C32)&lt;&gt;1,"ERROR","OK")),"")</x:f>
        <x:v>OK</x:v>
      </x:c>
      <x:c r="F32" s="2" t="str">
        <x:f>IF(COUNTA('01_orders_raw'!A32:J32)&gt;0,IF(OR(LEN('01_orders_raw'!G32&amp;"")=0,LEN('01_orders_raw'!H32&amp;"")=0,LEN('01_orders_raw'!I32&amp;"")=0),"SKIP",IF(AND(ISNUMBER('01_orders_raw'!G32),ISNUMBER('01_orders_raw'!H32),ISNUMBER('01_orders_raw'!I32)),IF(OR('01_orders_raw'!G32&lt;=0,MOD('01_orders_raw'!G32,1)&lt;&gt;0,ABS('01_orders_raw'!I32-'01_orders_raw'!G32*'01_orders_raw'!H32)&gt;'09_parameters'!$B$3),"ERROR","OK"),"ERROR")),"")</x:f>
        <x:v>OK</x:v>
      </x:c>
      <x:c r="G32" s="2" t="str">
        <x:f>IF(COUNTA('01_orders_raw'!A32:J32)&gt;0,IF(LEN('01_orders_raw'!H32&amp;"")=0,"SKIP",IF('01_orders_raw'!H32&lt;0,"ERROR","OK")),"")</x:f>
        <x:v>OK</x:v>
      </x:c>
      <x:c r="H32" s="2" t="str">
        <x:f>IF(COUNTA('01_orders_raw'!A32:J32)&gt;0,IF(LEN('01_orders_raw'!B32&amp;"")=0,"SKIP",IF(OR(NOT(ISNUMBER('01_orders_raw'!B32)),'01_orders_raw'!B32&lt;=0,'01_orders_raw'!B32&gt;'09_parameters'!$B$2),"ERROR","OK")),"")</x:f>
        <x:v>OK</x:v>
      </x:c>
      <x:c r="I32" s="2" t="str">
        <x:f>IF(COUNTA('01_orders_raw'!A32:J32)&gt;0,IF(LEN('01_orders_raw'!J32&amp;"")=0,"SKIP",IF(AND('01_orders_raw'!J32&lt;&gt;"Выполнен",'01_orders_raw'!J32&lt;&gt;"В работе",'01_orders_raw'!J32&lt;&gt;"Отменен",'01_orders_raw'!J32&lt;&gt;"Ожидает оплаты"),"ERROR","OK")),"")</x:f>
        <x:v>OK</x:v>
      </x:c>
      <x:c r="J32" s="2" t="n">
        <x:f>COUNTIF(C32:I32,"ERROR")</x:f>
        <x:v>0</x:v>
      </x:c>
      <x:c r="K32" s="2" t="n">
        <x:f>IF(COUNTA('01_orders_raw'!A32:J32)&gt;0,32,"")</x:f>
        <x:v>32</x:v>
      </x:c>
    </x:row>
    <x:row r="33">
      <x:c r="A33" s="2" t="str">
        <x:f>IF(COUNTA('01_orders_raw'!A33:J33)&gt;0,"Order","")</x:f>
        <x:v>Order</x:v>
      </x:c>
      <x:c r="B33" s="2" t="n">
        <x:f>IF(COUNTA('01_orders_raw'!A33:J33)&gt;0,'01_orders_raw'!A33,"")</x:f>
        <x:v>1032</x:v>
      </x:c>
      <x:c r="C33" s="2" t="str">
        <x:f>IF(COUNTA('01_orders_raw'!A33:J33)&gt;0,IF(AND(LEN('01_orders_raw'!A33&amp;"")&gt;0,COUNTIF('01_orders_raw'!$A$2:$A$181,'01_orders_raw'!A33)&gt;1),"ERROR","OK"),"")</x:f>
        <x:v>OK</x:v>
      </x:c>
      <x:c r="D33" s="2" t="str">
        <x:f>IF(COUNTA('01_orders_raw'!A33:J33)&gt;0,IF(OR(LEN('01_orders_raw'!A33&amp;"")=0,LEN('01_orders_raw'!B33&amp;"")=0,LEN('01_orders_raw'!C33&amp;"")=0,LEN('01_orders_raw'!D33&amp;"")=0,LEN('01_orders_raw'!E33&amp;"")=0,LEN('01_orders_raw'!F33&amp;"")=0,LEN('01_orders_raw'!G33&amp;"")=0,LEN('01_orders_raw'!H33&amp;"")=0,LEN('01_orders_raw'!I33&amp;"")=0,LEN('01_orders_raw'!J33&amp;"")=0),"ERROR","OK"),"")</x:f>
        <x:v>OK</x:v>
      </x:c>
      <x:c r="E33" s="2" t="str">
        <x:f>IF(COUNTA('01_orders_raw'!A33:J33)&gt;0,IF(LEN('01_orders_raw'!C33&amp;"")=0,"SKIP",IF(COUNTIF('02_clients_raw'!$A$2:$A$67,'01_orders_raw'!C33)&lt;&gt;1,"ERROR","OK")),"")</x:f>
        <x:v>OK</x:v>
      </x:c>
      <x:c r="F33" s="2" t="str">
        <x:f>IF(COUNTA('01_orders_raw'!A33:J33)&gt;0,IF(OR(LEN('01_orders_raw'!G33&amp;"")=0,LEN('01_orders_raw'!H33&amp;"")=0,LEN('01_orders_raw'!I33&amp;"")=0),"SKIP",IF(AND(ISNUMBER('01_orders_raw'!G33),ISNUMBER('01_orders_raw'!H33),ISNUMBER('01_orders_raw'!I33)),IF(OR('01_orders_raw'!G33&lt;=0,MOD('01_orders_raw'!G33,1)&lt;&gt;0,ABS('01_orders_raw'!I33-'01_orders_raw'!G33*'01_orders_raw'!H33)&gt;'09_parameters'!$B$3),"ERROR","OK"),"ERROR")),"")</x:f>
        <x:v>OK</x:v>
      </x:c>
      <x:c r="G33" s="2" t="str">
        <x:f>IF(COUNTA('01_orders_raw'!A33:J33)&gt;0,IF(LEN('01_orders_raw'!H33&amp;"")=0,"SKIP",IF('01_orders_raw'!H33&lt;0,"ERROR","OK")),"")</x:f>
        <x:v>OK</x:v>
      </x:c>
      <x:c r="H33" s="2" t="str">
        <x:f>IF(COUNTA('01_orders_raw'!A33:J33)&gt;0,IF(LEN('01_orders_raw'!B33&amp;"")=0,"SKIP",IF(OR(NOT(ISNUMBER('01_orders_raw'!B33)),'01_orders_raw'!B33&lt;=0,'01_orders_raw'!B33&gt;'09_parameters'!$B$2),"ERROR","OK")),"")</x:f>
        <x:v>OK</x:v>
      </x:c>
      <x:c r="I33" s="2" t="str">
        <x:f>IF(COUNTA('01_orders_raw'!A33:J33)&gt;0,IF(LEN('01_orders_raw'!J33&amp;"")=0,"SKIP",IF(AND('01_orders_raw'!J33&lt;&gt;"Выполнен",'01_orders_raw'!J33&lt;&gt;"В работе",'01_orders_raw'!J33&lt;&gt;"Отменен",'01_orders_raw'!J33&lt;&gt;"Ожидает оплаты"),"ERROR","OK")),"")</x:f>
        <x:v>OK</x:v>
      </x:c>
      <x:c r="J33" s="2" t="n">
        <x:f>COUNTIF(C33:I33,"ERROR")</x:f>
        <x:v>0</x:v>
      </x:c>
      <x:c r="K33" s="2" t="n">
        <x:f>IF(COUNTA('01_orders_raw'!A33:J33)&gt;0,33,"")</x:f>
        <x:v>33</x:v>
      </x:c>
    </x:row>
    <x:row r="34">
      <x:c r="A34" s="2" t="str">
        <x:f>IF(COUNTA('01_orders_raw'!A34:J34)&gt;0,"Order","")</x:f>
        <x:v>Order</x:v>
      </x:c>
      <x:c r="B34" s="2" t="n">
        <x:f>IF(COUNTA('01_orders_raw'!A34:J34)&gt;0,'01_orders_raw'!A34,"")</x:f>
        <x:v>1033</x:v>
      </x:c>
      <x:c r="C34" s="2" t="str">
        <x:f>IF(COUNTA('01_orders_raw'!A34:J34)&gt;0,IF(AND(LEN('01_orders_raw'!A34&amp;"")&gt;0,COUNTIF('01_orders_raw'!$A$2:$A$181,'01_orders_raw'!A34)&gt;1),"ERROR","OK"),"")</x:f>
        <x:v>OK</x:v>
      </x:c>
      <x:c r="D34" s="2" t="str">
        <x:f>IF(COUNTA('01_orders_raw'!A34:J34)&gt;0,IF(OR(LEN('01_orders_raw'!A34&amp;"")=0,LEN('01_orders_raw'!B34&amp;"")=0,LEN('01_orders_raw'!C34&amp;"")=0,LEN('01_orders_raw'!D34&amp;"")=0,LEN('01_orders_raw'!E34&amp;"")=0,LEN('01_orders_raw'!F34&amp;"")=0,LEN('01_orders_raw'!G34&amp;"")=0,LEN('01_orders_raw'!H34&amp;"")=0,LEN('01_orders_raw'!I34&amp;"")=0,LEN('01_orders_raw'!J34&amp;"")=0),"ERROR","OK"),"")</x:f>
        <x:v>OK</x:v>
      </x:c>
      <x:c r="E34" s="2" t="str">
        <x:f>IF(COUNTA('01_orders_raw'!A34:J34)&gt;0,IF(LEN('01_orders_raw'!C34&amp;"")=0,"SKIP",IF(COUNTIF('02_clients_raw'!$A$2:$A$67,'01_orders_raw'!C34)&lt;&gt;1,"ERROR","OK")),"")</x:f>
        <x:v>OK</x:v>
      </x:c>
      <x:c r="F34" s="2" t="str">
        <x:f>IF(COUNTA('01_orders_raw'!A34:J34)&gt;0,IF(OR(LEN('01_orders_raw'!G34&amp;"")=0,LEN('01_orders_raw'!H34&amp;"")=0,LEN('01_orders_raw'!I34&amp;"")=0),"SKIP",IF(AND(ISNUMBER('01_orders_raw'!G34),ISNUMBER('01_orders_raw'!H34),ISNUMBER('01_orders_raw'!I34)),IF(OR('01_orders_raw'!G34&lt;=0,MOD('01_orders_raw'!G34,1)&lt;&gt;0,ABS('01_orders_raw'!I34-'01_orders_raw'!G34*'01_orders_raw'!H34)&gt;'09_parameters'!$B$3),"ERROR","OK"),"ERROR")),"")</x:f>
        <x:v>OK</x:v>
      </x:c>
      <x:c r="G34" s="2" t="str">
        <x:f>IF(COUNTA('01_orders_raw'!A34:J34)&gt;0,IF(LEN('01_orders_raw'!H34&amp;"")=0,"SKIP",IF('01_orders_raw'!H34&lt;0,"ERROR","OK")),"")</x:f>
        <x:v>OK</x:v>
      </x:c>
      <x:c r="H34" s="2" t="str">
        <x:f>IF(COUNTA('01_orders_raw'!A34:J34)&gt;0,IF(LEN('01_orders_raw'!B34&amp;"")=0,"SKIP",IF(OR(NOT(ISNUMBER('01_orders_raw'!B34)),'01_orders_raw'!B34&lt;=0,'01_orders_raw'!B34&gt;'09_parameters'!$B$2),"ERROR","OK")),"")</x:f>
        <x:v>OK</x:v>
      </x:c>
      <x:c r="I34" s="2" t="str">
        <x:f>IF(COUNTA('01_orders_raw'!A34:J34)&gt;0,IF(LEN('01_orders_raw'!J34&amp;"")=0,"SKIP",IF(AND('01_orders_raw'!J34&lt;&gt;"Выполнен",'01_orders_raw'!J34&lt;&gt;"В работе",'01_orders_raw'!J34&lt;&gt;"Отменен",'01_orders_raw'!J34&lt;&gt;"Ожидает оплаты"),"ERROR","OK")),"")</x:f>
        <x:v>OK</x:v>
      </x:c>
      <x:c r="J34" s="2" t="n">
        <x:f>COUNTIF(C34:I34,"ERROR")</x:f>
        <x:v>0</x:v>
      </x:c>
      <x:c r="K34" s="2" t="n">
        <x:f>IF(COUNTA('01_orders_raw'!A34:J34)&gt;0,34,"")</x:f>
        <x:v>34</x:v>
      </x:c>
    </x:row>
    <x:row r="35">
      <x:c r="A35" s="2" t="str">
        <x:f>IF(COUNTA('01_orders_raw'!A35:J35)&gt;0,"Order","")</x:f>
        <x:v>Order</x:v>
      </x:c>
      <x:c r="B35" s="2" t="n">
        <x:f>IF(COUNTA('01_orders_raw'!A35:J35)&gt;0,'01_orders_raw'!A35,"")</x:f>
        <x:v>1034</x:v>
      </x:c>
      <x:c r="C35" s="2" t="str">
        <x:f>IF(COUNTA('01_orders_raw'!A35:J35)&gt;0,IF(AND(LEN('01_orders_raw'!A35&amp;"")&gt;0,COUNTIF('01_orders_raw'!$A$2:$A$181,'01_orders_raw'!A35)&gt;1),"ERROR","OK"),"")</x:f>
        <x:v>OK</x:v>
      </x:c>
      <x:c r="D35" s="2" t="str">
        <x:f>IF(COUNTA('01_orders_raw'!A35:J35)&gt;0,IF(OR(LEN('01_orders_raw'!A35&amp;"")=0,LEN('01_orders_raw'!B35&amp;"")=0,LEN('01_orders_raw'!C35&amp;"")=0,LEN('01_orders_raw'!D35&amp;"")=0,LEN('01_orders_raw'!E35&amp;"")=0,LEN('01_orders_raw'!F35&amp;"")=0,LEN('01_orders_raw'!G35&amp;"")=0,LEN('01_orders_raw'!H35&amp;"")=0,LEN('01_orders_raw'!I35&amp;"")=0,LEN('01_orders_raw'!J35&amp;"")=0),"ERROR","OK"),"")</x:f>
        <x:v>OK</x:v>
      </x:c>
      <x:c r="E35" s="2" t="str">
        <x:f>IF(COUNTA('01_orders_raw'!A35:J35)&gt;0,IF(LEN('01_orders_raw'!C35&amp;"")=0,"SKIP",IF(COUNTIF('02_clients_raw'!$A$2:$A$67,'01_orders_raw'!C35)&lt;&gt;1,"ERROR","OK")),"")</x:f>
        <x:v>OK</x:v>
      </x:c>
      <x:c r="F35" s="2" t="str">
        <x:f>IF(COUNTA('01_orders_raw'!A35:J35)&gt;0,IF(OR(LEN('01_orders_raw'!G35&amp;"")=0,LEN('01_orders_raw'!H35&amp;"")=0,LEN('01_orders_raw'!I35&amp;"")=0),"SKIP",IF(AND(ISNUMBER('01_orders_raw'!G35),ISNUMBER('01_orders_raw'!H35),ISNUMBER('01_orders_raw'!I35)),IF(OR('01_orders_raw'!G35&lt;=0,MOD('01_orders_raw'!G35,1)&lt;&gt;0,ABS('01_orders_raw'!I35-'01_orders_raw'!G35*'01_orders_raw'!H35)&gt;'09_parameters'!$B$3),"ERROR","OK"),"ERROR")),"")</x:f>
        <x:v>OK</x:v>
      </x:c>
      <x:c r="G35" s="2" t="str">
        <x:f>IF(COUNTA('01_orders_raw'!A35:J35)&gt;0,IF(LEN('01_orders_raw'!H35&amp;"")=0,"SKIP",IF('01_orders_raw'!H35&lt;0,"ERROR","OK")),"")</x:f>
        <x:v>OK</x:v>
      </x:c>
      <x:c r="H35" s="2" t="str">
        <x:f>IF(COUNTA('01_orders_raw'!A35:J35)&gt;0,IF(LEN('01_orders_raw'!B35&amp;"")=0,"SKIP",IF(OR(NOT(ISNUMBER('01_orders_raw'!B35)),'01_orders_raw'!B35&lt;=0,'01_orders_raw'!B35&gt;'09_parameters'!$B$2),"ERROR","OK")),"")</x:f>
        <x:v>OK</x:v>
      </x:c>
      <x:c r="I35" s="2" t="str">
        <x:f>IF(COUNTA('01_orders_raw'!A35:J35)&gt;0,IF(LEN('01_orders_raw'!J35&amp;"")=0,"SKIP",IF(AND('01_orders_raw'!J35&lt;&gt;"Выполнен",'01_orders_raw'!J35&lt;&gt;"В работе",'01_orders_raw'!J35&lt;&gt;"Отменен",'01_orders_raw'!J35&lt;&gt;"Ожидает оплаты"),"ERROR","OK")),"")</x:f>
        <x:v>OK</x:v>
      </x:c>
      <x:c r="J35" s="2" t="n">
        <x:f>COUNTIF(C35:I35,"ERROR")</x:f>
        <x:v>0</x:v>
      </x:c>
      <x:c r="K35" s="2" t="n">
        <x:f>IF(COUNTA('01_orders_raw'!A35:J35)&gt;0,35,"")</x:f>
        <x:v>35</x:v>
      </x:c>
    </x:row>
    <x:row r="36">
      <x:c r="A36" s="2" t="str">
        <x:f>IF(COUNTA('01_orders_raw'!A36:J36)&gt;0,"Order","")</x:f>
        <x:v>Order</x:v>
      </x:c>
      <x:c r="B36" s="2" t="n">
        <x:f>IF(COUNTA('01_orders_raw'!A36:J36)&gt;0,'01_orders_raw'!A36,"")</x:f>
        <x:v>1035</x:v>
      </x:c>
      <x:c r="C36" s="2" t="str">
        <x:f>IF(COUNTA('01_orders_raw'!A36:J36)&gt;0,IF(AND(LEN('01_orders_raw'!A36&amp;"")&gt;0,COUNTIF('01_orders_raw'!$A$2:$A$181,'01_orders_raw'!A36)&gt;1),"ERROR","OK"),"")</x:f>
        <x:v>OK</x:v>
      </x:c>
      <x:c r="D36" s="2" t="str">
        <x:f>IF(COUNTA('01_orders_raw'!A36:J36)&gt;0,IF(OR(LEN('01_orders_raw'!A36&amp;"")=0,LEN('01_orders_raw'!B36&amp;"")=0,LEN('01_orders_raw'!C36&amp;"")=0,LEN('01_orders_raw'!D36&amp;"")=0,LEN('01_orders_raw'!E36&amp;"")=0,LEN('01_orders_raw'!F36&amp;"")=0,LEN('01_orders_raw'!G36&amp;"")=0,LEN('01_orders_raw'!H36&amp;"")=0,LEN('01_orders_raw'!I36&amp;"")=0,LEN('01_orders_raw'!J36&amp;"")=0),"ERROR","OK"),"")</x:f>
        <x:v>OK</x:v>
      </x:c>
      <x:c r="E36" s="2" t="str">
        <x:f>IF(COUNTA('01_orders_raw'!A36:J36)&gt;0,IF(LEN('01_orders_raw'!C36&amp;"")=0,"SKIP",IF(COUNTIF('02_clients_raw'!$A$2:$A$67,'01_orders_raw'!C36)&lt;&gt;1,"ERROR","OK")),"")</x:f>
        <x:v>OK</x:v>
      </x:c>
      <x:c r="F36" s="2" t="str">
        <x:f>IF(COUNTA('01_orders_raw'!A36:J36)&gt;0,IF(OR(LEN('01_orders_raw'!G36&amp;"")=0,LEN('01_orders_raw'!H36&amp;"")=0,LEN('01_orders_raw'!I36&amp;"")=0),"SKIP",IF(AND(ISNUMBER('01_orders_raw'!G36),ISNUMBER('01_orders_raw'!H36),ISNUMBER('01_orders_raw'!I36)),IF(OR('01_orders_raw'!G36&lt;=0,MOD('01_orders_raw'!G36,1)&lt;&gt;0,ABS('01_orders_raw'!I36-'01_orders_raw'!G36*'01_orders_raw'!H36)&gt;'09_parameters'!$B$3),"ERROR","OK"),"ERROR")),"")</x:f>
        <x:v>OK</x:v>
      </x:c>
      <x:c r="G36" s="2" t="str">
        <x:f>IF(COUNTA('01_orders_raw'!A36:J36)&gt;0,IF(LEN('01_orders_raw'!H36&amp;"")=0,"SKIP",IF('01_orders_raw'!H36&lt;0,"ERROR","OK")),"")</x:f>
        <x:v>OK</x:v>
      </x:c>
      <x:c r="H36" s="2" t="str">
        <x:f>IF(COUNTA('01_orders_raw'!A36:J36)&gt;0,IF(LEN('01_orders_raw'!B36&amp;"")=0,"SKIP",IF(OR(NOT(ISNUMBER('01_orders_raw'!B36)),'01_orders_raw'!B36&lt;=0,'01_orders_raw'!B36&gt;'09_parameters'!$B$2),"ERROR","OK")),"")</x:f>
        <x:v>OK</x:v>
      </x:c>
      <x:c r="I36" s="2" t="str">
        <x:f>IF(COUNTA('01_orders_raw'!A36:J36)&gt;0,IF(LEN('01_orders_raw'!J36&amp;"")=0,"SKIP",IF(AND('01_orders_raw'!J36&lt;&gt;"Выполнен",'01_orders_raw'!J36&lt;&gt;"В работе",'01_orders_raw'!J36&lt;&gt;"Отменен",'01_orders_raw'!J36&lt;&gt;"Ожидает оплаты"),"ERROR","OK")),"")</x:f>
        <x:v>OK</x:v>
      </x:c>
      <x:c r="J36" s="2" t="n">
        <x:f>COUNTIF(C36:I36,"ERROR")</x:f>
        <x:v>0</x:v>
      </x:c>
      <x:c r="K36" s="2" t="n">
        <x:f>IF(COUNTA('01_orders_raw'!A36:J36)&gt;0,36,"")</x:f>
        <x:v>36</x:v>
      </x:c>
    </x:row>
    <x:row r="37">
      <x:c r="A37" s="2" t="str">
        <x:f>IF(COUNTA('01_orders_raw'!A37:J37)&gt;0,"Order","")</x:f>
        <x:v>Order</x:v>
      </x:c>
      <x:c r="B37" s="2" t="n">
        <x:f>IF(COUNTA('01_orders_raw'!A37:J37)&gt;0,'01_orders_raw'!A37,"")</x:f>
        <x:v>1036</x:v>
      </x:c>
      <x:c r="C37" s="2" t="str">
        <x:f>IF(COUNTA('01_orders_raw'!A37:J37)&gt;0,IF(AND(LEN('01_orders_raw'!A37&amp;"")&gt;0,COUNTIF('01_orders_raw'!$A$2:$A$181,'01_orders_raw'!A37)&gt;1),"ERROR","OK"),"")</x:f>
        <x:v>OK</x:v>
      </x:c>
      <x:c r="D37" s="2" t="str">
        <x:f>IF(COUNTA('01_orders_raw'!A37:J37)&gt;0,IF(OR(LEN('01_orders_raw'!A37&amp;"")=0,LEN('01_orders_raw'!B37&amp;"")=0,LEN('01_orders_raw'!C37&amp;"")=0,LEN('01_orders_raw'!D37&amp;"")=0,LEN('01_orders_raw'!E37&amp;"")=0,LEN('01_orders_raw'!F37&amp;"")=0,LEN('01_orders_raw'!G37&amp;"")=0,LEN('01_orders_raw'!H37&amp;"")=0,LEN('01_orders_raw'!I37&amp;"")=0,LEN('01_orders_raw'!J37&amp;"")=0),"ERROR","OK"),"")</x:f>
        <x:v>OK</x:v>
      </x:c>
      <x:c r="E37" s="2" t="str">
        <x:f>IF(COUNTA('01_orders_raw'!A37:J37)&gt;0,IF(LEN('01_orders_raw'!C37&amp;"")=0,"SKIP",IF(COUNTIF('02_clients_raw'!$A$2:$A$67,'01_orders_raw'!C37)&lt;&gt;1,"ERROR","OK")),"")</x:f>
        <x:v>OK</x:v>
      </x:c>
      <x:c r="F37" s="2" t="str">
        <x:f>IF(COUNTA('01_orders_raw'!A37:J37)&gt;0,IF(OR(LEN('01_orders_raw'!G37&amp;"")=0,LEN('01_orders_raw'!H37&amp;"")=0,LEN('01_orders_raw'!I37&amp;"")=0),"SKIP",IF(AND(ISNUMBER('01_orders_raw'!G37),ISNUMBER('01_orders_raw'!H37),ISNUMBER('01_orders_raw'!I37)),IF(OR('01_orders_raw'!G37&lt;=0,MOD('01_orders_raw'!G37,1)&lt;&gt;0,ABS('01_orders_raw'!I37-'01_orders_raw'!G37*'01_orders_raw'!H37)&gt;'09_parameters'!$B$3),"ERROR","OK"),"ERROR")),"")</x:f>
        <x:v>OK</x:v>
      </x:c>
      <x:c r="G37" s="2" t="str">
        <x:f>IF(COUNTA('01_orders_raw'!A37:J37)&gt;0,IF(LEN('01_orders_raw'!H37&amp;"")=0,"SKIP",IF('01_orders_raw'!H37&lt;0,"ERROR","OK")),"")</x:f>
        <x:v>OK</x:v>
      </x:c>
      <x:c r="H37" s="2" t="str">
        <x:f>IF(COUNTA('01_orders_raw'!A37:J37)&gt;0,IF(LEN('01_orders_raw'!B37&amp;"")=0,"SKIP",IF(OR(NOT(ISNUMBER('01_orders_raw'!B37)),'01_orders_raw'!B37&lt;=0,'01_orders_raw'!B37&gt;'09_parameters'!$B$2),"ERROR","OK")),"")</x:f>
        <x:v>OK</x:v>
      </x:c>
      <x:c r="I37" s="2" t="str">
        <x:f>IF(COUNTA('01_orders_raw'!A37:J37)&gt;0,IF(LEN('01_orders_raw'!J37&amp;"")=0,"SKIP",IF(AND('01_orders_raw'!J37&lt;&gt;"Выполнен",'01_orders_raw'!J37&lt;&gt;"В работе",'01_orders_raw'!J37&lt;&gt;"Отменен",'01_orders_raw'!J37&lt;&gt;"Ожидает оплаты"),"ERROR","OK")),"")</x:f>
        <x:v>OK</x:v>
      </x:c>
      <x:c r="J37" s="2" t="n">
        <x:f>COUNTIF(C37:I37,"ERROR")</x:f>
        <x:v>0</x:v>
      </x:c>
      <x:c r="K37" s="2" t="n">
        <x:f>IF(COUNTA('01_orders_raw'!A37:J37)&gt;0,37,"")</x:f>
        <x:v>37</x:v>
      </x:c>
    </x:row>
    <x:row r="38">
      <x:c r="A38" s="2" t="str">
        <x:f>IF(COUNTA('01_orders_raw'!A38:J38)&gt;0,"Order","")</x:f>
        <x:v>Order</x:v>
      </x:c>
      <x:c r="B38" s="2" t="n">
        <x:f>IF(COUNTA('01_orders_raw'!A38:J38)&gt;0,'01_orders_raw'!A38,"")</x:f>
        <x:v>1037</x:v>
      </x:c>
      <x:c r="C38" s="2" t="str">
        <x:f>IF(COUNTA('01_orders_raw'!A38:J38)&gt;0,IF(AND(LEN('01_orders_raw'!A38&amp;"")&gt;0,COUNTIF('01_orders_raw'!$A$2:$A$181,'01_orders_raw'!A38)&gt;1),"ERROR","OK"),"")</x:f>
        <x:v>OK</x:v>
      </x:c>
      <x:c r="D38" s="2" t="str">
        <x:f>IF(COUNTA('01_orders_raw'!A38:J38)&gt;0,IF(OR(LEN('01_orders_raw'!A38&amp;"")=0,LEN('01_orders_raw'!B38&amp;"")=0,LEN('01_orders_raw'!C38&amp;"")=0,LEN('01_orders_raw'!D38&amp;"")=0,LEN('01_orders_raw'!E38&amp;"")=0,LEN('01_orders_raw'!F38&amp;"")=0,LEN('01_orders_raw'!G38&amp;"")=0,LEN('01_orders_raw'!H38&amp;"")=0,LEN('01_orders_raw'!I38&amp;"")=0,LEN('01_orders_raw'!J38&amp;"")=0),"ERROR","OK"),"")</x:f>
        <x:v>OK</x:v>
      </x:c>
      <x:c r="E38" s="2" t="str">
        <x:f>IF(COUNTA('01_orders_raw'!A38:J38)&gt;0,IF(LEN('01_orders_raw'!C38&amp;"")=0,"SKIP",IF(COUNTIF('02_clients_raw'!$A$2:$A$67,'01_orders_raw'!C38)&lt;&gt;1,"ERROR","OK")),"")</x:f>
        <x:v>OK</x:v>
      </x:c>
      <x:c r="F38" s="2" t="str">
        <x:f>IF(COUNTA('01_orders_raw'!A38:J38)&gt;0,IF(OR(LEN('01_orders_raw'!G38&amp;"")=0,LEN('01_orders_raw'!H38&amp;"")=0,LEN('01_orders_raw'!I38&amp;"")=0),"SKIP",IF(AND(ISNUMBER('01_orders_raw'!G38),ISNUMBER('01_orders_raw'!H38),ISNUMBER('01_orders_raw'!I38)),IF(OR('01_orders_raw'!G38&lt;=0,MOD('01_orders_raw'!G38,1)&lt;&gt;0,ABS('01_orders_raw'!I38-'01_orders_raw'!G38*'01_orders_raw'!H38)&gt;'09_parameters'!$B$3),"ERROR","OK"),"ERROR")),"")</x:f>
        <x:v>OK</x:v>
      </x:c>
      <x:c r="G38" s="2" t="str">
        <x:f>IF(COUNTA('01_orders_raw'!A38:J38)&gt;0,IF(LEN('01_orders_raw'!H38&amp;"")=0,"SKIP",IF('01_orders_raw'!H38&lt;0,"ERROR","OK")),"")</x:f>
        <x:v>OK</x:v>
      </x:c>
      <x:c r="H38" s="2" t="str">
        <x:f>IF(COUNTA('01_orders_raw'!A38:J38)&gt;0,IF(LEN('01_orders_raw'!B38&amp;"")=0,"SKIP",IF(OR(NOT(ISNUMBER('01_orders_raw'!B38)),'01_orders_raw'!B38&lt;=0,'01_orders_raw'!B38&gt;'09_parameters'!$B$2),"ERROR","OK")),"")</x:f>
        <x:v>OK</x:v>
      </x:c>
      <x:c r="I38" s="2" t="str">
        <x:f>IF(COUNTA('01_orders_raw'!A38:J38)&gt;0,IF(LEN('01_orders_raw'!J38&amp;"")=0,"SKIP",IF(AND('01_orders_raw'!J38&lt;&gt;"Выполнен",'01_orders_raw'!J38&lt;&gt;"В работе",'01_orders_raw'!J38&lt;&gt;"Отменен",'01_orders_raw'!J38&lt;&gt;"Ожидает оплаты"),"ERROR","OK")),"")</x:f>
        <x:v>OK</x:v>
      </x:c>
      <x:c r="J38" s="2" t="n">
        <x:f>COUNTIF(C38:I38,"ERROR")</x:f>
        <x:v>0</x:v>
      </x:c>
      <x:c r="K38" s="2" t="n">
        <x:f>IF(COUNTA('01_orders_raw'!A38:J38)&gt;0,38,"")</x:f>
        <x:v>38</x:v>
      </x:c>
    </x:row>
    <x:row r="39">
      <x:c r="A39" s="2" t="str">
        <x:f>IF(COUNTA('01_orders_raw'!A39:J39)&gt;0,"Order","")</x:f>
        <x:v>Order</x:v>
      </x:c>
      <x:c r="B39" s="2" t="n">
        <x:f>IF(COUNTA('01_orders_raw'!A39:J39)&gt;0,'01_orders_raw'!A39,"")</x:f>
        <x:v>1038</x:v>
      </x:c>
      <x:c r="C39" s="2" t="str">
        <x:f>IF(COUNTA('01_orders_raw'!A39:J39)&gt;0,IF(AND(LEN('01_orders_raw'!A39&amp;"")&gt;0,COUNTIF('01_orders_raw'!$A$2:$A$181,'01_orders_raw'!A39)&gt;1),"ERROR","OK"),"")</x:f>
        <x:v>OK</x:v>
      </x:c>
      <x:c r="D39" s="2" t="str">
        <x:f>IF(COUNTA('01_orders_raw'!A39:J39)&gt;0,IF(OR(LEN('01_orders_raw'!A39&amp;"")=0,LEN('01_orders_raw'!B39&amp;"")=0,LEN('01_orders_raw'!C39&amp;"")=0,LEN('01_orders_raw'!D39&amp;"")=0,LEN('01_orders_raw'!E39&amp;"")=0,LEN('01_orders_raw'!F39&amp;"")=0,LEN('01_orders_raw'!G39&amp;"")=0,LEN('01_orders_raw'!H39&amp;"")=0,LEN('01_orders_raw'!I39&amp;"")=0,LEN('01_orders_raw'!J39&amp;"")=0),"ERROR","OK"),"")</x:f>
        <x:v>OK</x:v>
      </x:c>
      <x:c r="E39" s="2" t="str">
        <x:f>IF(COUNTA('01_orders_raw'!A39:J39)&gt;0,IF(LEN('01_orders_raw'!C39&amp;"")=0,"SKIP",IF(COUNTIF('02_clients_raw'!$A$2:$A$67,'01_orders_raw'!C39)&lt;&gt;1,"ERROR","OK")),"")</x:f>
        <x:v>ERROR</x:v>
      </x:c>
      <x:c r="F39" s="2" t="str">
        <x:f>IF(COUNTA('01_orders_raw'!A39:J39)&gt;0,IF(OR(LEN('01_orders_raw'!G39&amp;"")=0,LEN('01_orders_raw'!H39&amp;"")=0,LEN('01_orders_raw'!I39&amp;"")=0),"SKIP",IF(AND(ISNUMBER('01_orders_raw'!G39),ISNUMBER('01_orders_raw'!H39),ISNUMBER('01_orders_raw'!I39)),IF(OR('01_orders_raw'!G39&lt;=0,MOD('01_orders_raw'!G39,1)&lt;&gt;0,ABS('01_orders_raw'!I39-'01_orders_raw'!G39*'01_orders_raw'!H39)&gt;'09_parameters'!$B$3),"ERROR","OK"),"ERROR")),"")</x:f>
        <x:v>OK</x:v>
      </x:c>
      <x:c r="G39" s="2" t="str">
        <x:f>IF(COUNTA('01_orders_raw'!A39:J39)&gt;0,IF(LEN('01_orders_raw'!H39&amp;"")=0,"SKIP",IF('01_orders_raw'!H39&lt;0,"ERROR","OK")),"")</x:f>
        <x:v>OK</x:v>
      </x:c>
      <x:c r="H39" s="2" t="str">
        <x:f>IF(COUNTA('01_orders_raw'!A39:J39)&gt;0,IF(LEN('01_orders_raw'!B39&amp;"")=0,"SKIP",IF(OR(NOT(ISNUMBER('01_orders_raw'!B39)),'01_orders_raw'!B39&lt;=0,'01_orders_raw'!B39&gt;'09_parameters'!$B$2),"ERROR","OK")),"")</x:f>
        <x:v>OK</x:v>
      </x:c>
      <x:c r="I39" s="2" t="str">
        <x:f>IF(COUNTA('01_orders_raw'!A39:J39)&gt;0,IF(LEN('01_orders_raw'!J39&amp;"")=0,"SKIP",IF(AND('01_orders_raw'!J39&lt;&gt;"Выполнен",'01_orders_raw'!J39&lt;&gt;"В работе",'01_orders_raw'!J39&lt;&gt;"Отменен",'01_orders_raw'!J39&lt;&gt;"Ожидает оплаты"),"ERROR","OK")),"")</x:f>
        <x:v>OK</x:v>
      </x:c>
      <x:c r="J39" s="2" t="n">
        <x:f>COUNTIF(C39:I39,"ERROR")</x:f>
        <x:v>1</x:v>
      </x:c>
      <x:c r="K39" s="2" t="n">
        <x:f>IF(COUNTA('01_orders_raw'!A39:J39)&gt;0,39,"")</x:f>
        <x:v>39</x:v>
      </x:c>
    </x:row>
    <x:row r="40">
      <x:c r="A40" s="2" t="str">
        <x:f>IF(COUNTA('01_orders_raw'!A40:J40)&gt;0,"Order","")</x:f>
        <x:v>Order</x:v>
      </x:c>
      <x:c r="B40" s="2" t="n">
        <x:f>IF(COUNTA('01_orders_raw'!A40:J40)&gt;0,'01_orders_raw'!A40,"")</x:f>
        <x:v>1039</x:v>
      </x:c>
      <x:c r="C40" s="2" t="str">
        <x:f>IF(COUNTA('01_orders_raw'!A40:J40)&gt;0,IF(AND(LEN('01_orders_raw'!A40&amp;"")&gt;0,COUNTIF('01_orders_raw'!$A$2:$A$181,'01_orders_raw'!A40)&gt;1),"ERROR","OK"),"")</x:f>
        <x:v>OK</x:v>
      </x:c>
      <x:c r="D40" s="2" t="str">
        <x:f>IF(COUNTA('01_orders_raw'!A40:J40)&gt;0,IF(OR(LEN('01_orders_raw'!A40&amp;"")=0,LEN('01_orders_raw'!B40&amp;"")=0,LEN('01_orders_raw'!C40&amp;"")=0,LEN('01_orders_raw'!D40&amp;"")=0,LEN('01_orders_raw'!E40&amp;"")=0,LEN('01_orders_raw'!F40&amp;"")=0,LEN('01_orders_raw'!G40&amp;"")=0,LEN('01_orders_raw'!H40&amp;"")=0,LEN('01_orders_raw'!I40&amp;"")=0,LEN('01_orders_raw'!J40&amp;"")=0),"ERROR","OK"),"")</x:f>
        <x:v>OK</x:v>
      </x:c>
      <x:c r="E40" s="2" t="str">
        <x:f>IF(COUNTA('01_orders_raw'!A40:J40)&gt;0,IF(LEN('01_orders_raw'!C40&amp;"")=0,"SKIP",IF(COUNTIF('02_clients_raw'!$A$2:$A$67,'01_orders_raw'!C40)&lt;&gt;1,"ERROR","OK")),"")</x:f>
        <x:v>OK</x:v>
      </x:c>
      <x:c r="F40" s="2" t="str">
        <x:f>IF(COUNTA('01_orders_raw'!A40:J40)&gt;0,IF(OR(LEN('01_orders_raw'!G40&amp;"")=0,LEN('01_orders_raw'!H40&amp;"")=0,LEN('01_orders_raw'!I40&amp;"")=0),"SKIP",IF(AND(ISNUMBER('01_orders_raw'!G40),ISNUMBER('01_orders_raw'!H40),ISNUMBER('01_orders_raw'!I40)),IF(OR('01_orders_raw'!G40&lt;=0,MOD('01_orders_raw'!G40,1)&lt;&gt;0,ABS('01_orders_raw'!I40-'01_orders_raw'!G40*'01_orders_raw'!H40)&gt;'09_parameters'!$B$3),"ERROR","OK"),"ERROR")),"")</x:f>
        <x:v>OK</x:v>
      </x:c>
      <x:c r="G40" s="2" t="str">
        <x:f>IF(COUNTA('01_orders_raw'!A40:J40)&gt;0,IF(LEN('01_orders_raw'!H40&amp;"")=0,"SKIP",IF('01_orders_raw'!H40&lt;0,"ERROR","OK")),"")</x:f>
        <x:v>OK</x:v>
      </x:c>
      <x:c r="H40" s="2" t="str">
        <x:f>IF(COUNTA('01_orders_raw'!A40:J40)&gt;0,IF(LEN('01_orders_raw'!B40&amp;"")=0,"SKIP",IF(OR(NOT(ISNUMBER('01_orders_raw'!B40)),'01_orders_raw'!B40&lt;=0,'01_orders_raw'!B40&gt;'09_parameters'!$B$2),"ERROR","OK")),"")</x:f>
        <x:v>OK</x:v>
      </x:c>
      <x:c r="I40" s="2" t="str">
        <x:f>IF(COUNTA('01_orders_raw'!A40:J40)&gt;0,IF(LEN('01_orders_raw'!J40&amp;"")=0,"SKIP",IF(AND('01_orders_raw'!J40&lt;&gt;"Выполнен",'01_orders_raw'!J40&lt;&gt;"В работе",'01_orders_raw'!J40&lt;&gt;"Отменен",'01_orders_raw'!J40&lt;&gt;"Ожидает оплаты"),"ERROR","OK")),"")</x:f>
        <x:v>OK</x:v>
      </x:c>
      <x:c r="J40" s="2" t="n">
        <x:f>COUNTIF(C40:I40,"ERROR")</x:f>
        <x:v>0</x:v>
      </x:c>
      <x:c r="K40" s="2" t="n">
        <x:f>IF(COUNTA('01_orders_raw'!A40:J40)&gt;0,40,"")</x:f>
        <x:v>40</x:v>
      </x:c>
    </x:row>
    <x:row r="41">
      <x:c r="A41" s="2" t="str">
        <x:f>IF(COUNTA('01_orders_raw'!A41:J41)&gt;0,"Order","")</x:f>
        <x:v>Order</x:v>
      </x:c>
      <x:c r="B41" s="2" t="n">
        <x:f>IF(COUNTA('01_orders_raw'!A41:J41)&gt;0,'01_orders_raw'!A41,"")</x:f>
        <x:v>1040</x:v>
      </x:c>
      <x:c r="C41" s="2" t="str">
        <x:f>IF(COUNTA('01_orders_raw'!A41:J41)&gt;0,IF(AND(LEN('01_orders_raw'!A41&amp;"")&gt;0,COUNTIF('01_orders_raw'!$A$2:$A$181,'01_orders_raw'!A41)&gt;1),"ERROR","OK"),"")</x:f>
        <x:v>OK</x:v>
      </x:c>
      <x:c r="D41" s="2" t="str">
        <x:f>IF(COUNTA('01_orders_raw'!A41:J41)&gt;0,IF(OR(LEN('01_orders_raw'!A41&amp;"")=0,LEN('01_orders_raw'!B41&amp;"")=0,LEN('01_orders_raw'!C41&amp;"")=0,LEN('01_orders_raw'!D41&amp;"")=0,LEN('01_orders_raw'!E41&amp;"")=0,LEN('01_orders_raw'!F41&amp;"")=0,LEN('01_orders_raw'!G41&amp;"")=0,LEN('01_orders_raw'!H41&amp;"")=0,LEN('01_orders_raw'!I41&amp;"")=0,LEN('01_orders_raw'!J41&amp;"")=0),"ERROR","OK"),"")</x:f>
        <x:v>OK</x:v>
      </x:c>
      <x:c r="E41" s="2" t="str">
        <x:f>IF(COUNTA('01_orders_raw'!A41:J41)&gt;0,IF(LEN('01_orders_raw'!C41&amp;"")=0,"SKIP",IF(COUNTIF('02_clients_raw'!$A$2:$A$67,'01_orders_raw'!C41)&lt;&gt;1,"ERROR","OK")),"")</x:f>
        <x:v>OK</x:v>
      </x:c>
      <x:c r="F41" s="2" t="str">
        <x:f>IF(COUNTA('01_orders_raw'!A41:J41)&gt;0,IF(OR(LEN('01_orders_raw'!G41&amp;"")=0,LEN('01_orders_raw'!H41&amp;"")=0,LEN('01_orders_raw'!I41&amp;"")=0),"SKIP",IF(AND(ISNUMBER('01_orders_raw'!G41),ISNUMBER('01_orders_raw'!H41),ISNUMBER('01_orders_raw'!I41)),IF(OR('01_orders_raw'!G41&lt;=0,MOD('01_orders_raw'!G41,1)&lt;&gt;0,ABS('01_orders_raw'!I41-'01_orders_raw'!G41*'01_orders_raw'!H41)&gt;'09_parameters'!$B$3),"ERROR","OK"),"ERROR")),"")</x:f>
        <x:v>ERROR</x:v>
      </x:c>
      <x:c r="G41" s="2" t="str">
        <x:f>IF(COUNTA('01_orders_raw'!A41:J41)&gt;0,IF(LEN('01_orders_raw'!H41&amp;"")=0,"SKIP",IF('01_orders_raw'!H41&lt;0,"ERROR","OK")),"")</x:f>
        <x:v>OK</x:v>
      </x:c>
      <x:c r="H41" s="2" t="str">
        <x:f>IF(COUNTA('01_orders_raw'!A41:J41)&gt;0,IF(LEN('01_orders_raw'!B41&amp;"")=0,"SKIP",IF(OR(NOT(ISNUMBER('01_orders_raw'!B41)),'01_orders_raw'!B41&lt;=0,'01_orders_raw'!B41&gt;'09_parameters'!$B$2),"ERROR","OK")),"")</x:f>
        <x:v>OK</x:v>
      </x:c>
      <x:c r="I41" s="2" t="str">
        <x:f>IF(COUNTA('01_orders_raw'!A41:J41)&gt;0,IF(LEN('01_orders_raw'!J41&amp;"")=0,"SKIP",IF(AND('01_orders_raw'!J41&lt;&gt;"Выполнен",'01_orders_raw'!J41&lt;&gt;"В работе",'01_orders_raw'!J41&lt;&gt;"Отменен",'01_orders_raw'!J41&lt;&gt;"Ожидает оплаты"),"ERROR","OK")),"")</x:f>
        <x:v>OK</x:v>
      </x:c>
      <x:c r="J41" s="2" t="n">
        <x:f>COUNTIF(C41:I41,"ERROR")</x:f>
        <x:v>1</x:v>
      </x:c>
      <x:c r="K41" s="2" t="n">
        <x:f>IF(COUNTA('01_orders_raw'!A41:J41)&gt;0,41,"")</x:f>
        <x:v>41</x:v>
      </x:c>
    </x:row>
    <x:row r="42">
      <x:c r="A42" s="2" t="str">
        <x:f>IF(COUNTA('01_orders_raw'!A42:J42)&gt;0,"Order","")</x:f>
        <x:v>Order</x:v>
      </x:c>
      <x:c r="B42" s="2" t="n">
        <x:f>IF(COUNTA('01_orders_raw'!A42:J42)&gt;0,'01_orders_raw'!A42,"")</x:f>
        <x:v>1041</x:v>
      </x:c>
      <x:c r="C42" s="2" t="str">
        <x:f>IF(COUNTA('01_orders_raw'!A42:J42)&gt;0,IF(AND(LEN('01_orders_raw'!A42&amp;"")&gt;0,COUNTIF('01_orders_raw'!$A$2:$A$181,'01_orders_raw'!A42)&gt;1),"ERROR","OK"),"")</x:f>
        <x:v>OK</x:v>
      </x:c>
      <x:c r="D42" s="2" t="str">
        <x:f>IF(COUNTA('01_orders_raw'!A42:J42)&gt;0,IF(OR(LEN('01_orders_raw'!A42&amp;"")=0,LEN('01_orders_raw'!B42&amp;"")=0,LEN('01_orders_raw'!C42&amp;"")=0,LEN('01_orders_raw'!D42&amp;"")=0,LEN('01_orders_raw'!E42&amp;"")=0,LEN('01_orders_raw'!F42&amp;"")=0,LEN('01_orders_raw'!G42&amp;"")=0,LEN('01_orders_raw'!H42&amp;"")=0,LEN('01_orders_raw'!I42&amp;"")=0,LEN('01_orders_raw'!J42&amp;"")=0),"ERROR","OK"),"")</x:f>
        <x:v>OK</x:v>
      </x:c>
      <x:c r="E42" s="2" t="str">
        <x:f>IF(COUNTA('01_orders_raw'!A42:J42)&gt;0,IF(LEN('01_orders_raw'!C42&amp;"")=0,"SKIP",IF(COUNTIF('02_clients_raw'!$A$2:$A$67,'01_orders_raw'!C42)&lt;&gt;1,"ERROR","OK")),"")</x:f>
        <x:v>OK</x:v>
      </x:c>
      <x:c r="F42" s="2" t="str">
        <x:f>IF(COUNTA('01_orders_raw'!A42:J42)&gt;0,IF(OR(LEN('01_orders_raw'!G42&amp;"")=0,LEN('01_orders_raw'!H42&amp;"")=0,LEN('01_orders_raw'!I42&amp;"")=0),"SKIP",IF(AND(ISNUMBER('01_orders_raw'!G42),ISNUMBER('01_orders_raw'!H42),ISNUMBER('01_orders_raw'!I42)),IF(OR('01_orders_raw'!G42&lt;=0,MOD('01_orders_raw'!G42,1)&lt;&gt;0,ABS('01_orders_raw'!I42-'01_orders_raw'!G42*'01_orders_raw'!H42)&gt;'09_parameters'!$B$3),"ERROR","OK"),"ERROR")),"")</x:f>
        <x:v>OK</x:v>
      </x:c>
      <x:c r="G42" s="2" t="str">
        <x:f>IF(COUNTA('01_orders_raw'!A42:J42)&gt;0,IF(LEN('01_orders_raw'!H42&amp;"")=0,"SKIP",IF('01_orders_raw'!H42&lt;0,"ERROR","OK")),"")</x:f>
        <x:v>OK</x:v>
      </x:c>
      <x:c r="H42" s="2" t="str">
        <x:f>IF(COUNTA('01_orders_raw'!A42:J42)&gt;0,IF(LEN('01_orders_raw'!B42&amp;"")=0,"SKIP",IF(OR(NOT(ISNUMBER('01_orders_raw'!B42)),'01_orders_raw'!B42&lt;=0,'01_orders_raw'!B42&gt;'09_parameters'!$B$2),"ERROR","OK")),"")</x:f>
        <x:v>OK</x:v>
      </x:c>
      <x:c r="I42" s="2" t="str">
        <x:f>IF(COUNTA('01_orders_raw'!A42:J42)&gt;0,IF(LEN('01_orders_raw'!J42&amp;"")=0,"SKIP",IF(AND('01_orders_raw'!J42&lt;&gt;"Выполнен",'01_orders_raw'!J42&lt;&gt;"В работе",'01_orders_raw'!J42&lt;&gt;"Отменен",'01_orders_raw'!J42&lt;&gt;"Ожидает оплаты"),"ERROR","OK")),"")</x:f>
        <x:v>OK</x:v>
      </x:c>
      <x:c r="J42" s="2" t="n">
        <x:f>COUNTIF(C42:I42,"ERROR")</x:f>
        <x:v>0</x:v>
      </x:c>
      <x:c r="K42" s="2" t="n">
        <x:f>IF(COUNTA('01_orders_raw'!A42:J42)&gt;0,42,"")</x:f>
        <x:v>42</x:v>
      </x:c>
    </x:row>
    <x:row r="43">
      <x:c r="A43" s="2" t="str">
        <x:f>IF(COUNTA('01_orders_raw'!A43:J43)&gt;0,"Order","")</x:f>
        <x:v>Order</x:v>
      </x:c>
      <x:c r="B43" s="2" t="n">
        <x:f>IF(COUNTA('01_orders_raw'!A43:J43)&gt;0,'01_orders_raw'!A43,"")</x:f>
        <x:v>1042</x:v>
      </x:c>
      <x:c r="C43" s="2" t="str">
        <x:f>IF(COUNTA('01_orders_raw'!A43:J43)&gt;0,IF(AND(LEN('01_orders_raw'!A43&amp;"")&gt;0,COUNTIF('01_orders_raw'!$A$2:$A$181,'01_orders_raw'!A43)&gt;1),"ERROR","OK"),"")</x:f>
        <x:v>OK</x:v>
      </x:c>
      <x:c r="D43" s="2" t="str">
        <x:f>IF(COUNTA('01_orders_raw'!A43:J43)&gt;0,IF(OR(LEN('01_orders_raw'!A43&amp;"")=0,LEN('01_orders_raw'!B43&amp;"")=0,LEN('01_orders_raw'!C43&amp;"")=0,LEN('01_orders_raw'!D43&amp;"")=0,LEN('01_orders_raw'!E43&amp;"")=0,LEN('01_orders_raw'!F43&amp;"")=0,LEN('01_orders_raw'!G43&amp;"")=0,LEN('01_orders_raw'!H43&amp;"")=0,LEN('01_orders_raw'!I43&amp;"")=0,LEN('01_orders_raw'!J43&amp;"")=0),"ERROR","OK"),"")</x:f>
        <x:v>OK</x:v>
      </x:c>
      <x:c r="E43" s="2" t="str">
        <x:f>IF(COUNTA('01_orders_raw'!A43:J43)&gt;0,IF(LEN('01_orders_raw'!C43&amp;"")=0,"SKIP",IF(COUNTIF('02_clients_raw'!$A$2:$A$67,'01_orders_raw'!C43)&lt;&gt;1,"ERROR","OK")),"")</x:f>
        <x:v>OK</x:v>
      </x:c>
      <x:c r="F43" s="2" t="str">
        <x:f>IF(COUNTA('01_orders_raw'!A43:J43)&gt;0,IF(OR(LEN('01_orders_raw'!G43&amp;"")=0,LEN('01_orders_raw'!H43&amp;"")=0,LEN('01_orders_raw'!I43&amp;"")=0),"SKIP",IF(AND(ISNUMBER('01_orders_raw'!G43),ISNUMBER('01_orders_raw'!H43),ISNUMBER('01_orders_raw'!I43)),IF(OR('01_orders_raw'!G43&lt;=0,MOD('01_orders_raw'!G43,1)&lt;&gt;0,ABS('01_orders_raw'!I43-'01_orders_raw'!G43*'01_orders_raw'!H43)&gt;'09_parameters'!$B$3),"ERROR","OK"),"ERROR")),"")</x:f>
        <x:v>OK</x:v>
      </x:c>
      <x:c r="G43" s="2" t="str">
        <x:f>IF(COUNTA('01_orders_raw'!A43:J43)&gt;0,IF(LEN('01_orders_raw'!H43&amp;"")=0,"SKIP",IF('01_orders_raw'!H43&lt;0,"ERROR","OK")),"")</x:f>
        <x:v>OK</x:v>
      </x:c>
      <x:c r="H43" s="2" t="str">
        <x:f>IF(COUNTA('01_orders_raw'!A43:J43)&gt;0,IF(LEN('01_orders_raw'!B43&amp;"")=0,"SKIP",IF(OR(NOT(ISNUMBER('01_orders_raw'!B43)),'01_orders_raw'!B43&lt;=0,'01_orders_raw'!B43&gt;'09_parameters'!$B$2),"ERROR","OK")),"")</x:f>
        <x:v>OK</x:v>
      </x:c>
      <x:c r="I43" s="2" t="str">
        <x:f>IF(COUNTA('01_orders_raw'!A43:J43)&gt;0,IF(LEN('01_orders_raw'!J43&amp;"")=0,"SKIP",IF(AND('01_orders_raw'!J43&lt;&gt;"Выполнен",'01_orders_raw'!J43&lt;&gt;"В работе",'01_orders_raw'!J43&lt;&gt;"Отменен",'01_orders_raw'!J43&lt;&gt;"Ожидает оплаты"),"ERROR","OK")),"")</x:f>
        <x:v>OK</x:v>
      </x:c>
      <x:c r="J43" s="2" t="n">
        <x:f>COUNTIF(C43:I43,"ERROR")</x:f>
        <x:v>0</x:v>
      </x:c>
      <x:c r="K43" s="2" t="n">
        <x:f>IF(COUNTA('01_orders_raw'!A43:J43)&gt;0,43,"")</x:f>
        <x:v>43</x:v>
      </x:c>
    </x:row>
    <x:row r="44">
      <x:c r="A44" s="2" t="str">
        <x:f>IF(COUNTA('01_orders_raw'!A44:J44)&gt;0,"Order","")</x:f>
        <x:v>Order</x:v>
      </x:c>
      <x:c r="B44" s="2" t="n">
        <x:f>IF(COUNTA('01_orders_raw'!A44:J44)&gt;0,'01_orders_raw'!A44,"")</x:f>
        <x:v>1043</x:v>
      </x:c>
      <x:c r="C44" s="2" t="str">
        <x:f>IF(COUNTA('01_orders_raw'!A44:J44)&gt;0,IF(AND(LEN('01_orders_raw'!A44&amp;"")&gt;0,COUNTIF('01_orders_raw'!$A$2:$A$181,'01_orders_raw'!A44)&gt;1),"ERROR","OK"),"")</x:f>
        <x:v>OK</x:v>
      </x:c>
      <x:c r="D44" s="2" t="str">
        <x:f>IF(COUNTA('01_orders_raw'!A44:J44)&gt;0,IF(OR(LEN('01_orders_raw'!A44&amp;"")=0,LEN('01_orders_raw'!B44&amp;"")=0,LEN('01_orders_raw'!C44&amp;"")=0,LEN('01_orders_raw'!D44&amp;"")=0,LEN('01_orders_raw'!E44&amp;"")=0,LEN('01_orders_raw'!F44&amp;"")=0,LEN('01_orders_raw'!G44&amp;"")=0,LEN('01_orders_raw'!H44&amp;"")=0,LEN('01_orders_raw'!I44&amp;"")=0,LEN('01_orders_raw'!J44&amp;"")=0),"ERROR","OK"),"")</x:f>
        <x:v>OK</x:v>
      </x:c>
      <x:c r="E44" s="2" t="str">
        <x:f>IF(COUNTA('01_orders_raw'!A44:J44)&gt;0,IF(LEN('01_orders_raw'!C44&amp;"")=0,"SKIP",IF(COUNTIF('02_clients_raw'!$A$2:$A$67,'01_orders_raw'!C44)&lt;&gt;1,"ERROR","OK")),"")</x:f>
        <x:v>OK</x:v>
      </x:c>
      <x:c r="F44" s="2" t="str">
        <x:f>IF(COUNTA('01_orders_raw'!A44:J44)&gt;0,IF(OR(LEN('01_orders_raw'!G44&amp;"")=0,LEN('01_orders_raw'!H44&amp;"")=0,LEN('01_orders_raw'!I44&amp;"")=0),"SKIP",IF(AND(ISNUMBER('01_orders_raw'!G44),ISNUMBER('01_orders_raw'!H44),ISNUMBER('01_orders_raw'!I44)),IF(OR('01_orders_raw'!G44&lt;=0,MOD('01_orders_raw'!G44,1)&lt;&gt;0,ABS('01_orders_raw'!I44-'01_orders_raw'!G44*'01_orders_raw'!H44)&gt;'09_parameters'!$B$3),"ERROR","OK"),"ERROR")),"")</x:f>
        <x:v>OK</x:v>
      </x:c>
      <x:c r="G44" s="2" t="str">
        <x:f>IF(COUNTA('01_orders_raw'!A44:J44)&gt;0,IF(LEN('01_orders_raw'!H44&amp;"")=0,"SKIP",IF('01_orders_raw'!H44&lt;0,"ERROR","OK")),"")</x:f>
        <x:v>OK</x:v>
      </x:c>
      <x:c r="H44" s="2" t="str">
        <x:f>IF(COUNTA('01_orders_raw'!A44:J44)&gt;0,IF(LEN('01_orders_raw'!B44&amp;"")=0,"SKIP",IF(OR(NOT(ISNUMBER('01_orders_raw'!B44)),'01_orders_raw'!B44&lt;=0,'01_orders_raw'!B44&gt;'09_parameters'!$B$2),"ERROR","OK")),"")</x:f>
        <x:v>OK</x:v>
      </x:c>
      <x:c r="I44" s="2" t="str">
        <x:f>IF(COUNTA('01_orders_raw'!A44:J44)&gt;0,IF(LEN('01_orders_raw'!J44&amp;"")=0,"SKIP",IF(AND('01_orders_raw'!J44&lt;&gt;"Выполнен",'01_orders_raw'!J44&lt;&gt;"В работе",'01_orders_raw'!J44&lt;&gt;"Отменен",'01_orders_raw'!J44&lt;&gt;"Ожидает оплаты"),"ERROR","OK")),"")</x:f>
        <x:v>OK</x:v>
      </x:c>
      <x:c r="J44" s="2" t="n">
        <x:f>COUNTIF(C44:I44,"ERROR")</x:f>
        <x:v>0</x:v>
      </x:c>
      <x:c r="K44" s="2" t="n">
        <x:f>IF(COUNTA('01_orders_raw'!A44:J44)&gt;0,44,"")</x:f>
        <x:v>44</x:v>
      </x:c>
    </x:row>
    <x:row r="45">
      <x:c r="A45" s="2" t="str">
        <x:f>IF(COUNTA('01_orders_raw'!A45:J45)&gt;0,"Order","")</x:f>
        <x:v>Order</x:v>
      </x:c>
      <x:c r="B45" s="2" t="n">
        <x:f>IF(COUNTA('01_orders_raw'!A45:J45)&gt;0,'01_orders_raw'!A45,"")</x:f>
        <x:v>1044</x:v>
      </x:c>
      <x:c r="C45" s="2" t="str">
        <x:f>IF(COUNTA('01_orders_raw'!A45:J45)&gt;0,IF(AND(LEN('01_orders_raw'!A45&amp;"")&gt;0,COUNTIF('01_orders_raw'!$A$2:$A$181,'01_orders_raw'!A45)&gt;1),"ERROR","OK"),"")</x:f>
        <x:v>OK</x:v>
      </x:c>
      <x:c r="D45" s="2" t="str">
        <x:f>IF(COUNTA('01_orders_raw'!A45:J45)&gt;0,IF(OR(LEN('01_orders_raw'!A45&amp;"")=0,LEN('01_orders_raw'!B45&amp;"")=0,LEN('01_orders_raw'!C45&amp;"")=0,LEN('01_orders_raw'!D45&amp;"")=0,LEN('01_orders_raw'!E45&amp;"")=0,LEN('01_orders_raw'!F45&amp;"")=0,LEN('01_orders_raw'!G45&amp;"")=0,LEN('01_orders_raw'!H45&amp;"")=0,LEN('01_orders_raw'!I45&amp;"")=0,LEN('01_orders_raw'!J45&amp;"")=0),"ERROR","OK"),"")</x:f>
        <x:v>OK</x:v>
      </x:c>
      <x:c r="E45" s="2" t="str">
        <x:f>IF(COUNTA('01_orders_raw'!A45:J45)&gt;0,IF(LEN('01_orders_raw'!C45&amp;"")=0,"SKIP",IF(COUNTIF('02_clients_raw'!$A$2:$A$67,'01_orders_raw'!C45)&lt;&gt;1,"ERROR","OK")),"")</x:f>
        <x:v>OK</x:v>
      </x:c>
      <x:c r="F45" s="2" t="str">
        <x:f>IF(COUNTA('01_orders_raw'!A45:J45)&gt;0,IF(OR(LEN('01_orders_raw'!G45&amp;"")=0,LEN('01_orders_raw'!H45&amp;"")=0,LEN('01_orders_raw'!I45&amp;"")=0),"SKIP",IF(AND(ISNUMBER('01_orders_raw'!G45),ISNUMBER('01_orders_raw'!H45),ISNUMBER('01_orders_raw'!I45)),IF(OR('01_orders_raw'!G45&lt;=0,MOD('01_orders_raw'!G45,1)&lt;&gt;0,ABS('01_orders_raw'!I45-'01_orders_raw'!G45*'01_orders_raw'!H45)&gt;'09_parameters'!$B$3),"ERROR","OK"),"ERROR")),"")</x:f>
        <x:v>OK</x:v>
      </x:c>
      <x:c r="G45" s="2" t="str">
        <x:f>IF(COUNTA('01_orders_raw'!A45:J45)&gt;0,IF(LEN('01_orders_raw'!H45&amp;"")=0,"SKIP",IF('01_orders_raw'!H45&lt;0,"ERROR","OK")),"")</x:f>
        <x:v>OK</x:v>
      </x:c>
      <x:c r="H45" s="2" t="str">
        <x:f>IF(COUNTA('01_orders_raw'!A45:J45)&gt;0,IF(LEN('01_orders_raw'!B45&amp;"")=0,"SKIP",IF(OR(NOT(ISNUMBER('01_orders_raw'!B45)),'01_orders_raw'!B45&lt;=0,'01_orders_raw'!B45&gt;'09_parameters'!$B$2),"ERROR","OK")),"")</x:f>
        <x:v>OK</x:v>
      </x:c>
      <x:c r="I45" s="2" t="str">
        <x:f>IF(COUNTA('01_orders_raw'!A45:J45)&gt;0,IF(LEN('01_orders_raw'!J45&amp;"")=0,"SKIP",IF(AND('01_orders_raw'!J45&lt;&gt;"Выполнен",'01_orders_raw'!J45&lt;&gt;"В работе",'01_orders_raw'!J45&lt;&gt;"Отменен",'01_orders_raw'!J45&lt;&gt;"Ожидает оплаты"),"ERROR","OK")),"")</x:f>
        <x:v>OK</x:v>
      </x:c>
      <x:c r="J45" s="2" t="n">
        <x:f>COUNTIF(C45:I45,"ERROR")</x:f>
        <x:v>0</x:v>
      </x:c>
      <x:c r="K45" s="2" t="n">
        <x:f>IF(COUNTA('01_orders_raw'!A45:J45)&gt;0,45,"")</x:f>
        <x:v>45</x:v>
      </x:c>
    </x:row>
    <x:row r="46">
      <x:c r="A46" s="2" t="str">
        <x:f>IF(COUNTA('01_orders_raw'!A46:J46)&gt;0,"Order","")</x:f>
        <x:v>Order</x:v>
      </x:c>
      <x:c r="B46" s="2" t="n">
        <x:f>IF(COUNTA('01_orders_raw'!A46:J46)&gt;0,'01_orders_raw'!A46,"")</x:f>
        <x:v>1045</x:v>
      </x:c>
      <x:c r="C46" s="2" t="str">
        <x:f>IF(COUNTA('01_orders_raw'!A46:J46)&gt;0,IF(AND(LEN('01_orders_raw'!A46&amp;"")&gt;0,COUNTIF('01_orders_raw'!$A$2:$A$181,'01_orders_raw'!A46)&gt;1),"ERROR","OK"),"")</x:f>
        <x:v>OK</x:v>
      </x:c>
      <x:c r="D46" s="2" t="str">
        <x:f>IF(COUNTA('01_orders_raw'!A46:J46)&gt;0,IF(OR(LEN('01_orders_raw'!A46&amp;"")=0,LEN('01_orders_raw'!B46&amp;"")=0,LEN('01_orders_raw'!C46&amp;"")=0,LEN('01_orders_raw'!D46&amp;"")=0,LEN('01_orders_raw'!E46&amp;"")=0,LEN('01_orders_raw'!F46&amp;"")=0,LEN('01_orders_raw'!G46&amp;"")=0,LEN('01_orders_raw'!H46&amp;"")=0,LEN('01_orders_raw'!I46&amp;"")=0,LEN('01_orders_raw'!J46&amp;"")=0),"ERROR","OK"),"")</x:f>
        <x:v>OK</x:v>
      </x:c>
      <x:c r="E46" s="2" t="str">
        <x:f>IF(COUNTA('01_orders_raw'!A46:J46)&gt;0,IF(LEN('01_orders_raw'!C46&amp;"")=0,"SKIP",IF(COUNTIF('02_clients_raw'!$A$2:$A$67,'01_orders_raw'!C46)&lt;&gt;1,"ERROR","OK")),"")</x:f>
        <x:v>OK</x:v>
      </x:c>
      <x:c r="F46" s="2" t="str">
        <x:f>IF(COUNTA('01_orders_raw'!A46:J46)&gt;0,IF(OR(LEN('01_orders_raw'!G46&amp;"")=0,LEN('01_orders_raw'!H46&amp;"")=0,LEN('01_orders_raw'!I46&amp;"")=0),"SKIP",IF(AND(ISNUMBER('01_orders_raw'!G46),ISNUMBER('01_orders_raw'!H46),ISNUMBER('01_orders_raw'!I46)),IF(OR('01_orders_raw'!G46&lt;=0,MOD('01_orders_raw'!G46,1)&lt;&gt;0,ABS('01_orders_raw'!I46-'01_orders_raw'!G46*'01_orders_raw'!H46)&gt;'09_parameters'!$B$3),"ERROR","OK"),"ERROR")),"")</x:f>
        <x:v>OK</x:v>
      </x:c>
      <x:c r="G46" s="2" t="str">
        <x:f>IF(COUNTA('01_orders_raw'!A46:J46)&gt;0,IF(LEN('01_orders_raw'!H46&amp;"")=0,"SKIP",IF('01_orders_raw'!H46&lt;0,"ERROR","OK")),"")</x:f>
        <x:v>OK</x:v>
      </x:c>
      <x:c r="H46" s="2" t="str">
        <x:f>IF(COUNTA('01_orders_raw'!A46:J46)&gt;0,IF(LEN('01_orders_raw'!B46&amp;"")=0,"SKIP",IF(OR(NOT(ISNUMBER('01_orders_raw'!B46)),'01_orders_raw'!B46&lt;=0,'01_orders_raw'!B46&gt;'09_parameters'!$B$2),"ERROR","OK")),"")</x:f>
        <x:v>OK</x:v>
      </x:c>
      <x:c r="I46" s="2" t="str">
        <x:f>IF(COUNTA('01_orders_raw'!A46:J46)&gt;0,IF(LEN('01_orders_raw'!J46&amp;"")=0,"SKIP",IF(AND('01_orders_raw'!J46&lt;&gt;"Выполнен",'01_orders_raw'!J46&lt;&gt;"В работе",'01_orders_raw'!J46&lt;&gt;"Отменен",'01_orders_raw'!J46&lt;&gt;"Ожидает оплаты"),"ERROR","OK")),"")</x:f>
        <x:v>OK</x:v>
      </x:c>
      <x:c r="J46" s="2" t="n">
        <x:f>COUNTIF(C46:I46,"ERROR")</x:f>
        <x:v>0</x:v>
      </x:c>
      <x:c r="K46" s="2" t="n">
        <x:f>IF(COUNTA('01_orders_raw'!A46:J46)&gt;0,46,"")</x:f>
        <x:v>46</x:v>
      </x:c>
    </x:row>
    <x:row r="47">
      <x:c r="A47" s="2" t="str">
        <x:f>IF(COUNTA('01_orders_raw'!A47:J47)&gt;0,"Order","")</x:f>
        <x:v>Order</x:v>
      </x:c>
      <x:c r="B47" s="2" t="n">
        <x:f>IF(COUNTA('01_orders_raw'!A47:J47)&gt;0,'01_orders_raw'!A47,"")</x:f>
        <x:v>1046</x:v>
      </x:c>
      <x:c r="C47" s="2" t="str">
        <x:f>IF(COUNTA('01_orders_raw'!A47:J47)&gt;0,IF(AND(LEN('01_orders_raw'!A47&amp;"")&gt;0,COUNTIF('01_orders_raw'!$A$2:$A$181,'01_orders_raw'!A47)&gt;1),"ERROR","OK"),"")</x:f>
        <x:v>OK</x:v>
      </x:c>
      <x:c r="D47" s="2" t="str">
        <x:f>IF(COUNTA('01_orders_raw'!A47:J47)&gt;0,IF(OR(LEN('01_orders_raw'!A47&amp;"")=0,LEN('01_orders_raw'!B47&amp;"")=0,LEN('01_orders_raw'!C47&amp;"")=0,LEN('01_orders_raw'!D47&amp;"")=0,LEN('01_orders_raw'!E47&amp;"")=0,LEN('01_orders_raw'!F47&amp;"")=0,LEN('01_orders_raw'!G47&amp;"")=0,LEN('01_orders_raw'!H47&amp;"")=0,LEN('01_orders_raw'!I47&amp;"")=0,LEN('01_orders_raw'!J47&amp;"")=0),"ERROR","OK"),"")</x:f>
        <x:v>OK</x:v>
      </x:c>
      <x:c r="E47" s="2" t="str">
        <x:f>IF(COUNTA('01_orders_raw'!A47:J47)&gt;0,IF(LEN('01_orders_raw'!C47&amp;"")=0,"SKIP",IF(COUNTIF('02_clients_raw'!$A$2:$A$67,'01_orders_raw'!C47)&lt;&gt;1,"ERROR","OK")),"")</x:f>
        <x:v>OK</x:v>
      </x:c>
      <x:c r="F47" s="2" t="str">
        <x:f>IF(COUNTA('01_orders_raw'!A47:J47)&gt;0,IF(OR(LEN('01_orders_raw'!G47&amp;"")=0,LEN('01_orders_raw'!H47&amp;"")=0,LEN('01_orders_raw'!I47&amp;"")=0),"SKIP",IF(AND(ISNUMBER('01_orders_raw'!G47),ISNUMBER('01_orders_raw'!H47),ISNUMBER('01_orders_raw'!I47)),IF(OR('01_orders_raw'!G47&lt;=0,MOD('01_orders_raw'!G47,1)&lt;&gt;0,ABS('01_orders_raw'!I47-'01_orders_raw'!G47*'01_orders_raw'!H47)&gt;'09_parameters'!$B$3),"ERROR","OK"),"ERROR")),"")</x:f>
        <x:v>OK</x:v>
      </x:c>
      <x:c r="G47" s="2" t="str">
        <x:f>IF(COUNTA('01_orders_raw'!A47:J47)&gt;0,IF(LEN('01_orders_raw'!H47&amp;"")=0,"SKIP",IF('01_orders_raw'!H47&lt;0,"ERROR","OK")),"")</x:f>
        <x:v>OK</x:v>
      </x:c>
      <x:c r="H47" s="2" t="str">
        <x:f>IF(COUNTA('01_orders_raw'!A47:J47)&gt;0,IF(LEN('01_orders_raw'!B47&amp;"")=0,"SKIP",IF(OR(NOT(ISNUMBER('01_orders_raw'!B47)),'01_orders_raw'!B47&lt;=0,'01_orders_raw'!B47&gt;'09_parameters'!$B$2),"ERROR","OK")),"")</x:f>
        <x:v>OK</x:v>
      </x:c>
      <x:c r="I47" s="2" t="str">
        <x:f>IF(COUNTA('01_orders_raw'!A47:J47)&gt;0,IF(LEN('01_orders_raw'!J47&amp;"")=0,"SKIP",IF(AND('01_orders_raw'!J47&lt;&gt;"Выполнен",'01_orders_raw'!J47&lt;&gt;"В работе",'01_orders_raw'!J47&lt;&gt;"Отменен",'01_orders_raw'!J47&lt;&gt;"Ожидает оплаты"),"ERROR","OK")),"")</x:f>
        <x:v>OK</x:v>
      </x:c>
      <x:c r="J47" s="2" t="n">
        <x:f>COUNTIF(C47:I47,"ERROR")</x:f>
        <x:v>0</x:v>
      </x:c>
      <x:c r="K47" s="2" t="n">
        <x:f>IF(COUNTA('01_orders_raw'!A47:J47)&gt;0,47,"")</x:f>
        <x:v>47</x:v>
      </x:c>
    </x:row>
    <x:row r="48">
      <x:c r="A48" s="2" t="str">
        <x:f>IF(COUNTA('01_orders_raw'!A48:J48)&gt;0,"Order","")</x:f>
        <x:v>Order</x:v>
      </x:c>
      <x:c r="B48" s="2" t="n">
        <x:f>IF(COUNTA('01_orders_raw'!A48:J48)&gt;0,'01_orders_raw'!A48,"")</x:f>
        <x:v>1047</x:v>
      </x:c>
      <x:c r="C48" s="2" t="str">
        <x:f>IF(COUNTA('01_orders_raw'!A48:J48)&gt;0,IF(AND(LEN('01_orders_raw'!A48&amp;"")&gt;0,COUNTIF('01_orders_raw'!$A$2:$A$181,'01_orders_raw'!A48)&gt;1),"ERROR","OK"),"")</x:f>
        <x:v>OK</x:v>
      </x:c>
      <x:c r="D48" s="2" t="str">
        <x:f>IF(COUNTA('01_orders_raw'!A48:J48)&gt;0,IF(OR(LEN('01_orders_raw'!A48&amp;"")=0,LEN('01_orders_raw'!B48&amp;"")=0,LEN('01_orders_raw'!C48&amp;"")=0,LEN('01_orders_raw'!D48&amp;"")=0,LEN('01_orders_raw'!E48&amp;"")=0,LEN('01_orders_raw'!F48&amp;"")=0,LEN('01_orders_raw'!G48&amp;"")=0,LEN('01_orders_raw'!H48&amp;"")=0,LEN('01_orders_raw'!I48&amp;"")=0,LEN('01_orders_raw'!J48&amp;"")=0),"ERROR","OK"),"")</x:f>
        <x:v>OK</x:v>
      </x:c>
      <x:c r="E48" s="2" t="str">
        <x:f>IF(COUNTA('01_orders_raw'!A48:J48)&gt;0,IF(LEN('01_orders_raw'!C48&amp;"")=0,"SKIP",IF(COUNTIF('02_clients_raw'!$A$2:$A$67,'01_orders_raw'!C48)&lt;&gt;1,"ERROR","OK")),"")</x:f>
        <x:v>OK</x:v>
      </x:c>
      <x:c r="F48" s="2" t="str">
        <x:f>IF(COUNTA('01_orders_raw'!A48:J48)&gt;0,IF(OR(LEN('01_orders_raw'!G48&amp;"")=0,LEN('01_orders_raw'!H48&amp;"")=0,LEN('01_orders_raw'!I48&amp;"")=0),"SKIP",IF(AND(ISNUMBER('01_orders_raw'!G48),ISNUMBER('01_orders_raw'!H48),ISNUMBER('01_orders_raw'!I48)),IF(OR('01_orders_raw'!G48&lt;=0,MOD('01_orders_raw'!G48,1)&lt;&gt;0,ABS('01_orders_raw'!I48-'01_orders_raw'!G48*'01_orders_raw'!H48)&gt;'09_parameters'!$B$3),"ERROR","OK"),"ERROR")),"")</x:f>
        <x:v>OK</x:v>
      </x:c>
      <x:c r="G48" s="2" t="str">
        <x:f>IF(COUNTA('01_orders_raw'!A48:J48)&gt;0,IF(LEN('01_orders_raw'!H48&amp;"")=0,"SKIP",IF('01_orders_raw'!H48&lt;0,"ERROR","OK")),"")</x:f>
        <x:v>OK</x:v>
      </x:c>
      <x:c r="H48" s="2" t="str">
        <x:f>IF(COUNTA('01_orders_raw'!A48:J48)&gt;0,IF(LEN('01_orders_raw'!B48&amp;"")=0,"SKIP",IF(OR(NOT(ISNUMBER('01_orders_raw'!B48)),'01_orders_raw'!B48&lt;=0,'01_orders_raw'!B48&gt;'09_parameters'!$B$2),"ERROR","OK")),"")</x:f>
        <x:v>OK</x:v>
      </x:c>
      <x:c r="I48" s="2" t="str">
        <x:f>IF(COUNTA('01_orders_raw'!A48:J48)&gt;0,IF(LEN('01_orders_raw'!J48&amp;"")=0,"SKIP",IF(AND('01_orders_raw'!J48&lt;&gt;"Выполнен",'01_orders_raw'!J48&lt;&gt;"В работе",'01_orders_raw'!J48&lt;&gt;"Отменен",'01_orders_raw'!J48&lt;&gt;"Ожидает оплаты"),"ERROR","OK")),"")</x:f>
        <x:v>OK</x:v>
      </x:c>
      <x:c r="J48" s="2" t="n">
        <x:f>COUNTIF(C48:I48,"ERROR")</x:f>
        <x:v>0</x:v>
      </x:c>
      <x:c r="K48" s="2" t="n">
        <x:f>IF(COUNTA('01_orders_raw'!A48:J48)&gt;0,48,"")</x:f>
        <x:v>48</x:v>
      </x:c>
    </x:row>
    <x:row r="49">
      <x:c r="A49" s="2" t="str">
        <x:f>IF(COUNTA('01_orders_raw'!A49:J49)&gt;0,"Order","")</x:f>
        <x:v>Order</x:v>
      </x:c>
      <x:c r="B49" s="2" t="n">
        <x:f>IF(COUNTA('01_orders_raw'!A49:J49)&gt;0,'01_orders_raw'!A49,"")</x:f>
        <x:v>1048</x:v>
      </x:c>
      <x:c r="C49" s="2" t="str">
        <x:f>IF(COUNTA('01_orders_raw'!A49:J49)&gt;0,IF(AND(LEN('01_orders_raw'!A49&amp;"")&gt;0,COUNTIF('01_orders_raw'!$A$2:$A$181,'01_orders_raw'!A49)&gt;1),"ERROR","OK"),"")</x:f>
        <x:v>OK</x:v>
      </x:c>
      <x:c r="D49" s="2" t="str">
        <x:f>IF(COUNTA('01_orders_raw'!A49:J49)&gt;0,IF(OR(LEN('01_orders_raw'!A49&amp;"")=0,LEN('01_orders_raw'!B49&amp;"")=0,LEN('01_orders_raw'!C49&amp;"")=0,LEN('01_orders_raw'!D49&amp;"")=0,LEN('01_orders_raw'!E49&amp;"")=0,LEN('01_orders_raw'!F49&amp;"")=0,LEN('01_orders_raw'!G49&amp;"")=0,LEN('01_orders_raw'!H49&amp;"")=0,LEN('01_orders_raw'!I49&amp;"")=0,LEN('01_orders_raw'!J49&amp;"")=0),"ERROR","OK"),"")</x:f>
        <x:v>OK</x:v>
      </x:c>
      <x:c r="E49" s="2" t="str">
        <x:f>IF(COUNTA('01_orders_raw'!A49:J49)&gt;0,IF(LEN('01_orders_raw'!C49&amp;"")=0,"SKIP",IF(COUNTIF('02_clients_raw'!$A$2:$A$67,'01_orders_raw'!C49)&lt;&gt;1,"ERROR","OK")),"")</x:f>
        <x:v>OK</x:v>
      </x:c>
      <x:c r="F49" s="2" t="str">
        <x:f>IF(COUNTA('01_orders_raw'!A49:J49)&gt;0,IF(OR(LEN('01_orders_raw'!G49&amp;"")=0,LEN('01_orders_raw'!H49&amp;"")=0,LEN('01_orders_raw'!I49&amp;"")=0),"SKIP",IF(AND(ISNUMBER('01_orders_raw'!G49),ISNUMBER('01_orders_raw'!H49),ISNUMBER('01_orders_raw'!I49)),IF(OR('01_orders_raw'!G49&lt;=0,MOD('01_orders_raw'!G49,1)&lt;&gt;0,ABS('01_orders_raw'!I49-'01_orders_raw'!G49*'01_orders_raw'!H49)&gt;'09_parameters'!$B$3),"ERROR","OK"),"ERROR")),"")</x:f>
        <x:v>OK</x:v>
      </x:c>
      <x:c r="G49" s="2" t="str">
        <x:f>IF(COUNTA('01_orders_raw'!A49:J49)&gt;0,IF(LEN('01_orders_raw'!H49&amp;"")=0,"SKIP",IF('01_orders_raw'!H49&lt;0,"ERROR","OK")),"")</x:f>
        <x:v>OK</x:v>
      </x:c>
      <x:c r="H49" s="2" t="str">
        <x:f>IF(COUNTA('01_orders_raw'!A49:J49)&gt;0,IF(LEN('01_orders_raw'!B49&amp;"")=0,"SKIP",IF(OR(NOT(ISNUMBER('01_orders_raw'!B49)),'01_orders_raw'!B49&lt;=0,'01_orders_raw'!B49&gt;'09_parameters'!$B$2),"ERROR","OK")),"")</x:f>
        <x:v>OK</x:v>
      </x:c>
      <x:c r="I49" s="2" t="str">
        <x:f>IF(COUNTA('01_orders_raw'!A49:J49)&gt;0,IF(LEN('01_orders_raw'!J49&amp;"")=0,"SKIP",IF(AND('01_orders_raw'!J49&lt;&gt;"Выполнен",'01_orders_raw'!J49&lt;&gt;"В работе",'01_orders_raw'!J49&lt;&gt;"Отменен",'01_orders_raw'!J49&lt;&gt;"Ожидает оплаты"),"ERROR","OK")),"")</x:f>
        <x:v>OK</x:v>
      </x:c>
      <x:c r="J49" s="2" t="n">
        <x:f>COUNTIF(C49:I49,"ERROR")</x:f>
        <x:v>0</x:v>
      </x:c>
      <x:c r="K49" s="2" t="n">
        <x:f>IF(COUNTA('01_orders_raw'!A49:J49)&gt;0,49,"")</x:f>
        <x:v>49</x:v>
      </x:c>
    </x:row>
    <x:row r="50">
      <x:c r="A50" s="2" t="str">
        <x:f>IF(COUNTA('01_orders_raw'!A50:J50)&gt;0,"Order","")</x:f>
        <x:v>Order</x:v>
      </x:c>
      <x:c r="B50" s="2" t="n">
        <x:f>IF(COUNTA('01_orders_raw'!A50:J50)&gt;0,'01_orders_raw'!A50,"")</x:f>
        <x:v>1049</x:v>
      </x:c>
      <x:c r="C50" s="2" t="str">
        <x:f>IF(COUNTA('01_orders_raw'!A50:J50)&gt;0,IF(AND(LEN('01_orders_raw'!A50&amp;"")&gt;0,COUNTIF('01_orders_raw'!$A$2:$A$181,'01_orders_raw'!A50)&gt;1),"ERROR","OK"),"")</x:f>
        <x:v>OK</x:v>
      </x:c>
      <x:c r="D50" s="2" t="str">
        <x:f>IF(COUNTA('01_orders_raw'!A50:J50)&gt;0,IF(OR(LEN('01_orders_raw'!A50&amp;"")=0,LEN('01_orders_raw'!B50&amp;"")=0,LEN('01_orders_raw'!C50&amp;"")=0,LEN('01_orders_raw'!D50&amp;"")=0,LEN('01_orders_raw'!E50&amp;"")=0,LEN('01_orders_raw'!F50&amp;"")=0,LEN('01_orders_raw'!G50&amp;"")=0,LEN('01_orders_raw'!H50&amp;"")=0,LEN('01_orders_raw'!I50&amp;"")=0,LEN('01_orders_raw'!J50&amp;"")=0),"ERROR","OK"),"")</x:f>
        <x:v>OK</x:v>
      </x:c>
      <x:c r="E50" s="2" t="str">
        <x:f>IF(COUNTA('01_orders_raw'!A50:J50)&gt;0,IF(LEN('01_orders_raw'!C50&amp;"")=0,"SKIP",IF(COUNTIF('02_clients_raw'!$A$2:$A$67,'01_orders_raw'!C50)&lt;&gt;1,"ERROR","OK")),"")</x:f>
        <x:v>OK</x:v>
      </x:c>
      <x:c r="F50" s="2" t="str">
        <x:f>IF(COUNTA('01_orders_raw'!A50:J50)&gt;0,IF(OR(LEN('01_orders_raw'!G50&amp;"")=0,LEN('01_orders_raw'!H50&amp;"")=0,LEN('01_orders_raw'!I50&amp;"")=0),"SKIP",IF(AND(ISNUMBER('01_orders_raw'!G50),ISNUMBER('01_orders_raw'!H50),ISNUMBER('01_orders_raw'!I50)),IF(OR('01_orders_raw'!G50&lt;=0,MOD('01_orders_raw'!G50,1)&lt;&gt;0,ABS('01_orders_raw'!I50-'01_orders_raw'!G50*'01_orders_raw'!H50)&gt;'09_parameters'!$B$3),"ERROR","OK"),"ERROR")),"")</x:f>
        <x:v>OK</x:v>
      </x:c>
      <x:c r="G50" s="2" t="str">
        <x:f>IF(COUNTA('01_orders_raw'!A50:J50)&gt;0,IF(LEN('01_orders_raw'!H50&amp;"")=0,"SKIP",IF('01_orders_raw'!H50&lt;0,"ERROR","OK")),"")</x:f>
        <x:v>OK</x:v>
      </x:c>
      <x:c r="H50" s="2" t="str">
        <x:f>IF(COUNTA('01_orders_raw'!A50:J50)&gt;0,IF(LEN('01_orders_raw'!B50&amp;"")=0,"SKIP",IF(OR(NOT(ISNUMBER('01_orders_raw'!B50)),'01_orders_raw'!B50&lt;=0,'01_orders_raw'!B50&gt;'09_parameters'!$B$2),"ERROR","OK")),"")</x:f>
        <x:v>OK</x:v>
      </x:c>
      <x:c r="I50" s="2" t="str">
        <x:f>IF(COUNTA('01_orders_raw'!A50:J50)&gt;0,IF(LEN('01_orders_raw'!J50&amp;"")=0,"SKIP",IF(AND('01_orders_raw'!J50&lt;&gt;"Выполнен",'01_orders_raw'!J50&lt;&gt;"В работе",'01_orders_raw'!J50&lt;&gt;"Отменен",'01_orders_raw'!J50&lt;&gt;"Ожидает оплаты"),"ERROR","OK")),"")</x:f>
        <x:v>OK</x:v>
      </x:c>
      <x:c r="J50" s="2" t="n">
        <x:f>COUNTIF(C50:I50,"ERROR")</x:f>
        <x:v>0</x:v>
      </x:c>
      <x:c r="K50" s="2" t="n">
        <x:f>IF(COUNTA('01_orders_raw'!A50:J50)&gt;0,50,"")</x:f>
        <x:v>50</x:v>
      </x:c>
    </x:row>
    <x:row r="51">
      <x:c r="A51" s="2" t="str">
        <x:f>IF(COUNTA('01_orders_raw'!A51:J51)&gt;0,"Order","")</x:f>
        <x:v>Order</x:v>
      </x:c>
      <x:c r="B51" s="2" t="n">
        <x:f>IF(COUNTA('01_orders_raw'!A51:J51)&gt;0,'01_orders_raw'!A51,"")</x:f>
        <x:v>1050</x:v>
      </x:c>
      <x:c r="C51" s="2" t="str">
        <x:f>IF(COUNTA('01_orders_raw'!A51:J51)&gt;0,IF(AND(LEN('01_orders_raw'!A51&amp;"")&gt;0,COUNTIF('01_orders_raw'!$A$2:$A$181,'01_orders_raw'!A51)&gt;1),"ERROR","OK"),"")</x:f>
        <x:v>OK</x:v>
      </x:c>
      <x:c r="D51" s="2" t="str">
        <x:f>IF(COUNTA('01_orders_raw'!A51:J51)&gt;0,IF(OR(LEN('01_orders_raw'!A51&amp;"")=0,LEN('01_orders_raw'!B51&amp;"")=0,LEN('01_orders_raw'!C51&amp;"")=0,LEN('01_orders_raw'!D51&amp;"")=0,LEN('01_orders_raw'!E51&amp;"")=0,LEN('01_orders_raw'!F51&amp;"")=0,LEN('01_orders_raw'!G51&amp;"")=0,LEN('01_orders_raw'!H51&amp;"")=0,LEN('01_orders_raw'!I51&amp;"")=0,LEN('01_orders_raw'!J51&amp;"")=0),"ERROR","OK"),"")</x:f>
        <x:v>OK</x:v>
      </x:c>
      <x:c r="E51" s="2" t="str">
        <x:f>IF(COUNTA('01_orders_raw'!A51:J51)&gt;0,IF(LEN('01_orders_raw'!C51&amp;"")=0,"SKIP",IF(COUNTIF('02_clients_raw'!$A$2:$A$67,'01_orders_raw'!C51)&lt;&gt;1,"ERROR","OK")),"")</x:f>
        <x:v>OK</x:v>
      </x:c>
      <x:c r="F51" s="2" t="str">
        <x:f>IF(COUNTA('01_orders_raw'!A51:J51)&gt;0,IF(OR(LEN('01_orders_raw'!G51&amp;"")=0,LEN('01_orders_raw'!H51&amp;"")=0,LEN('01_orders_raw'!I51&amp;"")=0),"SKIP",IF(AND(ISNUMBER('01_orders_raw'!G51),ISNUMBER('01_orders_raw'!H51),ISNUMBER('01_orders_raw'!I51)),IF(OR('01_orders_raw'!G51&lt;=0,MOD('01_orders_raw'!G51,1)&lt;&gt;0,ABS('01_orders_raw'!I51-'01_orders_raw'!G51*'01_orders_raw'!H51)&gt;'09_parameters'!$B$3),"ERROR","OK"),"ERROR")),"")</x:f>
        <x:v>OK</x:v>
      </x:c>
      <x:c r="G51" s="2" t="str">
        <x:f>IF(COUNTA('01_orders_raw'!A51:J51)&gt;0,IF(LEN('01_orders_raw'!H51&amp;"")=0,"SKIP",IF('01_orders_raw'!H51&lt;0,"ERROR","OK")),"")</x:f>
        <x:v>OK</x:v>
      </x:c>
      <x:c r="H51" s="2" t="str">
        <x:f>IF(COUNTA('01_orders_raw'!A51:J51)&gt;0,IF(LEN('01_orders_raw'!B51&amp;"")=0,"SKIP",IF(OR(NOT(ISNUMBER('01_orders_raw'!B51)),'01_orders_raw'!B51&lt;=0,'01_orders_raw'!B51&gt;'09_parameters'!$B$2),"ERROR","OK")),"")</x:f>
        <x:v>OK</x:v>
      </x:c>
      <x:c r="I51" s="2" t="str">
        <x:f>IF(COUNTA('01_orders_raw'!A51:J51)&gt;0,IF(LEN('01_orders_raw'!J51&amp;"")=0,"SKIP",IF(AND('01_orders_raw'!J51&lt;&gt;"Выполнен",'01_orders_raw'!J51&lt;&gt;"В работе",'01_orders_raw'!J51&lt;&gt;"Отменен",'01_orders_raw'!J51&lt;&gt;"Ожидает оплаты"),"ERROR","OK")),"")</x:f>
        <x:v>OK</x:v>
      </x:c>
      <x:c r="J51" s="2" t="n">
        <x:f>COUNTIF(C51:I51,"ERROR")</x:f>
        <x:v>0</x:v>
      </x:c>
      <x:c r="K51" s="2" t="n">
        <x:f>IF(COUNTA('01_orders_raw'!A51:J51)&gt;0,51,"")</x:f>
        <x:v>51</x:v>
      </x:c>
    </x:row>
    <x:row r="52">
      <x:c r="A52" s="2" t="str">
        <x:f>IF(COUNTA('01_orders_raw'!A52:J52)&gt;0,"Order","")</x:f>
        <x:v>Order</x:v>
      </x:c>
      <x:c r="B52" s="2" t="n">
        <x:f>IF(COUNTA('01_orders_raw'!A52:J52)&gt;0,'01_orders_raw'!A52,"")</x:f>
        <x:v>1051</x:v>
      </x:c>
      <x:c r="C52" s="2" t="str">
        <x:f>IF(COUNTA('01_orders_raw'!A52:J52)&gt;0,IF(AND(LEN('01_orders_raw'!A52&amp;"")&gt;0,COUNTIF('01_orders_raw'!$A$2:$A$181,'01_orders_raw'!A52)&gt;1),"ERROR","OK"),"")</x:f>
        <x:v>OK</x:v>
      </x:c>
      <x:c r="D52" s="2" t="str">
        <x:f>IF(COUNTA('01_orders_raw'!A52:J52)&gt;0,IF(OR(LEN('01_orders_raw'!A52&amp;"")=0,LEN('01_orders_raw'!B52&amp;"")=0,LEN('01_orders_raw'!C52&amp;"")=0,LEN('01_orders_raw'!D52&amp;"")=0,LEN('01_orders_raw'!E52&amp;"")=0,LEN('01_orders_raw'!F52&amp;"")=0,LEN('01_orders_raw'!G52&amp;"")=0,LEN('01_orders_raw'!H52&amp;"")=0,LEN('01_orders_raw'!I52&amp;"")=0,LEN('01_orders_raw'!J52&amp;"")=0),"ERROR","OK"),"")</x:f>
        <x:v>OK</x:v>
      </x:c>
      <x:c r="E52" s="2" t="str">
        <x:f>IF(COUNTA('01_orders_raw'!A52:J52)&gt;0,IF(LEN('01_orders_raw'!C52&amp;"")=0,"SKIP",IF(COUNTIF('02_clients_raw'!$A$2:$A$67,'01_orders_raw'!C52)&lt;&gt;1,"ERROR","OK")),"")</x:f>
        <x:v>OK</x:v>
      </x:c>
      <x:c r="F52" s="2" t="str">
        <x:f>IF(COUNTA('01_orders_raw'!A52:J52)&gt;0,IF(OR(LEN('01_orders_raw'!G52&amp;"")=0,LEN('01_orders_raw'!H52&amp;"")=0,LEN('01_orders_raw'!I52&amp;"")=0),"SKIP",IF(AND(ISNUMBER('01_orders_raw'!G52),ISNUMBER('01_orders_raw'!H52),ISNUMBER('01_orders_raw'!I52)),IF(OR('01_orders_raw'!G52&lt;=0,MOD('01_orders_raw'!G52,1)&lt;&gt;0,ABS('01_orders_raw'!I52-'01_orders_raw'!G52*'01_orders_raw'!H52)&gt;'09_parameters'!$B$3),"ERROR","OK"),"ERROR")),"")</x:f>
        <x:v>OK</x:v>
      </x:c>
      <x:c r="G52" s="2" t="str">
        <x:f>IF(COUNTA('01_orders_raw'!A52:J52)&gt;0,IF(LEN('01_orders_raw'!H52&amp;"")=0,"SKIP",IF('01_orders_raw'!H52&lt;0,"ERROR","OK")),"")</x:f>
        <x:v>OK</x:v>
      </x:c>
      <x:c r="H52" s="2" t="str">
        <x:f>IF(COUNTA('01_orders_raw'!A52:J52)&gt;0,IF(LEN('01_orders_raw'!B52&amp;"")=0,"SKIP",IF(OR(NOT(ISNUMBER('01_orders_raw'!B52)),'01_orders_raw'!B52&lt;=0,'01_orders_raw'!B52&gt;'09_parameters'!$B$2),"ERROR","OK")),"")</x:f>
        <x:v>OK</x:v>
      </x:c>
      <x:c r="I52" s="2" t="str">
        <x:f>IF(COUNTA('01_orders_raw'!A52:J52)&gt;0,IF(LEN('01_orders_raw'!J52&amp;"")=0,"SKIP",IF(AND('01_orders_raw'!J52&lt;&gt;"Выполнен",'01_orders_raw'!J52&lt;&gt;"В работе",'01_orders_raw'!J52&lt;&gt;"Отменен",'01_orders_raw'!J52&lt;&gt;"Ожидает оплаты"),"ERROR","OK")),"")</x:f>
        <x:v>OK</x:v>
      </x:c>
      <x:c r="J52" s="2" t="n">
        <x:f>COUNTIF(C52:I52,"ERROR")</x:f>
        <x:v>0</x:v>
      </x:c>
      <x:c r="K52" s="2" t="n">
        <x:f>IF(COUNTA('01_orders_raw'!A52:J52)&gt;0,52,"")</x:f>
        <x:v>52</x:v>
      </x:c>
    </x:row>
    <x:row r="53">
      <x:c r="A53" s="2" t="str">
        <x:f>IF(COUNTA('01_orders_raw'!A53:J53)&gt;0,"Order","")</x:f>
        <x:v>Order</x:v>
      </x:c>
      <x:c r="B53" s="2" t="n">
        <x:f>IF(COUNTA('01_orders_raw'!A53:J53)&gt;0,'01_orders_raw'!A53,"")</x:f>
        <x:v>1052</x:v>
      </x:c>
      <x:c r="C53" s="2" t="str">
        <x:f>IF(COUNTA('01_orders_raw'!A53:J53)&gt;0,IF(AND(LEN('01_orders_raw'!A53&amp;"")&gt;0,COUNTIF('01_orders_raw'!$A$2:$A$181,'01_orders_raw'!A53)&gt;1),"ERROR","OK"),"")</x:f>
        <x:v>OK</x:v>
      </x:c>
      <x:c r="D53" s="2" t="str">
        <x:f>IF(COUNTA('01_orders_raw'!A53:J53)&gt;0,IF(OR(LEN('01_orders_raw'!A53&amp;"")=0,LEN('01_orders_raw'!B53&amp;"")=0,LEN('01_orders_raw'!C53&amp;"")=0,LEN('01_orders_raw'!D53&amp;"")=0,LEN('01_orders_raw'!E53&amp;"")=0,LEN('01_orders_raw'!F53&amp;"")=0,LEN('01_orders_raw'!G53&amp;"")=0,LEN('01_orders_raw'!H53&amp;"")=0,LEN('01_orders_raw'!I53&amp;"")=0,LEN('01_orders_raw'!J53&amp;"")=0),"ERROR","OK"),"")</x:f>
        <x:v>OK</x:v>
      </x:c>
      <x:c r="E53" s="2" t="str">
        <x:f>IF(COUNTA('01_orders_raw'!A53:J53)&gt;0,IF(LEN('01_orders_raw'!C53&amp;"")=0,"SKIP",IF(COUNTIF('02_clients_raw'!$A$2:$A$67,'01_orders_raw'!C53)&lt;&gt;1,"ERROR","OK")),"")</x:f>
        <x:v>OK</x:v>
      </x:c>
      <x:c r="F53" s="2" t="str">
        <x:f>IF(COUNTA('01_orders_raw'!A53:J53)&gt;0,IF(OR(LEN('01_orders_raw'!G53&amp;"")=0,LEN('01_orders_raw'!H53&amp;"")=0,LEN('01_orders_raw'!I53&amp;"")=0),"SKIP",IF(AND(ISNUMBER('01_orders_raw'!G53),ISNUMBER('01_orders_raw'!H53),ISNUMBER('01_orders_raw'!I53)),IF(OR('01_orders_raw'!G53&lt;=0,MOD('01_orders_raw'!G53,1)&lt;&gt;0,ABS('01_orders_raw'!I53-'01_orders_raw'!G53*'01_orders_raw'!H53)&gt;'09_parameters'!$B$3),"ERROR","OK"),"ERROR")),"")</x:f>
        <x:v>OK</x:v>
      </x:c>
      <x:c r="G53" s="2" t="str">
        <x:f>IF(COUNTA('01_orders_raw'!A53:J53)&gt;0,IF(LEN('01_orders_raw'!H53&amp;"")=0,"SKIP",IF('01_orders_raw'!H53&lt;0,"ERROR","OK")),"")</x:f>
        <x:v>OK</x:v>
      </x:c>
      <x:c r="H53" s="2" t="str">
        <x:f>IF(COUNTA('01_orders_raw'!A53:J53)&gt;0,IF(LEN('01_orders_raw'!B53&amp;"")=0,"SKIP",IF(OR(NOT(ISNUMBER('01_orders_raw'!B53)),'01_orders_raw'!B53&lt;=0,'01_orders_raw'!B53&gt;'09_parameters'!$B$2),"ERROR","OK")),"")</x:f>
        <x:v>OK</x:v>
      </x:c>
      <x:c r="I53" s="2" t="str">
        <x:f>IF(COUNTA('01_orders_raw'!A53:J53)&gt;0,IF(LEN('01_orders_raw'!J53&amp;"")=0,"SKIP",IF(AND('01_orders_raw'!J53&lt;&gt;"Выполнен",'01_orders_raw'!J53&lt;&gt;"В работе",'01_orders_raw'!J53&lt;&gt;"Отменен",'01_orders_raw'!J53&lt;&gt;"Ожидает оплаты"),"ERROR","OK")),"")</x:f>
        <x:v>OK</x:v>
      </x:c>
      <x:c r="J53" s="2" t="n">
        <x:f>COUNTIF(C53:I53,"ERROR")</x:f>
        <x:v>0</x:v>
      </x:c>
      <x:c r="K53" s="2" t="n">
        <x:f>IF(COUNTA('01_orders_raw'!A53:J53)&gt;0,53,"")</x:f>
        <x:v>53</x:v>
      </x:c>
    </x:row>
    <x:row r="54">
      <x:c r="A54" s="2" t="str">
        <x:f>IF(COUNTA('01_orders_raw'!A54:J54)&gt;0,"Order","")</x:f>
        <x:v>Order</x:v>
      </x:c>
      <x:c r="B54" s="2" t="n">
        <x:f>IF(COUNTA('01_orders_raw'!A54:J54)&gt;0,'01_orders_raw'!A54,"")</x:f>
        <x:v>1053</x:v>
      </x:c>
      <x:c r="C54" s="2" t="str">
        <x:f>IF(COUNTA('01_orders_raw'!A54:J54)&gt;0,IF(AND(LEN('01_orders_raw'!A54&amp;"")&gt;0,COUNTIF('01_orders_raw'!$A$2:$A$181,'01_orders_raw'!A54)&gt;1),"ERROR","OK"),"")</x:f>
        <x:v>OK</x:v>
      </x:c>
      <x:c r="D54" s="2" t="str">
        <x:f>IF(COUNTA('01_orders_raw'!A54:J54)&gt;0,IF(OR(LEN('01_orders_raw'!A54&amp;"")=0,LEN('01_orders_raw'!B54&amp;"")=0,LEN('01_orders_raw'!C54&amp;"")=0,LEN('01_orders_raw'!D54&amp;"")=0,LEN('01_orders_raw'!E54&amp;"")=0,LEN('01_orders_raw'!F54&amp;"")=0,LEN('01_orders_raw'!G54&amp;"")=0,LEN('01_orders_raw'!H54&amp;"")=0,LEN('01_orders_raw'!I54&amp;"")=0,LEN('01_orders_raw'!J54&amp;"")=0),"ERROR","OK"),"")</x:f>
        <x:v>OK</x:v>
      </x:c>
      <x:c r="E54" s="2" t="str">
        <x:f>IF(COUNTA('01_orders_raw'!A54:J54)&gt;0,IF(LEN('01_orders_raw'!C54&amp;"")=0,"SKIP",IF(COUNTIF('02_clients_raw'!$A$2:$A$67,'01_orders_raw'!C54)&lt;&gt;1,"ERROR","OK")),"")</x:f>
        <x:v>OK</x:v>
      </x:c>
      <x:c r="F54" s="2" t="str">
        <x:f>IF(COUNTA('01_orders_raw'!A54:J54)&gt;0,IF(OR(LEN('01_orders_raw'!G54&amp;"")=0,LEN('01_orders_raw'!H54&amp;"")=0,LEN('01_orders_raw'!I54&amp;"")=0),"SKIP",IF(AND(ISNUMBER('01_orders_raw'!G54),ISNUMBER('01_orders_raw'!H54),ISNUMBER('01_orders_raw'!I54)),IF(OR('01_orders_raw'!G54&lt;=0,MOD('01_orders_raw'!G54,1)&lt;&gt;0,ABS('01_orders_raw'!I54-'01_orders_raw'!G54*'01_orders_raw'!H54)&gt;'09_parameters'!$B$3),"ERROR","OK"),"ERROR")),"")</x:f>
        <x:v>OK</x:v>
      </x:c>
      <x:c r="G54" s="2" t="str">
        <x:f>IF(COUNTA('01_orders_raw'!A54:J54)&gt;0,IF(LEN('01_orders_raw'!H54&amp;"")=0,"SKIP",IF('01_orders_raw'!H54&lt;0,"ERROR","OK")),"")</x:f>
        <x:v>ERROR</x:v>
      </x:c>
      <x:c r="H54" s="2" t="str">
        <x:f>IF(COUNTA('01_orders_raw'!A54:J54)&gt;0,IF(LEN('01_orders_raw'!B54&amp;"")=0,"SKIP",IF(OR(NOT(ISNUMBER('01_orders_raw'!B54)),'01_orders_raw'!B54&lt;=0,'01_orders_raw'!B54&gt;'09_parameters'!$B$2),"ERROR","OK")),"")</x:f>
        <x:v>OK</x:v>
      </x:c>
      <x:c r="I54" s="2" t="str">
        <x:f>IF(COUNTA('01_orders_raw'!A54:J54)&gt;0,IF(LEN('01_orders_raw'!J54&amp;"")=0,"SKIP",IF(AND('01_orders_raw'!J54&lt;&gt;"Выполнен",'01_orders_raw'!J54&lt;&gt;"В работе",'01_orders_raw'!J54&lt;&gt;"Отменен",'01_orders_raw'!J54&lt;&gt;"Ожидает оплаты"),"ERROR","OK")),"")</x:f>
        <x:v>OK</x:v>
      </x:c>
      <x:c r="J54" s="2" t="n">
        <x:f>COUNTIF(C54:I54,"ERROR")</x:f>
        <x:v>1</x:v>
      </x:c>
      <x:c r="K54" s="2" t="n">
        <x:f>IF(COUNTA('01_orders_raw'!A54:J54)&gt;0,54,"")</x:f>
        <x:v>54</x:v>
      </x:c>
    </x:row>
    <x:row r="55">
      <x:c r="A55" s="2" t="str">
        <x:f>IF(COUNTA('01_orders_raw'!A55:J55)&gt;0,"Order","")</x:f>
        <x:v>Order</x:v>
      </x:c>
      <x:c r="B55" s="2" t="n">
        <x:f>IF(COUNTA('01_orders_raw'!A55:J55)&gt;0,'01_orders_raw'!A55,"")</x:f>
        <x:v>1054</x:v>
      </x:c>
      <x:c r="C55" s="2" t="str">
        <x:f>IF(COUNTA('01_orders_raw'!A55:J55)&gt;0,IF(AND(LEN('01_orders_raw'!A55&amp;"")&gt;0,COUNTIF('01_orders_raw'!$A$2:$A$181,'01_orders_raw'!A55)&gt;1),"ERROR","OK"),"")</x:f>
        <x:v>OK</x:v>
      </x:c>
      <x:c r="D55" s="2" t="str">
        <x:f>IF(COUNTA('01_orders_raw'!A55:J55)&gt;0,IF(OR(LEN('01_orders_raw'!A55&amp;"")=0,LEN('01_orders_raw'!B55&amp;"")=0,LEN('01_orders_raw'!C55&amp;"")=0,LEN('01_orders_raw'!D55&amp;"")=0,LEN('01_orders_raw'!E55&amp;"")=0,LEN('01_orders_raw'!F55&amp;"")=0,LEN('01_orders_raw'!G55&amp;"")=0,LEN('01_orders_raw'!H55&amp;"")=0,LEN('01_orders_raw'!I55&amp;"")=0,LEN('01_orders_raw'!J55&amp;"")=0),"ERROR","OK"),"")</x:f>
        <x:v>OK</x:v>
      </x:c>
      <x:c r="E55" s="2" t="str">
        <x:f>IF(COUNTA('01_orders_raw'!A55:J55)&gt;0,IF(LEN('01_orders_raw'!C55&amp;"")=0,"SKIP",IF(COUNTIF('02_clients_raw'!$A$2:$A$67,'01_orders_raw'!C55)&lt;&gt;1,"ERROR","OK")),"")</x:f>
        <x:v>OK</x:v>
      </x:c>
      <x:c r="F55" s="2" t="str">
        <x:f>IF(COUNTA('01_orders_raw'!A55:J55)&gt;0,IF(OR(LEN('01_orders_raw'!G55&amp;"")=0,LEN('01_orders_raw'!H55&amp;"")=0,LEN('01_orders_raw'!I55&amp;"")=0),"SKIP",IF(AND(ISNUMBER('01_orders_raw'!G55),ISNUMBER('01_orders_raw'!H55),ISNUMBER('01_orders_raw'!I55)),IF(OR('01_orders_raw'!G55&lt;=0,MOD('01_orders_raw'!G55,1)&lt;&gt;0,ABS('01_orders_raw'!I55-'01_orders_raw'!G55*'01_orders_raw'!H55)&gt;'09_parameters'!$B$3),"ERROR","OK"),"ERROR")),"")</x:f>
        <x:v>OK</x:v>
      </x:c>
      <x:c r="G55" s="2" t="str">
        <x:f>IF(COUNTA('01_orders_raw'!A55:J55)&gt;0,IF(LEN('01_orders_raw'!H55&amp;"")=0,"SKIP",IF('01_orders_raw'!H55&lt;0,"ERROR","OK")),"")</x:f>
        <x:v>OK</x:v>
      </x:c>
      <x:c r="H55" s="2" t="str">
        <x:f>IF(COUNTA('01_orders_raw'!A55:J55)&gt;0,IF(LEN('01_orders_raw'!B55&amp;"")=0,"SKIP",IF(OR(NOT(ISNUMBER('01_orders_raw'!B55)),'01_orders_raw'!B55&lt;=0,'01_orders_raw'!B55&gt;'09_parameters'!$B$2),"ERROR","OK")),"")</x:f>
        <x:v>OK</x:v>
      </x:c>
      <x:c r="I55" s="2" t="str">
        <x:f>IF(COUNTA('01_orders_raw'!A55:J55)&gt;0,IF(LEN('01_orders_raw'!J55&amp;"")=0,"SKIP",IF(AND('01_orders_raw'!J55&lt;&gt;"Выполнен",'01_orders_raw'!J55&lt;&gt;"В работе",'01_orders_raw'!J55&lt;&gt;"Отменен",'01_orders_raw'!J55&lt;&gt;"Ожидает оплаты"),"ERROR","OK")),"")</x:f>
        <x:v>OK</x:v>
      </x:c>
      <x:c r="J55" s="2" t="n">
        <x:f>COUNTIF(C55:I55,"ERROR")</x:f>
        <x:v>0</x:v>
      </x:c>
      <x:c r="K55" s="2" t="n">
        <x:f>IF(COUNTA('01_orders_raw'!A55:J55)&gt;0,55,"")</x:f>
        <x:v>55</x:v>
      </x:c>
    </x:row>
    <x:row r="56">
      <x:c r="A56" s="2" t="str">
        <x:f>IF(COUNTA('01_orders_raw'!A56:J56)&gt;0,"Order","")</x:f>
        <x:v>Order</x:v>
      </x:c>
      <x:c r="B56" s="2" t="n">
        <x:f>IF(COUNTA('01_orders_raw'!A56:J56)&gt;0,'01_orders_raw'!A56,"")</x:f>
        <x:v>1055</x:v>
      </x:c>
      <x:c r="C56" s="2" t="str">
        <x:f>IF(COUNTA('01_orders_raw'!A56:J56)&gt;0,IF(AND(LEN('01_orders_raw'!A56&amp;"")&gt;0,COUNTIF('01_orders_raw'!$A$2:$A$181,'01_orders_raw'!A56)&gt;1),"ERROR","OK"),"")</x:f>
        <x:v>OK</x:v>
      </x:c>
      <x:c r="D56" s="2" t="str">
        <x:f>IF(COUNTA('01_orders_raw'!A56:J56)&gt;0,IF(OR(LEN('01_orders_raw'!A56&amp;"")=0,LEN('01_orders_raw'!B56&amp;"")=0,LEN('01_orders_raw'!C56&amp;"")=0,LEN('01_orders_raw'!D56&amp;"")=0,LEN('01_orders_raw'!E56&amp;"")=0,LEN('01_orders_raw'!F56&amp;"")=0,LEN('01_orders_raw'!G56&amp;"")=0,LEN('01_orders_raw'!H56&amp;"")=0,LEN('01_orders_raw'!I56&amp;"")=0,LEN('01_orders_raw'!J56&amp;"")=0),"ERROR","OK"),"")</x:f>
        <x:v>OK</x:v>
      </x:c>
      <x:c r="E56" s="2" t="str">
        <x:f>IF(COUNTA('01_orders_raw'!A56:J56)&gt;0,IF(LEN('01_orders_raw'!C56&amp;"")=0,"SKIP",IF(COUNTIF('02_clients_raw'!$A$2:$A$67,'01_orders_raw'!C56)&lt;&gt;1,"ERROR","OK")),"")</x:f>
        <x:v>OK</x:v>
      </x:c>
      <x:c r="F56" s="2" t="str">
        <x:f>IF(COUNTA('01_orders_raw'!A56:J56)&gt;0,IF(OR(LEN('01_orders_raw'!G56&amp;"")=0,LEN('01_orders_raw'!H56&amp;"")=0,LEN('01_orders_raw'!I56&amp;"")=0),"SKIP",IF(AND(ISNUMBER('01_orders_raw'!G56),ISNUMBER('01_orders_raw'!H56),ISNUMBER('01_orders_raw'!I56)),IF(OR('01_orders_raw'!G56&lt;=0,MOD('01_orders_raw'!G56,1)&lt;&gt;0,ABS('01_orders_raw'!I56-'01_orders_raw'!G56*'01_orders_raw'!H56)&gt;'09_parameters'!$B$3),"ERROR","OK"),"ERROR")),"")</x:f>
        <x:v>OK</x:v>
      </x:c>
      <x:c r="G56" s="2" t="str">
        <x:f>IF(COUNTA('01_orders_raw'!A56:J56)&gt;0,IF(LEN('01_orders_raw'!H56&amp;"")=0,"SKIP",IF('01_orders_raw'!H56&lt;0,"ERROR","OK")),"")</x:f>
        <x:v>OK</x:v>
      </x:c>
      <x:c r="H56" s="2" t="str">
        <x:f>IF(COUNTA('01_orders_raw'!A56:J56)&gt;0,IF(LEN('01_orders_raw'!B56&amp;"")=0,"SKIP",IF(OR(NOT(ISNUMBER('01_orders_raw'!B56)),'01_orders_raw'!B56&lt;=0,'01_orders_raw'!B56&gt;'09_parameters'!$B$2),"ERROR","OK")),"")</x:f>
        <x:v>OK</x:v>
      </x:c>
      <x:c r="I56" s="2" t="str">
        <x:f>IF(COUNTA('01_orders_raw'!A56:J56)&gt;0,IF(LEN('01_orders_raw'!J56&amp;"")=0,"SKIP",IF(AND('01_orders_raw'!J56&lt;&gt;"Выполнен",'01_orders_raw'!J56&lt;&gt;"В работе",'01_orders_raw'!J56&lt;&gt;"Отменен",'01_orders_raw'!J56&lt;&gt;"Ожидает оплаты"),"ERROR","OK")),"")</x:f>
        <x:v>OK</x:v>
      </x:c>
      <x:c r="J56" s="2" t="n">
        <x:f>COUNTIF(C56:I56,"ERROR")</x:f>
        <x:v>0</x:v>
      </x:c>
      <x:c r="K56" s="2" t="n">
        <x:f>IF(COUNTA('01_orders_raw'!A56:J56)&gt;0,56,"")</x:f>
        <x:v>56</x:v>
      </x:c>
    </x:row>
    <x:row r="57">
      <x:c r="A57" s="2" t="str">
        <x:f>IF(COUNTA('01_orders_raw'!A57:J57)&gt;0,"Order","")</x:f>
        <x:v>Order</x:v>
      </x:c>
      <x:c r="B57" s="2" t="n">
        <x:f>IF(COUNTA('01_orders_raw'!A57:J57)&gt;0,'01_orders_raw'!A57,"")</x:f>
        <x:v>1056</x:v>
      </x:c>
      <x:c r="C57" s="2" t="str">
        <x:f>IF(COUNTA('01_orders_raw'!A57:J57)&gt;0,IF(AND(LEN('01_orders_raw'!A57&amp;"")&gt;0,COUNTIF('01_orders_raw'!$A$2:$A$181,'01_orders_raw'!A57)&gt;1),"ERROR","OK"),"")</x:f>
        <x:v>OK</x:v>
      </x:c>
      <x:c r="D57" s="2" t="str">
        <x:f>IF(COUNTA('01_orders_raw'!A57:J57)&gt;0,IF(OR(LEN('01_orders_raw'!A57&amp;"")=0,LEN('01_orders_raw'!B57&amp;"")=0,LEN('01_orders_raw'!C57&amp;"")=0,LEN('01_orders_raw'!D57&amp;"")=0,LEN('01_orders_raw'!E57&amp;"")=0,LEN('01_orders_raw'!F57&amp;"")=0,LEN('01_orders_raw'!G57&amp;"")=0,LEN('01_orders_raw'!H57&amp;"")=0,LEN('01_orders_raw'!I57&amp;"")=0,LEN('01_orders_raw'!J57&amp;"")=0),"ERROR","OK"),"")</x:f>
        <x:v>OK</x:v>
      </x:c>
      <x:c r="E57" s="2" t="str">
        <x:f>IF(COUNTA('01_orders_raw'!A57:J57)&gt;0,IF(LEN('01_orders_raw'!C57&amp;"")=0,"SKIP",IF(COUNTIF('02_clients_raw'!$A$2:$A$67,'01_orders_raw'!C57)&lt;&gt;1,"ERROR","OK")),"")</x:f>
        <x:v>OK</x:v>
      </x:c>
      <x:c r="F57" s="2" t="str">
        <x:f>IF(COUNTA('01_orders_raw'!A57:J57)&gt;0,IF(OR(LEN('01_orders_raw'!G57&amp;"")=0,LEN('01_orders_raw'!H57&amp;"")=0,LEN('01_orders_raw'!I57&amp;"")=0),"SKIP",IF(AND(ISNUMBER('01_orders_raw'!G57),ISNUMBER('01_orders_raw'!H57),ISNUMBER('01_orders_raw'!I57)),IF(OR('01_orders_raw'!G57&lt;=0,MOD('01_orders_raw'!G57,1)&lt;&gt;0,ABS('01_orders_raw'!I57-'01_orders_raw'!G57*'01_orders_raw'!H57)&gt;'09_parameters'!$B$3),"ERROR","OK"),"ERROR")),"")</x:f>
        <x:v>OK</x:v>
      </x:c>
      <x:c r="G57" s="2" t="str">
        <x:f>IF(COUNTA('01_orders_raw'!A57:J57)&gt;0,IF(LEN('01_orders_raw'!H57&amp;"")=0,"SKIP",IF('01_orders_raw'!H57&lt;0,"ERROR","OK")),"")</x:f>
        <x:v>OK</x:v>
      </x:c>
      <x:c r="H57" s="2" t="str">
        <x:f>IF(COUNTA('01_orders_raw'!A57:J57)&gt;0,IF(LEN('01_orders_raw'!B57&amp;"")=0,"SKIP",IF(OR(NOT(ISNUMBER('01_orders_raw'!B57)),'01_orders_raw'!B57&lt;=0,'01_orders_raw'!B57&gt;'09_parameters'!$B$2),"ERROR","OK")),"")</x:f>
        <x:v>OK</x:v>
      </x:c>
      <x:c r="I57" s="2" t="str">
        <x:f>IF(COUNTA('01_orders_raw'!A57:J57)&gt;0,IF(LEN('01_orders_raw'!J57&amp;"")=0,"SKIP",IF(AND('01_orders_raw'!J57&lt;&gt;"Выполнен",'01_orders_raw'!J57&lt;&gt;"В работе",'01_orders_raw'!J57&lt;&gt;"Отменен",'01_orders_raw'!J57&lt;&gt;"Ожидает оплаты"),"ERROR","OK")),"")</x:f>
        <x:v>OK</x:v>
      </x:c>
      <x:c r="J57" s="2" t="n">
        <x:f>COUNTIF(C57:I57,"ERROR")</x:f>
        <x:v>0</x:v>
      </x:c>
      <x:c r="K57" s="2" t="n">
        <x:f>IF(COUNTA('01_orders_raw'!A57:J57)&gt;0,57,"")</x:f>
        <x:v>57</x:v>
      </x:c>
    </x:row>
    <x:row r="58">
      <x:c r="A58" s="2" t="str">
        <x:f>IF(COUNTA('01_orders_raw'!A58:J58)&gt;0,"Order","")</x:f>
        <x:v>Order</x:v>
      </x:c>
      <x:c r="B58" s="2" t="n">
        <x:f>IF(COUNTA('01_orders_raw'!A58:J58)&gt;0,'01_orders_raw'!A58,"")</x:f>
        <x:v>1057</x:v>
      </x:c>
      <x:c r="C58" s="2" t="str">
        <x:f>IF(COUNTA('01_orders_raw'!A58:J58)&gt;0,IF(AND(LEN('01_orders_raw'!A58&amp;"")&gt;0,COUNTIF('01_orders_raw'!$A$2:$A$181,'01_orders_raw'!A58)&gt;1),"ERROR","OK"),"")</x:f>
        <x:v>OK</x:v>
      </x:c>
      <x:c r="D58" s="2" t="str">
        <x:f>IF(COUNTA('01_orders_raw'!A58:J58)&gt;0,IF(OR(LEN('01_orders_raw'!A58&amp;"")=0,LEN('01_orders_raw'!B58&amp;"")=0,LEN('01_orders_raw'!C58&amp;"")=0,LEN('01_orders_raw'!D58&amp;"")=0,LEN('01_orders_raw'!E58&amp;"")=0,LEN('01_orders_raw'!F58&amp;"")=0,LEN('01_orders_raw'!G58&amp;"")=0,LEN('01_orders_raw'!H58&amp;"")=0,LEN('01_orders_raw'!I58&amp;"")=0,LEN('01_orders_raw'!J58&amp;"")=0),"ERROR","OK"),"")</x:f>
        <x:v>OK</x:v>
      </x:c>
      <x:c r="E58" s="2" t="str">
        <x:f>IF(COUNTA('01_orders_raw'!A58:J58)&gt;0,IF(LEN('01_orders_raw'!C58&amp;"")=0,"SKIP",IF(COUNTIF('02_clients_raw'!$A$2:$A$67,'01_orders_raw'!C58)&lt;&gt;1,"ERROR","OK")),"")</x:f>
        <x:v>OK</x:v>
      </x:c>
      <x:c r="F58" s="2" t="str">
        <x:f>IF(COUNTA('01_orders_raw'!A58:J58)&gt;0,IF(OR(LEN('01_orders_raw'!G58&amp;"")=0,LEN('01_orders_raw'!H58&amp;"")=0,LEN('01_orders_raw'!I58&amp;"")=0),"SKIP",IF(AND(ISNUMBER('01_orders_raw'!G58),ISNUMBER('01_orders_raw'!H58),ISNUMBER('01_orders_raw'!I58)),IF(OR('01_orders_raw'!G58&lt;=0,MOD('01_orders_raw'!G58,1)&lt;&gt;0,ABS('01_orders_raw'!I58-'01_orders_raw'!G58*'01_orders_raw'!H58)&gt;'09_parameters'!$B$3),"ERROR","OK"),"ERROR")),"")</x:f>
        <x:v>OK</x:v>
      </x:c>
      <x:c r="G58" s="2" t="str">
        <x:f>IF(COUNTA('01_orders_raw'!A58:J58)&gt;0,IF(LEN('01_orders_raw'!H58&amp;"")=0,"SKIP",IF('01_orders_raw'!H58&lt;0,"ERROR","OK")),"")</x:f>
        <x:v>OK</x:v>
      </x:c>
      <x:c r="H58" s="2" t="str">
        <x:f>IF(COUNTA('01_orders_raw'!A58:J58)&gt;0,IF(LEN('01_orders_raw'!B58&amp;"")=0,"SKIP",IF(OR(NOT(ISNUMBER('01_orders_raw'!B58)),'01_orders_raw'!B58&lt;=0,'01_orders_raw'!B58&gt;'09_parameters'!$B$2),"ERROR","OK")),"")</x:f>
        <x:v>OK</x:v>
      </x:c>
      <x:c r="I58" s="2" t="str">
        <x:f>IF(COUNTA('01_orders_raw'!A58:J58)&gt;0,IF(LEN('01_orders_raw'!J58&amp;"")=0,"SKIP",IF(AND('01_orders_raw'!J58&lt;&gt;"Выполнен",'01_orders_raw'!J58&lt;&gt;"В работе",'01_orders_raw'!J58&lt;&gt;"Отменен",'01_orders_raw'!J58&lt;&gt;"Ожидает оплаты"),"ERROR","OK")),"")</x:f>
        <x:v>OK</x:v>
      </x:c>
      <x:c r="J58" s="2" t="n">
        <x:f>COUNTIF(C58:I58,"ERROR")</x:f>
        <x:v>0</x:v>
      </x:c>
      <x:c r="K58" s="2" t="n">
        <x:f>IF(COUNTA('01_orders_raw'!A58:J58)&gt;0,58,"")</x:f>
        <x:v>58</x:v>
      </x:c>
    </x:row>
    <x:row r="59">
      <x:c r="A59" s="2" t="str">
        <x:f>IF(COUNTA('01_orders_raw'!A59:J59)&gt;0,"Order","")</x:f>
        <x:v>Order</x:v>
      </x:c>
      <x:c r="B59" s="2" t="n">
        <x:f>IF(COUNTA('01_orders_raw'!A59:J59)&gt;0,'01_orders_raw'!A59,"")</x:f>
        <x:v>1058</x:v>
      </x:c>
      <x:c r="C59" s="2" t="str">
        <x:f>IF(COUNTA('01_orders_raw'!A59:J59)&gt;0,IF(AND(LEN('01_orders_raw'!A59&amp;"")&gt;0,COUNTIF('01_orders_raw'!$A$2:$A$181,'01_orders_raw'!A59)&gt;1),"ERROR","OK"),"")</x:f>
        <x:v>OK</x:v>
      </x:c>
      <x:c r="D59" s="2" t="str">
        <x:f>IF(COUNTA('01_orders_raw'!A59:J59)&gt;0,IF(OR(LEN('01_orders_raw'!A59&amp;"")=0,LEN('01_orders_raw'!B59&amp;"")=0,LEN('01_orders_raw'!C59&amp;"")=0,LEN('01_orders_raw'!D59&amp;"")=0,LEN('01_orders_raw'!E59&amp;"")=0,LEN('01_orders_raw'!F59&amp;"")=0,LEN('01_orders_raw'!G59&amp;"")=0,LEN('01_orders_raw'!H59&amp;"")=0,LEN('01_orders_raw'!I59&amp;"")=0,LEN('01_orders_raw'!J59&amp;"")=0),"ERROR","OK"),"")</x:f>
        <x:v>OK</x:v>
      </x:c>
      <x:c r="E59" s="2" t="str">
        <x:f>IF(COUNTA('01_orders_raw'!A59:J59)&gt;0,IF(LEN('01_orders_raw'!C59&amp;"")=0,"SKIP",IF(COUNTIF('02_clients_raw'!$A$2:$A$67,'01_orders_raw'!C59)&lt;&gt;1,"ERROR","OK")),"")</x:f>
        <x:v>OK</x:v>
      </x:c>
      <x:c r="F59" s="2" t="str">
        <x:f>IF(COUNTA('01_orders_raw'!A59:J59)&gt;0,IF(OR(LEN('01_orders_raw'!G59&amp;"")=0,LEN('01_orders_raw'!H59&amp;"")=0,LEN('01_orders_raw'!I59&amp;"")=0),"SKIP",IF(AND(ISNUMBER('01_orders_raw'!G59),ISNUMBER('01_orders_raw'!H59),ISNUMBER('01_orders_raw'!I59)),IF(OR('01_orders_raw'!G59&lt;=0,MOD('01_orders_raw'!G59,1)&lt;&gt;0,ABS('01_orders_raw'!I59-'01_orders_raw'!G59*'01_orders_raw'!H59)&gt;'09_parameters'!$B$3),"ERROR","OK"),"ERROR")),"")</x:f>
        <x:v>OK</x:v>
      </x:c>
      <x:c r="G59" s="2" t="str">
        <x:f>IF(COUNTA('01_orders_raw'!A59:J59)&gt;0,IF(LEN('01_orders_raw'!H59&amp;"")=0,"SKIP",IF('01_orders_raw'!H59&lt;0,"ERROR","OK")),"")</x:f>
        <x:v>OK</x:v>
      </x:c>
      <x:c r="H59" s="2" t="str">
        <x:f>IF(COUNTA('01_orders_raw'!A59:J59)&gt;0,IF(LEN('01_orders_raw'!B59&amp;"")=0,"SKIP",IF(OR(NOT(ISNUMBER('01_orders_raw'!B59)),'01_orders_raw'!B59&lt;=0,'01_orders_raw'!B59&gt;'09_parameters'!$B$2),"ERROR","OK")),"")</x:f>
        <x:v>OK</x:v>
      </x:c>
      <x:c r="I59" s="2" t="str">
        <x:f>IF(COUNTA('01_orders_raw'!A59:J59)&gt;0,IF(LEN('01_orders_raw'!J59&amp;"")=0,"SKIP",IF(AND('01_orders_raw'!J59&lt;&gt;"Выполнен",'01_orders_raw'!J59&lt;&gt;"В работе",'01_orders_raw'!J59&lt;&gt;"Отменен",'01_orders_raw'!J59&lt;&gt;"Ожидает оплаты"),"ERROR","OK")),"")</x:f>
        <x:v>OK</x:v>
      </x:c>
      <x:c r="J59" s="2" t="n">
        <x:f>COUNTIF(C59:I59,"ERROR")</x:f>
        <x:v>0</x:v>
      </x:c>
      <x:c r="K59" s="2" t="n">
        <x:f>IF(COUNTA('01_orders_raw'!A59:J59)&gt;0,59,"")</x:f>
        <x:v>59</x:v>
      </x:c>
    </x:row>
    <x:row r="60">
      <x:c r="A60" s="2" t="str">
        <x:f>IF(COUNTA('01_orders_raw'!A60:J60)&gt;0,"Order","")</x:f>
        <x:v>Order</x:v>
      </x:c>
      <x:c r="B60" s="2" t="n">
        <x:f>IF(COUNTA('01_orders_raw'!A60:J60)&gt;0,'01_orders_raw'!A60,"")</x:f>
        <x:v>1059</x:v>
      </x:c>
      <x:c r="C60" s="2" t="str">
        <x:f>IF(COUNTA('01_orders_raw'!A60:J60)&gt;0,IF(AND(LEN('01_orders_raw'!A60&amp;"")&gt;0,COUNTIF('01_orders_raw'!$A$2:$A$181,'01_orders_raw'!A60)&gt;1),"ERROR","OK"),"")</x:f>
        <x:v>OK</x:v>
      </x:c>
      <x:c r="D60" s="2" t="str">
        <x:f>IF(COUNTA('01_orders_raw'!A60:J60)&gt;0,IF(OR(LEN('01_orders_raw'!A60&amp;"")=0,LEN('01_orders_raw'!B60&amp;"")=0,LEN('01_orders_raw'!C60&amp;"")=0,LEN('01_orders_raw'!D60&amp;"")=0,LEN('01_orders_raw'!E60&amp;"")=0,LEN('01_orders_raw'!F60&amp;"")=0,LEN('01_orders_raw'!G60&amp;"")=0,LEN('01_orders_raw'!H60&amp;"")=0,LEN('01_orders_raw'!I60&amp;"")=0,LEN('01_orders_raw'!J60&amp;"")=0),"ERROR","OK"),"")</x:f>
        <x:v>OK</x:v>
      </x:c>
      <x:c r="E60" s="2" t="str">
        <x:f>IF(COUNTA('01_orders_raw'!A60:J60)&gt;0,IF(LEN('01_orders_raw'!C60&amp;"")=0,"SKIP",IF(COUNTIF('02_clients_raw'!$A$2:$A$67,'01_orders_raw'!C60)&lt;&gt;1,"ERROR","OK")),"")</x:f>
        <x:v>OK</x:v>
      </x:c>
      <x:c r="F60" s="2" t="str">
        <x:f>IF(COUNTA('01_orders_raw'!A60:J60)&gt;0,IF(OR(LEN('01_orders_raw'!G60&amp;"")=0,LEN('01_orders_raw'!H60&amp;"")=0,LEN('01_orders_raw'!I60&amp;"")=0),"SKIP",IF(AND(ISNUMBER('01_orders_raw'!G60),ISNUMBER('01_orders_raw'!H60),ISNUMBER('01_orders_raw'!I60)),IF(OR('01_orders_raw'!G60&lt;=0,MOD('01_orders_raw'!G60,1)&lt;&gt;0,ABS('01_orders_raw'!I60-'01_orders_raw'!G60*'01_orders_raw'!H60)&gt;'09_parameters'!$B$3),"ERROR","OK"),"ERROR")),"")</x:f>
        <x:v>OK</x:v>
      </x:c>
      <x:c r="G60" s="2" t="str">
        <x:f>IF(COUNTA('01_orders_raw'!A60:J60)&gt;0,IF(LEN('01_orders_raw'!H60&amp;"")=0,"SKIP",IF('01_orders_raw'!H60&lt;0,"ERROR","OK")),"")</x:f>
        <x:v>OK</x:v>
      </x:c>
      <x:c r="H60" s="2" t="str">
        <x:f>IF(COUNTA('01_orders_raw'!A60:J60)&gt;0,IF(LEN('01_orders_raw'!B60&amp;"")=0,"SKIP",IF(OR(NOT(ISNUMBER('01_orders_raw'!B60)),'01_orders_raw'!B60&lt;=0,'01_orders_raw'!B60&gt;'09_parameters'!$B$2),"ERROR","OK")),"")</x:f>
        <x:v>OK</x:v>
      </x:c>
      <x:c r="I60" s="2" t="str">
        <x:f>IF(COUNTA('01_orders_raw'!A60:J60)&gt;0,IF(LEN('01_orders_raw'!J60&amp;"")=0,"SKIP",IF(AND('01_orders_raw'!J60&lt;&gt;"Выполнен",'01_orders_raw'!J60&lt;&gt;"В работе",'01_orders_raw'!J60&lt;&gt;"Отменен",'01_orders_raw'!J60&lt;&gt;"Ожидает оплаты"),"ERROR","OK")),"")</x:f>
        <x:v>OK</x:v>
      </x:c>
      <x:c r="J60" s="2" t="n">
        <x:f>COUNTIF(C60:I60,"ERROR")</x:f>
        <x:v>0</x:v>
      </x:c>
      <x:c r="K60" s="2" t="n">
        <x:f>IF(COUNTA('01_orders_raw'!A60:J60)&gt;0,60,"")</x:f>
        <x:v>60</x:v>
      </x:c>
    </x:row>
    <x:row r="61">
      <x:c r="A61" s="2" t="str">
        <x:f>IF(COUNTA('01_orders_raw'!A61:J61)&gt;0,"Order","")</x:f>
        <x:v>Order</x:v>
      </x:c>
      <x:c r="B61" s="2" t="n">
        <x:f>IF(COUNTA('01_orders_raw'!A61:J61)&gt;0,'01_orders_raw'!A61,"")</x:f>
        <x:v>1060</x:v>
      </x:c>
      <x:c r="C61" s="2" t="str">
        <x:f>IF(COUNTA('01_orders_raw'!A61:J61)&gt;0,IF(AND(LEN('01_orders_raw'!A61&amp;"")&gt;0,COUNTIF('01_orders_raw'!$A$2:$A$181,'01_orders_raw'!A61)&gt;1),"ERROR","OK"),"")</x:f>
        <x:v>OK</x:v>
      </x:c>
      <x:c r="D61" s="2" t="str">
        <x:f>IF(COUNTA('01_orders_raw'!A61:J61)&gt;0,IF(OR(LEN('01_orders_raw'!A61&amp;"")=0,LEN('01_orders_raw'!B61&amp;"")=0,LEN('01_orders_raw'!C61&amp;"")=0,LEN('01_orders_raw'!D61&amp;"")=0,LEN('01_orders_raw'!E61&amp;"")=0,LEN('01_orders_raw'!F61&amp;"")=0,LEN('01_orders_raw'!G61&amp;"")=0,LEN('01_orders_raw'!H61&amp;"")=0,LEN('01_orders_raw'!I61&amp;"")=0,LEN('01_orders_raw'!J61&amp;"")=0),"ERROR","OK"),"")</x:f>
        <x:v>OK</x:v>
      </x:c>
      <x:c r="E61" s="2" t="str">
        <x:f>IF(COUNTA('01_orders_raw'!A61:J61)&gt;0,IF(LEN('01_orders_raw'!C61&amp;"")=0,"SKIP",IF(COUNTIF('02_clients_raw'!$A$2:$A$67,'01_orders_raw'!C61)&lt;&gt;1,"ERROR","OK")),"")</x:f>
        <x:v>OK</x:v>
      </x:c>
      <x:c r="F61" s="2" t="str">
        <x:f>IF(COUNTA('01_orders_raw'!A61:J61)&gt;0,IF(OR(LEN('01_orders_raw'!G61&amp;"")=0,LEN('01_orders_raw'!H61&amp;"")=0,LEN('01_orders_raw'!I61&amp;"")=0),"SKIP",IF(AND(ISNUMBER('01_orders_raw'!G61),ISNUMBER('01_orders_raw'!H61),ISNUMBER('01_orders_raw'!I61)),IF(OR('01_orders_raw'!G61&lt;=0,MOD('01_orders_raw'!G61,1)&lt;&gt;0,ABS('01_orders_raw'!I61-'01_orders_raw'!G61*'01_orders_raw'!H61)&gt;'09_parameters'!$B$3),"ERROR","OK"),"ERROR")),"")</x:f>
        <x:v>OK</x:v>
      </x:c>
      <x:c r="G61" s="2" t="str">
        <x:f>IF(COUNTA('01_orders_raw'!A61:J61)&gt;0,IF(LEN('01_orders_raw'!H61&amp;"")=0,"SKIP",IF('01_orders_raw'!H61&lt;0,"ERROR","OK")),"")</x:f>
        <x:v>OK</x:v>
      </x:c>
      <x:c r="H61" s="2" t="str">
        <x:f>IF(COUNTA('01_orders_raw'!A61:J61)&gt;0,IF(LEN('01_orders_raw'!B61&amp;"")=0,"SKIP",IF(OR(NOT(ISNUMBER('01_orders_raw'!B61)),'01_orders_raw'!B61&lt;=0,'01_orders_raw'!B61&gt;'09_parameters'!$B$2),"ERROR","OK")),"")</x:f>
        <x:v>OK</x:v>
      </x:c>
      <x:c r="I61" s="2" t="str">
        <x:f>IF(COUNTA('01_orders_raw'!A61:J61)&gt;0,IF(LEN('01_orders_raw'!J61&amp;"")=0,"SKIP",IF(AND('01_orders_raw'!J61&lt;&gt;"Выполнен",'01_orders_raw'!J61&lt;&gt;"В работе",'01_orders_raw'!J61&lt;&gt;"Отменен",'01_orders_raw'!J61&lt;&gt;"Ожидает оплаты"),"ERROR","OK")),"")</x:f>
        <x:v>OK</x:v>
      </x:c>
      <x:c r="J61" s="2" t="n">
        <x:f>COUNTIF(C61:I61,"ERROR")</x:f>
        <x:v>0</x:v>
      </x:c>
      <x:c r="K61" s="2" t="n">
        <x:f>IF(COUNTA('01_orders_raw'!A61:J61)&gt;0,61,"")</x:f>
        <x:v>61</x:v>
      </x:c>
    </x:row>
    <x:row r="62">
      <x:c r="A62" s="2" t="str">
        <x:f>IF(COUNTA('01_orders_raw'!A62:J62)&gt;0,"Order","")</x:f>
        <x:v>Order</x:v>
      </x:c>
      <x:c r="B62" s="2" t="n">
        <x:f>IF(COUNTA('01_orders_raw'!A62:J62)&gt;0,'01_orders_raw'!A62,"")</x:f>
        <x:v>1061</x:v>
      </x:c>
      <x:c r="C62" s="2" t="str">
        <x:f>IF(COUNTA('01_orders_raw'!A62:J62)&gt;0,IF(AND(LEN('01_orders_raw'!A62&amp;"")&gt;0,COUNTIF('01_orders_raw'!$A$2:$A$181,'01_orders_raw'!A62)&gt;1),"ERROR","OK"),"")</x:f>
        <x:v>OK</x:v>
      </x:c>
      <x:c r="D62" s="2" t="str">
        <x:f>IF(COUNTA('01_orders_raw'!A62:J62)&gt;0,IF(OR(LEN('01_orders_raw'!A62&amp;"")=0,LEN('01_orders_raw'!B62&amp;"")=0,LEN('01_orders_raw'!C62&amp;"")=0,LEN('01_orders_raw'!D62&amp;"")=0,LEN('01_orders_raw'!E62&amp;"")=0,LEN('01_orders_raw'!F62&amp;"")=0,LEN('01_orders_raw'!G62&amp;"")=0,LEN('01_orders_raw'!H62&amp;"")=0,LEN('01_orders_raw'!I62&amp;"")=0,LEN('01_orders_raw'!J62&amp;"")=0),"ERROR","OK"),"")</x:f>
        <x:v>OK</x:v>
      </x:c>
      <x:c r="E62" s="2" t="str">
        <x:f>IF(COUNTA('01_orders_raw'!A62:J62)&gt;0,IF(LEN('01_orders_raw'!C62&amp;"")=0,"SKIP",IF(COUNTIF('02_clients_raw'!$A$2:$A$67,'01_orders_raw'!C62)&lt;&gt;1,"ERROR","OK")),"")</x:f>
        <x:v>OK</x:v>
      </x:c>
      <x:c r="F62" s="2" t="str">
        <x:f>IF(COUNTA('01_orders_raw'!A62:J62)&gt;0,IF(OR(LEN('01_orders_raw'!G62&amp;"")=0,LEN('01_orders_raw'!H62&amp;"")=0,LEN('01_orders_raw'!I62&amp;"")=0),"SKIP",IF(AND(ISNUMBER('01_orders_raw'!G62),ISNUMBER('01_orders_raw'!H62),ISNUMBER('01_orders_raw'!I62)),IF(OR('01_orders_raw'!G62&lt;=0,MOD('01_orders_raw'!G62,1)&lt;&gt;0,ABS('01_orders_raw'!I62-'01_orders_raw'!G62*'01_orders_raw'!H62)&gt;'09_parameters'!$B$3),"ERROR","OK"),"ERROR")),"")</x:f>
        <x:v>OK</x:v>
      </x:c>
      <x:c r="G62" s="2" t="str">
        <x:f>IF(COUNTA('01_orders_raw'!A62:J62)&gt;0,IF(LEN('01_orders_raw'!H62&amp;"")=0,"SKIP",IF('01_orders_raw'!H62&lt;0,"ERROR","OK")),"")</x:f>
        <x:v>OK</x:v>
      </x:c>
      <x:c r="H62" s="2" t="str">
        <x:f>IF(COUNTA('01_orders_raw'!A62:J62)&gt;0,IF(LEN('01_orders_raw'!B62&amp;"")=0,"SKIP",IF(OR(NOT(ISNUMBER('01_orders_raw'!B62)),'01_orders_raw'!B62&lt;=0,'01_orders_raw'!B62&gt;'09_parameters'!$B$2),"ERROR","OK")),"")</x:f>
        <x:v>OK</x:v>
      </x:c>
      <x:c r="I62" s="2" t="str">
        <x:f>IF(COUNTA('01_orders_raw'!A62:J62)&gt;0,IF(LEN('01_orders_raw'!J62&amp;"")=0,"SKIP",IF(AND('01_orders_raw'!J62&lt;&gt;"Выполнен",'01_orders_raw'!J62&lt;&gt;"В работе",'01_orders_raw'!J62&lt;&gt;"Отменен",'01_orders_raw'!J62&lt;&gt;"Ожидает оплаты"),"ERROR","OK")),"")</x:f>
        <x:v>OK</x:v>
      </x:c>
      <x:c r="J62" s="2" t="n">
        <x:f>COUNTIF(C62:I62,"ERROR")</x:f>
        <x:v>0</x:v>
      </x:c>
      <x:c r="K62" s="2" t="n">
        <x:f>IF(COUNTA('01_orders_raw'!A62:J62)&gt;0,62,"")</x:f>
        <x:v>62</x:v>
      </x:c>
    </x:row>
    <x:row r="63">
      <x:c r="A63" s="2" t="str">
        <x:f>IF(COUNTA('01_orders_raw'!A63:J63)&gt;0,"Order","")</x:f>
        <x:v>Order</x:v>
      </x:c>
      <x:c r="B63" s="2" t="n">
        <x:f>IF(COUNTA('01_orders_raw'!A63:J63)&gt;0,'01_orders_raw'!A63,"")</x:f>
        <x:v>1062</x:v>
      </x:c>
      <x:c r="C63" s="2" t="str">
        <x:f>IF(COUNTA('01_orders_raw'!A63:J63)&gt;0,IF(AND(LEN('01_orders_raw'!A63&amp;"")&gt;0,COUNTIF('01_orders_raw'!$A$2:$A$181,'01_orders_raw'!A63)&gt;1),"ERROR","OK"),"")</x:f>
        <x:v>OK</x:v>
      </x:c>
      <x:c r="D63" s="2" t="str">
        <x:f>IF(COUNTA('01_orders_raw'!A63:J63)&gt;0,IF(OR(LEN('01_orders_raw'!A63&amp;"")=0,LEN('01_orders_raw'!B63&amp;"")=0,LEN('01_orders_raw'!C63&amp;"")=0,LEN('01_orders_raw'!D63&amp;"")=0,LEN('01_orders_raw'!E63&amp;"")=0,LEN('01_orders_raw'!F63&amp;"")=0,LEN('01_orders_raw'!G63&amp;"")=0,LEN('01_orders_raw'!H63&amp;"")=0,LEN('01_orders_raw'!I63&amp;"")=0,LEN('01_orders_raw'!J63&amp;"")=0),"ERROR","OK"),"")</x:f>
        <x:v>OK</x:v>
      </x:c>
      <x:c r="E63" s="2" t="str">
        <x:f>IF(COUNTA('01_orders_raw'!A63:J63)&gt;0,IF(LEN('01_orders_raw'!C63&amp;"")=0,"SKIP",IF(COUNTIF('02_clients_raw'!$A$2:$A$67,'01_orders_raw'!C63)&lt;&gt;1,"ERROR","OK")),"")</x:f>
        <x:v>OK</x:v>
      </x:c>
      <x:c r="F63" s="2" t="str">
        <x:f>IF(COUNTA('01_orders_raw'!A63:J63)&gt;0,IF(OR(LEN('01_orders_raw'!G63&amp;"")=0,LEN('01_orders_raw'!H63&amp;"")=0,LEN('01_orders_raw'!I63&amp;"")=0),"SKIP",IF(AND(ISNUMBER('01_orders_raw'!G63),ISNUMBER('01_orders_raw'!H63),ISNUMBER('01_orders_raw'!I63)),IF(OR('01_orders_raw'!G63&lt;=0,MOD('01_orders_raw'!G63,1)&lt;&gt;0,ABS('01_orders_raw'!I63-'01_orders_raw'!G63*'01_orders_raw'!H63)&gt;'09_parameters'!$B$3),"ERROR","OK"),"ERROR")),"")</x:f>
        <x:v>OK</x:v>
      </x:c>
      <x:c r="G63" s="2" t="str">
        <x:f>IF(COUNTA('01_orders_raw'!A63:J63)&gt;0,IF(LEN('01_orders_raw'!H63&amp;"")=0,"SKIP",IF('01_orders_raw'!H63&lt;0,"ERROR","OK")),"")</x:f>
        <x:v>OK</x:v>
      </x:c>
      <x:c r="H63" s="2" t="str">
        <x:f>IF(COUNTA('01_orders_raw'!A63:J63)&gt;0,IF(LEN('01_orders_raw'!B63&amp;"")=0,"SKIP",IF(OR(NOT(ISNUMBER('01_orders_raw'!B63)),'01_orders_raw'!B63&lt;=0,'01_orders_raw'!B63&gt;'09_parameters'!$B$2),"ERROR","OK")),"")</x:f>
        <x:v>OK</x:v>
      </x:c>
      <x:c r="I63" s="2" t="str">
        <x:f>IF(COUNTA('01_orders_raw'!A63:J63)&gt;0,IF(LEN('01_orders_raw'!J63&amp;"")=0,"SKIP",IF(AND('01_orders_raw'!J63&lt;&gt;"Выполнен",'01_orders_raw'!J63&lt;&gt;"В работе",'01_orders_raw'!J63&lt;&gt;"Отменен",'01_orders_raw'!J63&lt;&gt;"Ожидает оплаты"),"ERROR","OK")),"")</x:f>
        <x:v>OK</x:v>
      </x:c>
      <x:c r="J63" s="2" t="n">
        <x:f>COUNTIF(C63:I63,"ERROR")</x:f>
        <x:v>0</x:v>
      </x:c>
      <x:c r="K63" s="2" t="n">
        <x:f>IF(COUNTA('01_orders_raw'!A63:J63)&gt;0,63,"")</x:f>
        <x:v>63</x:v>
      </x:c>
    </x:row>
    <x:row r="64">
      <x:c r="A64" s="2" t="str">
        <x:f>IF(COUNTA('01_orders_raw'!A64:J64)&gt;0,"Order","")</x:f>
        <x:v>Order</x:v>
      </x:c>
      <x:c r="B64" s="2" t="n">
        <x:f>IF(COUNTA('01_orders_raw'!A64:J64)&gt;0,'01_orders_raw'!A64,"")</x:f>
        <x:v>1063</x:v>
      </x:c>
      <x:c r="C64" s="2" t="str">
        <x:f>IF(COUNTA('01_orders_raw'!A64:J64)&gt;0,IF(AND(LEN('01_orders_raw'!A64&amp;"")&gt;0,COUNTIF('01_orders_raw'!$A$2:$A$181,'01_orders_raw'!A64)&gt;1),"ERROR","OK"),"")</x:f>
        <x:v>OK</x:v>
      </x:c>
      <x:c r="D64" s="2" t="str">
        <x:f>IF(COUNTA('01_orders_raw'!A64:J64)&gt;0,IF(OR(LEN('01_orders_raw'!A64&amp;"")=0,LEN('01_orders_raw'!B64&amp;"")=0,LEN('01_orders_raw'!C64&amp;"")=0,LEN('01_orders_raw'!D64&amp;"")=0,LEN('01_orders_raw'!E64&amp;"")=0,LEN('01_orders_raw'!F64&amp;"")=0,LEN('01_orders_raw'!G64&amp;"")=0,LEN('01_orders_raw'!H64&amp;"")=0,LEN('01_orders_raw'!I64&amp;"")=0,LEN('01_orders_raw'!J64&amp;"")=0),"ERROR","OK"),"")</x:f>
        <x:v>OK</x:v>
      </x:c>
      <x:c r="E64" s="2" t="str">
        <x:f>IF(COUNTA('01_orders_raw'!A64:J64)&gt;0,IF(LEN('01_orders_raw'!C64&amp;"")=0,"SKIP",IF(COUNTIF('02_clients_raw'!$A$2:$A$67,'01_orders_raw'!C64)&lt;&gt;1,"ERROR","OK")),"")</x:f>
        <x:v>OK</x:v>
      </x:c>
      <x:c r="F64" s="2" t="str">
        <x:f>IF(COUNTA('01_orders_raw'!A64:J64)&gt;0,IF(OR(LEN('01_orders_raw'!G64&amp;"")=0,LEN('01_orders_raw'!H64&amp;"")=0,LEN('01_orders_raw'!I64&amp;"")=0),"SKIP",IF(AND(ISNUMBER('01_orders_raw'!G64),ISNUMBER('01_orders_raw'!H64),ISNUMBER('01_orders_raw'!I64)),IF(OR('01_orders_raw'!G64&lt;=0,MOD('01_orders_raw'!G64,1)&lt;&gt;0,ABS('01_orders_raw'!I64-'01_orders_raw'!G64*'01_orders_raw'!H64)&gt;'09_parameters'!$B$3),"ERROR","OK"),"ERROR")),"")</x:f>
        <x:v>OK</x:v>
      </x:c>
      <x:c r="G64" s="2" t="str">
        <x:f>IF(COUNTA('01_orders_raw'!A64:J64)&gt;0,IF(LEN('01_orders_raw'!H64&amp;"")=0,"SKIP",IF('01_orders_raw'!H64&lt;0,"ERROR","OK")),"")</x:f>
        <x:v>OK</x:v>
      </x:c>
      <x:c r="H64" s="2" t="str">
        <x:f>IF(COUNTA('01_orders_raw'!A64:J64)&gt;0,IF(LEN('01_orders_raw'!B64&amp;"")=0,"SKIP",IF(OR(NOT(ISNUMBER('01_orders_raw'!B64)),'01_orders_raw'!B64&lt;=0,'01_orders_raw'!B64&gt;'09_parameters'!$B$2),"ERROR","OK")),"")</x:f>
        <x:v>OK</x:v>
      </x:c>
      <x:c r="I64" s="2" t="str">
        <x:f>IF(COUNTA('01_orders_raw'!A64:J64)&gt;0,IF(LEN('01_orders_raw'!J64&amp;"")=0,"SKIP",IF(AND('01_orders_raw'!J64&lt;&gt;"Выполнен",'01_orders_raw'!J64&lt;&gt;"В работе",'01_orders_raw'!J64&lt;&gt;"Отменен",'01_orders_raw'!J64&lt;&gt;"Ожидает оплаты"),"ERROR","OK")),"")</x:f>
        <x:v>OK</x:v>
      </x:c>
      <x:c r="J64" s="2" t="n">
        <x:f>COUNTIF(C64:I64,"ERROR")</x:f>
        <x:v>0</x:v>
      </x:c>
      <x:c r="K64" s="2" t="n">
        <x:f>IF(COUNTA('01_orders_raw'!A64:J64)&gt;0,64,"")</x:f>
        <x:v>64</x:v>
      </x:c>
    </x:row>
    <x:row r="65">
      <x:c r="A65" s="2" t="str">
        <x:f>IF(COUNTA('01_orders_raw'!A65:J65)&gt;0,"Order","")</x:f>
        <x:v>Order</x:v>
      </x:c>
      <x:c r="B65" s="2" t="n">
        <x:f>IF(COUNTA('01_orders_raw'!A65:J65)&gt;0,'01_orders_raw'!A65,"")</x:f>
        <x:v>1064</x:v>
      </x:c>
      <x:c r="C65" s="2" t="str">
        <x:f>IF(COUNTA('01_orders_raw'!A65:J65)&gt;0,IF(AND(LEN('01_orders_raw'!A65&amp;"")&gt;0,COUNTIF('01_orders_raw'!$A$2:$A$181,'01_orders_raw'!A65)&gt;1),"ERROR","OK"),"")</x:f>
        <x:v>OK</x:v>
      </x:c>
      <x:c r="D65" s="2" t="str">
        <x:f>IF(COUNTA('01_orders_raw'!A65:J65)&gt;0,IF(OR(LEN('01_orders_raw'!A65&amp;"")=0,LEN('01_orders_raw'!B65&amp;"")=0,LEN('01_orders_raw'!C65&amp;"")=0,LEN('01_orders_raw'!D65&amp;"")=0,LEN('01_orders_raw'!E65&amp;"")=0,LEN('01_orders_raw'!F65&amp;"")=0,LEN('01_orders_raw'!G65&amp;"")=0,LEN('01_orders_raw'!H65&amp;"")=0,LEN('01_orders_raw'!I65&amp;"")=0,LEN('01_orders_raw'!J65&amp;"")=0),"ERROR","OK"),"")</x:f>
        <x:v>OK</x:v>
      </x:c>
      <x:c r="E65" s="2" t="str">
        <x:f>IF(COUNTA('01_orders_raw'!A65:J65)&gt;0,IF(LEN('01_orders_raw'!C65&amp;"")=0,"SKIP",IF(COUNTIF('02_clients_raw'!$A$2:$A$67,'01_orders_raw'!C65)&lt;&gt;1,"ERROR","OK")),"")</x:f>
        <x:v>OK</x:v>
      </x:c>
      <x:c r="F65" s="2" t="str">
        <x:f>IF(COUNTA('01_orders_raw'!A65:J65)&gt;0,IF(OR(LEN('01_orders_raw'!G65&amp;"")=0,LEN('01_orders_raw'!H65&amp;"")=0,LEN('01_orders_raw'!I65&amp;"")=0),"SKIP",IF(AND(ISNUMBER('01_orders_raw'!G65),ISNUMBER('01_orders_raw'!H65),ISNUMBER('01_orders_raw'!I65)),IF(OR('01_orders_raw'!G65&lt;=0,MOD('01_orders_raw'!G65,1)&lt;&gt;0,ABS('01_orders_raw'!I65-'01_orders_raw'!G65*'01_orders_raw'!H65)&gt;'09_parameters'!$B$3),"ERROR","OK"),"ERROR")),"")</x:f>
        <x:v>OK</x:v>
      </x:c>
      <x:c r="G65" s="2" t="str">
        <x:f>IF(COUNTA('01_orders_raw'!A65:J65)&gt;0,IF(LEN('01_orders_raw'!H65&amp;"")=0,"SKIP",IF('01_orders_raw'!H65&lt;0,"ERROR","OK")),"")</x:f>
        <x:v>OK</x:v>
      </x:c>
      <x:c r="H65" s="2" t="str">
        <x:f>IF(COUNTA('01_orders_raw'!A65:J65)&gt;0,IF(LEN('01_orders_raw'!B65&amp;"")=0,"SKIP",IF(OR(NOT(ISNUMBER('01_orders_raw'!B65)),'01_orders_raw'!B65&lt;=0,'01_orders_raw'!B65&gt;'09_parameters'!$B$2),"ERROR","OK")),"")</x:f>
        <x:v>OK</x:v>
      </x:c>
      <x:c r="I65" s="2" t="str">
        <x:f>IF(COUNTA('01_orders_raw'!A65:J65)&gt;0,IF(LEN('01_orders_raw'!J65&amp;"")=0,"SKIP",IF(AND('01_orders_raw'!J65&lt;&gt;"Выполнен",'01_orders_raw'!J65&lt;&gt;"В работе",'01_orders_raw'!J65&lt;&gt;"Отменен",'01_orders_raw'!J65&lt;&gt;"Ожидает оплаты"),"ERROR","OK")),"")</x:f>
        <x:v>OK</x:v>
      </x:c>
      <x:c r="J65" s="2" t="n">
        <x:f>COUNTIF(C65:I65,"ERROR")</x:f>
        <x:v>0</x:v>
      </x:c>
      <x:c r="K65" s="2" t="n">
        <x:f>IF(COUNTA('01_orders_raw'!A65:J65)&gt;0,65,"")</x:f>
        <x:v>65</x:v>
      </x:c>
    </x:row>
    <x:row r="66">
      <x:c r="A66" s="2" t="str">
        <x:f>IF(COUNTA('01_orders_raw'!A66:J66)&gt;0,"Order","")</x:f>
        <x:v>Order</x:v>
      </x:c>
      <x:c r="B66" s="2" t="n">
        <x:f>IF(COUNTA('01_orders_raw'!A66:J66)&gt;0,'01_orders_raw'!A66,"")</x:f>
        <x:v>1065</x:v>
      </x:c>
      <x:c r="C66" s="2" t="str">
        <x:f>IF(COUNTA('01_orders_raw'!A66:J66)&gt;0,IF(AND(LEN('01_orders_raw'!A66&amp;"")&gt;0,COUNTIF('01_orders_raw'!$A$2:$A$181,'01_orders_raw'!A66)&gt;1),"ERROR","OK"),"")</x:f>
        <x:v>OK</x:v>
      </x:c>
      <x:c r="D66" s="2" t="str">
        <x:f>IF(COUNTA('01_orders_raw'!A66:J66)&gt;0,IF(OR(LEN('01_orders_raw'!A66&amp;"")=0,LEN('01_orders_raw'!B66&amp;"")=0,LEN('01_orders_raw'!C66&amp;"")=0,LEN('01_orders_raw'!D66&amp;"")=0,LEN('01_orders_raw'!E66&amp;"")=0,LEN('01_orders_raw'!F66&amp;"")=0,LEN('01_orders_raw'!G66&amp;"")=0,LEN('01_orders_raw'!H66&amp;"")=0,LEN('01_orders_raw'!I66&amp;"")=0,LEN('01_orders_raw'!J66&amp;"")=0),"ERROR","OK"),"")</x:f>
        <x:v>OK</x:v>
      </x:c>
      <x:c r="E66" s="2" t="str">
        <x:f>IF(COUNTA('01_orders_raw'!A66:J66)&gt;0,IF(LEN('01_orders_raw'!C66&amp;"")=0,"SKIP",IF(COUNTIF('02_clients_raw'!$A$2:$A$67,'01_orders_raw'!C66)&lt;&gt;1,"ERROR","OK")),"")</x:f>
        <x:v>OK</x:v>
      </x:c>
      <x:c r="F66" s="2" t="str">
        <x:f>IF(COUNTA('01_orders_raw'!A66:J66)&gt;0,IF(OR(LEN('01_orders_raw'!G66&amp;"")=0,LEN('01_orders_raw'!H66&amp;"")=0,LEN('01_orders_raw'!I66&amp;"")=0),"SKIP",IF(AND(ISNUMBER('01_orders_raw'!G66),ISNUMBER('01_orders_raw'!H66),ISNUMBER('01_orders_raw'!I66)),IF(OR('01_orders_raw'!G66&lt;=0,MOD('01_orders_raw'!G66,1)&lt;&gt;0,ABS('01_orders_raw'!I66-'01_orders_raw'!G66*'01_orders_raw'!H66)&gt;'09_parameters'!$B$3),"ERROR","OK"),"ERROR")),"")</x:f>
        <x:v>OK</x:v>
      </x:c>
      <x:c r="G66" s="2" t="str">
        <x:f>IF(COUNTA('01_orders_raw'!A66:J66)&gt;0,IF(LEN('01_orders_raw'!H66&amp;"")=0,"SKIP",IF('01_orders_raw'!H66&lt;0,"ERROR","OK")),"")</x:f>
        <x:v>OK</x:v>
      </x:c>
      <x:c r="H66" s="2" t="str">
        <x:f>IF(COUNTA('01_orders_raw'!A66:J66)&gt;0,IF(LEN('01_orders_raw'!B66&amp;"")=0,"SKIP",IF(OR(NOT(ISNUMBER('01_orders_raw'!B66)),'01_orders_raw'!B66&lt;=0,'01_orders_raw'!B66&gt;'09_parameters'!$B$2),"ERROR","OK")),"")</x:f>
        <x:v>OK</x:v>
      </x:c>
      <x:c r="I66" s="2" t="str">
        <x:f>IF(COUNTA('01_orders_raw'!A66:J66)&gt;0,IF(LEN('01_orders_raw'!J66&amp;"")=0,"SKIP",IF(AND('01_orders_raw'!J66&lt;&gt;"Выполнен",'01_orders_raw'!J66&lt;&gt;"В работе",'01_orders_raw'!J66&lt;&gt;"Отменен",'01_orders_raw'!J66&lt;&gt;"Ожидает оплаты"),"ERROR","OK")),"")</x:f>
        <x:v>OK</x:v>
      </x:c>
      <x:c r="J66" s="2" t="n">
        <x:f>COUNTIF(C66:I66,"ERROR")</x:f>
        <x:v>0</x:v>
      </x:c>
      <x:c r="K66" s="2" t="n">
        <x:f>IF(COUNTA('01_orders_raw'!A66:J66)&gt;0,66,"")</x:f>
        <x:v>66</x:v>
      </x:c>
    </x:row>
    <x:row r="67">
      <x:c r="A67" s="2" t="str">
        <x:f>IF(COUNTA('01_orders_raw'!A67:J67)&gt;0,"Order","")</x:f>
        <x:v>Order</x:v>
      </x:c>
      <x:c r="B67" s="2" t="n">
        <x:f>IF(COUNTA('01_orders_raw'!A67:J67)&gt;0,'01_orders_raw'!A67,"")</x:f>
        <x:v>1066</x:v>
      </x:c>
      <x:c r="C67" s="2" t="str">
        <x:f>IF(COUNTA('01_orders_raw'!A67:J67)&gt;0,IF(AND(LEN('01_orders_raw'!A67&amp;"")&gt;0,COUNTIF('01_orders_raw'!$A$2:$A$181,'01_orders_raw'!A67)&gt;1),"ERROR","OK"),"")</x:f>
        <x:v>OK</x:v>
      </x:c>
      <x:c r="D67" s="2" t="str">
        <x:f>IF(COUNTA('01_orders_raw'!A67:J67)&gt;0,IF(OR(LEN('01_orders_raw'!A67&amp;"")=0,LEN('01_orders_raw'!B67&amp;"")=0,LEN('01_orders_raw'!C67&amp;"")=0,LEN('01_orders_raw'!D67&amp;"")=0,LEN('01_orders_raw'!E67&amp;"")=0,LEN('01_orders_raw'!F67&amp;"")=0,LEN('01_orders_raw'!G67&amp;"")=0,LEN('01_orders_raw'!H67&amp;"")=0,LEN('01_orders_raw'!I67&amp;"")=0,LEN('01_orders_raw'!J67&amp;"")=0),"ERROR","OK"),"")</x:f>
        <x:v>OK</x:v>
      </x:c>
      <x:c r="E67" s="2" t="str">
        <x:f>IF(COUNTA('01_orders_raw'!A67:J67)&gt;0,IF(LEN('01_orders_raw'!C67&amp;"")=0,"SKIP",IF(COUNTIF('02_clients_raw'!$A$2:$A$67,'01_orders_raw'!C67)&lt;&gt;1,"ERROR","OK")),"")</x:f>
        <x:v>OK</x:v>
      </x:c>
      <x:c r="F67" s="2" t="str">
        <x:f>IF(COUNTA('01_orders_raw'!A67:J67)&gt;0,IF(OR(LEN('01_orders_raw'!G67&amp;"")=0,LEN('01_orders_raw'!H67&amp;"")=0,LEN('01_orders_raw'!I67&amp;"")=0),"SKIP",IF(AND(ISNUMBER('01_orders_raw'!G67),ISNUMBER('01_orders_raw'!H67),ISNUMBER('01_orders_raw'!I67)),IF(OR('01_orders_raw'!G67&lt;=0,MOD('01_orders_raw'!G67,1)&lt;&gt;0,ABS('01_orders_raw'!I67-'01_orders_raw'!G67*'01_orders_raw'!H67)&gt;'09_parameters'!$B$3),"ERROR","OK"),"ERROR")),"")</x:f>
        <x:v>OK</x:v>
      </x:c>
      <x:c r="G67" s="2" t="str">
        <x:f>IF(COUNTA('01_orders_raw'!A67:J67)&gt;0,IF(LEN('01_orders_raw'!H67&amp;"")=0,"SKIP",IF('01_orders_raw'!H67&lt;0,"ERROR","OK")),"")</x:f>
        <x:v>OK</x:v>
      </x:c>
      <x:c r="H67" s="2" t="str">
        <x:f>IF(COUNTA('01_orders_raw'!A67:J67)&gt;0,IF(LEN('01_orders_raw'!B67&amp;"")=0,"SKIP",IF(OR(NOT(ISNUMBER('01_orders_raw'!B67)),'01_orders_raw'!B67&lt;=0,'01_orders_raw'!B67&gt;'09_parameters'!$B$2),"ERROR","OK")),"")</x:f>
        <x:v>OK</x:v>
      </x:c>
      <x:c r="I67" s="2" t="str">
        <x:f>IF(COUNTA('01_orders_raw'!A67:J67)&gt;0,IF(LEN('01_orders_raw'!J67&amp;"")=0,"SKIP",IF(AND('01_orders_raw'!J67&lt;&gt;"Выполнен",'01_orders_raw'!J67&lt;&gt;"В работе",'01_orders_raw'!J67&lt;&gt;"Отменен",'01_orders_raw'!J67&lt;&gt;"Ожидает оплаты"),"ERROR","OK")),"")</x:f>
        <x:v>OK</x:v>
      </x:c>
      <x:c r="J67" s="2" t="n">
        <x:f>COUNTIF(C67:I67,"ERROR")</x:f>
        <x:v>0</x:v>
      </x:c>
      <x:c r="K67" s="2" t="n">
        <x:f>IF(COUNTA('01_orders_raw'!A67:J67)&gt;0,67,"")</x:f>
        <x:v>67</x:v>
      </x:c>
    </x:row>
    <x:row r="68">
      <x:c r="A68" s="2" t="str">
        <x:f>IF(COUNTA('01_orders_raw'!A68:J68)&gt;0,"Order","")</x:f>
        <x:v>Order</x:v>
      </x:c>
      <x:c r="B68" s="2" t="n">
        <x:f>IF(COUNTA('01_orders_raw'!A68:J68)&gt;0,'01_orders_raw'!A68,"")</x:f>
        <x:v>1067</x:v>
      </x:c>
      <x:c r="C68" s="2" t="str">
        <x:f>IF(COUNTA('01_orders_raw'!A68:J68)&gt;0,IF(AND(LEN('01_orders_raw'!A68&amp;"")&gt;0,COUNTIF('01_orders_raw'!$A$2:$A$181,'01_orders_raw'!A68)&gt;1),"ERROR","OK"),"")</x:f>
        <x:v>OK</x:v>
      </x:c>
      <x:c r="D68" s="2" t="str">
        <x:f>IF(COUNTA('01_orders_raw'!A68:J68)&gt;0,IF(OR(LEN('01_orders_raw'!A68&amp;"")=0,LEN('01_orders_raw'!B68&amp;"")=0,LEN('01_orders_raw'!C68&amp;"")=0,LEN('01_orders_raw'!D68&amp;"")=0,LEN('01_orders_raw'!E68&amp;"")=0,LEN('01_orders_raw'!F68&amp;"")=0,LEN('01_orders_raw'!G68&amp;"")=0,LEN('01_orders_raw'!H68&amp;"")=0,LEN('01_orders_raw'!I68&amp;"")=0,LEN('01_orders_raw'!J68&amp;"")=0),"ERROR","OK"),"")</x:f>
        <x:v>OK</x:v>
      </x:c>
      <x:c r="E68" s="2" t="str">
        <x:f>IF(COUNTA('01_orders_raw'!A68:J68)&gt;0,IF(LEN('01_orders_raw'!C68&amp;"")=0,"SKIP",IF(COUNTIF('02_clients_raw'!$A$2:$A$67,'01_orders_raw'!C68)&lt;&gt;1,"ERROR","OK")),"")</x:f>
        <x:v>ERROR</x:v>
      </x:c>
      <x:c r="F68" s="2" t="str">
        <x:f>IF(COUNTA('01_orders_raw'!A68:J68)&gt;0,IF(OR(LEN('01_orders_raw'!G68&amp;"")=0,LEN('01_orders_raw'!H68&amp;"")=0,LEN('01_orders_raw'!I68&amp;"")=0),"SKIP",IF(AND(ISNUMBER('01_orders_raw'!G68),ISNUMBER('01_orders_raw'!H68),ISNUMBER('01_orders_raw'!I68)),IF(OR('01_orders_raw'!G68&lt;=0,MOD('01_orders_raw'!G68,1)&lt;&gt;0,ABS('01_orders_raw'!I68-'01_orders_raw'!G68*'01_orders_raw'!H68)&gt;'09_parameters'!$B$3),"ERROR","OK"),"ERROR")),"")</x:f>
        <x:v>OK</x:v>
      </x:c>
      <x:c r="G68" s="2" t="str">
        <x:f>IF(COUNTA('01_orders_raw'!A68:J68)&gt;0,IF(LEN('01_orders_raw'!H68&amp;"")=0,"SKIP",IF('01_orders_raw'!H68&lt;0,"ERROR","OK")),"")</x:f>
        <x:v>OK</x:v>
      </x:c>
      <x:c r="H68" s="2" t="str">
        <x:f>IF(COUNTA('01_orders_raw'!A68:J68)&gt;0,IF(LEN('01_orders_raw'!B68&amp;"")=0,"SKIP",IF(OR(NOT(ISNUMBER('01_orders_raw'!B68)),'01_orders_raw'!B68&lt;=0,'01_orders_raw'!B68&gt;'09_parameters'!$B$2),"ERROR","OK")),"")</x:f>
        <x:v>OK</x:v>
      </x:c>
      <x:c r="I68" s="2" t="str">
        <x:f>IF(COUNTA('01_orders_raw'!A68:J68)&gt;0,IF(LEN('01_orders_raw'!J68&amp;"")=0,"SKIP",IF(AND('01_orders_raw'!J68&lt;&gt;"Выполнен",'01_orders_raw'!J68&lt;&gt;"В работе",'01_orders_raw'!J68&lt;&gt;"Отменен",'01_orders_raw'!J68&lt;&gt;"Ожидает оплаты"),"ERROR","OK")),"")</x:f>
        <x:v>OK</x:v>
      </x:c>
      <x:c r="J68" s="2" t="n">
        <x:f>COUNTIF(C68:I68,"ERROR")</x:f>
        <x:v>1</x:v>
      </x:c>
      <x:c r="K68" s="2" t="n">
        <x:f>IF(COUNTA('01_orders_raw'!A68:J68)&gt;0,68,"")</x:f>
        <x:v>68</x:v>
      </x:c>
    </x:row>
    <x:row r="69">
      <x:c r="A69" s="2" t="str">
        <x:f>IF(COUNTA('01_orders_raw'!A69:J69)&gt;0,"Order","")</x:f>
        <x:v>Order</x:v>
      </x:c>
      <x:c r="B69" s="2" t="n">
        <x:f>IF(COUNTA('01_orders_raw'!A69:J69)&gt;0,'01_orders_raw'!A69,"")</x:f>
        <x:v>1068</x:v>
      </x:c>
      <x:c r="C69" s="2" t="str">
        <x:f>IF(COUNTA('01_orders_raw'!A69:J69)&gt;0,IF(AND(LEN('01_orders_raw'!A69&amp;"")&gt;0,COUNTIF('01_orders_raw'!$A$2:$A$181,'01_orders_raw'!A69)&gt;1),"ERROR","OK"),"")</x:f>
        <x:v>OK</x:v>
      </x:c>
      <x:c r="D69" s="2" t="str">
        <x:f>IF(COUNTA('01_orders_raw'!A69:J69)&gt;0,IF(OR(LEN('01_orders_raw'!A69&amp;"")=0,LEN('01_orders_raw'!B69&amp;"")=0,LEN('01_orders_raw'!C69&amp;"")=0,LEN('01_orders_raw'!D69&amp;"")=0,LEN('01_orders_raw'!E69&amp;"")=0,LEN('01_orders_raw'!F69&amp;"")=0,LEN('01_orders_raw'!G69&amp;"")=0,LEN('01_orders_raw'!H69&amp;"")=0,LEN('01_orders_raw'!I69&amp;"")=0,LEN('01_orders_raw'!J69&amp;"")=0),"ERROR","OK"),"")</x:f>
        <x:v>OK</x:v>
      </x:c>
      <x:c r="E69" s="2" t="str">
        <x:f>IF(COUNTA('01_orders_raw'!A69:J69)&gt;0,IF(LEN('01_orders_raw'!C69&amp;"")=0,"SKIP",IF(COUNTIF('02_clients_raw'!$A$2:$A$67,'01_orders_raw'!C69)&lt;&gt;1,"ERROR","OK")),"")</x:f>
        <x:v>OK</x:v>
      </x:c>
      <x:c r="F69" s="2" t="str">
        <x:f>IF(COUNTA('01_orders_raw'!A69:J69)&gt;0,IF(OR(LEN('01_orders_raw'!G69&amp;"")=0,LEN('01_orders_raw'!H69&amp;"")=0,LEN('01_orders_raw'!I69&amp;"")=0),"SKIP",IF(AND(ISNUMBER('01_orders_raw'!G69),ISNUMBER('01_orders_raw'!H69),ISNUMBER('01_orders_raw'!I69)),IF(OR('01_orders_raw'!G69&lt;=0,MOD('01_orders_raw'!G69,1)&lt;&gt;0,ABS('01_orders_raw'!I69-'01_orders_raw'!G69*'01_orders_raw'!H69)&gt;'09_parameters'!$B$3),"ERROR","OK"),"ERROR")),"")</x:f>
        <x:v>OK</x:v>
      </x:c>
      <x:c r="G69" s="2" t="str">
        <x:f>IF(COUNTA('01_orders_raw'!A69:J69)&gt;0,IF(LEN('01_orders_raw'!H69&amp;"")=0,"SKIP",IF('01_orders_raw'!H69&lt;0,"ERROR","OK")),"")</x:f>
        <x:v>OK</x:v>
      </x:c>
      <x:c r="H69" s="2" t="str">
        <x:f>IF(COUNTA('01_orders_raw'!A69:J69)&gt;0,IF(LEN('01_orders_raw'!B69&amp;"")=0,"SKIP",IF(OR(NOT(ISNUMBER('01_orders_raw'!B69)),'01_orders_raw'!B69&lt;=0,'01_orders_raw'!B69&gt;'09_parameters'!$B$2),"ERROR","OK")),"")</x:f>
        <x:v>OK</x:v>
      </x:c>
      <x:c r="I69" s="2" t="str">
        <x:f>IF(COUNTA('01_orders_raw'!A69:J69)&gt;0,IF(LEN('01_orders_raw'!J69&amp;"")=0,"SKIP",IF(AND('01_orders_raw'!J69&lt;&gt;"Выполнен",'01_orders_raw'!J69&lt;&gt;"В работе",'01_orders_raw'!J69&lt;&gt;"Отменен",'01_orders_raw'!J69&lt;&gt;"Ожидает оплаты"),"ERROR","OK")),"")</x:f>
        <x:v>OK</x:v>
      </x:c>
      <x:c r="J69" s="2" t="n">
        <x:f>COUNTIF(C69:I69,"ERROR")</x:f>
        <x:v>0</x:v>
      </x:c>
      <x:c r="K69" s="2" t="n">
        <x:f>IF(COUNTA('01_orders_raw'!A69:J69)&gt;0,69,"")</x:f>
        <x:v>69</x:v>
      </x:c>
    </x:row>
    <x:row r="70">
      <x:c r="A70" s="2" t="str">
        <x:f>IF(COUNTA('01_orders_raw'!A70:J70)&gt;0,"Order","")</x:f>
        <x:v>Order</x:v>
      </x:c>
      <x:c r="B70" s="2" t="n">
        <x:f>IF(COUNTA('01_orders_raw'!A70:J70)&gt;0,'01_orders_raw'!A70,"")</x:f>
        <x:v>1069</x:v>
      </x:c>
      <x:c r="C70" s="2" t="str">
        <x:f>IF(COUNTA('01_orders_raw'!A70:J70)&gt;0,IF(AND(LEN('01_orders_raw'!A70&amp;"")&gt;0,COUNTIF('01_orders_raw'!$A$2:$A$181,'01_orders_raw'!A70)&gt;1),"ERROR","OK"),"")</x:f>
        <x:v>OK</x:v>
      </x:c>
      <x:c r="D70" s="2" t="str">
        <x:f>IF(COUNTA('01_orders_raw'!A70:J70)&gt;0,IF(OR(LEN('01_orders_raw'!A70&amp;"")=0,LEN('01_orders_raw'!B70&amp;"")=0,LEN('01_orders_raw'!C70&amp;"")=0,LEN('01_orders_raw'!D70&amp;"")=0,LEN('01_orders_raw'!E70&amp;"")=0,LEN('01_orders_raw'!F70&amp;"")=0,LEN('01_orders_raw'!G70&amp;"")=0,LEN('01_orders_raw'!H70&amp;"")=0,LEN('01_orders_raw'!I70&amp;"")=0,LEN('01_orders_raw'!J70&amp;"")=0),"ERROR","OK"),"")</x:f>
        <x:v>OK</x:v>
      </x:c>
      <x:c r="E70" s="2" t="str">
        <x:f>IF(COUNTA('01_orders_raw'!A70:J70)&gt;0,IF(LEN('01_orders_raw'!C70&amp;"")=0,"SKIP",IF(COUNTIF('02_clients_raw'!$A$2:$A$67,'01_orders_raw'!C70)&lt;&gt;1,"ERROR","OK")),"")</x:f>
        <x:v>OK</x:v>
      </x:c>
      <x:c r="F70" s="2" t="str">
        <x:f>IF(COUNTA('01_orders_raw'!A70:J70)&gt;0,IF(OR(LEN('01_orders_raw'!G70&amp;"")=0,LEN('01_orders_raw'!H70&amp;"")=0,LEN('01_orders_raw'!I70&amp;"")=0),"SKIP",IF(AND(ISNUMBER('01_orders_raw'!G70),ISNUMBER('01_orders_raw'!H70),ISNUMBER('01_orders_raw'!I70)),IF(OR('01_orders_raw'!G70&lt;=0,MOD('01_orders_raw'!G70,1)&lt;&gt;0,ABS('01_orders_raw'!I70-'01_orders_raw'!G70*'01_orders_raw'!H70)&gt;'09_parameters'!$B$3),"ERROR","OK"),"ERROR")),"")</x:f>
        <x:v>OK</x:v>
      </x:c>
      <x:c r="G70" s="2" t="str">
        <x:f>IF(COUNTA('01_orders_raw'!A70:J70)&gt;0,IF(LEN('01_orders_raw'!H70&amp;"")=0,"SKIP",IF('01_orders_raw'!H70&lt;0,"ERROR","OK")),"")</x:f>
        <x:v>OK</x:v>
      </x:c>
      <x:c r="H70" s="2" t="str">
        <x:f>IF(COUNTA('01_orders_raw'!A70:J70)&gt;0,IF(LEN('01_orders_raw'!B70&amp;"")=0,"SKIP",IF(OR(NOT(ISNUMBER('01_orders_raw'!B70)),'01_orders_raw'!B70&lt;=0,'01_orders_raw'!B70&gt;'09_parameters'!$B$2),"ERROR","OK")),"")</x:f>
        <x:v>OK</x:v>
      </x:c>
      <x:c r="I70" s="2" t="str">
        <x:f>IF(COUNTA('01_orders_raw'!A70:J70)&gt;0,IF(LEN('01_orders_raw'!J70&amp;"")=0,"SKIP",IF(AND('01_orders_raw'!J70&lt;&gt;"Выполнен",'01_orders_raw'!J70&lt;&gt;"В работе",'01_orders_raw'!J70&lt;&gt;"Отменен",'01_orders_raw'!J70&lt;&gt;"Ожидает оплаты"),"ERROR","OK")),"")</x:f>
        <x:v>OK</x:v>
      </x:c>
      <x:c r="J70" s="2" t="n">
        <x:f>COUNTIF(C70:I70,"ERROR")</x:f>
        <x:v>0</x:v>
      </x:c>
      <x:c r="K70" s="2" t="n">
        <x:f>IF(COUNTA('01_orders_raw'!A70:J70)&gt;0,70,"")</x:f>
        <x:v>70</x:v>
      </x:c>
    </x:row>
    <x:row r="71">
      <x:c r="A71" s="2" t="str">
        <x:f>IF(COUNTA('01_orders_raw'!A71:J71)&gt;0,"Order","")</x:f>
        <x:v>Order</x:v>
      </x:c>
      <x:c r="B71" s="2" t="n">
        <x:f>IF(COUNTA('01_orders_raw'!A71:J71)&gt;0,'01_orders_raw'!A71,"")</x:f>
        <x:v>1070</x:v>
      </x:c>
      <x:c r="C71" s="2" t="str">
        <x:f>IF(COUNTA('01_orders_raw'!A71:J71)&gt;0,IF(AND(LEN('01_orders_raw'!A71&amp;"")&gt;0,COUNTIF('01_orders_raw'!$A$2:$A$181,'01_orders_raw'!A71)&gt;1),"ERROR","OK"),"")</x:f>
        <x:v>OK</x:v>
      </x:c>
      <x:c r="D71" s="2" t="str">
        <x:f>IF(COUNTA('01_orders_raw'!A71:J71)&gt;0,IF(OR(LEN('01_orders_raw'!A71&amp;"")=0,LEN('01_orders_raw'!B71&amp;"")=0,LEN('01_orders_raw'!C71&amp;"")=0,LEN('01_orders_raw'!D71&amp;"")=0,LEN('01_orders_raw'!E71&amp;"")=0,LEN('01_orders_raw'!F71&amp;"")=0,LEN('01_orders_raw'!G71&amp;"")=0,LEN('01_orders_raw'!H71&amp;"")=0,LEN('01_orders_raw'!I71&amp;"")=0,LEN('01_orders_raw'!J71&amp;"")=0),"ERROR","OK"),"")</x:f>
        <x:v>OK</x:v>
      </x:c>
      <x:c r="E71" s="2" t="str">
        <x:f>IF(COUNTA('01_orders_raw'!A71:J71)&gt;0,IF(LEN('01_orders_raw'!C71&amp;"")=0,"SKIP",IF(COUNTIF('02_clients_raw'!$A$2:$A$67,'01_orders_raw'!C71)&lt;&gt;1,"ERROR","OK")),"")</x:f>
        <x:v>OK</x:v>
      </x:c>
      <x:c r="F71" s="2" t="str">
        <x:f>IF(COUNTA('01_orders_raw'!A71:J71)&gt;0,IF(OR(LEN('01_orders_raw'!G71&amp;"")=0,LEN('01_orders_raw'!H71&amp;"")=0,LEN('01_orders_raw'!I71&amp;"")=0),"SKIP",IF(AND(ISNUMBER('01_orders_raw'!G71),ISNUMBER('01_orders_raw'!H71),ISNUMBER('01_orders_raw'!I71)),IF(OR('01_orders_raw'!G71&lt;=0,MOD('01_orders_raw'!G71,1)&lt;&gt;0,ABS('01_orders_raw'!I71-'01_orders_raw'!G71*'01_orders_raw'!H71)&gt;'09_parameters'!$B$3),"ERROR","OK"),"ERROR")),"")</x:f>
        <x:v>OK</x:v>
      </x:c>
      <x:c r="G71" s="2" t="str">
        <x:f>IF(COUNTA('01_orders_raw'!A71:J71)&gt;0,IF(LEN('01_orders_raw'!H71&amp;"")=0,"SKIP",IF('01_orders_raw'!H71&lt;0,"ERROR","OK")),"")</x:f>
        <x:v>OK</x:v>
      </x:c>
      <x:c r="H71" s="2" t="str">
        <x:f>IF(COUNTA('01_orders_raw'!A71:J71)&gt;0,IF(LEN('01_orders_raw'!B71&amp;"")=0,"SKIP",IF(OR(NOT(ISNUMBER('01_orders_raw'!B71)),'01_orders_raw'!B71&lt;=0,'01_orders_raw'!B71&gt;'09_parameters'!$B$2),"ERROR","OK")),"")</x:f>
        <x:v>OK</x:v>
      </x:c>
      <x:c r="I71" s="2" t="str">
        <x:f>IF(COUNTA('01_orders_raw'!A71:J71)&gt;0,IF(LEN('01_orders_raw'!J71&amp;"")=0,"SKIP",IF(AND('01_orders_raw'!J71&lt;&gt;"Выполнен",'01_orders_raw'!J71&lt;&gt;"В работе",'01_orders_raw'!J71&lt;&gt;"Отменен",'01_orders_raw'!J71&lt;&gt;"Ожидает оплаты"),"ERROR","OK")),"")</x:f>
        <x:v>OK</x:v>
      </x:c>
      <x:c r="J71" s="2" t="n">
        <x:f>COUNTIF(C71:I71,"ERROR")</x:f>
        <x:v>0</x:v>
      </x:c>
      <x:c r="K71" s="2" t="n">
        <x:f>IF(COUNTA('01_orders_raw'!A71:J71)&gt;0,71,"")</x:f>
        <x:v>71</x:v>
      </x:c>
    </x:row>
    <x:row r="72">
      <x:c r="A72" s="2" t="str">
        <x:f>IF(COUNTA('01_orders_raw'!A72:J72)&gt;0,"Order","")</x:f>
        <x:v>Order</x:v>
      </x:c>
      <x:c r="B72" s="2" t="n">
        <x:f>IF(COUNTA('01_orders_raw'!A72:J72)&gt;0,'01_orders_raw'!A72,"")</x:f>
        <x:v>1071</x:v>
      </x:c>
      <x:c r="C72" s="2" t="str">
        <x:f>IF(COUNTA('01_orders_raw'!A72:J72)&gt;0,IF(AND(LEN('01_orders_raw'!A72&amp;"")&gt;0,COUNTIF('01_orders_raw'!$A$2:$A$181,'01_orders_raw'!A72)&gt;1),"ERROR","OK"),"")</x:f>
        <x:v>OK</x:v>
      </x:c>
      <x:c r="D72" s="2" t="str">
        <x:f>IF(COUNTA('01_orders_raw'!A72:J72)&gt;0,IF(OR(LEN('01_orders_raw'!A72&amp;"")=0,LEN('01_orders_raw'!B72&amp;"")=0,LEN('01_orders_raw'!C72&amp;"")=0,LEN('01_orders_raw'!D72&amp;"")=0,LEN('01_orders_raw'!E72&amp;"")=0,LEN('01_orders_raw'!F72&amp;"")=0,LEN('01_orders_raw'!G72&amp;"")=0,LEN('01_orders_raw'!H72&amp;"")=0,LEN('01_orders_raw'!I72&amp;"")=0,LEN('01_orders_raw'!J72&amp;"")=0),"ERROR","OK"),"")</x:f>
        <x:v>OK</x:v>
      </x:c>
      <x:c r="E72" s="2" t="str">
        <x:f>IF(COUNTA('01_orders_raw'!A72:J72)&gt;0,IF(LEN('01_orders_raw'!C72&amp;"")=0,"SKIP",IF(COUNTIF('02_clients_raw'!$A$2:$A$67,'01_orders_raw'!C72)&lt;&gt;1,"ERROR","OK")),"")</x:f>
        <x:v>OK</x:v>
      </x:c>
      <x:c r="F72" s="2" t="str">
        <x:f>IF(COUNTA('01_orders_raw'!A72:J72)&gt;0,IF(OR(LEN('01_orders_raw'!G72&amp;"")=0,LEN('01_orders_raw'!H72&amp;"")=0,LEN('01_orders_raw'!I72&amp;"")=0),"SKIP",IF(AND(ISNUMBER('01_orders_raw'!G72),ISNUMBER('01_orders_raw'!H72),ISNUMBER('01_orders_raw'!I72)),IF(OR('01_orders_raw'!G72&lt;=0,MOD('01_orders_raw'!G72,1)&lt;&gt;0,ABS('01_orders_raw'!I72-'01_orders_raw'!G72*'01_orders_raw'!H72)&gt;'09_parameters'!$B$3),"ERROR","OK"),"ERROR")),"")</x:f>
        <x:v>OK</x:v>
      </x:c>
      <x:c r="G72" s="2" t="str">
        <x:f>IF(COUNTA('01_orders_raw'!A72:J72)&gt;0,IF(LEN('01_orders_raw'!H72&amp;"")=0,"SKIP",IF('01_orders_raw'!H72&lt;0,"ERROR","OK")),"")</x:f>
        <x:v>OK</x:v>
      </x:c>
      <x:c r="H72" s="2" t="str">
        <x:f>IF(COUNTA('01_orders_raw'!A72:J72)&gt;0,IF(LEN('01_orders_raw'!B72&amp;"")=0,"SKIP",IF(OR(NOT(ISNUMBER('01_orders_raw'!B72)),'01_orders_raw'!B72&lt;=0,'01_orders_raw'!B72&gt;'09_parameters'!$B$2),"ERROR","OK")),"")</x:f>
        <x:v>OK</x:v>
      </x:c>
      <x:c r="I72" s="2" t="str">
        <x:f>IF(COUNTA('01_orders_raw'!A72:J72)&gt;0,IF(LEN('01_orders_raw'!J72&amp;"")=0,"SKIP",IF(AND('01_orders_raw'!J72&lt;&gt;"Выполнен",'01_orders_raw'!J72&lt;&gt;"В работе",'01_orders_raw'!J72&lt;&gt;"Отменен",'01_orders_raw'!J72&lt;&gt;"Ожидает оплаты"),"ERROR","OK")),"")</x:f>
        <x:v>OK</x:v>
      </x:c>
      <x:c r="J72" s="2" t="n">
        <x:f>COUNTIF(C72:I72,"ERROR")</x:f>
        <x:v>0</x:v>
      </x:c>
      <x:c r="K72" s="2" t="n">
        <x:f>IF(COUNTA('01_orders_raw'!A72:J72)&gt;0,72,"")</x:f>
        <x:v>72</x:v>
      </x:c>
    </x:row>
    <x:row r="73">
      <x:c r="A73" s="2" t="str">
        <x:f>IF(COUNTA('01_orders_raw'!A73:J73)&gt;0,"Order","")</x:f>
        <x:v>Order</x:v>
      </x:c>
      <x:c r="B73" s="2" t="n">
        <x:f>IF(COUNTA('01_orders_raw'!A73:J73)&gt;0,'01_orders_raw'!A73,"")</x:f>
        <x:v>1072</x:v>
      </x:c>
      <x:c r="C73" s="2" t="str">
        <x:f>IF(COUNTA('01_orders_raw'!A73:J73)&gt;0,IF(AND(LEN('01_orders_raw'!A73&amp;"")&gt;0,COUNTIF('01_orders_raw'!$A$2:$A$181,'01_orders_raw'!A73)&gt;1),"ERROR","OK"),"")</x:f>
        <x:v>OK</x:v>
      </x:c>
      <x:c r="D73" s="2" t="str">
        <x:f>IF(COUNTA('01_orders_raw'!A73:J73)&gt;0,IF(OR(LEN('01_orders_raw'!A73&amp;"")=0,LEN('01_orders_raw'!B73&amp;"")=0,LEN('01_orders_raw'!C73&amp;"")=0,LEN('01_orders_raw'!D73&amp;"")=0,LEN('01_orders_raw'!E73&amp;"")=0,LEN('01_orders_raw'!F73&amp;"")=0,LEN('01_orders_raw'!G73&amp;"")=0,LEN('01_orders_raw'!H73&amp;"")=0,LEN('01_orders_raw'!I73&amp;"")=0,LEN('01_orders_raw'!J73&amp;"")=0),"ERROR","OK"),"")</x:f>
        <x:v>OK</x:v>
      </x:c>
      <x:c r="E73" s="2" t="str">
        <x:f>IF(COUNTA('01_orders_raw'!A73:J73)&gt;0,IF(LEN('01_orders_raw'!C73&amp;"")=0,"SKIP",IF(COUNTIF('02_clients_raw'!$A$2:$A$67,'01_orders_raw'!C73)&lt;&gt;1,"ERROR","OK")),"")</x:f>
        <x:v>OK</x:v>
      </x:c>
      <x:c r="F73" s="2" t="str">
        <x:f>IF(COUNTA('01_orders_raw'!A73:J73)&gt;0,IF(OR(LEN('01_orders_raw'!G73&amp;"")=0,LEN('01_orders_raw'!H73&amp;"")=0,LEN('01_orders_raw'!I73&amp;"")=0),"SKIP",IF(AND(ISNUMBER('01_orders_raw'!G73),ISNUMBER('01_orders_raw'!H73),ISNUMBER('01_orders_raw'!I73)),IF(OR('01_orders_raw'!G73&lt;=0,MOD('01_orders_raw'!G73,1)&lt;&gt;0,ABS('01_orders_raw'!I73-'01_orders_raw'!G73*'01_orders_raw'!H73)&gt;'09_parameters'!$B$3),"ERROR","OK"),"ERROR")),"")</x:f>
        <x:v>OK</x:v>
      </x:c>
      <x:c r="G73" s="2" t="str">
        <x:f>IF(COUNTA('01_orders_raw'!A73:J73)&gt;0,IF(LEN('01_orders_raw'!H73&amp;"")=0,"SKIP",IF('01_orders_raw'!H73&lt;0,"ERROR","OK")),"")</x:f>
        <x:v>OK</x:v>
      </x:c>
      <x:c r="H73" s="2" t="str">
        <x:f>IF(COUNTA('01_orders_raw'!A73:J73)&gt;0,IF(LEN('01_orders_raw'!B73&amp;"")=0,"SKIP",IF(OR(NOT(ISNUMBER('01_orders_raw'!B73)),'01_orders_raw'!B73&lt;=0,'01_orders_raw'!B73&gt;'09_parameters'!$B$2),"ERROR","OK")),"")</x:f>
        <x:v>OK</x:v>
      </x:c>
      <x:c r="I73" s="2" t="str">
        <x:f>IF(COUNTA('01_orders_raw'!A73:J73)&gt;0,IF(LEN('01_orders_raw'!J73&amp;"")=0,"SKIP",IF(AND('01_orders_raw'!J73&lt;&gt;"Выполнен",'01_orders_raw'!J73&lt;&gt;"В работе",'01_orders_raw'!J73&lt;&gt;"Отменен",'01_orders_raw'!J73&lt;&gt;"Ожидает оплаты"),"ERROR","OK")),"")</x:f>
        <x:v>OK</x:v>
      </x:c>
      <x:c r="J73" s="2" t="n">
        <x:f>COUNTIF(C73:I73,"ERROR")</x:f>
        <x:v>0</x:v>
      </x:c>
      <x:c r="K73" s="2" t="n">
        <x:f>IF(COUNTA('01_orders_raw'!A73:J73)&gt;0,73,"")</x:f>
        <x:v>73</x:v>
      </x:c>
    </x:row>
    <x:row r="74">
      <x:c r="A74" s="2" t="str">
        <x:f>IF(COUNTA('01_orders_raw'!A74:J74)&gt;0,"Order","")</x:f>
        <x:v>Order</x:v>
      </x:c>
      <x:c r="B74" s="2" t="n">
        <x:f>IF(COUNTA('01_orders_raw'!A74:J74)&gt;0,'01_orders_raw'!A74,"")</x:f>
        <x:v>1073</x:v>
      </x:c>
      <x:c r="C74" s="2" t="str">
        <x:f>IF(COUNTA('01_orders_raw'!A74:J74)&gt;0,IF(AND(LEN('01_orders_raw'!A74&amp;"")&gt;0,COUNTIF('01_orders_raw'!$A$2:$A$181,'01_orders_raw'!A74)&gt;1),"ERROR","OK"),"")</x:f>
        <x:v>OK</x:v>
      </x:c>
      <x:c r="D74" s="2" t="str">
        <x:f>IF(COUNTA('01_orders_raw'!A74:J74)&gt;0,IF(OR(LEN('01_orders_raw'!A74&amp;"")=0,LEN('01_orders_raw'!B74&amp;"")=0,LEN('01_orders_raw'!C74&amp;"")=0,LEN('01_orders_raw'!D74&amp;"")=0,LEN('01_orders_raw'!E74&amp;"")=0,LEN('01_orders_raw'!F74&amp;"")=0,LEN('01_orders_raw'!G74&amp;"")=0,LEN('01_orders_raw'!H74&amp;"")=0,LEN('01_orders_raw'!I74&amp;"")=0,LEN('01_orders_raw'!J74&amp;"")=0),"ERROR","OK"),"")</x:f>
        <x:v>OK</x:v>
      </x:c>
      <x:c r="E74" s="2" t="str">
        <x:f>IF(COUNTA('01_orders_raw'!A74:J74)&gt;0,IF(LEN('01_orders_raw'!C74&amp;"")=0,"SKIP",IF(COUNTIF('02_clients_raw'!$A$2:$A$67,'01_orders_raw'!C74)&lt;&gt;1,"ERROR","OK")),"")</x:f>
        <x:v>OK</x:v>
      </x:c>
      <x:c r="F74" s="2" t="str">
        <x:f>IF(COUNTA('01_orders_raw'!A74:J74)&gt;0,IF(OR(LEN('01_orders_raw'!G74&amp;"")=0,LEN('01_orders_raw'!H74&amp;"")=0,LEN('01_orders_raw'!I74&amp;"")=0),"SKIP",IF(AND(ISNUMBER('01_orders_raw'!G74),ISNUMBER('01_orders_raw'!H74),ISNUMBER('01_orders_raw'!I74)),IF(OR('01_orders_raw'!G74&lt;=0,MOD('01_orders_raw'!G74,1)&lt;&gt;0,ABS('01_orders_raw'!I74-'01_orders_raw'!G74*'01_orders_raw'!H74)&gt;'09_parameters'!$B$3),"ERROR","OK"),"ERROR")),"")</x:f>
        <x:v>OK</x:v>
      </x:c>
      <x:c r="G74" s="2" t="str">
        <x:f>IF(COUNTA('01_orders_raw'!A74:J74)&gt;0,IF(LEN('01_orders_raw'!H74&amp;"")=0,"SKIP",IF('01_orders_raw'!H74&lt;0,"ERROR","OK")),"")</x:f>
        <x:v>OK</x:v>
      </x:c>
      <x:c r="H74" s="2" t="str">
        <x:f>IF(COUNTA('01_orders_raw'!A74:J74)&gt;0,IF(LEN('01_orders_raw'!B74&amp;"")=0,"SKIP",IF(OR(NOT(ISNUMBER('01_orders_raw'!B74)),'01_orders_raw'!B74&lt;=0,'01_orders_raw'!B74&gt;'09_parameters'!$B$2),"ERROR","OK")),"")</x:f>
        <x:v>OK</x:v>
      </x:c>
      <x:c r="I74" s="2" t="str">
        <x:f>IF(COUNTA('01_orders_raw'!A74:J74)&gt;0,IF(LEN('01_orders_raw'!J74&amp;"")=0,"SKIP",IF(AND('01_orders_raw'!J74&lt;&gt;"Выполнен",'01_orders_raw'!J74&lt;&gt;"В работе",'01_orders_raw'!J74&lt;&gt;"Отменен",'01_orders_raw'!J74&lt;&gt;"Ожидает оплаты"),"ERROR","OK")),"")</x:f>
        <x:v>OK</x:v>
      </x:c>
      <x:c r="J74" s="2" t="n">
        <x:f>COUNTIF(C74:I74,"ERROR")</x:f>
        <x:v>0</x:v>
      </x:c>
      <x:c r="K74" s="2" t="n">
        <x:f>IF(COUNTA('01_orders_raw'!A74:J74)&gt;0,74,"")</x:f>
        <x:v>74</x:v>
      </x:c>
    </x:row>
    <x:row r="75">
      <x:c r="A75" s="2" t="str">
        <x:f>IF(COUNTA('01_orders_raw'!A75:J75)&gt;0,"Order","")</x:f>
        <x:v>Order</x:v>
      </x:c>
      <x:c r="B75" s="2" t="n">
        <x:f>IF(COUNTA('01_orders_raw'!A75:J75)&gt;0,'01_orders_raw'!A75,"")</x:f>
        <x:v>1074</x:v>
      </x:c>
      <x:c r="C75" s="2" t="str">
        <x:f>IF(COUNTA('01_orders_raw'!A75:J75)&gt;0,IF(AND(LEN('01_orders_raw'!A75&amp;"")&gt;0,COUNTIF('01_orders_raw'!$A$2:$A$181,'01_orders_raw'!A75)&gt;1),"ERROR","OK"),"")</x:f>
        <x:v>OK</x:v>
      </x:c>
      <x:c r="D75" s="2" t="str">
        <x:f>IF(COUNTA('01_orders_raw'!A75:J75)&gt;0,IF(OR(LEN('01_orders_raw'!A75&amp;"")=0,LEN('01_orders_raw'!B75&amp;"")=0,LEN('01_orders_raw'!C75&amp;"")=0,LEN('01_orders_raw'!D75&amp;"")=0,LEN('01_orders_raw'!E75&amp;"")=0,LEN('01_orders_raw'!F75&amp;"")=0,LEN('01_orders_raw'!G75&amp;"")=0,LEN('01_orders_raw'!H75&amp;"")=0,LEN('01_orders_raw'!I75&amp;"")=0,LEN('01_orders_raw'!J75&amp;"")=0),"ERROR","OK"),"")</x:f>
        <x:v>OK</x:v>
      </x:c>
      <x:c r="E75" s="2" t="str">
        <x:f>IF(COUNTA('01_orders_raw'!A75:J75)&gt;0,IF(LEN('01_orders_raw'!C75&amp;"")=0,"SKIP",IF(COUNTIF('02_clients_raw'!$A$2:$A$67,'01_orders_raw'!C75)&lt;&gt;1,"ERROR","OK")),"")</x:f>
        <x:v>OK</x:v>
      </x:c>
      <x:c r="F75" s="2" t="str">
        <x:f>IF(COUNTA('01_orders_raw'!A75:J75)&gt;0,IF(OR(LEN('01_orders_raw'!G75&amp;"")=0,LEN('01_orders_raw'!H75&amp;"")=0,LEN('01_orders_raw'!I75&amp;"")=0),"SKIP",IF(AND(ISNUMBER('01_orders_raw'!G75),ISNUMBER('01_orders_raw'!H75),ISNUMBER('01_orders_raw'!I75)),IF(OR('01_orders_raw'!G75&lt;=0,MOD('01_orders_raw'!G75,1)&lt;&gt;0,ABS('01_orders_raw'!I75-'01_orders_raw'!G75*'01_orders_raw'!H75)&gt;'09_parameters'!$B$3),"ERROR","OK"),"ERROR")),"")</x:f>
        <x:v>OK</x:v>
      </x:c>
      <x:c r="G75" s="2" t="str">
        <x:f>IF(COUNTA('01_orders_raw'!A75:J75)&gt;0,IF(LEN('01_orders_raw'!H75&amp;"")=0,"SKIP",IF('01_orders_raw'!H75&lt;0,"ERROR","OK")),"")</x:f>
        <x:v>OK</x:v>
      </x:c>
      <x:c r="H75" s="2" t="str">
        <x:f>IF(COUNTA('01_orders_raw'!A75:J75)&gt;0,IF(LEN('01_orders_raw'!B75&amp;"")=0,"SKIP",IF(OR(NOT(ISNUMBER('01_orders_raw'!B75)),'01_orders_raw'!B75&lt;=0,'01_orders_raw'!B75&gt;'09_parameters'!$B$2),"ERROR","OK")),"")</x:f>
        <x:v>ERROR</x:v>
      </x:c>
      <x:c r="I75" s="2" t="str">
        <x:f>IF(COUNTA('01_orders_raw'!A75:J75)&gt;0,IF(LEN('01_orders_raw'!J75&amp;"")=0,"SKIP",IF(AND('01_orders_raw'!J75&lt;&gt;"Выполнен",'01_orders_raw'!J75&lt;&gt;"В работе",'01_orders_raw'!J75&lt;&gt;"Отменен",'01_orders_raw'!J75&lt;&gt;"Ожидает оплаты"),"ERROR","OK")),"")</x:f>
        <x:v>OK</x:v>
      </x:c>
      <x:c r="J75" s="2" t="n">
        <x:f>COUNTIF(C75:I75,"ERROR")</x:f>
        <x:v>1</x:v>
      </x:c>
      <x:c r="K75" s="2" t="n">
        <x:f>IF(COUNTA('01_orders_raw'!A75:J75)&gt;0,75,"")</x:f>
        <x:v>75</x:v>
      </x:c>
    </x:row>
    <x:row r="76">
      <x:c r="A76" s="2" t="str">
        <x:f>IF(COUNTA('01_orders_raw'!A76:J76)&gt;0,"Order","")</x:f>
        <x:v>Order</x:v>
      </x:c>
      <x:c r="B76" s="2" t="n">
        <x:f>IF(COUNTA('01_orders_raw'!A76:J76)&gt;0,'01_orders_raw'!A76,"")</x:f>
        <x:v>1075</x:v>
      </x:c>
      <x:c r="C76" s="2" t="str">
        <x:f>IF(COUNTA('01_orders_raw'!A76:J76)&gt;0,IF(AND(LEN('01_orders_raw'!A76&amp;"")&gt;0,COUNTIF('01_orders_raw'!$A$2:$A$181,'01_orders_raw'!A76)&gt;1),"ERROR","OK"),"")</x:f>
        <x:v>OK</x:v>
      </x:c>
      <x:c r="D76" s="2" t="str">
        <x:f>IF(COUNTA('01_orders_raw'!A76:J76)&gt;0,IF(OR(LEN('01_orders_raw'!A76&amp;"")=0,LEN('01_orders_raw'!B76&amp;"")=0,LEN('01_orders_raw'!C76&amp;"")=0,LEN('01_orders_raw'!D76&amp;"")=0,LEN('01_orders_raw'!E76&amp;"")=0,LEN('01_orders_raw'!F76&amp;"")=0,LEN('01_orders_raw'!G76&amp;"")=0,LEN('01_orders_raw'!H76&amp;"")=0,LEN('01_orders_raw'!I76&amp;"")=0,LEN('01_orders_raw'!J76&amp;"")=0),"ERROR","OK"),"")</x:f>
        <x:v>OK</x:v>
      </x:c>
      <x:c r="E76" s="2" t="str">
        <x:f>IF(COUNTA('01_orders_raw'!A76:J76)&gt;0,IF(LEN('01_orders_raw'!C76&amp;"")=0,"SKIP",IF(COUNTIF('02_clients_raw'!$A$2:$A$67,'01_orders_raw'!C76)&lt;&gt;1,"ERROR","OK")),"")</x:f>
        <x:v>OK</x:v>
      </x:c>
      <x:c r="F76" s="2" t="str">
        <x:f>IF(COUNTA('01_orders_raw'!A76:J76)&gt;0,IF(OR(LEN('01_orders_raw'!G76&amp;"")=0,LEN('01_orders_raw'!H76&amp;"")=0,LEN('01_orders_raw'!I76&amp;"")=0),"SKIP",IF(AND(ISNUMBER('01_orders_raw'!G76),ISNUMBER('01_orders_raw'!H76),ISNUMBER('01_orders_raw'!I76)),IF(OR('01_orders_raw'!G76&lt;=0,MOD('01_orders_raw'!G76,1)&lt;&gt;0,ABS('01_orders_raw'!I76-'01_orders_raw'!G76*'01_orders_raw'!H76)&gt;'09_parameters'!$B$3),"ERROR","OK"),"ERROR")),"")</x:f>
        <x:v>OK</x:v>
      </x:c>
      <x:c r="G76" s="2" t="str">
        <x:f>IF(COUNTA('01_orders_raw'!A76:J76)&gt;0,IF(LEN('01_orders_raw'!H76&amp;"")=0,"SKIP",IF('01_orders_raw'!H76&lt;0,"ERROR","OK")),"")</x:f>
        <x:v>OK</x:v>
      </x:c>
      <x:c r="H76" s="2" t="str">
        <x:f>IF(COUNTA('01_orders_raw'!A76:J76)&gt;0,IF(LEN('01_orders_raw'!B76&amp;"")=0,"SKIP",IF(OR(NOT(ISNUMBER('01_orders_raw'!B76)),'01_orders_raw'!B76&lt;=0,'01_orders_raw'!B76&gt;'09_parameters'!$B$2),"ERROR","OK")),"")</x:f>
        <x:v>OK</x:v>
      </x:c>
      <x:c r="I76" s="2" t="str">
        <x:f>IF(COUNTA('01_orders_raw'!A76:J76)&gt;0,IF(LEN('01_orders_raw'!J76&amp;"")=0,"SKIP",IF(AND('01_orders_raw'!J76&lt;&gt;"Выполнен",'01_orders_raw'!J76&lt;&gt;"В работе",'01_orders_raw'!J76&lt;&gt;"Отменен",'01_orders_raw'!J76&lt;&gt;"Ожидает оплаты"),"ERROR","OK")),"")</x:f>
        <x:v>OK</x:v>
      </x:c>
      <x:c r="J76" s="2" t="n">
        <x:f>COUNTIF(C76:I76,"ERROR")</x:f>
        <x:v>0</x:v>
      </x:c>
      <x:c r="K76" s="2" t="n">
        <x:f>IF(COUNTA('01_orders_raw'!A76:J76)&gt;0,76,"")</x:f>
        <x:v>76</x:v>
      </x:c>
    </x:row>
    <x:row r="77">
      <x:c r="A77" s="2" t="str">
        <x:f>IF(COUNTA('01_orders_raw'!A77:J77)&gt;0,"Order","")</x:f>
        <x:v>Order</x:v>
      </x:c>
      <x:c r="B77" s="2" t="n">
        <x:f>IF(COUNTA('01_orders_raw'!A77:J77)&gt;0,'01_orders_raw'!A77,"")</x:f>
        <x:v>1076</x:v>
      </x:c>
      <x:c r="C77" s="2" t="str">
        <x:f>IF(COUNTA('01_orders_raw'!A77:J77)&gt;0,IF(AND(LEN('01_orders_raw'!A77&amp;"")&gt;0,COUNTIF('01_orders_raw'!$A$2:$A$181,'01_orders_raw'!A77)&gt;1),"ERROR","OK"),"")</x:f>
        <x:v>OK</x:v>
      </x:c>
      <x:c r="D77" s="2" t="str">
        <x:f>IF(COUNTA('01_orders_raw'!A77:J77)&gt;0,IF(OR(LEN('01_orders_raw'!A77&amp;"")=0,LEN('01_orders_raw'!B77&amp;"")=0,LEN('01_orders_raw'!C77&amp;"")=0,LEN('01_orders_raw'!D77&amp;"")=0,LEN('01_orders_raw'!E77&amp;"")=0,LEN('01_orders_raw'!F77&amp;"")=0,LEN('01_orders_raw'!G77&amp;"")=0,LEN('01_orders_raw'!H77&amp;"")=0,LEN('01_orders_raw'!I77&amp;"")=0,LEN('01_orders_raw'!J77&amp;"")=0),"ERROR","OK"),"")</x:f>
        <x:v>OK</x:v>
      </x:c>
      <x:c r="E77" s="2" t="str">
        <x:f>IF(COUNTA('01_orders_raw'!A77:J77)&gt;0,IF(LEN('01_orders_raw'!C77&amp;"")=0,"SKIP",IF(COUNTIF('02_clients_raw'!$A$2:$A$67,'01_orders_raw'!C77)&lt;&gt;1,"ERROR","OK")),"")</x:f>
        <x:v>OK</x:v>
      </x:c>
      <x:c r="F77" s="2" t="str">
        <x:f>IF(COUNTA('01_orders_raw'!A77:J77)&gt;0,IF(OR(LEN('01_orders_raw'!G77&amp;"")=0,LEN('01_orders_raw'!H77&amp;"")=0,LEN('01_orders_raw'!I77&amp;"")=0),"SKIP",IF(AND(ISNUMBER('01_orders_raw'!G77),ISNUMBER('01_orders_raw'!H77),ISNUMBER('01_orders_raw'!I77)),IF(OR('01_orders_raw'!G77&lt;=0,MOD('01_orders_raw'!G77,1)&lt;&gt;0,ABS('01_orders_raw'!I77-'01_orders_raw'!G77*'01_orders_raw'!H77)&gt;'09_parameters'!$B$3),"ERROR","OK"),"ERROR")),"")</x:f>
        <x:v>OK</x:v>
      </x:c>
      <x:c r="G77" s="2" t="str">
        <x:f>IF(COUNTA('01_orders_raw'!A77:J77)&gt;0,IF(LEN('01_orders_raw'!H77&amp;"")=0,"SKIP",IF('01_orders_raw'!H77&lt;0,"ERROR","OK")),"")</x:f>
        <x:v>OK</x:v>
      </x:c>
      <x:c r="H77" s="2" t="str">
        <x:f>IF(COUNTA('01_orders_raw'!A77:J77)&gt;0,IF(LEN('01_orders_raw'!B77&amp;"")=0,"SKIP",IF(OR(NOT(ISNUMBER('01_orders_raw'!B77)),'01_orders_raw'!B77&lt;=0,'01_orders_raw'!B77&gt;'09_parameters'!$B$2),"ERROR","OK")),"")</x:f>
        <x:v>OK</x:v>
      </x:c>
      <x:c r="I77" s="2" t="str">
        <x:f>IF(COUNTA('01_orders_raw'!A77:J77)&gt;0,IF(LEN('01_orders_raw'!J77&amp;"")=0,"SKIP",IF(AND('01_orders_raw'!J77&lt;&gt;"Выполнен",'01_orders_raw'!J77&lt;&gt;"В работе",'01_orders_raw'!J77&lt;&gt;"Отменен",'01_orders_raw'!J77&lt;&gt;"Ожидает оплаты"),"ERROR","OK")),"")</x:f>
        <x:v>OK</x:v>
      </x:c>
      <x:c r="J77" s="2" t="n">
        <x:f>COUNTIF(C77:I77,"ERROR")</x:f>
        <x:v>0</x:v>
      </x:c>
      <x:c r="K77" s="2" t="n">
        <x:f>IF(COUNTA('01_orders_raw'!A77:J77)&gt;0,77,"")</x:f>
        <x:v>77</x:v>
      </x:c>
    </x:row>
    <x:row r="78">
      <x:c r="A78" s="2" t="str">
        <x:f>IF(COUNTA('01_orders_raw'!A78:J78)&gt;0,"Order","")</x:f>
        <x:v>Order</x:v>
      </x:c>
      <x:c r="B78" s="2" t="n">
        <x:f>IF(COUNTA('01_orders_raw'!A78:J78)&gt;0,'01_orders_raw'!A78,"")</x:f>
        <x:v>1077</x:v>
      </x:c>
      <x:c r="C78" s="2" t="str">
        <x:f>IF(COUNTA('01_orders_raw'!A78:J78)&gt;0,IF(AND(LEN('01_orders_raw'!A78&amp;"")&gt;0,COUNTIF('01_orders_raw'!$A$2:$A$181,'01_orders_raw'!A78)&gt;1),"ERROR","OK"),"")</x:f>
        <x:v>OK</x:v>
      </x:c>
      <x:c r="D78" s="2" t="str">
        <x:f>IF(COUNTA('01_orders_raw'!A78:J78)&gt;0,IF(OR(LEN('01_orders_raw'!A78&amp;"")=0,LEN('01_orders_raw'!B78&amp;"")=0,LEN('01_orders_raw'!C78&amp;"")=0,LEN('01_orders_raw'!D78&amp;"")=0,LEN('01_orders_raw'!E78&amp;"")=0,LEN('01_orders_raw'!F78&amp;"")=0,LEN('01_orders_raw'!G78&amp;"")=0,LEN('01_orders_raw'!H78&amp;"")=0,LEN('01_orders_raw'!I78&amp;"")=0,LEN('01_orders_raw'!J78&amp;"")=0),"ERROR","OK"),"")</x:f>
        <x:v>OK</x:v>
      </x:c>
      <x:c r="E78" s="2" t="str">
        <x:f>IF(COUNTA('01_orders_raw'!A78:J78)&gt;0,IF(LEN('01_orders_raw'!C78&amp;"")=0,"SKIP",IF(COUNTIF('02_clients_raw'!$A$2:$A$67,'01_orders_raw'!C78)&lt;&gt;1,"ERROR","OK")),"")</x:f>
        <x:v>OK</x:v>
      </x:c>
      <x:c r="F78" s="2" t="str">
        <x:f>IF(COUNTA('01_orders_raw'!A78:J78)&gt;0,IF(OR(LEN('01_orders_raw'!G78&amp;"")=0,LEN('01_orders_raw'!H78&amp;"")=0,LEN('01_orders_raw'!I78&amp;"")=0),"SKIP",IF(AND(ISNUMBER('01_orders_raw'!G78),ISNUMBER('01_orders_raw'!H78),ISNUMBER('01_orders_raw'!I78)),IF(OR('01_orders_raw'!G78&lt;=0,MOD('01_orders_raw'!G78,1)&lt;&gt;0,ABS('01_orders_raw'!I78-'01_orders_raw'!G78*'01_orders_raw'!H78)&gt;'09_parameters'!$B$3),"ERROR","OK"),"ERROR")),"")</x:f>
        <x:v>OK</x:v>
      </x:c>
      <x:c r="G78" s="2" t="str">
        <x:f>IF(COUNTA('01_orders_raw'!A78:J78)&gt;0,IF(LEN('01_orders_raw'!H78&amp;"")=0,"SKIP",IF('01_orders_raw'!H78&lt;0,"ERROR","OK")),"")</x:f>
        <x:v>OK</x:v>
      </x:c>
      <x:c r="H78" s="2" t="str">
        <x:f>IF(COUNTA('01_orders_raw'!A78:J78)&gt;0,IF(LEN('01_orders_raw'!B78&amp;"")=0,"SKIP",IF(OR(NOT(ISNUMBER('01_orders_raw'!B78)),'01_orders_raw'!B78&lt;=0,'01_orders_raw'!B78&gt;'09_parameters'!$B$2),"ERROR","OK")),"")</x:f>
        <x:v>OK</x:v>
      </x:c>
      <x:c r="I78" s="2" t="str">
        <x:f>IF(COUNTA('01_orders_raw'!A78:J78)&gt;0,IF(LEN('01_orders_raw'!J78&amp;"")=0,"SKIP",IF(AND('01_orders_raw'!J78&lt;&gt;"Выполнен",'01_orders_raw'!J78&lt;&gt;"В работе",'01_orders_raw'!J78&lt;&gt;"Отменен",'01_orders_raw'!J78&lt;&gt;"Ожидает оплаты"),"ERROR","OK")),"")</x:f>
        <x:v>OK</x:v>
      </x:c>
      <x:c r="J78" s="2" t="n">
        <x:f>COUNTIF(C78:I78,"ERROR")</x:f>
        <x:v>0</x:v>
      </x:c>
      <x:c r="K78" s="2" t="n">
        <x:f>IF(COUNTA('01_orders_raw'!A78:J78)&gt;0,78,"")</x:f>
        <x:v>78</x:v>
      </x:c>
    </x:row>
    <x:row r="79">
      <x:c r="A79" s="2" t="str">
        <x:f>IF(COUNTA('01_orders_raw'!A79:J79)&gt;0,"Order","")</x:f>
        <x:v>Order</x:v>
      </x:c>
      <x:c r="B79" s="2" t="n">
        <x:f>IF(COUNTA('01_orders_raw'!A79:J79)&gt;0,'01_orders_raw'!A79,"")</x:f>
        <x:v>1078</x:v>
      </x:c>
      <x:c r="C79" s="2" t="str">
        <x:f>IF(COUNTA('01_orders_raw'!A79:J79)&gt;0,IF(AND(LEN('01_orders_raw'!A79&amp;"")&gt;0,COUNTIF('01_orders_raw'!$A$2:$A$181,'01_orders_raw'!A79)&gt;1),"ERROR","OK"),"")</x:f>
        <x:v>OK</x:v>
      </x:c>
      <x:c r="D79" s="2" t="str">
        <x:f>IF(COUNTA('01_orders_raw'!A79:J79)&gt;0,IF(OR(LEN('01_orders_raw'!A79&amp;"")=0,LEN('01_orders_raw'!B79&amp;"")=0,LEN('01_orders_raw'!C79&amp;"")=0,LEN('01_orders_raw'!D79&amp;"")=0,LEN('01_orders_raw'!E79&amp;"")=0,LEN('01_orders_raw'!F79&amp;"")=0,LEN('01_orders_raw'!G79&amp;"")=0,LEN('01_orders_raw'!H79&amp;"")=0,LEN('01_orders_raw'!I79&amp;"")=0,LEN('01_orders_raw'!J79&amp;"")=0),"ERROR","OK"),"")</x:f>
        <x:v>OK</x:v>
      </x:c>
      <x:c r="E79" s="2" t="str">
        <x:f>IF(COUNTA('01_orders_raw'!A79:J79)&gt;0,IF(LEN('01_orders_raw'!C79&amp;"")=0,"SKIP",IF(COUNTIF('02_clients_raw'!$A$2:$A$67,'01_orders_raw'!C79)&lt;&gt;1,"ERROR","OK")),"")</x:f>
        <x:v>OK</x:v>
      </x:c>
      <x:c r="F79" s="2" t="str">
        <x:f>IF(COUNTA('01_orders_raw'!A79:J79)&gt;0,IF(OR(LEN('01_orders_raw'!G79&amp;"")=0,LEN('01_orders_raw'!H79&amp;"")=0,LEN('01_orders_raw'!I79&amp;"")=0),"SKIP",IF(AND(ISNUMBER('01_orders_raw'!G79),ISNUMBER('01_orders_raw'!H79),ISNUMBER('01_orders_raw'!I79)),IF(OR('01_orders_raw'!G79&lt;=0,MOD('01_orders_raw'!G79,1)&lt;&gt;0,ABS('01_orders_raw'!I79-'01_orders_raw'!G79*'01_orders_raw'!H79)&gt;'09_parameters'!$B$3),"ERROR","OK"),"ERROR")),"")</x:f>
        <x:v>OK</x:v>
      </x:c>
      <x:c r="G79" s="2" t="str">
        <x:f>IF(COUNTA('01_orders_raw'!A79:J79)&gt;0,IF(LEN('01_orders_raw'!H79&amp;"")=0,"SKIP",IF('01_orders_raw'!H79&lt;0,"ERROR","OK")),"")</x:f>
        <x:v>OK</x:v>
      </x:c>
      <x:c r="H79" s="2" t="str">
        <x:f>IF(COUNTA('01_orders_raw'!A79:J79)&gt;0,IF(LEN('01_orders_raw'!B79&amp;"")=0,"SKIP",IF(OR(NOT(ISNUMBER('01_orders_raw'!B79)),'01_orders_raw'!B79&lt;=0,'01_orders_raw'!B79&gt;'09_parameters'!$B$2),"ERROR","OK")),"")</x:f>
        <x:v>OK</x:v>
      </x:c>
      <x:c r="I79" s="2" t="str">
        <x:f>IF(COUNTA('01_orders_raw'!A79:J79)&gt;0,IF(LEN('01_orders_raw'!J79&amp;"")=0,"SKIP",IF(AND('01_orders_raw'!J79&lt;&gt;"Выполнен",'01_orders_raw'!J79&lt;&gt;"В работе",'01_orders_raw'!J79&lt;&gt;"Отменен",'01_orders_raw'!J79&lt;&gt;"Ожидает оплаты"),"ERROR","OK")),"")</x:f>
        <x:v>OK</x:v>
      </x:c>
      <x:c r="J79" s="2" t="n">
        <x:f>COUNTIF(C79:I79,"ERROR")</x:f>
        <x:v>0</x:v>
      </x:c>
      <x:c r="K79" s="2" t="n">
        <x:f>IF(COUNTA('01_orders_raw'!A79:J79)&gt;0,79,"")</x:f>
        <x:v>79</x:v>
      </x:c>
    </x:row>
    <x:row r="80">
      <x:c r="A80" s="2" t="str">
        <x:f>IF(COUNTA('01_orders_raw'!A80:J80)&gt;0,"Order","")</x:f>
        <x:v>Order</x:v>
      </x:c>
      <x:c r="B80" s="2" t="n">
        <x:f>IF(COUNTA('01_orders_raw'!A80:J80)&gt;0,'01_orders_raw'!A80,"")</x:f>
        <x:v>1079</x:v>
      </x:c>
      <x:c r="C80" s="2" t="str">
        <x:f>IF(COUNTA('01_orders_raw'!A80:J80)&gt;0,IF(AND(LEN('01_orders_raw'!A80&amp;"")&gt;0,COUNTIF('01_orders_raw'!$A$2:$A$181,'01_orders_raw'!A80)&gt;1),"ERROR","OK"),"")</x:f>
        <x:v>OK</x:v>
      </x:c>
      <x:c r="D80" s="2" t="str">
        <x:f>IF(COUNTA('01_orders_raw'!A80:J80)&gt;0,IF(OR(LEN('01_orders_raw'!A80&amp;"")=0,LEN('01_orders_raw'!B80&amp;"")=0,LEN('01_orders_raw'!C80&amp;"")=0,LEN('01_orders_raw'!D80&amp;"")=0,LEN('01_orders_raw'!E80&amp;"")=0,LEN('01_orders_raw'!F80&amp;"")=0,LEN('01_orders_raw'!G80&amp;"")=0,LEN('01_orders_raw'!H80&amp;"")=0,LEN('01_orders_raw'!I80&amp;"")=0,LEN('01_orders_raw'!J80&amp;"")=0),"ERROR","OK"),"")</x:f>
        <x:v>OK</x:v>
      </x:c>
      <x:c r="E80" s="2" t="str">
        <x:f>IF(COUNTA('01_orders_raw'!A80:J80)&gt;0,IF(LEN('01_orders_raw'!C80&amp;"")=0,"SKIP",IF(COUNTIF('02_clients_raw'!$A$2:$A$67,'01_orders_raw'!C80)&lt;&gt;1,"ERROR","OK")),"")</x:f>
        <x:v>OK</x:v>
      </x:c>
      <x:c r="F80" s="2" t="str">
        <x:f>IF(COUNTA('01_orders_raw'!A80:J80)&gt;0,IF(OR(LEN('01_orders_raw'!G80&amp;"")=0,LEN('01_orders_raw'!H80&amp;"")=0,LEN('01_orders_raw'!I80&amp;"")=0),"SKIP",IF(AND(ISNUMBER('01_orders_raw'!G80),ISNUMBER('01_orders_raw'!H80),ISNUMBER('01_orders_raw'!I80)),IF(OR('01_orders_raw'!G80&lt;=0,MOD('01_orders_raw'!G80,1)&lt;&gt;0,ABS('01_orders_raw'!I80-'01_orders_raw'!G80*'01_orders_raw'!H80)&gt;'09_parameters'!$B$3),"ERROR","OK"),"ERROR")),"")</x:f>
        <x:v>OK</x:v>
      </x:c>
      <x:c r="G80" s="2" t="str">
        <x:f>IF(COUNTA('01_orders_raw'!A80:J80)&gt;0,IF(LEN('01_orders_raw'!H80&amp;"")=0,"SKIP",IF('01_orders_raw'!H80&lt;0,"ERROR","OK")),"")</x:f>
        <x:v>OK</x:v>
      </x:c>
      <x:c r="H80" s="2" t="str">
        <x:f>IF(COUNTA('01_orders_raw'!A80:J80)&gt;0,IF(LEN('01_orders_raw'!B80&amp;"")=0,"SKIP",IF(OR(NOT(ISNUMBER('01_orders_raw'!B80)),'01_orders_raw'!B80&lt;=0,'01_orders_raw'!B80&gt;'09_parameters'!$B$2),"ERROR","OK")),"")</x:f>
        <x:v>OK</x:v>
      </x:c>
      <x:c r="I80" s="2" t="str">
        <x:f>IF(COUNTA('01_orders_raw'!A80:J80)&gt;0,IF(LEN('01_orders_raw'!J80&amp;"")=0,"SKIP",IF(AND('01_orders_raw'!J80&lt;&gt;"Выполнен",'01_orders_raw'!J80&lt;&gt;"В работе",'01_orders_raw'!J80&lt;&gt;"Отменен",'01_orders_raw'!J80&lt;&gt;"Ожидает оплаты"),"ERROR","OK")),"")</x:f>
        <x:v>OK</x:v>
      </x:c>
      <x:c r="J80" s="2" t="n">
        <x:f>COUNTIF(C80:I80,"ERROR")</x:f>
        <x:v>0</x:v>
      </x:c>
      <x:c r="K80" s="2" t="n">
        <x:f>IF(COUNTA('01_orders_raw'!A80:J80)&gt;0,80,"")</x:f>
        <x:v>80</x:v>
      </x:c>
    </x:row>
    <x:row r="81">
      <x:c r="A81" s="2" t="str">
        <x:f>IF(COUNTA('01_orders_raw'!A81:J81)&gt;0,"Order","")</x:f>
        <x:v>Order</x:v>
      </x:c>
      <x:c r="B81" s="2" t="n">
        <x:f>IF(COUNTA('01_orders_raw'!A81:J81)&gt;0,'01_orders_raw'!A81,"")</x:f>
        <x:v>1080</x:v>
      </x:c>
      <x:c r="C81" s="2" t="str">
        <x:f>IF(COUNTA('01_orders_raw'!A81:J81)&gt;0,IF(AND(LEN('01_orders_raw'!A81&amp;"")&gt;0,COUNTIF('01_orders_raw'!$A$2:$A$181,'01_orders_raw'!A81)&gt;1),"ERROR","OK"),"")</x:f>
        <x:v>OK</x:v>
      </x:c>
      <x:c r="D81" s="2" t="str">
        <x:f>IF(COUNTA('01_orders_raw'!A81:J81)&gt;0,IF(OR(LEN('01_orders_raw'!A81&amp;"")=0,LEN('01_orders_raw'!B81&amp;"")=0,LEN('01_orders_raw'!C81&amp;"")=0,LEN('01_orders_raw'!D81&amp;"")=0,LEN('01_orders_raw'!E81&amp;"")=0,LEN('01_orders_raw'!F81&amp;"")=0,LEN('01_orders_raw'!G81&amp;"")=0,LEN('01_orders_raw'!H81&amp;"")=0,LEN('01_orders_raw'!I81&amp;"")=0,LEN('01_orders_raw'!J81&amp;"")=0),"ERROR","OK"),"")</x:f>
        <x:v>OK</x:v>
      </x:c>
      <x:c r="E81" s="2" t="str">
        <x:f>IF(COUNTA('01_orders_raw'!A81:J81)&gt;0,IF(LEN('01_orders_raw'!C81&amp;"")=0,"SKIP",IF(COUNTIF('02_clients_raw'!$A$2:$A$67,'01_orders_raw'!C81)&lt;&gt;1,"ERROR","OK")),"")</x:f>
        <x:v>OK</x:v>
      </x:c>
      <x:c r="F81" s="2" t="str">
        <x:f>IF(COUNTA('01_orders_raw'!A81:J81)&gt;0,IF(OR(LEN('01_orders_raw'!G81&amp;"")=0,LEN('01_orders_raw'!H81&amp;"")=0,LEN('01_orders_raw'!I81&amp;"")=0),"SKIP",IF(AND(ISNUMBER('01_orders_raw'!G81),ISNUMBER('01_orders_raw'!H81),ISNUMBER('01_orders_raw'!I81)),IF(OR('01_orders_raw'!G81&lt;=0,MOD('01_orders_raw'!G81,1)&lt;&gt;0,ABS('01_orders_raw'!I81-'01_orders_raw'!G81*'01_orders_raw'!H81)&gt;'09_parameters'!$B$3),"ERROR","OK"),"ERROR")),"")</x:f>
        <x:v>OK</x:v>
      </x:c>
      <x:c r="G81" s="2" t="str">
        <x:f>IF(COUNTA('01_orders_raw'!A81:J81)&gt;0,IF(LEN('01_orders_raw'!H81&amp;"")=0,"SKIP",IF('01_orders_raw'!H81&lt;0,"ERROR","OK")),"")</x:f>
        <x:v>OK</x:v>
      </x:c>
      <x:c r="H81" s="2" t="str">
        <x:f>IF(COUNTA('01_orders_raw'!A81:J81)&gt;0,IF(LEN('01_orders_raw'!B81&amp;"")=0,"SKIP",IF(OR(NOT(ISNUMBER('01_orders_raw'!B81)),'01_orders_raw'!B81&lt;=0,'01_orders_raw'!B81&gt;'09_parameters'!$B$2),"ERROR","OK")),"")</x:f>
        <x:v>OK</x:v>
      </x:c>
      <x:c r="I81" s="2" t="str">
        <x:f>IF(COUNTA('01_orders_raw'!A81:J81)&gt;0,IF(LEN('01_orders_raw'!J81&amp;"")=0,"SKIP",IF(AND('01_orders_raw'!J81&lt;&gt;"Выполнен",'01_orders_raw'!J81&lt;&gt;"В работе",'01_orders_raw'!J81&lt;&gt;"Отменен",'01_orders_raw'!J81&lt;&gt;"Ожидает оплаты"),"ERROR","OK")),"")</x:f>
        <x:v>OK</x:v>
      </x:c>
      <x:c r="J81" s="2" t="n">
        <x:f>COUNTIF(C81:I81,"ERROR")</x:f>
        <x:v>0</x:v>
      </x:c>
      <x:c r="K81" s="2" t="n">
        <x:f>IF(COUNTA('01_orders_raw'!A81:J81)&gt;0,81,"")</x:f>
        <x:v>81</x:v>
      </x:c>
    </x:row>
    <x:row r="82">
      <x:c r="A82" s="2" t="str">
        <x:f>IF(COUNTA('01_orders_raw'!A82:J82)&gt;0,"Order","")</x:f>
        <x:v>Order</x:v>
      </x:c>
      <x:c r="B82" s="2" t="n">
        <x:f>IF(COUNTA('01_orders_raw'!A82:J82)&gt;0,'01_orders_raw'!A82,"")</x:f>
        <x:v>1081</x:v>
      </x:c>
      <x:c r="C82" s="2" t="str">
        <x:f>IF(COUNTA('01_orders_raw'!A82:J82)&gt;0,IF(AND(LEN('01_orders_raw'!A82&amp;"")&gt;0,COUNTIF('01_orders_raw'!$A$2:$A$181,'01_orders_raw'!A82)&gt;1),"ERROR","OK"),"")</x:f>
        <x:v>OK</x:v>
      </x:c>
      <x:c r="D82" s="2" t="str">
        <x:f>IF(COUNTA('01_orders_raw'!A82:J82)&gt;0,IF(OR(LEN('01_orders_raw'!A82&amp;"")=0,LEN('01_orders_raw'!B82&amp;"")=0,LEN('01_orders_raw'!C82&amp;"")=0,LEN('01_orders_raw'!D82&amp;"")=0,LEN('01_orders_raw'!E82&amp;"")=0,LEN('01_orders_raw'!F82&amp;"")=0,LEN('01_orders_raw'!G82&amp;"")=0,LEN('01_orders_raw'!H82&amp;"")=0,LEN('01_orders_raw'!I82&amp;"")=0,LEN('01_orders_raw'!J82&amp;"")=0),"ERROR","OK"),"")</x:f>
        <x:v>OK</x:v>
      </x:c>
      <x:c r="E82" s="2" t="str">
        <x:f>IF(COUNTA('01_orders_raw'!A82:J82)&gt;0,IF(LEN('01_orders_raw'!C82&amp;"")=0,"SKIP",IF(COUNTIF('02_clients_raw'!$A$2:$A$67,'01_orders_raw'!C82)&lt;&gt;1,"ERROR","OK")),"")</x:f>
        <x:v>OK</x:v>
      </x:c>
      <x:c r="F82" s="2" t="str">
        <x:f>IF(COUNTA('01_orders_raw'!A82:J82)&gt;0,IF(OR(LEN('01_orders_raw'!G82&amp;"")=0,LEN('01_orders_raw'!H82&amp;"")=0,LEN('01_orders_raw'!I82&amp;"")=0),"SKIP",IF(AND(ISNUMBER('01_orders_raw'!G82),ISNUMBER('01_orders_raw'!H82),ISNUMBER('01_orders_raw'!I82)),IF(OR('01_orders_raw'!G82&lt;=0,MOD('01_orders_raw'!G82,1)&lt;&gt;0,ABS('01_orders_raw'!I82-'01_orders_raw'!G82*'01_orders_raw'!H82)&gt;'09_parameters'!$B$3),"ERROR","OK"),"ERROR")),"")</x:f>
        <x:v>OK</x:v>
      </x:c>
      <x:c r="G82" s="2" t="str">
        <x:f>IF(COUNTA('01_orders_raw'!A82:J82)&gt;0,IF(LEN('01_orders_raw'!H82&amp;"")=0,"SKIP",IF('01_orders_raw'!H82&lt;0,"ERROR","OK")),"")</x:f>
        <x:v>OK</x:v>
      </x:c>
      <x:c r="H82" s="2" t="str">
        <x:f>IF(COUNTA('01_orders_raw'!A82:J82)&gt;0,IF(LEN('01_orders_raw'!B82&amp;"")=0,"SKIP",IF(OR(NOT(ISNUMBER('01_orders_raw'!B82)),'01_orders_raw'!B82&lt;=0,'01_orders_raw'!B82&gt;'09_parameters'!$B$2),"ERROR","OK")),"")</x:f>
        <x:v>OK</x:v>
      </x:c>
      <x:c r="I82" s="2" t="str">
        <x:f>IF(COUNTA('01_orders_raw'!A82:J82)&gt;0,IF(LEN('01_orders_raw'!J82&amp;"")=0,"SKIP",IF(AND('01_orders_raw'!J82&lt;&gt;"Выполнен",'01_orders_raw'!J82&lt;&gt;"В работе",'01_orders_raw'!J82&lt;&gt;"Отменен",'01_orders_raw'!J82&lt;&gt;"Ожидает оплаты"),"ERROR","OK")),"")</x:f>
        <x:v>OK</x:v>
      </x:c>
      <x:c r="J82" s="2" t="n">
        <x:f>COUNTIF(C82:I82,"ERROR")</x:f>
        <x:v>0</x:v>
      </x:c>
      <x:c r="K82" s="2" t="n">
        <x:f>IF(COUNTA('01_orders_raw'!A82:J82)&gt;0,82,"")</x:f>
        <x:v>82</x:v>
      </x:c>
    </x:row>
    <x:row r="83">
      <x:c r="A83" s="2" t="str">
        <x:f>IF(COUNTA('01_orders_raw'!A83:J83)&gt;0,"Order","")</x:f>
        <x:v>Order</x:v>
      </x:c>
      <x:c r="B83" s="2" t="n">
        <x:f>IF(COUNTA('01_orders_raw'!A83:J83)&gt;0,'01_orders_raw'!A83,"")</x:f>
        <x:v>1082</x:v>
      </x:c>
      <x:c r="C83" s="2" t="str">
        <x:f>IF(COUNTA('01_orders_raw'!A83:J83)&gt;0,IF(AND(LEN('01_orders_raw'!A83&amp;"")&gt;0,COUNTIF('01_orders_raw'!$A$2:$A$181,'01_orders_raw'!A83)&gt;1),"ERROR","OK"),"")</x:f>
        <x:v>OK</x:v>
      </x:c>
      <x:c r="D83" s="2" t="str">
        <x:f>IF(COUNTA('01_orders_raw'!A83:J83)&gt;0,IF(OR(LEN('01_orders_raw'!A83&amp;"")=0,LEN('01_orders_raw'!B83&amp;"")=0,LEN('01_orders_raw'!C83&amp;"")=0,LEN('01_orders_raw'!D83&amp;"")=0,LEN('01_orders_raw'!E83&amp;"")=0,LEN('01_orders_raw'!F83&amp;"")=0,LEN('01_orders_raw'!G83&amp;"")=0,LEN('01_orders_raw'!H83&amp;"")=0,LEN('01_orders_raw'!I83&amp;"")=0,LEN('01_orders_raw'!J83&amp;"")=0),"ERROR","OK"),"")</x:f>
        <x:v>OK</x:v>
      </x:c>
      <x:c r="E83" s="2" t="str">
        <x:f>IF(COUNTA('01_orders_raw'!A83:J83)&gt;0,IF(LEN('01_orders_raw'!C83&amp;"")=0,"SKIP",IF(COUNTIF('02_clients_raw'!$A$2:$A$67,'01_orders_raw'!C83)&lt;&gt;1,"ERROR","OK")),"")</x:f>
        <x:v>OK</x:v>
      </x:c>
      <x:c r="F83" s="2" t="str">
        <x:f>IF(COUNTA('01_orders_raw'!A83:J83)&gt;0,IF(OR(LEN('01_orders_raw'!G83&amp;"")=0,LEN('01_orders_raw'!H83&amp;"")=0,LEN('01_orders_raw'!I83&amp;"")=0),"SKIP",IF(AND(ISNUMBER('01_orders_raw'!G83),ISNUMBER('01_orders_raw'!H83),ISNUMBER('01_orders_raw'!I83)),IF(OR('01_orders_raw'!G83&lt;=0,MOD('01_orders_raw'!G83,1)&lt;&gt;0,ABS('01_orders_raw'!I83-'01_orders_raw'!G83*'01_orders_raw'!H83)&gt;'09_parameters'!$B$3),"ERROR","OK"),"ERROR")),"")</x:f>
        <x:v>OK</x:v>
      </x:c>
      <x:c r="G83" s="2" t="str">
        <x:f>IF(COUNTA('01_orders_raw'!A83:J83)&gt;0,IF(LEN('01_orders_raw'!H83&amp;"")=0,"SKIP",IF('01_orders_raw'!H83&lt;0,"ERROR","OK")),"")</x:f>
        <x:v>OK</x:v>
      </x:c>
      <x:c r="H83" s="2" t="str">
        <x:f>IF(COUNTA('01_orders_raw'!A83:J83)&gt;0,IF(LEN('01_orders_raw'!B83&amp;"")=0,"SKIP",IF(OR(NOT(ISNUMBER('01_orders_raw'!B83)),'01_orders_raw'!B83&lt;=0,'01_orders_raw'!B83&gt;'09_parameters'!$B$2),"ERROR","OK")),"")</x:f>
        <x:v>OK</x:v>
      </x:c>
      <x:c r="I83" s="2" t="str">
        <x:f>IF(COUNTA('01_orders_raw'!A83:J83)&gt;0,IF(LEN('01_orders_raw'!J83&amp;"")=0,"SKIP",IF(AND('01_orders_raw'!J83&lt;&gt;"Выполнен",'01_orders_raw'!J83&lt;&gt;"В работе",'01_orders_raw'!J83&lt;&gt;"Отменен",'01_orders_raw'!J83&lt;&gt;"Ожидает оплаты"),"ERROR","OK")),"")</x:f>
        <x:v>OK</x:v>
      </x:c>
      <x:c r="J83" s="2" t="n">
        <x:f>COUNTIF(C83:I83,"ERROR")</x:f>
        <x:v>0</x:v>
      </x:c>
      <x:c r="K83" s="2" t="n">
        <x:f>IF(COUNTA('01_orders_raw'!A83:J83)&gt;0,83,"")</x:f>
        <x:v>83</x:v>
      </x:c>
    </x:row>
    <x:row r="84">
      <x:c r="A84" s="2" t="str">
        <x:f>IF(COUNTA('01_orders_raw'!A84:J84)&gt;0,"Order","")</x:f>
        <x:v>Order</x:v>
      </x:c>
      <x:c r="B84" s="2" t="n">
        <x:f>IF(COUNTA('01_orders_raw'!A84:J84)&gt;0,'01_orders_raw'!A84,"")</x:f>
        <x:v>1083</x:v>
      </x:c>
      <x:c r="C84" s="2" t="str">
        <x:f>IF(COUNTA('01_orders_raw'!A84:J84)&gt;0,IF(AND(LEN('01_orders_raw'!A84&amp;"")&gt;0,COUNTIF('01_orders_raw'!$A$2:$A$181,'01_orders_raw'!A84)&gt;1),"ERROR","OK"),"")</x:f>
        <x:v>OK</x:v>
      </x:c>
      <x:c r="D84" s="2" t="str">
        <x:f>IF(COUNTA('01_orders_raw'!A84:J84)&gt;0,IF(OR(LEN('01_orders_raw'!A84&amp;"")=0,LEN('01_orders_raw'!B84&amp;"")=0,LEN('01_orders_raw'!C84&amp;"")=0,LEN('01_orders_raw'!D84&amp;"")=0,LEN('01_orders_raw'!E84&amp;"")=0,LEN('01_orders_raw'!F84&amp;"")=0,LEN('01_orders_raw'!G84&amp;"")=0,LEN('01_orders_raw'!H84&amp;"")=0,LEN('01_orders_raw'!I84&amp;"")=0,LEN('01_orders_raw'!J84&amp;"")=0),"ERROR","OK"),"")</x:f>
        <x:v>OK</x:v>
      </x:c>
      <x:c r="E84" s="2" t="str">
        <x:f>IF(COUNTA('01_orders_raw'!A84:J84)&gt;0,IF(LEN('01_orders_raw'!C84&amp;"")=0,"SKIP",IF(COUNTIF('02_clients_raw'!$A$2:$A$67,'01_orders_raw'!C84)&lt;&gt;1,"ERROR","OK")),"")</x:f>
        <x:v>OK</x:v>
      </x:c>
      <x:c r="F84" s="2" t="str">
        <x:f>IF(COUNTA('01_orders_raw'!A84:J84)&gt;0,IF(OR(LEN('01_orders_raw'!G84&amp;"")=0,LEN('01_orders_raw'!H84&amp;"")=0,LEN('01_orders_raw'!I84&amp;"")=0),"SKIP",IF(AND(ISNUMBER('01_orders_raw'!G84),ISNUMBER('01_orders_raw'!H84),ISNUMBER('01_orders_raw'!I84)),IF(OR('01_orders_raw'!G84&lt;=0,MOD('01_orders_raw'!G84,1)&lt;&gt;0,ABS('01_orders_raw'!I84-'01_orders_raw'!G84*'01_orders_raw'!H84)&gt;'09_parameters'!$B$3),"ERROR","OK"),"ERROR")),"")</x:f>
        <x:v>OK</x:v>
      </x:c>
      <x:c r="G84" s="2" t="str">
        <x:f>IF(COUNTA('01_orders_raw'!A84:J84)&gt;0,IF(LEN('01_orders_raw'!H84&amp;"")=0,"SKIP",IF('01_orders_raw'!H84&lt;0,"ERROR","OK")),"")</x:f>
        <x:v>OK</x:v>
      </x:c>
      <x:c r="H84" s="2" t="str">
        <x:f>IF(COUNTA('01_orders_raw'!A84:J84)&gt;0,IF(LEN('01_orders_raw'!B84&amp;"")=0,"SKIP",IF(OR(NOT(ISNUMBER('01_orders_raw'!B84)),'01_orders_raw'!B84&lt;=0,'01_orders_raw'!B84&gt;'09_parameters'!$B$2),"ERROR","OK")),"")</x:f>
        <x:v>OK</x:v>
      </x:c>
      <x:c r="I84" s="2" t="str">
        <x:f>IF(COUNTA('01_orders_raw'!A84:J84)&gt;0,IF(LEN('01_orders_raw'!J84&amp;"")=0,"SKIP",IF(AND('01_orders_raw'!J84&lt;&gt;"Выполнен",'01_orders_raw'!J84&lt;&gt;"В работе",'01_orders_raw'!J84&lt;&gt;"Отменен",'01_orders_raw'!J84&lt;&gt;"Ожидает оплаты"),"ERROR","OK")),"")</x:f>
        <x:v>OK</x:v>
      </x:c>
      <x:c r="J84" s="2" t="n">
        <x:f>COUNTIF(C84:I84,"ERROR")</x:f>
        <x:v>0</x:v>
      </x:c>
      <x:c r="K84" s="2" t="n">
        <x:f>IF(COUNTA('01_orders_raw'!A84:J84)&gt;0,84,"")</x:f>
        <x:v>84</x:v>
      </x:c>
    </x:row>
    <x:row r="85">
      <x:c r="A85" s="2" t="str">
        <x:f>IF(COUNTA('01_orders_raw'!A85:J85)&gt;0,"Order","")</x:f>
        <x:v>Order</x:v>
      </x:c>
      <x:c r="B85" s="2" t="n">
        <x:f>IF(COUNTA('01_orders_raw'!A85:J85)&gt;0,'01_orders_raw'!A85,"")</x:f>
        <x:v>1084</x:v>
      </x:c>
      <x:c r="C85" s="2" t="str">
        <x:f>IF(COUNTA('01_orders_raw'!A85:J85)&gt;0,IF(AND(LEN('01_orders_raw'!A85&amp;"")&gt;0,COUNTIF('01_orders_raw'!$A$2:$A$181,'01_orders_raw'!A85)&gt;1),"ERROR","OK"),"")</x:f>
        <x:v>OK</x:v>
      </x:c>
      <x:c r="D85" s="2" t="str">
        <x:f>IF(COUNTA('01_orders_raw'!A85:J85)&gt;0,IF(OR(LEN('01_orders_raw'!A85&amp;"")=0,LEN('01_orders_raw'!B85&amp;"")=0,LEN('01_orders_raw'!C85&amp;"")=0,LEN('01_orders_raw'!D85&amp;"")=0,LEN('01_orders_raw'!E85&amp;"")=0,LEN('01_orders_raw'!F85&amp;"")=0,LEN('01_orders_raw'!G85&amp;"")=0,LEN('01_orders_raw'!H85&amp;"")=0,LEN('01_orders_raw'!I85&amp;"")=0,LEN('01_orders_raw'!J85&amp;"")=0),"ERROR","OK"),"")</x:f>
        <x:v>OK</x:v>
      </x:c>
      <x:c r="E85" s="2" t="str">
        <x:f>IF(COUNTA('01_orders_raw'!A85:J85)&gt;0,IF(LEN('01_orders_raw'!C85&amp;"")=0,"SKIP",IF(COUNTIF('02_clients_raw'!$A$2:$A$67,'01_orders_raw'!C85)&lt;&gt;1,"ERROR","OK")),"")</x:f>
        <x:v>OK</x:v>
      </x:c>
      <x:c r="F85" s="2" t="str">
        <x:f>IF(COUNTA('01_orders_raw'!A85:J85)&gt;0,IF(OR(LEN('01_orders_raw'!G85&amp;"")=0,LEN('01_orders_raw'!H85&amp;"")=0,LEN('01_orders_raw'!I85&amp;"")=0),"SKIP",IF(AND(ISNUMBER('01_orders_raw'!G85),ISNUMBER('01_orders_raw'!H85),ISNUMBER('01_orders_raw'!I85)),IF(OR('01_orders_raw'!G85&lt;=0,MOD('01_orders_raw'!G85,1)&lt;&gt;0,ABS('01_orders_raw'!I85-'01_orders_raw'!G85*'01_orders_raw'!H85)&gt;'09_parameters'!$B$3),"ERROR","OK"),"ERROR")),"")</x:f>
        <x:v>OK</x:v>
      </x:c>
      <x:c r="G85" s="2" t="str">
        <x:f>IF(COUNTA('01_orders_raw'!A85:J85)&gt;0,IF(LEN('01_orders_raw'!H85&amp;"")=0,"SKIP",IF('01_orders_raw'!H85&lt;0,"ERROR","OK")),"")</x:f>
        <x:v>OK</x:v>
      </x:c>
      <x:c r="H85" s="2" t="str">
        <x:f>IF(COUNTA('01_orders_raw'!A85:J85)&gt;0,IF(LEN('01_orders_raw'!B85&amp;"")=0,"SKIP",IF(OR(NOT(ISNUMBER('01_orders_raw'!B85)),'01_orders_raw'!B85&lt;=0,'01_orders_raw'!B85&gt;'09_parameters'!$B$2),"ERROR","OK")),"")</x:f>
        <x:v>OK</x:v>
      </x:c>
      <x:c r="I85" s="2" t="str">
        <x:f>IF(COUNTA('01_orders_raw'!A85:J85)&gt;0,IF(LEN('01_orders_raw'!J85&amp;"")=0,"SKIP",IF(AND('01_orders_raw'!J85&lt;&gt;"Выполнен",'01_orders_raw'!J85&lt;&gt;"В работе",'01_orders_raw'!J85&lt;&gt;"Отменен",'01_orders_raw'!J85&lt;&gt;"Ожидает оплаты"),"ERROR","OK")),"")</x:f>
        <x:v>OK</x:v>
      </x:c>
      <x:c r="J85" s="2" t="n">
        <x:f>COUNTIF(C85:I85,"ERROR")</x:f>
        <x:v>0</x:v>
      </x:c>
      <x:c r="K85" s="2" t="n">
        <x:f>IF(COUNTA('01_orders_raw'!A85:J85)&gt;0,85,"")</x:f>
        <x:v>85</x:v>
      </x:c>
    </x:row>
    <x:row r="86">
      <x:c r="A86" s="2" t="str">
        <x:f>IF(COUNTA('01_orders_raw'!A86:J86)&gt;0,"Order","")</x:f>
        <x:v>Order</x:v>
      </x:c>
      <x:c r="B86" s="2" t="n">
        <x:f>IF(COUNTA('01_orders_raw'!A86:J86)&gt;0,'01_orders_raw'!A86,"")</x:f>
        <x:v>1085</x:v>
      </x:c>
      <x:c r="C86" s="2" t="str">
        <x:f>IF(COUNTA('01_orders_raw'!A86:J86)&gt;0,IF(AND(LEN('01_orders_raw'!A86&amp;"")&gt;0,COUNTIF('01_orders_raw'!$A$2:$A$181,'01_orders_raw'!A86)&gt;1),"ERROR","OK"),"")</x:f>
        <x:v>OK</x:v>
      </x:c>
      <x:c r="D86" s="2" t="str">
        <x:f>IF(COUNTA('01_orders_raw'!A86:J86)&gt;0,IF(OR(LEN('01_orders_raw'!A86&amp;"")=0,LEN('01_orders_raw'!B86&amp;"")=0,LEN('01_orders_raw'!C86&amp;"")=0,LEN('01_orders_raw'!D86&amp;"")=0,LEN('01_orders_raw'!E86&amp;"")=0,LEN('01_orders_raw'!F86&amp;"")=0,LEN('01_orders_raw'!G86&amp;"")=0,LEN('01_orders_raw'!H86&amp;"")=0,LEN('01_orders_raw'!I86&amp;"")=0,LEN('01_orders_raw'!J86&amp;"")=0),"ERROR","OK"),"")</x:f>
        <x:v>OK</x:v>
      </x:c>
      <x:c r="E86" s="2" t="str">
        <x:f>IF(COUNTA('01_orders_raw'!A86:J86)&gt;0,IF(LEN('01_orders_raw'!C86&amp;"")=0,"SKIP",IF(COUNTIF('02_clients_raw'!$A$2:$A$67,'01_orders_raw'!C86)&lt;&gt;1,"ERROR","OK")),"")</x:f>
        <x:v>OK</x:v>
      </x:c>
      <x:c r="F86" s="2" t="str">
        <x:f>IF(COUNTA('01_orders_raw'!A86:J86)&gt;0,IF(OR(LEN('01_orders_raw'!G86&amp;"")=0,LEN('01_orders_raw'!H86&amp;"")=0,LEN('01_orders_raw'!I86&amp;"")=0),"SKIP",IF(AND(ISNUMBER('01_orders_raw'!G86),ISNUMBER('01_orders_raw'!H86),ISNUMBER('01_orders_raw'!I86)),IF(OR('01_orders_raw'!G86&lt;=0,MOD('01_orders_raw'!G86,1)&lt;&gt;0,ABS('01_orders_raw'!I86-'01_orders_raw'!G86*'01_orders_raw'!H86)&gt;'09_parameters'!$B$3),"ERROR","OK"),"ERROR")),"")</x:f>
        <x:v>OK</x:v>
      </x:c>
      <x:c r="G86" s="2" t="str">
        <x:f>IF(COUNTA('01_orders_raw'!A86:J86)&gt;0,IF(LEN('01_orders_raw'!H86&amp;"")=0,"SKIP",IF('01_orders_raw'!H86&lt;0,"ERROR","OK")),"")</x:f>
        <x:v>OK</x:v>
      </x:c>
      <x:c r="H86" s="2" t="str">
        <x:f>IF(COUNTA('01_orders_raw'!A86:J86)&gt;0,IF(LEN('01_orders_raw'!B86&amp;"")=0,"SKIP",IF(OR(NOT(ISNUMBER('01_orders_raw'!B86)),'01_orders_raw'!B86&lt;=0,'01_orders_raw'!B86&gt;'09_parameters'!$B$2),"ERROR","OK")),"")</x:f>
        <x:v>OK</x:v>
      </x:c>
      <x:c r="I86" s="2" t="str">
        <x:f>IF(COUNTA('01_orders_raw'!A86:J86)&gt;0,IF(LEN('01_orders_raw'!J86&amp;"")=0,"SKIP",IF(AND('01_orders_raw'!J86&lt;&gt;"Выполнен",'01_orders_raw'!J86&lt;&gt;"В работе",'01_orders_raw'!J86&lt;&gt;"Отменен",'01_orders_raw'!J86&lt;&gt;"Ожидает оплаты"),"ERROR","OK")),"")</x:f>
        <x:v>OK</x:v>
      </x:c>
      <x:c r="J86" s="2" t="n">
        <x:f>COUNTIF(C86:I86,"ERROR")</x:f>
        <x:v>0</x:v>
      </x:c>
      <x:c r="K86" s="2" t="n">
        <x:f>IF(COUNTA('01_orders_raw'!A86:J86)&gt;0,86,"")</x:f>
        <x:v>86</x:v>
      </x:c>
    </x:row>
    <x:row r="87">
      <x:c r="A87" s="2" t="str">
        <x:f>IF(COUNTA('01_orders_raw'!A87:J87)&gt;0,"Order","")</x:f>
        <x:v>Order</x:v>
      </x:c>
      <x:c r="B87" s="2" t="n">
        <x:f>IF(COUNTA('01_orders_raw'!A87:J87)&gt;0,'01_orders_raw'!A87,"")</x:f>
        <x:v>1086</x:v>
      </x:c>
      <x:c r="C87" s="2" t="str">
        <x:f>IF(COUNTA('01_orders_raw'!A87:J87)&gt;0,IF(AND(LEN('01_orders_raw'!A87&amp;"")&gt;0,COUNTIF('01_orders_raw'!$A$2:$A$181,'01_orders_raw'!A87)&gt;1),"ERROR","OK"),"")</x:f>
        <x:v>OK</x:v>
      </x:c>
      <x:c r="D87" s="2" t="str">
        <x:f>IF(COUNTA('01_orders_raw'!A87:J87)&gt;0,IF(OR(LEN('01_orders_raw'!A87&amp;"")=0,LEN('01_orders_raw'!B87&amp;"")=0,LEN('01_orders_raw'!C87&amp;"")=0,LEN('01_orders_raw'!D87&amp;"")=0,LEN('01_orders_raw'!E87&amp;"")=0,LEN('01_orders_raw'!F87&amp;"")=0,LEN('01_orders_raw'!G87&amp;"")=0,LEN('01_orders_raw'!H87&amp;"")=0,LEN('01_orders_raw'!I87&amp;"")=0,LEN('01_orders_raw'!J87&amp;"")=0),"ERROR","OK"),"")</x:f>
        <x:v>OK</x:v>
      </x:c>
      <x:c r="E87" s="2" t="str">
        <x:f>IF(COUNTA('01_orders_raw'!A87:J87)&gt;0,IF(LEN('01_orders_raw'!C87&amp;"")=0,"SKIP",IF(COUNTIF('02_clients_raw'!$A$2:$A$67,'01_orders_raw'!C87)&lt;&gt;1,"ERROR","OK")),"")</x:f>
        <x:v>OK</x:v>
      </x:c>
      <x:c r="F87" s="2" t="str">
        <x:f>IF(COUNTA('01_orders_raw'!A87:J87)&gt;0,IF(OR(LEN('01_orders_raw'!G87&amp;"")=0,LEN('01_orders_raw'!H87&amp;"")=0,LEN('01_orders_raw'!I87&amp;"")=0),"SKIP",IF(AND(ISNUMBER('01_orders_raw'!G87),ISNUMBER('01_orders_raw'!H87),ISNUMBER('01_orders_raw'!I87)),IF(OR('01_orders_raw'!G87&lt;=0,MOD('01_orders_raw'!G87,1)&lt;&gt;0,ABS('01_orders_raw'!I87-'01_orders_raw'!G87*'01_orders_raw'!H87)&gt;'09_parameters'!$B$3),"ERROR","OK"),"ERROR")),"")</x:f>
        <x:v>OK</x:v>
      </x:c>
      <x:c r="G87" s="2" t="str">
        <x:f>IF(COUNTA('01_orders_raw'!A87:J87)&gt;0,IF(LEN('01_orders_raw'!H87&amp;"")=0,"SKIP",IF('01_orders_raw'!H87&lt;0,"ERROR","OK")),"")</x:f>
        <x:v>OK</x:v>
      </x:c>
      <x:c r="H87" s="2" t="str">
        <x:f>IF(COUNTA('01_orders_raw'!A87:J87)&gt;0,IF(LEN('01_orders_raw'!B87&amp;"")=0,"SKIP",IF(OR(NOT(ISNUMBER('01_orders_raw'!B87)),'01_orders_raw'!B87&lt;=0,'01_orders_raw'!B87&gt;'09_parameters'!$B$2),"ERROR","OK")),"")</x:f>
        <x:v>OK</x:v>
      </x:c>
      <x:c r="I87" s="2" t="str">
        <x:f>IF(COUNTA('01_orders_raw'!A87:J87)&gt;0,IF(LEN('01_orders_raw'!J87&amp;"")=0,"SKIP",IF(AND('01_orders_raw'!J87&lt;&gt;"Выполнен",'01_orders_raw'!J87&lt;&gt;"В работе",'01_orders_raw'!J87&lt;&gt;"Отменен",'01_orders_raw'!J87&lt;&gt;"Ожидает оплаты"),"ERROR","OK")),"")</x:f>
        <x:v>OK</x:v>
      </x:c>
      <x:c r="J87" s="2" t="n">
        <x:f>COUNTIF(C87:I87,"ERROR")</x:f>
        <x:v>0</x:v>
      </x:c>
      <x:c r="K87" s="2" t="n">
        <x:f>IF(COUNTA('01_orders_raw'!A87:J87)&gt;0,87,"")</x:f>
        <x:v>87</x:v>
      </x:c>
    </x:row>
    <x:row r="88">
      <x:c r="A88" s="2" t="str">
        <x:f>IF(COUNTA('01_orders_raw'!A88:J88)&gt;0,"Order","")</x:f>
        <x:v>Order</x:v>
      </x:c>
      <x:c r="B88" s="2" t="n">
        <x:f>IF(COUNTA('01_orders_raw'!A88:J88)&gt;0,'01_orders_raw'!A88,"")</x:f>
        <x:v>1087</x:v>
      </x:c>
      <x:c r="C88" s="2" t="str">
        <x:f>IF(COUNTA('01_orders_raw'!A88:J88)&gt;0,IF(AND(LEN('01_orders_raw'!A88&amp;"")&gt;0,COUNTIF('01_orders_raw'!$A$2:$A$181,'01_orders_raw'!A88)&gt;1),"ERROR","OK"),"")</x:f>
        <x:v>OK</x:v>
      </x:c>
      <x:c r="D88" s="2" t="str">
        <x:f>IF(COUNTA('01_orders_raw'!A88:J88)&gt;0,IF(OR(LEN('01_orders_raw'!A88&amp;"")=0,LEN('01_orders_raw'!B88&amp;"")=0,LEN('01_orders_raw'!C88&amp;"")=0,LEN('01_orders_raw'!D88&amp;"")=0,LEN('01_orders_raw'!E88&amp;"")=0,LEN('01_orders_raw'!F88&amp;"")=0,LEN('01_orders_raw'!G88&amp;"")=0,LEN('01_orders_raw'!H88&amp;"")=0,LEN('01_orders_raw'!I88&amp;"")=0,LEN('01_orders_raw'!J88&amp;"")=0),"ERROR","OK"),"")</x:f>
        <x:v>OK</x:v>
      </x:c>
      <x:c r="E88" s="2" t="str">
        <x:f>IF(COUNTA('01_orders_raw'!A88:J88)&gt;0,IF(LEN('01_orders_raw'!C88&amp;"")=0,"SKIP",IF(COUNTIF('02_clients_raw'!$A$2:$A$67,'01_orders_raw'!C88)&lt;&gt;1,"ERROR","OK")),"")</x:f>
        <x:v>OK</x:v>
      </x:c>
      <x:c r="F88" s="2" t="str">
        <x:f>IF(COUNTA('01_orders_raw'!A88:J88)&gt;0,IF(OR(LEN('01_orders_raw'!G88&amp;"")=0,LEN('01_orders_raw'!H88&amp;"")=0,LEN('01_orders_raw'!I88&amp;"")=0),"SKIP",IF(AND(ISNUMBER('01_orders_raw'!G88),ISNUMBER('01_orders_raw'!H88),ISNUMBER('01_orders_raw'!I88)),IF(OR('01_orders_raw'!G88&lt;=0,MOD('01_orders_raw'!G88,1)&lt;&gt;0,ABS('01_orders_raw'!I88-'01_orders_raw'!G88*'01_orders_raw'!H88)&gt;'09_parameters'!$B$3),"ERROR","OK"),"ERROR")),"")</x:f>
        <x:v>OK</x:v>
      </x:c>
      <x:c r="G88" s="2" t="str">
        <x:f>IF(COUNTA('01_orders_raw'!A88:J88)&gt;0,IF(LEN('01_orders_raw'!H88&amp;"")=0,"SKIP",IF('01_orders_raw'!H88&lt;0,"ERROR","OK")),"")</x:f>
        <x:v>OK</x:v>
      </x:c>
      <x:c r="H88" s="2" t="str">
        <x:f>IF(COUNTA('01_orders_raw'!A88:J88)&gt;0,IF(LEN('01_orders_raw'!B88&amp;"")=0,"SKIP",IF(OR(NOT(ISNUMBER('01_orders_raw'!B88)),'01_orders_raw'!B88&lt;=0,'01_orders_raw'!B88&gt;'09_parameters'!$B$2),"ERROR","OK")),"")</x:f>
        <x:v>OK</x:v>
      </x:c>
      <x:c r="I88" s="2" t="str">
        <x:f>IF(COUNTA('01_orders_raw'!A88:J88)&gt;0,IF(LEN('01_orders_raw'!J88&amp;"")=0,"SKIP",IF(AND('01_orders_raw'!J88&lt;&gt;"Выполнен",'01_orders_raw'!J88&lt;&gt;"В работе",'01_orders_raw'!J88&lt;&gt;"Отменен",'01_orders_raw'!J88&lt;&gt;"Ожидает оплаты"),"ERROR","OK")),"")</x:f>
        <x:v>OK</x:v>
      </x:c>
      <x:c r="J88" s="2" t="n">
        <x:f>COUNTIF(C88:I88,"ERROR")</x:f>
        <x:v>0</x:v>
      </x:c>
      <x:c r="K88" s="2" t="n">
        <x:f>IF(COUNTA('01_orders_raw'!A88:J88)&gt;0,88,"")</x:f>
        <x:v>88</x:v>
      </x:c>
    </x:row>
    <x:row r="89">
      <x:c r="A89" s="2" t="str">
        <x:f>IF(COUNTA('01_orders_raw'!A89:J89)&gt;0,"Order","")</x:f>
        <x:v>Order</x:v>
      </x:c>
      <x:c r="B89" s="2" t="n">
        <x:f>IF(COUNTA('01_orders_raw'!A89:J89)&gt;0,'01_orders_raw'!A89,"")</x:f>
        <x:v>1088</x:v>
      </x:c>
      <x:c r="C89" s="2" t="str">
        <x:f>IF(COUNTA('01_orders_raw'!A89:J89)&gt;0,IF(AND(LEN('01_orders_raw'!A89&amp;"")&gt;0,COUNTIF('01_orders_raw'!$A$2:$A$181,'01_orders_raw'!A89)&gt;1),"ERROR","OK"),"")</x:f>
        <x:v>OK</x:v>
      </x:c>
      <x:c r="D89" s="2" t="str">
        <x:f>IF(COUNTA('01_orders_raw'!A89:J89)&gt;0,IF(OR(LEN('01_orders_raw'!A89&amp;"")=0,LEN('01_orders_raw'!B89&amp;"")=0,LEN('01_orders_raw'!C89&amp;"")=0,LEN('01_orders_raw'!D89&amp;"")=0,LEN('01_orders_raw'!E89&amp;"")=0,LEN('01_orders_raw'!F89&amp;"")=0,LEN('01_orders_raw'!G89&amp;"")=0,LEN('01_orders_raw'!H89&amp;"")=0,LEN('01_orders_raw'!I89&amp;"")=0,LEN('01_orders_raw'!J89&amp;"")=0),"ERROR","OK"),"")</x:f>
        <x:v>OK</x:v>
      </x:c>
      <x:c r="E89" s="2" t="str">
        <x:f>IF(COUNTA('01_orders_raw'!A89:J89)&gt;0,IF(LEN('01_orders_raw'!C89&amp;"")=0,"SKIP",IF(COUNTIF('02_clients_raw'!$A$2:$A$67,'01_orders_raw'!C89)&lt;&gt;1,"ERROR","OK")),"")</x:f>
        <x:v>OK</x:v>
      </x:c>
      <x:c r="F89" s="2" t="str">
        <x:f>IF(COUNTA('01_orders_raw'!A89:J89)&gt;0,IF(OR(LEN('01_orders_raw'!G89&amp;"")=0,LEN('01_orders_raw'!H89&amp;"")=0,LEN('01_orders_raw'!I89&amp;"")=0),"SKIP",IF(AND(ISNUMBER('01_orders_raw'!G89),ISNUMBER('01_orders_raw'!H89),ISNUMBER('01_orders_raw'!I89)),IF(OR('01_orders_raw'!G89&lt;=0,MOD('01_orders_raw'!G89,1)&lt;&gt;0,ABS('01_orders_raw'!I89-'01_orders_raw'!G89*'01_orders_raw'!H89)&gt;'09_parameters'!$B$3),"ERROR","OK"),"ERROR")),"")</x:f>
        <x:v>OK</x:v>
      </x:c>
      <x:c r="G89" s="2" t="str">
        <x:f>IF(COUNTA('01_orders_raw'!A89:J89)&gt;0,IF(LEN('01_orders_raw'!H89&amp;"")=0,"SKIP",IF('01_orders_raw'!H89&lt;0,"ERROR","OK")),"")</x:f>
        <x:v>OK</x:v>
      </x:c>
      <x:c r="H89" s="2" t="str">
        <x:f>IF(COUNTA('01_orders_raw'!A89:J89)&gt;0,IF(LEN('01_orders_raw'!B89&amp;"")=0,"SKIP",IF(OR(NOT(ISNUMBER('01_orders_raw'!B89)),'01_orders_raw'!B89&lt;=0,'01_orders_raw'!B89&gt;'09_parameters'!$B$2),"ERROR","OK")),"")</x:f>
        <x:v>OK</x:v>
      </x:c>
      <x:c r="I89" s="2" t="str">
        <x:f>IF(COUNTA('01_orders_raw'!A89:J89)&gt;0,IF(LEN('01_orders_raw'!J89&amp;"")=0,"SKIP",IF(AND('01_orders_raw'!J89&lt;&gt;"Выполнен",'01_orders_raw'!J89&lt;&gt;"В работе",'01_orders_raw'!J89&lt;&gt;"Отменен",'01_orders_raw'!J89&lt;&gt;"Ожидает оплаты"),"ERROR","OK")),"")</x:f>
        <x:v>OK</x:v>
      </x:c>
      <x:c r="J89" s="2" t="n">
        <x:f>COUNTIF(C89:I89,"ERROR")</x:f>
        <x:v>0</x:v>
      </x:c>
      <x:c r="K89" s="2" t="n">
        <x:f>IF(COUNTA('01_orders_raw'!A89:J89)&gt;0,89,"")</x:f>
        <x:v>89</x:v>
      </x:c>
    </x:row>
    <x:row r="90">
      <x:c r="A90" s="2" t="str">
        <x:f>IF(COUNTA('01_orders_raw'!A90:J90)&gt;0,"Order","")</x:f>
        <x:v>Order</x:v>
      </x:c>
      <x:c r="B90" s="2" t="n">
        <x:f>IF(COUNTA('01_orders_raw'!A90:J90)&gt;0,'01_orders_raw'!A90,"")</x:f>
        <x:v>1089</x:v>
      </x:c>
      <x:c r="C90" s="2" t="str">
        <x:f>IF(COUNTA('01_orders_raw'!A90:J90)&gt;0,IF(AND(LEN('01_orders_raw'!A90&amp;"")&gt;0,COUNTIF('01_orders_raw'!$A$2:$A$181,'01_orders_raw'!A90)&gt;1),"ERROR","OK"),"")</x:f>
        <x:v>OK</x:v>
      </x:c>
      <x:c r="D90" s="2" t="str">
        <x:f>IF(COUNTA('01_orders_raw'!A90:J90)&gt;0,IF(OR(LEN('01_orders_raw'!A90&amp;"")=0,LEN('01_orders_raw'!B90&amp;"")=0,LEN('01_orders_raw'!C90&amp;"")=0,LEN('01_orders_raw'!D90&amp;"")=0,LEN('01_orders_raw'!E90&amp;"")=0,LEN('01_orders_raw'!F90&amp;"")=0,LEN('01_orders_raw'!G90&amp;"")=0,LEN('01_orders_raw'!H90&amp;"")=0,LEN('01_orders_raw'!I90&amp;"")=0,LEN('01_orders_raw'!J90&amp;"")=0),"ERROR","OK"),"")</x:f>
        <x:v>OK</x:v>
      </x:c>
      <x:c r="E90" s="2" t="str">
        <x:f>IF(COUNTA('01_orders_raw'!A90:J90)&gt;0,IF(LEN('01_orders_raw'!C90&amp;"")=0,"SKIP",IF(COUNTIF('02_clients_raw'!$A$2:$A$67,'01_orders_raw'!C90)&lt;&gt;1,"ERROR","OK")),"")</x:f>
        <x:v>OK</x:v>
      </x:c>
      <x:c r="F90" s="2" t="str">
        <x:f>IF(COUNTA('01_orders_raw'!A90:J90)&gt;0,IF(OR(LEN('01_orders_raw'!G90&amp;"")=0,LEN('01_orders_raw'!H90&amp;"")=0,LEN('01_orders_raw'!I90&amp;"")=0),"SKIP",IF(AND(ISNUMBER('01_orders_raw'!G90),ISNUMBER('01_orders_raw'!H90),ISNUMBER('01_orders_raw'!I90)),IF(OR('01_orders_raw'!G90&lt;=0,MOD('01_orders_raw'!G90,1)&lt;&gt;0,ABS('01_orders_raw'!I90-'01_orders_raw'!G90*'01_orders_raw'!H90)&gt;'09_parameters'!$B$3),"ERROR","OK"),"ERROR")),"")</x:f>
        <x:v>OK</x:v>
      </x:c>
      <x:c r="G90" s="2" t="str">
        <x:f>IF(COUNTA('01_orders_raw'!A90:J90)&gt;0,IF(LEN('01_orders_raw'!H90&amp;"")=0,"SKIP",IF('01_orders_raw'!H90&lt;0,"ERROR","OK")),"")</x:f>
        <x:v>OK</x:v>
      </x:c>
      <x:c r="H90" s="2" t="str">
        <x:f>IF(COUNTA('01_orders_raw'!A90:J90)&gt;0,IF(LEN('01_orders_raw'!B90&amp;"")=0,"SKIP",IF(OR(NOT(ISNUMBER('01_orders_raw'!B90)),'01_orders_raw'!B90&lt;=0,'01_orders_raw'!B90&gt;'09_parameters'!$B$2),"ERROR","OK")),"")</x:f>
        <x:v>OK</x:v>
      </x:c>
      <x:c r="I90" s="2" t="str">
        <x:f>IF(COUNTA('01_orders_raw'!A90:J90)&gt;0,IF(LEN('01_orders_raw'!J90&amp;"")=0,"SKIP",IF(AND('01_orders_raw'!J90&lt;&gt;"Выполнен",'01_orders_raw'!J90&lt;&gt;"В работе",'01_orders_raw'!J90&lt;&gt;"Отменен",'01_orders_raw'!J90&lt;&gt;"Ожидает оплаты"),"ERROR","OK")),"")</x:f>
        <x:v>OK</x:v>
      </x:c>
      <x:c r="J90" s="2" t="n">
        <x:f>COUNTIF(C90:I90,"ERROR")</x:f>
        <x:v>0</x:v>
      </x:c>
      <x:c r="K90" s="2" t="n">
        <x:f>IF(COUNTA('01_orders_raw'!A90:J90)&gt;0,90,"")</x:f>
        <x:v>90</x:v>
      </x:c>
    </x:row>
    <x:row r="91">
      <x:c r="A91" s="2" t="str">
        <x:f>IF(COUNTA('01_orders_raw'!A91:J91)&gt;0,"Order","")</x:f>
        <x:v>Order</x:v>
      </x:c>
      <x:c r="B91" s="2" t="n">
        <x:f>IF(COUNTA('01_orders_raw'!A91:J91)&gt;0,'01_orders_raw'!A91,"")</x:f>
        <x:v>1090</x:v>
      </x:c>
      <x:c r="C91" s="2" t="str">
        <x:f>IF(COUNTA('01_orders_raw'!A91:J91)&gt;0,IF(AND(LEN('01_orders_raw'!A91&amp;"")&gt;0,COUNTIF('01_orders_raw'!$A$2:$A$181,'01_orders_raw'!A91)&gt;1),"ERROR","OK"),"")</x:f>
        <x:v>OK</x:v>
      </x:c>
      <x:c r="D91" s="2" t="str">
        <x:f>IF(COUNTA('01_orders_raw'!A91:J91)&gt;0,IF(OR(LEN('01_orders_raw'!A91&amp;"")=0,LEN('01_orders_raw'!B91&amp;"")=0,LEN('01_orders_raw'!C91&amp;"")=0,LEN('01_orders_raw'!D91&amp;"")=0,LEN('01_orders_raw'!E91&amp;"")=0,LEN('01_orders_raw'!F91&amp;"")=0,LEN('01_orders_raw'!G91&amp;"")=0,LEN('01_orders_raw'!H91&amp;"")=0,LEN('01_orders_raw'!I91&amp;"")=0,LEN('01_orders_raw'!J91&amp;"")=0),"ERROR","OK"),"")</x:f>
        <x:v>OK</x:v>
      </x:c>
      <x:c r="E91" s="2" t="str">
        <x:f>IF(COUNTA('01_orders_raw'!A91:J91)&gt;0,IF(LEN('01_orders_raw'!C91&amp;"")=0,"SKIP",IF(COUNTIF('02_clients_raw'!$A$2:$A$67,'01_orders_raw'!C91)&lt;&gt;1,"ERROR","OK")),"")</x:f>
        <x:v>OK</x:v>
      </x:c>
      <x:c r="F91" s="2" t="str">
        <x:f>IF(COUNTA('01_orders_raw'!A91:J91)&gt;0,IF(OR(LEN('01_orders_raw'!G91&amp;"")=0,LEN('01_orders_raw'!H91&amp;"")=0,LEN('01_orders_raw'!I91&amp;"")=0),"SKIP",IF(AND(ISNUMBER('01_orders_raw'!G91),ISNUMBER('01_orders_raw'!H91),ISNUMBER('01_orders_raw'!I91)),IF(OR('01_orders_raw'!G91&lt;=0,MOD('01_orders_raw'!G91,1)&lt;&gt;0,ABS('01_orders_raw'!I91-'01_orders_raw'!G91*'01_orders_raw'!H91)&gt;'09_parameters'!$B$3),"ERROR","OK"),"ERROR")),"")</x:f>
        <x:v>OK</x:v>
      </x:c>
      <x:c r="G91" s="2" t="str">
        <x:f>IF(COUNTA('01_orders_raw'!A91:J91)&gt;0,IF(LEN('01_orders_raw'!H91&amp;"")=0,"SKIP",IF('01_orders_raw'!H91&lt;0,"ERROR","OK")),"")</x:f>
        <x:v>OK</x:v>
      </x:c>
      <x:c r="H91" s="2" t="str">
        <x:f>IF(COUNTA('01_orders_raw'!A91:J91)&gt;0,IF(LEN('01_orders_raw'!B91&amp;"")=0,"SKIP",IF(OR(NOT(ISNUMBER('01_orders_raw'!B91)),'01_orders_raw'!B91&lt;=0,'01_orders_raw'!B91&gt;'09_parameters'!$B$2),"ERROR","OK")),"")</x:f>
        <x:v>OK</x:v>
      </x:c>
      <x:c r="I91" s="2" t="str">
        <x:f>IF(COUNTA('01_orders_raw'!A91:J91)&gt;0,IF(LEN('01_orders_raw'!J91&amp;"")=0,"SKIP",IF(AND('01_orders_raw'!J91&lt;&gt;"Выполнен",'01_orders_raw'!J91&lt;&gt;"В работе",'01_orders_raw'!J91&lt;&gt;"Отменен",'01_orders_raw'!J91&lt;&gt;"Ожидает оплаты"),"ERROR","OK")),"")</x:f>
        <x:v>OK</x:v>
      </x:c>
      <x:c r="J91" s="2" t="n">
        <x:f>COUNTIF(C91:I91,"ERROR")</x:f>
        <x:v>0</x:v>
      </x:c>
      <x:c r="K91" s="2" t="n">
        <x:f>IF(COUNTA('01_orders_raw'!A91:J91)&gt;0,91,"")</x:f>
        <x:v>91</x:v>
      </x:c>
    </x:row>
    <x:row r="92">
      <x:c r="A92" s="2" t="str">
        <x:f>IF(COUNTA('01_orders_raw'!A92:J92)&gt;0,"Order","")</x:f>
        <x:v>Order</x:v>
      </x:c>
      <x:c r="B92" s="2" t="n">
        <x:f>IF(COUNTA('01_orders_raw'!A92:J92)&gt;0,'01_orders_raw'!A92,"")</x:f>
        <x:v>1091</x:v>
      </x:c>
      <x:c r="C92" s="2" t="str">
        <x:f>IF(COUNTA('01_orders_raw'!A92:J92)&gt;0,IF(AND(LEN('01_orders_raw'!A92&amp;"")&gt;0,COUNTIF('01_orders_raw'!$A$2:$A$181,'01_orders_raw'!A92)&gt;1),"ERROR","OK"),"")</x:f>
        <x:v>OK</x:v>
      </x:c>
      <x:c r="D92" s="2" t="str">
        <x:f>IF(COUNTA('01_orders_raw'!A92:J92)&gt;0,IF(OR(LEN('01_orders_raw'!A92&amp;"")=0,LEN('01_orders_raw'!B92&amp;"")=0,LEN('01_orders_raw'!C92&amp;"")=0,LEN('01_orders_raw'!D92&amp;"")=0,LEN('01_orders_raw'!E92&amp;"")=0,LEN('01_orders_raw'!F92&amp;"")=0,LEN('01_orders_raw'!G92&amp;"")=0,LEN('01_orders_raw'!H92&amp;"")=0,LEN('01_orders_raw'!I92&amp;"")=0,LEN('01_orders_raw'!J92&amp;"")=0),"ERROR","OK"),"")</x:f>
        <x:v>OK</x:v>
      </x:c>
      <x:c r="E92" s="2" t="str">
        <x:f>IF(COUNTA('01_orders_raw'!A92:J92)&gt;0,IF(LEN('01_orders_raw'!C92&amp;"")=0,"SKIP",IF(COUNTIF('02_clients_raw'!$A$2:$A$67,'01_orders_raw'!C92)&lt;&gt;1,"ERROR","OK")),"")</x:f>
        <x:v>OK</x:v>
      </x:c>
      <x:c r="F92" s="2" t="str">
        <x:f>IF(COUNTA('01_orders_raw'!A92:J92)&gt;0,IF(OR(LEN('01_orders_raw'!G92&amp;"")=0,LEN('01_orders_raw'!H92&amp;"")=0,LEN('01_orders_raw'!I92&amp;"")=0),"SKIP",IF(AND(ISNUMBER('01_orders_raw'!G92),ISNUMBER('01_orders_raw'!H92),ISNUMBER('01_orders_raw'!I92)),IF(OR('01_orders_raw'!G92&lt;=0,MOD('01_orders_raw'!G92,1)&lt;&gt;0,ABS('01_orders_raw'!I92-'01_orders_raw'!G92*'01_orders_raw'!H92)&gt;'09_parameters'!$B$3),"ERROR","OK"),"ERROR")),"")</x:f>
        <x:v>OK</x:v>
      </x:c>
      <x:c r="G92" s="2" t="str">
        <x:f>IF(COUNTA('01_orders_raw'!A92:J92)&gt;0,IF(LEN('01_orders_raw'!H92&amp;"")=0,"SKIP",IF('01_orders_raw'!H92&lt;0,"ERROR","OK")),"")</x:f>
        <x:v>OK</x:v>
      </x:c>
      <x:c r="H92" s="2" t="str">
        <x:f>IF(COUNTA('01_orders_raw'!A92:J92)&gt;0,IF(LEN('01_orders_raw'!B92&amp;"")=0,"SKIP",IF(OR(NOT(ISNUMBER('01_orders_raw'!B92)),'01_orders_raw'!B92&lt;=0,'01_orders_raw'!B92&gt;'09_parameters'!$B$2),"ERROR","OK")),"")</x:f>
        <x:v>OK</x:v>
      </x:c>
      <x:c r="I92" s="2" t="str">
        <x:f>IF(COUNTA('01_orders_raw'!A92:J92)&gt;0,IF(LEN('01_orders_raw'!J92&amp;"")=0,"SKIP",IF(AND('01_orders_raw'!J92&lt;&gt;"Выполнен",'01_orders_raw'!J92&lt;&gt;"В работе",'01_orders_raw'!J92&lt;&gt;"Отменен",'01_orders_raw'!J92&lt;&gt;"Ожидает оплаты"),"ERROR","OK")),"")</x:f>
        <x:v>OK</x:v>
      </x:c>
      <x:c r="J92" s="2" t="n">
        <x:f>COUNTIF(C92:I92,"ERROR")</x:f>
        <x:v>0</x:v>
      </x:c>
      <x:c r="K92" s="2" t="n">
        <x:f>IF(COUNTA('01_orders_raw'!A92:J92)&gt;0,92,"")</x:f>
        <x:v>92</x:v>
      </x:c>
    </x:row>
    <x:row r="93">
      <x:c r="A93" s="2" t="str">
        <x:f>IF(COUNTA('01_orders_raw'!A93:J93)&gt;0,"Order","")</x:f>
        <x:v>Order</x:v>
      </x:c>
      <x:c r="B93" s="2" t="n">
        <x:f>IF(COUNTA('01_orders_raw'!A93:J93)&gt;0,'01_orders_raw'!A93,"")</x:f>
        <x:v>1092</x:v>
      </x:c>
      <x:c r="C93" s="2" t="str">
        <x:f>IF(COUNTA('01_orders_raw'!A93:J93)&gt;0,IF(AND(LEN('01_orders_raw'!A93&amp;"")&gt;0,COUNTIF('01_orders_raw'!$A$2:$A$181,'01_orders_raw'!A93)&gt;1),"ERROR","OK"),"")</x:f>
        <x:v>OK</x:v>
      </x:c>
      <x:c r="D93" s="2" t="str">
        <x:f>IF(COUNTA('01_orders_raw'!A93:J93)&gt;0,IF(OR(LEN('01_orders_raw'!A93&amp;"")=0,LEN('01_orders_raw'!B93&amp;"")=0,LEN('01_orders_raw'!C93&amp;"")=0,LEN('01_orders_raw'!D93&amp;"")=0,LEN('01_orders_raw'!E93&amp;"")=0,LEN('01_orders_raw'!F93&amp;"")=0,LEN('01_orders_raw'!G93&amp;"")=0,LEN('01_orders_raw'!H93&amp;"")=0,LEN('01_orders_raw'!I93&amp;"")=0,LEN('01_orders_raw'!J93&amp;"")=0),"ERROR","OK"),"")</x:f>
        <x:v>OK</x:v>
      </x:c>
      <x:c r="E93" s="2" t="str">
        <x:f>IF(COUNTA('01_orders_raw'!A93:J93)&gt;0,IF(LEN('01_orders_raw'!C93&amp;"")=0,"SKIP",IF(COUNTIF('02_clients_raw'!$A$2:$A$67,'01_orders_raw'!C93)&lt;&gt;1,"ERROR","OK")),"")</x:f>
        <x:v>OK</x:v>
      </x:c>
      <x:c r="F93" s="2" t="str">
        <x:f>IF(COUNTA('01_orders_raw'!A93:J93)&gt;0,IF(OR(LEN('01_orders_raw'!G93&amp;"")=0,LEN('01_orders_raw'!H93&amp;"")=0,LEN('01_orders_raw'!I93&amp;"")=0),"SKIP",IF(AND(ISNUMBER('01_orders_raw'!G93),ISNUMBER('01_orders_raw'!H93),ISNUMBER('01_orders_raw'!I93)),IF(OR('01_orders_raw'!G93&lt;=0,MOD('01_orders_raw'!G93,1)&lt;&gt;0,ABS('01_orders_raw'!I93-'01_orders_raw'!G93*'01_orders_raw'!H93)&gt;'09_parameters'!$B$3),"ERROR","OK"),"ERROR")),"")</x:f>
        <x:v>OK</x:v>
      </x:c>
      <x:c r="G93" s="2" t="str">
        <x:f>IF(COUNTA('01_orders_raw'!A93:J93)&gt;0,IF(LEN('01_orders_raw'!H93&amp;"")=0,"SKIP",IF('01_orders_raw'!H93&lt;0,"ERROR","OK")),"")</x:f>
        <x:v>OK</x:v>
      </x:c>
      <x:c r="H93" s="2" t="str">
        <x:f>IF(COUNTA('01_orders_raw'!A93:J93)&gt;0,IF(LEN('01_orders_raw'!B93&amp;"")=0,"SKIP",IF(OR(NOT(ISNUMBER('01_orders_raw'!B93)),'01_orders_raw'!B93&lt;=0,'01_orders_raw'!B93&gt;'09_parameters'!$B$2),"ERROR","OK")),"")</x:f>
        <x:v>OK</x:v>
      </x:c>
      <x:c r="I93" s="2" t="str">
        <x:f>IF(COUNTA('01_orders_raw'!A93:J93)&gt;0,IF(LEN('01_orders_raw'!J93&amp;"")=0,"SKIP",IF(AND('01_orders_raw'!J93&lt;&gt;"Выполнен",'01_orders_raw'!J93&lt;&gt;"В работе",'01_orders_raw'!J93&lt;&gt;"Отменен",'01_orders_raw'!J93&lt;&gt;"Ожидает оплаты"),"ERROR","OK")),"")</x:f>
        <x:v>ERROR</x:v>
      </x:c>
      <x:c r="J93" s="2" t="n">
        <x:f>COUNTIF(C93:I93,"ERROR")</x:f>
        <x:v>1</x:v>
      </x:c>
      <x:c r="K93" s="2" t="n">
        <x:f>IF(COUNTA('01_orders_raw'!A93:J93)&gt;0,93,"")</x:f>
        <x:v>93</x:v>
      </x:c>
    </x:row>
    <x:row r="94">
      <x:c r="A94" s="2" t="str">
        <x:f>IF(COUNTA('01_orders_raw'!A94:J94)&gt;0,"Order","")</x:f>
        <x:v>Order</x:v>
      </x:c>
      <x:c r="B94" s="2" t="n">
        <x:f>IF(COUNTA('01_orders_raw'!A94:J94)&gt;0,'01_orders_raw'!A94,"")</x:f>
        <x:v>1093</x:v>
      </x:c>
      <x:c r="C94" s="2" t="str">
        <x:f>IF(COUNTA('01_orders_raw'!A94:J94)&gt;0,IF(AND(LEN('01_orders_raw'!A94&amp;"")&gt;0,COUNTIF('01_orders_raw'!$A$2:$A$181,'01_orders_raw'!A94)&gt;1),"ERROR","OK"),"")</x:f>
        <x:v>OK</x:v>
      </x:c>
      <x:c r="D94" s="2" t="str">
        <x:f>IF(COUNTA('01_orders_raw'!A94:J94)&gt;0,IF(OR(LEN('01_orders_raw'!A94&amp;"")=0,LEN('01_orders_raw'!B94&amp;"")=0,LEN('01_orders_raw'!C94&amp;"")=0,LEN('01_orders_raw'!D94&amp;"")=0,LEN('01_orders_raw'!E94&amp;"")=0,LEN('01_orders_raw'!F94&amp;"")=0,LEN('01_orders_raw'!G94&amp;"")=0,LEN('01_orders_raw'!H94&amp;"")=0,LEN('01_orders_raw'!I94&amp;"")=0,LEN('01_orders_raw'!J94&amp;"")=0),"ERROR","OK"),"")</x:f>
        <x:v>OK</x:v>
      </x:c>
      <x:c r="E94" s="2" t="str">
        <x:f>IF(COUNTA('01_orders_raw'!A94:J94)&gt;0,IF(LEN('01_orders_raw'!C94&amp;"")=0,"SKIP",IF(COUNTIF('02_clients_raw'!$A$2:$A$67,'01_orders_raw'!C94)&lt;&gt;1,"ERROR","OK")),"")</x:f>
        <x:v>OK</x:v>
      </x:c>
      <x:c r="F94" s="2" t="str">
        <x:f>IF(COUNTA('01_orders_raw'!A94:J94)&gt;0,IF(OR(LEN('01_orders_raw'!G94&amp;"")=0,LEN('01_orders_raw'!H94&amp;"")=0,LEN('01_orders_raw'!I94&amp;"")=0),"SKIP",IF(AND(ISNUMBER('01_orders_raw'!G94),ISNUMBER('01_orders_raw'!H94),ISNUMBER('01_orders_raw'!I94)),IF(OR('01_orders_raw'!G94&lt;=0,MOD('01_orders_raw'!G94,1)&lt;&gt;0,ABS('01_orders_raw'!I94-'01_orders_raw'!G94*'01_orders_raw'!H94)&gt;'09_parameters'!$B$3),"ERROR","OK"),"ERROR")),"")</x:f>
        <x:v>OK</x:v>
      </x:c>
      <x:c r="G94" s="2" t="str">
        <x:f>IF(COUNTA('01_orders_raw'!A94:J94)&gt;0,IF(LEN('01_orders_raw'!H94&amp;"")=0,"SKIP",IF('01_orders_raw'!H94&lt;0,"ERROR","OK")),"")</x:f>
        <x:v>OK</x:v>
      </x:c>
      <x:c r="H94" s="2" t="str">
        <x:f>IF(COUNTA('01_orders_raw'!A94:J94)&gt;0,IF(LEN('01_orders_raw'!B94&amp;"")=0,"SKIP",IF(OR(NOT(ISNUMBER('01_orders_raw'!B94)),'01_orders_raw'!B94&lt;=0,'01_orders_raw'!B94&gt;'09_parameters'!$B$2),"ERROR","OK")),"")</x:f>
        <x:v>OK</x:v>
      </x:c>
      <x:c r="I94" s="2" t="str">
        <x:f>IF(COUNTA('01_orders_raw'!A94:J94)&gt;0,IF(LEN('01_orders_raw'!J94&amp;"")=0,"SKIP",IF(AND('01_orders_raw'!J94&lt;&gt;"Выполнен",'01_orders_raw'!J94&lt;&gt;"В работе",'01_orders_raw'!J94&lt;&gt;"Отменен",'01_orders_raw'!J94&lt;&gt;"Ожидает оплаты"),"ERROR","OK")),"")</x:f>
        <x:v>OK</x:v>
      </x:c>
      <x:c r="J94" s="2" t="n">
        <x:f>COUNTIF(C94:I94,"ERROR")</x:f>
        <x:v>0</x:v>
      </x:c>
      <x:c r="K94" s="2" t="n">
        <x:f>IF(COUNTA('01_orders_raw'!A94:J94)&gt;0,94,"")</x:f>
        <x:v>94</x:v>
      </x:c>
    </x:row>
    <x:row r="95">
      <x:c r="A95" s="2" t="str">
        <x:f>IF(COUNTA('01_orders_raw'!A95:J95)&gt;0,"Order","")</x:f>
        <x:v>Order</x:v>
      </x:c>
      <x:c r="B95" s="2" t="n">
        <x:f>IF(COUNTA('01_orders_raw'!A95:J95)&gt;0,'01_orders_raw'!A95,"")</x:f>
        <x:v>1094</x:v>
      </x:c>
      <x:c r="C95" s="2" t="str">
        <x:f>IF(COUNTA('01_orders_raw'!A95:J95)&gt;0,IF(AND(LEN('01_orders_raw'!A95&amp;"")&gt;0,COUNTIF('01_orders_raw'!$A$2:$A$181,'01_orders_raw'!A95)&gt;1),"ERROR","OK"),"")</x:f>
        <x:v>OK</x:v>
      </x:c>
      <x:c r="D95" s="2" t="str">
        <x:f>IF(COUNTA('01_orders_raw'!A95:J95)&gt;0,IF(OR(LEN('01_orders_raw'!A95&amp;"")=0,LEN('01_orders_raw'!B95&amp;"")=0,LEN('01_orders_raw'!C95&amp;"")=0,LEN('01_orders_raw'!D95&amp;"")=0,LEN('01_orders_raw'!E95&amp;"")=0,LEN('01_orders_raw'!F95&amp;"")=0,LEN('01_orders_raw'!G95&amp;"")=0,LEN('01_orders_raw'!H95&amp;"")=0,LEN('01_orders_raw'!I95&amp;"")=0,LEN('01_orders_raw'!J95&amp;"")=0),"ERROR","OK"),"")</x:f>
        <x:v>OK</x:v>
      </x:c>
      <x:c r="E95" s="2" t="str">
        <x:f>IF(COUNTA('01_orders_raw'!A95:J95)&gt;0,IF(LEN('01_orders_raw'!C95&amp;"")=0,"SKIP",IF(COUNTIF('02_clients_raw'!$A$2:$A$67,'01_orders_raw'!C95)&lt;&gt;1,"ERROR","OK")),"")</x:f>
        <x:v>OK</x:v>
      </x:c>
      <x:c r="F95" s="2" t="str">
        <x:f>IF(COUNTA('01_orders_raw'!A95:J95)&gt;0,IF(OR(LEN('01_orders_raw'!G95&amp;"")=0,LEN('01_orders_raw'!H95&amp;"")=0,LEN('01_orders_raw'!I95&amp;"")=0),"SKIP",IF(AND(ISNUMBER('01_orders_raw'!G95),ISNUMBER('01_orders_raw'!H95),ISNUMBER('01_orders_raw'!I95)),IF(OR('01_orders_raw'!G95&lt;=0,MOD('01_orders_raw'!G95,1)&lt;&gt;0,ABS('01_orders_raw'!I95-'01_orders_raw'!G95*'01_orders_raw'!H95)&gt;'09_parameters'!$B$3),"ERROR","OK"),"ERROR")),"")</x:f>
        <x:v>OK</x:v>
      </x:c>
      <x:c r="G95" s="2" t="str">
        <x:f>IF(COUNTA('01_orders_raw'!A95:J95)&gt;0,IF(LEN('01_orders_raw'!H95&amp;"")=0,"SKIP",IF('01_orders_raw'!H95&lt;0,"ERROR","OK")),"")</x:f>
        <x:v>OK</x:v>
      </x:c>
      <x:c r="H95" s="2" t="str">
        <x:f>IF(COUNTA('01_orders_raw'!A95:J95)&gt;0,IF(LEN('01_orders_raw'!B95&amp;"")=0,"SKIP",IF(OR(NOT(ISNUMBER('01_orders_raw'!B95)),'01_orders_raw'!B95&lt;=0,'01_orders_raw'!B95&gt;'09_parameters'!$B$2),"ERROR","OK")),"")</x:f>
        <x:v>OK</x:v>
      </x:c>
      <x:c r="I95" s="2" t="str">
        <x:f>IF(COUNTA('01_orders_raw'!A95:J95)&gt;0,IF(LEN('01_orders_raw'!J95&amp;"")=0,"SKIP",IF(AND('01_orders_raw'!J95&lt;&gt;"Выполнен",'01_orders_raw'!J95&lt;&gt;"В работе",'01_orders_raw'!J95&lt;&gt;"Отменен",'01_orders_raw'!J95&lt;&gt;"Ожидает оплаты"),"ERROR","OK")),"")</x:f>
        <x:v>OK</x:v>
      </x:c>
      <x:c r="J95" s="2" t="n">
        <x:f>COUNTIF(C95:I95,"ERROR")</x:f>
        <x:v>0</x:v>
      </x:c>
      <x:c r="K95" s="2" t="n">
        <x:f>IF(COUNTA('01_orders_raw'!A95:J95)&gt;0,95,"")</x:f>
        <x:v>95</x:v>
      </x:c>
    </x:row>
    <x:row r="96">
      <x:c r="A96" s="2" t="str">
        <x:f>IF(COUNTA('01_orders_raw'!A96:J96)&gt;0,"Order","")</x:f>
        <x:v>Order</x:v>
      </x:c>
      <x:c r="B96" s="2" t="n">
        <x:f>IF(COUNTA('01_orders_raw'!A96:J96)&gt;0,'01_orders_raw'!A96,"")</x:f>
        <x:v>1095</x:v>
      </x:c>
      <x:c r="C96" s="2" t="str">
        <x:f>IF(COUNTA('01_orders_raw'!A96:J96)&gt;0,IF(AND(LEN('01_orders_raw'!A96&amp;"")&gt;0,COUNTIF('01_orders_raw'!$A$2:$A$181,'01_orders_raw'!A96)&gt;1),"ERROR","OK"),"")</x:f>
        <x:v>OK</x:v>
      </x:c>
      <x:c r="D96" s="2" t="str">
        <x:f>IF(COUNTA('01_orders_raw'!A96:J96)&gt;0,IF(OR(LEN('01_orders_raw'!A96&amp;"")=0,LEN('01_orders_raw'!B96&amp;"")=0,LEN('01_orders_raw'!C96&amp;"")=0,LEN('01_orders_raw'!D96&amp;"")=0,LEN('01_orders_raw'!E96&amp;"")=0,LEN('01_orders_raw'!F96&amp;"")=0,LEN('01_orders_raw'!G96&amp;"")=0,LEN('01_orders_raw'!H96&amp;"")=0,LEN('01_orders_raw'!I96&amp;"")=0,LEN('01_orders_raw'!J96&amp;"")=0),"ERROR","OK"),"")</x:f>
        <x:v>OK</x:v>
      </x:c>
      <x:c r="E96" s="2" t="str">
        <x:f>IF(COUNTA('01_orders_raw'!A96:J96)&gt;0,IF(LEN('01_orders_raw'!C96&amp;"")=0,"SKIP",IF(COUNTIF('02_clients_raw'!$A$2:$A$67,'01_orders_raw'!C96)&lt;&gt;1,"ERROR","OK")),"")</x:f>
        <x:v>OK</x:v>
      </x:c>
      <x:c r="F96" s="2" t="str">
        <x:f>IF(COUNTA('01_orders_raw'!A96:J96)&gt;0,IF(OR(LEN('01_orders_raw'!G96&amp;"")=0,LEN('01_orders_raw'!H96&amp;"")=0,LEN('01_orders_raw'!I96&amp;"")=0),"SKIP",IF(AND(ISNUMBER('01_orders_raw'!G96),ISNUMBER('01_orders_raw'!H96),ISNUMBER('01_orders_raw'!I96)),IF(OR('01_orders_raw'!G96&lt;=0,MOD('01_orders_raw'!G96,1)&lt;&gt;0,ABS('01_orders_raw'!I96-'01_orders_raw'!G96*'01_orders_raw'!H96)&gt;'09_parameters'!$B$3),"ERROR","OK"),"ERROR")),"")</x:f>
        <x:v>OK</x:v>
      </x:c>
      <x:c r="G96" s="2" t="str">
        <x:f>IF(COUNTA('01_orders_raw'!A96:J96)&gt;0,IF(LEN('01_orders_raw'!H96&amp;"")=0,"SKIP",IF('01_orders_raw'!H96&lt;0,"ERROR","OK")),"")</x:f>
        <x:v>OK</x:v>
      </x:c>
      <x:c r="H96" s="2" t="str">
        <x:f>IF(COUNTA('01_orders_raw'!A96:J96)&gt;0,IF(LEN('01_orders_raw'!B96&amp;"")=0,"SKIP",IF(OR(NOT(ISNUMBER('01_orders_raw'!B96)),'01_orders_raw'!B96&lt;=0,'01_orders_raw'!B96&gt;'09_parameters'!$B$2),"ERROR","OK")),"")</x:f>
        <x:v>OK</x:v>
      </x:c>
      <x:c r="I96" s="2" t="str">
        <x:f>IF(COUNTA('01_orders_raw'!A96:J96)&gt;0,IF(LEN('01_orders_raw'!J96&amp;"")=0,"SKIP",IF(AND('01_orders_raw'!J96&lt;&gt;"Выполнен",'01_orders_raw'!J96&lt;&gt;"В работе",'01_orders_raw'!J96&lt;&gt;"Отменен",'01_orders_raw'!J96&lt;&gt;"Ожидает оплаты"),"ERROR","OK")),"")</x:f>
        <x:v>OK</x:v>
      </x:c>
      <x:c r="J96" s="2" t="n">
        <x:f>COUNTIF(C96:I96,"ERROR")</x:f>
        <x:v>0</x:v>
      </x:c>
      <x:c r="K96" s="2" t="n">
        <x:f>IF(COUNTA('01_orders_raw'!A96:J96)&gt;0,96,"")</x:f>
        <x:v>96</x:v>
      </x:c>
    </x:row>
    <x:row r="97">
      <x:c r="A97" s="2" t="str">
        <x:f>IF(COUNTA('01_orders_raw'!A97:J97)&gt;0,"Order","")</x:f>
        <x:v>Order</x:v>
      </x:c>
      <x:c r="B97" s="2" t="n">
        <x:f>IF(COUNTA('01_orders_raw'!A97:J97)&gt;0,'01_orders_raw'!A97,"")</x:f>
        <x:v>1096</x:v>
      </x:c>
      <x:c r="C97" s="2" t="str">
        <x:f>IF(COUNTA('01_orders_raw'!A97:J97)&gt;0,IF(AND(LEN('01_orders_raw'!A97&amp;"")&gt;0,COUNTIF('01_orders_raw'!$A$2:$A$181,'01_orders_raw'!A97)&gt;1),"ERROR","OK"),"")</x:f>
        <x:v>OK</x:v>
      </x:c>
      <x:c r="D97" s="2" t="str">
        <x:f>IF(COUNTA('01_orders_raw'!A97:J97)&gt;0,IF(OR(LEN('01_orders_raw'!A97&amp;"")=0,LEN('01_orders_raw'!B97&amp;"")=0,LEN('01_orders_raw'!C97&amp;"")=0,LEN('01_orders_raw'!D97&amp;"")=0,LEN('01_orders_raw'!E97&amp;"")=0,LEN('01_orders_raw'!F97&amp;"")=0,LEN('01_orders_raw'!G97&amp;"")=0,LEN('01_orders_raw'!H97&amp;"")=0,LEN('01_orders_raw'!I97&amp;"")=0,LEN('01_orders_raw'!J97&amp;"")=0),"ERROR","OK"),"")</x:f>
        <x:v>OK</x:v>
      </x:c>
      <x:c r="E97" s="2" t="str">
        <x:f>IF(COUNTA('01_orders_raw'!A97:J97)&gt;0,IF(LEN('01_orders_raw'!C97&amp;"")=0,"SKIP",IF(COUNTIF('02_clients_raw'!$A$2:$A$67,'01_orders_raw'!C97)&lt;&gt;1,"ERROR","OK")),"")</x:f>
        <x:v>OK</x:v>
      </x:c>
      <x:c r="F97" s="2" t="str">
        <x:f>IF(COUNTA('01_orders_raw'!A97:J97)&gt;0,IF(OR(LEN('01_orders_raw'!G97&amp;"")=0,LEN('01_orders_raw'!H97&amp;"")=0,LEN('01_orders_raw'!I97&amp;"")=0),"SKIP",IF(AND(ISNUMBER('01_orders_raw'!G97),ISNUMBER('01_orders_raw'!H97),ISNUMBER('01_orders_raw'!I97)),IF(OR('01_orders_raw'!G97&lt;=0,MOD('01_orders_raw'!G97,1)&lt;&gt;0,ABS('01_orders_raw'!I97-'01_orders_raw'!G97*'01_orders_raw'!H97)&gt;'09_parameters'!$B$3),"ERROR","OK"),"ERROR")),"")</x:f>
        <x:v>OK</x:v>
      </x:c>
      <x:c r="G97" s="2" t="str">
        <x:f>IF(COUNTA('01_orders_raw'!A97:J97)&gt;0,IF(LEN('01_orders_raw'!H97&amp;"")=0,"SKIP",IF('01_orders_raw'!H97&lt;0,"ERROR","OK")),"")</x:f>
        <x:v>OK</x:v>
      </x:c>
      <x:c r="H97" s="2" t="str">
        <x:f>IF(COUNTA('01_orders_raw'!A97:J97)&gt;0,IF(LEN('01_orders_raw'!B97&amp;"")=0,"SKIP",IF(OR(NOT(ISNUMBER('01_orders_raw'!B97)),'01_orders_raw'!B97&lt;=0,'01_orders_raw'!B97&gt;'09_parameters'!$B$2),"ERROR","OK")),"")</x:f>
        <x:v>OK</x:v>
      </x:c>
      <x:c r="I97" s="2" t="str">
        <x:f>IF(COUNTA('01_orders_raw'!A97:J97)&gt;0,IF(LEN('01_orders_raw'!J97&amp;"")=0,"SKIP",IF(AND('01_orders_raw'!J97&lt;&gt;"Выполнен",'01_orders_raw'!J97&lt;&gt;"В работе",'01_orders_raw'!J97&lt;&gt;"Отменен",'01_orders_raw'!J97&lt;&gt;"Ожидает оплаты"),"ERROR","OK")),"")</x:f>
        <x:v>OK</x:v>
      </x:c>
      <x:c r="J97" s="2" t="n">
        <x:f>COUNTIF(C97:I97,"ERROR")</x:f>
        <x:v>0</x:v>
      </x:c>
      <x:c r="K97" s="2" t="n">
        <x:f>IF(COUNTA('01_orders_raw'!A97:J97)&gt;0,97,"")</x:f>
        <x:v>97</x:v>
      </x:c>
    </x:row>
    <x:row r="98">
      <x:c r="A98" s="2" t="str">
        <x:f>IF(COUNTA('01_orders_raw'!A98:J98)&gt;0,"Order","")</x:f>
        <x:v>Order</x:v>
      </x:c>
      <x:c r="B98" s="2" t="n">
        <x:f>IF(COUNTA('01_orders_raw'!A98:J98)&gt;0,'01_orders_raw'!A98,"")</x:f>
        <x:v>1097</x:v>
      </x:c>
      <x:c r="C98" s="2" t="str">
        <x:f>IF(COUNTA('01_orders_raw'!A98:J98)&gt;0,IF(AND(LEN('01_orders_raw'!A98&amp;"")&gt;0,COUNTIF('01_orders_raw'!$A$2:$A$181,'01_orders_raw'!A98)&gt;1),"ERROR","OK"),"")</x:f>
        <x:v>OK</x:v>
      </x:c>
      <x:c r="D98" s="2" t="str">
        <x:f>IF(COUNTA('01_orders_raw'!A98:J98)&gt;0,IF(OR(LEN('01_orders_raw'!A98&amp;"")=0,LEN('01_orders_raw'!B98&amp;"")=0,LEN('01_orders_raw'!C98&amp;"")=0,LEN('01_orders_raw'!D98&amp;"")=0,LEN('01_orders_raw'!E98&amp;"")=0,LEN('01_orders_raw'!F98&amp;"")=0,LEN('01_orders_raw'!G98&amp;"")=0,LEN('01_orders_raw'!H98&amp;"")=0,LEN('01_orders_raw'!I98&amp;"")=0,LEN('01_orders_raw'!J98&amp;"")=0),"ERROR","OK"),"")</x:f>
        <x:v>OK</x:v>
      </x:c>
      <x:c r="E98" s="2" t="str">
        <x:f>IF(COUNTA('01_orders_raw'!A98:J98)&gt;0,IF(LEN('01_orders_raw'!C98&amp;"")=0,"SKIP",IF(COUNTIF('02_clients_raw'!$A$2:$A$67,'01_orders_raw'!C98)&lt;&gt;1,"ERROR","OK")),"")</x:f>
        <x:v>OK</x:v>
      </x:c>
      <x:c r="F98" s="2" t="str">
        <x:f>IF(COUNTA('01_orders_raw'!A98:J98)&gt;0,IF(OR(LEN('01_orders_raw'!G98&amp;"")=0,LEN('01_orders_raw'!H98&amp;"")=0,LEN('01_orders_raw'!I98&amp;"")=0),"SKIP",IF(AND(ISNUMBER('01_orders_raw'!G98),ISNUMBER('01_orders_raw'!H98),ISNUMBER('01_orders_raw'!I98)),IF(OR('01_orders_raw'!G98&lt;=0,MOD('01_orders_raw'!G98,1)&lt;&gt;0,ABS('01_orders_raw'!I98-'01_orders_raw'!G98*'01_orders_raw'!H98)&gt;'09_parameters'!$B$3),"ERROR","OK"),"ERROR")),"")</x:f>
        <x:v>OK</x:v>
      </x:c>
      <x:c r="G98" s="2" t="str">
        <x:f>IF(COUNTA('01_orders_raw'!A98:J98)&gt;0,IF(LEN('01_orders_raw'!H98&amp;"")=0,"SKIP",IF('01_orders_raw'!H98&lt;0,"ERROR","OK")),"")</x:f>
        <x:v>OK</x:v>
      </x:c>
      <x:c r="H98" s="2" t="str">
        <x:f>IF(COUNTA('01_orders_raw'!A98:J98)&gt;0,IF(LEN('01_orders_raw'!B98&amp;"")=0,"SKIP",IF(OR(NOT(ISNUMBER('01_orders_raw'!B98)),'01_orders_raw'!B98&lt;=0,'01_orders_raw'!B98&gt;'09_parameters'!$B$2),"ERROR","OK")),"")</x:f>
        <x:v>OK</x:v>
      </x:c>
      <x:c r="I98" s="2" t="str">
        <x:f>IF(COUNTA('01_orders_raw'!A98:J98)&gt;0,IF(LEN('01_orders_raw'!J98&amp;"")=0,"SKIP",IF(AND('01_orders_raw'!J98&lt;&gt;"Выполнен",'01_orders_raw'!J98&lt;&gt;"В работе",'01_orders_raw'!J98&lt;&gt;"Отменен",'01_orders_raw'!J98&lt;&gt;"Ожидает оплаты"),"ERROR","OK")),"")</x:f>
        <x:v>OK</x:v>
      </x:c>
      <x:c r="J98" s="2" t="n">
        <x:f>COUNTIF(C98:I98,"ERROR")</x:f>
        <x:v>0</x:v>
      </x:c>
      <x:c r="K98" s="2" t="n">
        <x:f>IF(COUNTA('01_orders_raw'!A98:J98)&gt;0,98,"")</x:f>
        <x:v>98</x:v>
      </x:c>
    </x:row>
    <x:row r="99">
      <x:c r="A99" s="2" t="str">
        <x:f>IF(COUNTA('01_orders_raw'!A99:J99)&gt;0,"Order","")</x:f>
        <x:v>Order</x:v>
      </x:c>
      <x:c r="B99" s="2" t="n">
        <x:f>IF(COUNTA('01_orders_raw'!A99:J99)&gt;0,'01_orders_raw'!A99,"")</x:f>
        <x:v>1098</x:v>
      </x:c>
      <x:c r="C99" s="2" t="str">
        <x:f>IF(COUNTA('01_orders_raw'!A99:J99)&gt;0,IF(AND(LEN('01_orders_raw'!A99&amp;"")&gt;0,COUNTIF('01_orders_raw'!$A$2:$A$181,'01_orders_raw'!A99)&gt;1),"ERROR","OK"),"")</x:f>
        <x:v>OK</x:v>
      </x:c>
      <x:c r="D99" s="2" t="str">
        <x:f>IF(COUNTA('01_orders_raw'!A99:J99)&gt;0,IF(OR(LEN('01_orders_raw'!A99&amp;"")=0,LEN('01_orders_raw'!B99&amp;"")=0,LEN('01_orders_raw'!C99&amp;"")=0,LEN('01_orders_raw'!D99&amp;"")=0,LEN('01_orders_raw'!E99&amp;"")=0,LEN('01_orders_raw'!F99&amp;"")=0,LEN('01_orders_raw'!G99&amp;"")=0,LEN('01_orders_raw'!H99&amp;"")=0,LEN('01_orders_raw'!I99&amp;"")=0,LEN('01_orders_raw'!J99&amp;"")=0),"ERROR","OK"),"")</x:f>
        <x:v>OK</x:v>
      </x:c>
      <x:c r="E99" s="2" t="str">
        <x:f>IF(COUNTA('01_orders_raw'!A99:J99)&gt;0,IF(LEN('01_orders_raw'!C99&amp;"")=0,"SKIP",IF(COUNTIF('02_clients_raw'!$A$2:$A$67,'01_orders_raw'!C99)&lt;&gt;1,"ERROR","OK")),"")</x:f>
        <x:v>OK</x:v>
      </x:c>
      <x:c r="F99" s="2" t="str">
        <x:f>IF(COUNTA('01_orders_raw'!A99:J99)&gt;0,IF(OR(LEN('01_orders_raw'!G99&amp;"")=0,LEN('01_orders_raw'!H99&amp;"")=0,LEN('01_orders_raw'!I99&amp;"")=0),"SKIP",IF(AND(ISNUMBER('01_orders_raw'!G99),ISNUMBER('01_orders_raw'!H99),ISNUMBER('01_orders_raw'!I99)),IF(OR('01_orders_raw'!G99&lt;=0,MOD('01_orders_raw'!G99,1)&lt;&gt;0,ABS('01_orders_raw'!I99-'01_orders_raw'!G99*'01_orders_raw'!H99)&gt;'09_parameters'!$B$3),"ERROR","OK"),"ERROR")),"")</x:f>
        <x:v>OK</x:v>
      </x:c>
      <x:c r="G99" s="2" t="str">
        <x:f>IF(COUNTA('01_orders_raw'!A99:J99)&gt;0,IF(LEN('01_orders_raw'!H99&amp;"")=0,"SKIP",IF('01_orders_raw'!H99&lt;0,"ERROR","OK")),"")</x:f>
        <x:v>OK</x:v>
      </x:c>
      <x:c r="H99" s="2" t="str">
        <x:f>IF(COUNTA('01_orders_raw'!A99:J99)&gt;0,IF(LEN('01_orders_raw'!B99&amp;"")=0,"SKIP",IF(OR(NOT(ISNUMBER('01_orders_raw'!B99)),'01_orders_raw'!B99&lt;=0,'01_orders_raw'!B99&gt;'09_parameters'!$B$2),"ERROR","OK")),"")</x:f>
        <x:v>OK</x:v>
      </x:c>
      <x:c r="I99" s="2" t="str">
        <x:f>IF(COUNTA('01_orders_raw'!A99:J99)&gt;0,IF(LEN('01_orders_raw'!J99&amp;"")=0,"SKIP",IF(AND('01_orders_raw'!J99&lt;&gt;"Выполнен",'01_orders_raw'!J99&lt;&gt;"В работе",'01_orders_raw'!J99&lt;&gt;"Отменен",'01_orders_raw'!J99&lt;&gt;"Ожидает оплаты"),"ERROR","OK")),"")</x:f>
        <x:v>OK</x:v>
      </x:c>
      <x:c r="J99" s="2" t="n">
        <x:f>COUNTIF(C99:I99,"ERROR")</x:f>
        <x:v>0</x:v>
      </x:c>
      <x:c r="K99" s="2" t="n">
        <x:f>IF(COUNTA('01_orders_raw'!A99:J99)&gt;0,99,"")</x:f>
        <x:v>99</x:v>
      </x:c>
    </x:row>
    <x:row r="100">
      <x:c r="A100" s="2" t="str">
        <x:f>IF(COUNTA('01_orders_raw'!A100:J100)&gt;0,"Order","")</x:f>
        <x:v>Order</x:v>
      </x:c>
      <x:c r="B100" s="2" t="n">
        <x:f>IF(COUNTA('01_orders_raw'!A100:J100)&gt;0,'01_orders_raw'!A100,"")</x:f>
        <x:v>1099</x:v>
      </x:c>
      <x:c r="C100" s="2" t="str">
        <x:f>IF(COUNTA('01_orders_raw'!A100:J100)&gt;0,IF(AND(LEN('01_orders_raw'!A100&amp;"")&gt;0,COUNTIF('01_orders_raw'!$A$2:$A$181,'01_orders_raw'!A100)&gt;1),"ERROR","OK"),"")</x:f>
        <x:v>OK</x:v>
      </x:c>
      <x:c r="D100" s="2" t="str">
        <x:f>IF(COUNTA('01_orders_raw'!A100:J100)&gt;0,IF(OR(LEN('01_orders_raw'!A100&amp;"")=0,LEN('01_orders_raw'!B100&amp;"")=0,LEN('01_orders_raw'!C100&amp;"")=0,LEN('01_orders_raw'!D100&amp;"")=0,LEN('01_orders_raw'!E100&amp;"")=0,LEN('01_orders_raw'!F100&amp;"")=0,LEN('01_orders_raw'!G100&amp;"")=0,LEN('01_orders_raw'!H100&amp;"")=0,LEN('01_orders_raw'!I100&amp;"")=0,LEN('01_orders_raw'!J100&amp;"")=0),"ERROR","OK"),"")</x:f>
        <x:v>OK</x:v>
      </x:c>
      <x:c r="E100" s="2" t="str">
        <x:f>IF(COUNTA('01_orders_raw'!A100:J100)&gt;0,IF(LEN('01_orders_raw'!C100&amp;"")=0,"SKIP",IF(COUNTIF('02_clients_raw'!$A$2:$A$67,'01_orders_raw'!C100)&lt;&gt;1,"ERROR","OK")),"")</x:f>
        <x:v>OK</x:v>
      </x:c>
      <x:c r="F100" s="2" t="str">
        <x:f>IF(COUNTA('01_orders_raw'!A100:J100)&gt;0,IF(OR(LEN('01_orders_raw'!G100&amp;"")=0,LEN('01_orders_raw'!H100&amp;"")=0,LEN('01_orders_raw'!I100&amp;"")=0),"SKIP",IF(AND(ISNUMBER('01_orders_raw'!G100),ISNUMBER('01_orders_raw'!H100),ISNUMBER('01_orders_raw'!I100)),IF(OR('01_orders_raw'!G100&lt;=0,MOD('01_orders_raw'!G100,1)&lt;&gt;0,ABS('01_orders_raw'!I100-'01_orders_raw'!G100*'01_orders_raw'!H100)&gt;'09_parameters'!$B$3),"ERROR","OK"),"ERROR")),"")</x:f>
        <x:v>OK</x:v>
      </x:c>
      <x:c r="G100" s="2" t="str">
        <x:f>IF(COUNTA('01_orders_raw'!A100:J100)&gt;0,IF(LEN('01_orders_raw'!H100&amp;"")=0,"SKIP",IF('01_orders_raw'!H100&lt;0,"ERROR","OK")),"")</x:f>
        <x:v>OK</x:v>
      </x:c>
      <x:c r="H100" s="2" t="str">
        <x:f>IF(COUNTA('01_orders_raw'!A100:J100)&gt;0,IF(LEN('01_orders_raw'!B100&amp;"")=0,"SKIP",IF(OR(NOT(ISNUMBER('01_orders_raw'!B100)),'01_orders_raw'!B100&lt;=0,'01_orders_raw'!B100&gt;'09_parameters'!$B$2),"ERROR","OK")),"")</x:f>
        <x:v>OK</x:v>
      </x:c>
      <x:c r="I100" s="2" t="str">
        <x:f>IF(COUNTA('01_orders_raw'!A100:J100)&gt;0,IF(LEN('01_orders_raw'!J100&amp;"")=0,"SKIP",IF(AND('01_orders_raw'!J100&lt;&gt;"Выполнен",'01_orders_raw'!J100&lt;&gt;"В работе",'01_orders_raw'!J100&lt;&gt;"Отменен",'01_orders_raw'!J100&lt;&gt;"Ожидает оплаты"),"ERROR","OK")),"")</x:f>
        <x:v>OK</x:v>
      </x:c>
      <x:c r="J100" s="2" t="n">
        <x:f>COUNTIF(C100:I100,"ERROR")</x:f>
        <x:v>0</x:v>
      </x:c>
      <x:c r="K100" s="2" t="n">
        <x:f>IF(COUNTA('01_orders_raw'!A100:J100)&gt;0,100,"")</x:f>
        <x:v>100</x:v>
      </x:c>
    </x:row>
    <x:row r="101">
      <x:c r="A101" s="2" t="str">
        <x:f>IF(COUNTA('01_orders_raw'!A101:J101)&gt;0,"Order","")</x:f>
        <x:v>Order</x:v>
      </x:c>
      <x:c r="B101" s="2" t="n">
        <x:f>IF(COUNTA('01_orders_raw'!A101:J101)&gt;0,'01_orders_raw'!A101,"")</x:f>
        <x:v>1100</x:v>
      </x:c>
      <x:c r="C101" s="2" t="str">
        <x:f>IF(COUNTA('01_orders_raw'!A101:J101)&gt;0,IF(AND(LEN('01_orders_raw'!A101&amp;"")&gt;0,COUNTIF('01_orders_raw'!$A$2:$A$181,'01_orders_raw'!A101)&gt;1),"ERROR","OK"),"")</x:f>
        <x:v>OK</x:v>
      </x:c>
      <x:c r="D101" s="2" t="str">
        <x:f>IF(COUNTA('01_orders_raw'!A101:J101)&gt;0,IF(OR(LEN('01_orders_raw'!A101&amp;"")=0,LEN('01_orders_raw'!B101&amp;"")=0,LEN('01_orders_raw'!C101&amp;"")=0,LEN('01_orders_raw'!D101&amp;"")=0,LEN('01_orders_raw'!E101&amp;"")=0,LEN('01_orders_raw'!F101&amp;"")=0,LEN('01_orders_raw'!G101&amp;"")=0,LEN('01_orders_raw'!H101&amp;"")=0,LEN('01_orders_raw'!I101&amp;"")=0,LEN('01_orders_raw'!J101&amp;"")=0),"ERROR","OK"),"")</x:f>
        <x:v>OK</x:v>
      </x:c>
      <x:c r="E101" s="2" t="str">
        <x:f>IF(COUNTA('01_orders_raw'!A101:J101)&gt;0,IF(LEN('01_orders_raw'!C101&amp;"")=0,"SKIP",IF(COUNTIF('02_clients_raw'!$A$2:$A$67,'01_orders_raw'!C101)&lt;&gt;1,"ERROR","OK")),"")</x:f>
        <x:v>OK</x:v>
      </x:c>
      <x:c r="F101" s="2" t="str">
        <x:f>IF(COUNTA('01_orders_raw'!A101:J101)&gt;0,IF(OR(LEN('01_orders_raw'!G101&amp;"")=0,LEN('01_orders_raw'!H101&amp;"")=0,LEN('01_orders_raw'!I101&amp;"")=0),"SKIP",IF(AND(ISNUMBER('01_orders_raw'!G101),ISNUMBER('01_orders_raw'!H101),ISNUMBER('01_orders_raw'!I101)),IF(OR('01_orders_raw'!G101&lt;=0,MOD('01_orders_raw'!G101,1)&lt;&gt;0,ABS('01_orders_raw'!I101-'01_orders_raw'!G101*'01_orders_raw'!H101)&gt;'09_parameters'!$B$3),"ERROR","OK"),"ERROR")),"")</x:f>
        <x:v>OK</x:v>
      </x:c>
      <x:c r="G101" s="2" t="str">
        <x:f>IF(COUNTA('01_orders_raw'!A101:J101)&gt;0,IF(LEN('01_orders_raw'!H101&amp;"")=0,"SKIP",IF('01_orders_raw'!H101&lt;0,"ERROR","OK")),"")</x:f>
        <x:v>OK</x:v>
      </x:c>
      <x:c r="H101" s="2" t="str">
        <x:f>IF(COUNTA('01_orders_raw'!A101:J101)&gt;0,IF(LEN('01_orders_raw'!B101&amp;"")=0,"SKIP",IF(OR(NOT(ISNUMBER('01_orders_raw'!B101)),'01_orders_raw'!B101&lt;=0,'01_orders_raw'!B101&gt;'09_parameters'!$B$2),"ERROR","OK")),"")</x:f>
        <x:v>OK</x:v>
      </x:c>
      <x:c r="I101" s="2" t="str">
        <x:f>IF(COUNTA('01_orders_raw'!A101:J101)&gt;0,IF(LEN('01_orders_raw'!J101&amp;"")=0,"SKIP",IF(AND('01_orders_raw'!J101&lt;&gt;"Выполнен",'01_orders_raw'!J101&lt;&gt;"В работе",'01_orders_raw'!J101&lt;&gt;"Отменен",'01_orders_raw'!J101&lt;&gt;"Ожидает оплаты"),"ERROR","OK")),"")</x:f>
        <x:v>OK</x:v>
      </x:c>
      <x:c r="J101" s="2" t="n">
        <x:f>COUNTIF(C101:I101,"ERROR")</x:f>
        <x:v>0</x:v>
      </x:c>
      <x:c r="K101" s="2" t="n">
        <x:f>IF(COUNTA('01_orders_raw'!A101:J101)&gt;0,101,"")</x:f>
        <x:v>101</x:v>
      </x:c>
    </x:row>
    <x:row r="102">
      <x:c r="A102" s="2" t="str">
        <x:f>IF(COUNTA('01_orders_raw'!A102:J102)&gt;0,"Order","")</x:f>
        <x:v>Order</x:v>
      </x:c>
      <x:c r="B102" s="2" t="n">
        <x:f>IF(COUNTA('01_orders_raw'!A102:J102)&gt;0,'01_orders_raw'!A102,"")</x:f>
        <x:v>1101</x:v>
      </x:c>
      <x:c r="C102" s="2" t="str">
        <x:f>IF(COUNTA('01_orders_raw'!A102:J102)&gt;0,IF(AND(LEN('01_orders_raw'!A102&amp;"")&gt;0,COUNTIF('01_orders_raw'!$A$2:$A$181,'01_orders_raw'!A102)&gt;1),"ERROR","OK"),"")</x:f>
        <x:v>OK</x:v>
      </x:c>
      <x:c r="D102" s="2" t="str">
        <x:f>IF(COUNTA('01_orders_raw'!A102:J102)&gt;0,IF(OR(LEN('01_orders_raw'!A102&amp;"")=0,LEN('01_orders_raw'!B102&amp;"")=0,LEN('01_orders_raw'!C102&amp;"")=0,LEN('01_orders_raw'!D102&amp;"")=0,LEN('01_orders_raw'!E102&amp;"")=0,LEN('01_orders_raw'!F102&amp;"")=0,LEN('01_orders_raw'!G102&amp;"")=0,LEN('01_orders_raw'!H102&amp;"")=0,LEN('01_orders_raw'!I102&amp;"")=0,LEN('01_orders_raw'!J102&amp;"")=0),"ERROR","OK"),"")</x:f>
        <x:v>OK</x:v>
      </x:c>
      <x:c r="E102" s="2" t="str">
        <x:f>IF(COUNTA('01_orders_raw'!A102:J102)&gt;0,IF(LEN('01_orders_raw'!C102&amp;"")=0,"SKIP",IF(COUNTIF('02_clients_raw'!$A$2:$A$67,'01_orders_raw'!C102)&lt;&gt;1,"ERROR","OK")),"")</x:f>
        <x:v>OK</x:v>
      </x:c>
      <x:c r="F102" s="2" t="str">
        <x:f>IF(COUNTA('01_orders_raw'!A102:J102)&gt;0,IF(OR(LEN('01_orders_raw'!G102&amp;"")=0,LEN('01_orders_raw'!H102&amp;"")=0,LEN('01_orders_raw'!I102&amp;"")=0),"SKIP",IF(AND(ISNUMBER('01_orders_raw'!G102),ISNUMBER('01_orders_raw'!H102),ISNUMBER('01_orders_raw'!I102)),IF(OR('01_orders_raw'!G102&lt;=0,MOD('01_orders_raw'!G102,1)&lt;&gt;0,ABS('01_orders_raw'!I102-'01_orders_raw'!G102*'01_orders_raw'!H102)&gt;'09_parameters'!$B$3),"ERROR","OK"),"ERROR")),"")</x:f>
        <x:v>OK</x:v>
      </x:c>
      <x:c r="G102" s="2" t="str">
        <x:f>IF(COUNTA('01_orders_raw'!A102:J102)&gt;0,IF(LEN('01_orders_raw'!H102&amp;"")=0,"SKIP",IF('01_orders_raw'!H102&lt;0,"ERROR","OK")),"")</x:f>
        <x:v>OK</x:v>
      </x:c>
      <x:c r="H102" s="2" t="str">
        <x:f>IF(COUNTA('01_orders_raw'!A102:J102)&gt;0,IF(LEN('01_orders_raw'!B102&amp;"")=0,"SKIP",IF(OR(NOT(ISNUMBER('01_orders_raw'!B102)),'01_orders_raw'!B102&lt;=0,'01_orders_raw'!B102&gt;'09_parameters'!$B$2),"ERROR","OK")),"")</x:f>
        <x:v>OK</x:v>
      </x:c>
      <x:c r="I102" s="2" t="str">
        <x:f>IF(COUNTA('01_orders_raw'!A102:J102)&gt;0,IF(LEN('01_orders_raw'!J102&amp;"")=0,"SKIP",IF(AND('01_orders_raw'!J102&lt;&gt;"Выполнен",'01_orders_raw'!J102&lt;&gt;"В работе",'01_orders_raw'!J102&lt;&gt;"Отменен",'01_orders_raw'!J102&lt;&gt;"Ожидает оплаты"),"ERROR","OK")),"")</x:f>
        <x:v>OK</x:v>
      </x:c>
      <x:c r="J102" s="2" t="n">
        <x:f>COUNTIF(C102:I102,"ERROR")</x:f>
        <x:v>0</x:v>
      </x:c>
      <x:c r="K102" s="2" t="n">
        <x:f>IF(COUNTA('01_orders_raw'!A102:J102)&gt;0,102,"")</x:f>
        <x:v>102</x:v>
      </x:c>
    </x:row>
    <x:row r="103">
      <x:c r="A103" s="2" t="str">
        <x:f>IF(COUNTA('01_orders_raw'!A103:J103)&gt;0,"Order","")</x:f>
        <x:v>Order</x:v>
      </x:c>
      <x:c r="B103" s="2" t="n">
        <x:f>IF(COUNTA('01_orders_raw'!A103:J103)&gt;0,'01_orders_raw'!A103,"")</x:f>
        <x:v>1102</x:v>
      </x:c>
      <x:c r="C103" s="2" t="str">
        <x:f>IF(COUNTA('01_orders_raw'!A103:J103)&gt;0,IF(AND(LEN('01_orders_raw'!A103&amp;"")&gt;0,COUNTIF('01_orders_raw'!$A$2:$A$181,'01_orders_raw'!A103)&gt;1),"ERROR","OK"),"")</x:f>
        <x:v>OK</x:v>
      </x:c>
      <x:c r="D103" s="2" t="str">
        <x:f>IF(COUNTA('01_orders_raw'!A103:J103)&gt;0,IF(OR(LEN('01_orders_raw'!A103&amp;"")=0,LEN('01_orders_raw'!B103&amp;"")=0,LEN('01_orders_raw'!C103&amp;"")=0,LEN('01_orders_raw'!D103&amp;"")=0,LEN('01_orders_raw'!E103&amp;"")=0,LEN('01_orders_raw'!F103&amp;"")=0,LEN('01_orders_raw'!G103&amp;"")=0,LEN('01_orders_raw'!H103&amp;"")=0,LEN('01_orders_raw'!I103&amp;"")=0,LEN('01_orders_raw'!J103&amp;"")=0),"ERROR","OK"),"")</x:f>
        <x:v>OK</x:v>
      </x:c>
      <x:c r="E103" s="2" t="str">
        <x:f>IF(COUNTA('01_orders_raw'!A103:J103)&gt;0,IF(LEN('01_orders_raw'!C103&amp;"")=0,"SKIP",IF(COUNTIF('02_clients_raw'!$A$2:$A$67,'01_orders_raw'!C103)&lt;&gt;1,"ERROR","OK")),"")</x:f>
        <x:v>OK</x:v>
      </x:c>
      <x:c r="F103" s="2" t="str">
        <x:f>IF(COUNTA('01_orders_raw'!A103:J103)&gt;0,IF(OR(LEN('01_orders_raw'!G103&amp;"")=0,LEN('01_orders_raw'!H103&amp;"")=0,LEN('01_orders_raw'!I103&amp;"")=0),"SKIP",IF(AND(ISNUMBER('01_orders_raw'!G103),ISNUMBER('01_orders_raw'!H103),ISNUMBER('01_orders_raw'!I103)),IF(OR('01_orders_raw'!G103&lt;=0,MOD('01_orders_raw'!G103,1)&lt;&gt;0,ABS('01_orders_raw'!I103-'01_orders_raw'!G103*'01_orders_raw'!H103)&gt;'09_parameters'!$B$3),"ERROR","OK"),"ERROR")),"")</x:f>
        <x:v>OK</x:v>
      </x:c>
      <x:c r="G103" s="2" t="str">
        <x:f>IF(COUNTA('01_orders_raw'!A103:J103)&gt;0,IF(LEN('01_orders_raw'!H103&amp;"")=0,"SKIP",IF('01_orders_raw'!H103&lt;0,"ERROR","OK")),"")</x:f>
        <x:v>OK</x:v>
      </x:c>
      <x:c r="H103" s="2" t="str">
        <x:f>IF(COUNTA('01_orders_raw'!A103:J103)&gt;0,IF(LEN('01_orders_raw'!B103&amp;"")=0,"SKIP",IF(OR(NOT(ISNUMBER('01_orders_raw'!B103)),'01_orders_raw'!B103&lt;=0,'01_orders_raw'!B103&gt;'09_parameters'!$B$2),"ERROR","OK")),"")</x:f>
        <x:v>OK</x:v>
      </x:c>
      <x:c r="I103" s="2" t="str">
        <x:f>IF(COUNTA('01_orders_raw'!A103:J103)&gt;0,IF(LEN('01_orders_raw'!J103&amp;"")=0,"SKIP",IF(AND('01_orders_raw'!J103&lt;&gt;"Выполнен",'01_orders_raw'!J103&lt;&gt;"В работе",'01_orders_raw'!J103&lt;&gt;"Отменен",'01_orders_raw'!J103&lt;&gt;"Ожидает оплаты"),"ERROR","OK")),"")</x:f>
        <x:v>OK</x:v>
      </x:c>
      <x:c r="J103" s="2" t="n">
        <x:f>COUNTIF(C103:I103,"ERROR")</x:f>
        <x:v>0</x:v>
      </x:c>
      <x:c r="K103" s="2" t="n">
        <x:f>IF(COUNTA('01_orders_raw'!A103:J103)&gt;0,103,"")</x:f>
        <x:v>103</x:v>
      </x:c>
    </x:row>
    <x:row r="104">
      <x:c r="A104" s="2" t="str">
        <x:f>IF(COUNTA('01_orders_raw'!A104:J104)&gt;0,"Order","")</x:f>
        <x:v>Order</x:v>
      </x:c>
      <x:c r="B104" s="2" t="n">
        <x:f>IF(COUNTA('01_orders_raw'!A104:J104)&gt;0,'01_orders_raw'!A104,"")</x:f>
        <x:v>1103</x:v>
      </x:c>
      <x:c r="C104" s="2" t="str">
        <x:f>IF(COUNTA('01_orders_raw'!A104:J104)&gt;0,IF(AND(LEN('01_orders_raw'!A104&amp;"")&gt;0,COUNTIF('01_orders_raw'!$A$2:$A$181,'01_orders_raw'!A104)&gt;1),"ERROR","OK"),"")</x:f>
        <x:v>OK</x:v>
      </x:c>
      <x:c r="D104" s="2" t="str">
        <x:f>IF(COUNTA('01_orders_raw'!A104:J104)&gt;0,IF(OR(LEN('01_orders_raw'!A104&amp;"")=0,LEN('01_orders_raw'!B104&amp;"")=0,LEN('01_orders_raw'!C104&amp;"")=0,LEN('01_orders_raw'!D104&amp;"")=0,LEN('01_orders_raw'!E104&amp;"")=0,LEN('01_orders_raw'!F104&amp;"")=0,LEN('01_orders_raw'!G104&amp;"")=0,LEN('01_orders_raw'!H104&amp;"")=0,LEN('01_orders_raw'!I104&amp;"")=0,LEN('01_orders_raw'!J104&amp;"")=0),"ERROR","OK"),"")</x:f>
        <x:v>OK</x:v>
      </x:c>
      <x:c r="E104" s="2" t="str">
        <x:f>IF(COUNTA('01_orders_raw'!A104:J104)&gt;0,IF(LEN('01_orders_raw'!C104&amp;"")=0,"SKIP",IF(COUNTIF('02_clients_raw'!$A$2:$A$67,'01_orders_raw'!C104)&lt;&gt;1,"ERROR","OK")),"")</x:f>
        <x:v>OK</x:v>
      </x:c>
      <x:c r="F104" s="2" t="str">
        <x:f>IF(COUNTA('01_orders_raw'!A104:J104)&gt;0,IF(OR(LEN('01_orders_raw'!G104&amp;"")=0,LEN('01_orders_raw'!H104&amp;"")=0,LEN('01_orders_raw'!I104&amp;"")=0),"SKIP",IF(AND(ISNUMBER('01_orders_raw'!G104),ISNUMBER('01_orders_raw'!H104),ISNUMBER('01_orders_raw'!I104)),IF(OR('01_orders_raw'!G104&lt;=0,MOD('01_orders_raw'!G104,1)&lt;&gt;0,ABS('01_orders_raw'!I104-'01_orders_raw'!G104*'01_orders_raw'!H104)&gt;'09_parameters'!$B$3),"ERROR","OK"),"ERROR")),"")</x:f>
        <x:v>OK</x:v>
      </x:c>
      <x:c r="G104" s="2" t="str">
        <x:f>IF(COUNTA('01_orders_raw'!A104:J104)&gt;0,IF(LEN('01_orders_raw'!H104&amp;"")=0,"SKIP",IF('01_orders_raw'!H104&lt;0,"ERROR","OK")),"")</x:f>
        <x:v>OK</x:v>
      </x:c>
      <x:c r="H104" s="2" t="str">
        <x:f>IF(COUNTA('01_orders_raw'!A104:J104)&gt;0,IF(LEN('01_orders_raw'!B104&amp;"")=0,"SKIP",IF(OR(NOT(ISNUMBER('01_orders_raw'!B104)),'01_orders_raw'!B104&lt;=0,'01_orders_raw'!B104&gt;'09_parameters'!$B$2),"ERROR","OK")),"")</x:f>
        <x:v>OK</x:v>
      </x:c>
      <x:c r="I104" s="2" t="str">
        <x:f>IF(COUNTA('01_orders_raw'!A104:J104)&gt;0,IF(LEN('01_orders_raw'!J104&amp;"")=0,"SKIP",IF(AND('01_orders_raw'!J104&lt;&gt;"Выполнен",'01_orders_raw'!J104&lt;&gt;"В работе",'01_orders_raw'!J104&lt;&gt;"Отменен",'01_orders_raw'!J104&lt;&gt;"Ожидает оплаты"),"ERROR","OK")),"")</x:f>
        <x:v>OK</x:v>
      </x:c>
      <x:c r="J104" s="2" t="n">
        <x:f>COUNTIF(C104:I104,"ERROR")</x:f>
        <x:v>0</x:v>
      </x:c>
      <x:c r="K104" s="2" t="n">
        <x:f>IF(COUNTA('01_orders_raw'!A104:J104)&gt;0,104,"")</x:f>
        <x:v>104</x:v>
      </x:c>
    </x:row>
    <x:row r="105">
      <x:c r="A105" s="2" t="str">
        <x:f>IF(COUNTA('01_orders_raw'!A105:J105)&gt;0,"Order","")</x:f>
        <x:v>Order</x:v>
      </x:c>
      <x:c r="B105" s="2" t="n">
        <x:f>IF(COUNTA('01_orders_raw'!A105:J105)&gt;0,'01_orders_raw'!A105,"")</x:f>
        <x:v>1104</x:v>
      </x:c>
      <x:c r="C105" s="2" t="str">
        <x:f>IF(COUNTA('01_orders_raw'!A105:J105)&gt;0,IF(AND(LEN('01_orders_raw'!A105&amp;"")&gt;0,COUNTIF('01_orders_raw'!$A$2:$A$181,'01_orders_raw'!A105)&gt;1),"ERROR","OK"),"")</x:f>
        <x:v>OK</x:v>
      </x:c>
      <x:c r="D105" s="2" t="str">
        <x:f>IF(COUNTA('01_orders_raw'!A105:J105)&gt;0,IF(OR(LEN('01_orders_raw'!A105&amp;"")=0,LEN('01_orders_raw'!B105&amp;"")=0,LEN('01_orders_raw'!C105&amp;"")=0,LEN('01_orders_raw'!D105&amp;"")=0,LEN('01_orders_raw'!E105&amp;"")=0,LEN('01_orders_raw'!F105&amp;"")=0,LEN('01_orders_raw'!G105&amp;"")=0,LEN('01_orders_raw'!H105&amp;"")=0,LEN('01_orders_raw'!I105&amp;"")=0,LEN('01_orders_raw'!J105&amp;"")=0),"ERROR","OK"),"")</x:f>
        <x:v>OK</x:v>
      </x:c>
      <x:c r="E105" s="2" t="str">
        <x:f>IF(COUNTA('01_orders_raw'!A105:J105)&gt;0,IF(LEN('01_orders_raw'!C105&amp;"")=0,"SKIP",IF(COUNTIF('02_clients_raw'!$A$2:$A$67,'01_orders_raw'!C105)&lt;&gt;1,"ERROR","OK")),"")</x:f>
        <x:v>OK</x:v>
      </x:c>
      <x:c r="F105" s="2" t="str">
        <x:f>IF(COUNTA('01_orders_raw'!A105:J105)&gt;0,IF(OR(LEN('01_orders_raw'!G105&amp;"")=0,LEN('01_orders_raw'!H105&amp;"")=0,LEN('01_orders_raw'!I105&amp;"")=0),"SKIP",IF(AND(ISNUMBER('01_orders_raw'!G105),ISNUMBER('01_orders_raw'!H105),ISNUMBER('01_orders_raw'!I105)),IF(OR('01_orders_raw'!G105&lt;=0,MOD('01_orders_raw'!G105,1)&lt;&gt;0,ABS('01_orders_raw'!I105-'01_orders_raw'!G105*'01_orders_raw'!H105)&gt;'09_parameters'!$B$3),"ERROR","OK"),"ERROR")),"")</x:f>
        <x:v>OK</x:v>
      </x:c>
      <x:c r="G105" s="2" t="str">
        <x:f>IF(COUNTA('01_orders_raw'!A105:J105)&gt;0,IF(LEN('01_orders_raw'!H105&amp;"")=0,"SKIP",IF('01_orders_raw'!H105&lt;0,"ERROR","OK")),"")</x:f>
        <x:v>OK</x:v>
      </x:c>
      <x:c r="H105" s="2" t="str">
        <x:f>IF(COUNTA('01_orders_raw'!A105:J105)&gt;0,IF(LEN('01_orders_raw'!B105&amp;"")=0,"SKIP",IF(OR(NOT(ISNUMBER('01_orders_raw'!B105)),'01_orders_raw'!B105&lt;=0,'01_orders_raw'!B105&gt;'09_parameters'!$B$2),"ERROR","OK")),"")</x:f>
        <x:v>OK</x:v>
      </x:c>
      <x:c r="I105" s="2" t="str">
        <x:f>IF(COUNTA('01_orders_raw'!A105:J105)&gt;0,IF(LEN('01_orders_raw'!J105&amp;"")=0,"SKIP",IF(AND('01_orders_raw'!J105&lt;&gt;"Выполнен",'01_orders_raw'!J105&lt;&gt;"В работе",'01_orders_raw'!J105&lt;&gt;"Отменен",'01_orders_raw'!J105&lt;&gt;"Ожидает оплаты"),"ERROR","OK")),"")</x:f>
        <x:v>OK</x:v>
      </x:c>
      <x:c r="J105" s="2" t="n">
        <x:f>COUNTIF(C105:I105,"ERROR")</x:f>
        <x:v>0</x:v>
      </x:c>
      <x:c r="K105" s="2" t="n">
        <x:f>IF(COUNTA('01_orders_raw'!A105:J105)&gt;0,105,"")</x:f>
        <x:v>105</x:v>
      </x:c>
    </x:row>
    <x:row r="106">
      <x:c r="A106" s="2" t="str">
        <x:f>IF(COUNTA('01_orders_raw'!A106:J106)&gt;0,"Order","")</x:f>
        <x:v>Order</x:v>
      </x:c>
      <x:c r="B106" s="2" t="n">
        <x:f>IF(COUNTA('01_orders_raw'!A106:J106)&gt;0,'01_orders_raw'!A106,"")</x:f>
        <x:v>1105</x:v>
      </x:c>
      <x:c r="C106" s="2" t="str">
        <x:f>IF(COUNTA('01_orders_raw'!A106:J106)&gt;0,IF(AND(LEN('01_orders_raw'!A106&amp;"")&gt;0,COUNTIF('01_orders_raw'!$A$2:$A$181,'01_orders_raw'!A106)&gt;1),"ERROR","OK"),"")</x:f>
        <x:v>OK</x:v>
      </x:c>
      <x:c r="D106" s="2" t="str">
        <x:f>IF(COUNTA('01_orders_raw'!A106:J106)&gt;0,IF(OR(LEN('01_orders_raw'!A106&amp;"")=0,LEN('01_orders_raw'!B106&amp;"")=0,LEN('01_orders_raw'!C106&amp;"")=0,LEN('01_orders_raw'!D106&amp;"")=0,LEN('01_orders_raw'!E106&amp;"")=0,LEN('01_orders_raw'!F106&amp;"")=0,LEN('01_orders_raw'!G106&amp;"")=0,LEN('01_orders_raw'!H106&amp;"")=0,LEN('01_orders_raw'!I106&amp;"")=0,LEN('01_orders_raw'!J106&amp;"")=0),"ERROR","OK"),"")</x:f>
        <x:v>OK</x:v>
      </x:c>
      <x:c r="E106" s="2" t="str">
        <x:f>IF(COUNTA('01_orders_raw'!A106:J106)&gt;0,IF(LEN('01_orders_raw'!C106&amp;"")=0,"SKIP",IF(COUNTIF('02_clients_raw'!$A$2:$A$67,'01_orders_raw'!C106)&lt;&gt;1,"ERROR","OK")),"")</x:f>
        <x:v>OK</x:v>
      </x:c>
      <x:c r="F106" s="2" t="str">
        <x:f>IF(COUNTA('01_orders_raw'!A106:J106)&gt;0,IF(OR(LEN('01_orders_raw'!G106&amp;"")=0,LEN('01_orders_raw'!H106&amp;"")=0,LEN('01_orders_raw'!I106&amp;"")=0),"SKIP",IF(AND(ISNUMBER('01_orders_raw'!G106),ISNUMBER('01_orders_raw'!H106),ISNUMBER('01_orders_raw'!I106)),IF(OR('01_orders_raw'!G106&lt;=0,MOD('01_orders_raw'!G106,1)&lt;&gt;0,ABS('01_orders_raw'!I106-'01_orders_raw'!G106*'01_orders_raw'!H106)&gt;'09_parameters'!$B$3),"ERROR","OK"),"ERROR")),"")</x:f>
        <x:v>OK</x:v>
      </x:c>
      <x:c r="G106" s="2" t="str">
        <x:f>IF(COUNTA('01_orders_raw'!A106:J106)&gt;0,IF(LEN('01_orders_raw'!H106&amp;"")=0,"SKIP",IF('01_orders_raw'!H106&lt;0,"ERROR","OK")),"")</x:f>
        <x:v>OK</x:v>
      </x:c>
      <x:c r="H106" s="2" t="str">
        <x:f>IF(COUNTA('01_orders_raw'!A106:J106)&gt;0,IF(LEN('01_orders_raw'!B106&amp;"")=0,"SKIP",IF(OR(NOT(ISNUMBER('01_orders_raw'!B106)),'01_orders_raw'!B106&lt;=0,'01_orders_raw'!B106&gt;'09_parameters'!$B$2),"ERROR","OK")),"")</x:f>
        <x:v>OK</x:v>
      </x:c>
      <x:c r="I106" s="2" t="str">
        <x:f>IF(COUNTA('01_orders_raw'!A106:J106)&gt;0,IF(LEN('01_orders_raw'!J106&amp;"")=0,"SKIP",IF(AND('01_orders_raw'!J106&lt;&gt;"Выполнен",'01_orders_raw'!J106&lt;&gt;"В работе",'01_orders_raw'!J106&lt;&gt;"Отменен",'01_orders_raw'!J106&lt;&gt;"Ожидает оплаты"),"ERROR","OK")),"")</x:f>
        <x:v>OK</x:v>
      </x:c>
      <x:c r="J106" s="2" t="n">
        <x:f>COUNTIF(C106:I106,"ERROR")</x:f>
        <x:v>0</x:v>
      </x:c>
      <x:c r="K106" s="2" t="n">
        <x:f>IF(COUNTA('01_orders_raw'!A106:J106)&gt;0,106,"")</x:f>
        <x:v>106</x:v>
      </x:c>
    </x:row>
    <x:row r="107">
      <x:c r="A107" s="2" t="str">
        <x:f>IF(COUNTA('01_orders_raw'!A107:J107)&gt;0,"Order","")</x:f>
        <x:v>Order</x:v>
      </x:c>
      <x:c r="B107" s="2" t="n">
        <x:f>IF(COUNTA('01_orders_raw'!A107:J107)&gt;0,'01_orders_raw'!A107,"")</x:f>
        <x:v>1106</x:v>
      </x:c>
      <x:c r="C107" s="2" t="str">
        <x:f>IF(COUNTA('01_orders_raw'!A107:J107)&gt;0,IF(AND(LEN('01_orders_raw'!A107&amp;"")&gt;0,COUNTIF('01_orders_raw'!$A$2:$A$181,'01_orders_raw'!A107)&gt;1),"ERROR","OK"),"")</x:f>
        <x:v>OK</x:v>
      </x:c>
      <x:c r="D107" s="2" t="str">
        <x:f>IF(COUNTA('01_orders_raw'!A107:J107)&gt;0,IF(OR(LEN('01_orders_raw'!A107&amp;"")=0,LEN('01_orders_raw'!B107&amp;"")=0,LEN('01_orders_raw'!C107&amp;"")=0,LEN('01_orders_raw'!D107&amp;"")=0,LEN('01_orders_raw'!E107&amp;"")=0,LEN('01_orders_raw'!F107&amp;"")=0,LEN('01_orders_raw'!G107&amp;"")=0,LEN('01_orders_raw'!H107&amp;"")=0,LEN('01_orders_raw'!I107&amp;"")=0,LEN('01_orders_raw'!J107&amp;"")=0),"ERROR","OK"),"")</x:f>
        <x:v>OK</x:v>
      </x:c>
      <x:c r="E107" s="2" t="str">
        <x:f>IF(COUNTA('01_orders_raw'!A107:J107)&gt;0,IF(LEN('01_orders_raw'!C107&amp;"")=0,"SKIP",IF(COUNTIF('02_clients_raw'!$A$2:$A$67,'01_orders_raw'!C107)&lt;&gt;1,"ERROR","OK")),"")</x:f>
        <x:v>OK</x:v>
      </x:c>
      <x:c r="F107" s="2" t="str">
        <x:f>IF(COUNTA('01_orders_raw'!A107:J107)&gt;0,IF(OR(LEN('01_orders_raw'!G107&amp;"")=0,LEN('01_orders_raw'!H107&amp;"")=0,LEN('01_orders_raw'!I107&amp;"")=0),"SKIP",IF(AND(ISNUMBER('01_orders_raw'!G107),ISNUMBER('01_orders_raw'!H107),ISNUMBER('01_orders_raw'!I107)),IF(OR('01_orders_raw'!G107&lt;=0,MOD('01_orders_raw'!G107,1)&lt;&gt;0,ABS('01_orders_raw'!I107-'01_orders_raw'!G107*'01_orders_raw'!H107)&gt;'09_parameters'!$B$3),"ERROR","OK"),"ERROR")),"")</x:f>
        <x:v>OK</x:v>
      </x:c>
      <x:c r="G107" s="2" t="str">
        <x:f>IF(COUNTA('01_orders_raw'!A107:J107)&gt;0,IF(LEN('01_orders_raw'!H107&amp;"")=0,"SKIP",IF('01_orders_raw'!H107&lt;0,"ERROR","OK")),"")</x:f>
        <x:v>OK</x:v>
      </x:c>
      <x:c r="H107" s="2" t="str">
        <x:f>IF(COUNTA('01_orders_raw'!A107:J107)&gt;0,IF(LEN('01_orders_raw'!B107&amp;"")=0,"SKIP",IF(OR(NOT(ISNUMBER('01_orders_raw'!B107)),'01_orders_raw'!B107&lt;=0,'01_orders_raw'!B107&gt;'09_parameters'!$B$2),"ERROR","OK")),"")</x:f>
        <x:v>OK</x:v>
      </x:c>
      <x:c r="I107" s="2" t="str">
        <x:f>IF(COUNTA('01_orders_raw'!A107:J107)&gt;0,IF(LEN('01_orders_raw'!J107&amp;"")=0,"SKIP",IF(AND('01_orders_raw'!J107&lt;&gt;"Выполнен",'01_orders_raw'!J107&lt;&gt;"В работе",'01_orders_raw'!J107&lt;&gt;"Отменен",'01_orders_raw'!J107&lt;&gt;"Ожидает оплаты"),"ERROR","OK")),"")</x:f>
        <x:v>OK</x:v>
      </x:c>
      <x:c r="J107" s="2" t="n">
        <x:f>COUNTIF(C107:I107,"ERROR")</x:f>
        <x:v>0</x:v>
      </x:c>
      <x:c r="K107" s="2" t="n">
        <x:f>IF(COUNTA('01_orders_raw'!A107:J107)&gt;0,107,"")</x:f>
        <x:v>107</x:v>
      </x:c>
    </x:row>
    <x:row r="108">
      <x:c r="A108" s="2" t="str">
        <x:f>IF(COUNTA('01_orders_raw'!A108:J108)&gt;0,"Order","")</x:f>
        <x:v>Order</x:v>
      </x:c>
      <x:c r="B108" s="2" t="n">
        <x:f>IF(COUNTA('01_orders_raw'!A108:J108)&gt;0,'01_orders_raw'!A108,"")</x:f>
        <x:v>1107</x:v>
      </x:c>
      <x:c r="C108" s="2" t="str">
        <x:f>IF(COUNTA('01_orders_raw'!A108:J108)&gt;0,IF(AND(LEN('01_orders_raw'!A108&amp;"")&gt;0,COUNTIF('01_orders_raw'!$A$2:$A$181,'01_orders_raw'!A108)&gt;1),"ERROR","OK"),"")</x:f>
        <x:v>OK</x:v>
      </x:c>
      <x:c r="D108" s="2" t="str">
        <x:f>IF(COUNTA('01_orders_raw'!A108:J108)&gt;0,IF(OR(LEN('01_orders_raw'!A108&amp;"")=0,LEN('01_orders_raw'!B108&amp;"")=0,LEN('01_orders_raw'!C108&amp;"")=0,LEN('01_orders_raw'!D108&amp;"")=0,LEN('01_orders_raw'!E108&amp;"")=0,LEN('01_orders_raw'!F108&amp;"")=0,LEN('01_orders_raw'!G108&amp;"")=0,LEN('01_orders_raw'!H108&amp;"")=0,LEN('01_orders_raw'!I108&amp;"")=0,LEN('01_orders_raw'!J108&amp;"")=0),"ERROR","OK"),"")</x:f>
        <x:v>OK</x:v>
      </x:c>
      <x:c r="E108" s="2" t="str">
        <x:f>IF(COUNTA('01_orders_raw'!A108:J108)&gt;0,IF(LEN('01_orders_raw'!C108&amp;"")=0,"SKIP",IF(COUNTIF('02_clients_raw'!$A$2:$A$67,'01_orders_raw'!C108)&lt;&gt;1,"ERROR","OK")),"")</x:f>
        <x:v>OK</x:v>
      </x:c>
      <x:c r="F108" s="2" t="str">
        <x:f>IF(COUNTA('01_orders_raw'!A108:J108)&gt;0,IF(OR(LEN('01_orders_raw'!G108&amp;"")=0,LEN('01_orders_raw'!H108&amp;"")=0,LEN('01_orders_raw'!I108&amp;"")=0),"SKIP",IF(AND(ISNUMBER('01_orders_raw'!G108),ISNUMBER('01_orders_raw'!H108),ISNUMBER('01_orders_raw'!I108)),IF(OR('01_orders_raw'!G108&lt;=0,MOD('01_orders_raw'!G108,1)&lt;&gt;0,ABS('01_orders_raw'!I108-'01_orders_raw'!G108*'01_orders_raw'!H108)&gt;'09_parameters'!$B$3),"ERROR","OK"),"ERROR")),"")</x:f>
        <x:v>OK</x:v>
      </x:c>
      <x:c r="G108" s="2" t="str">
        <x:f>IF(COUNTA('01_orders_raw'!A108:J108)&gt;0,IF(LEN('01_orders_raw'!H108&amp;"")=0,"SKIP",IF('01_orders_raw'!H108&lt;0,"ERROR","OK")),"")</x:f>
        <x:v>OK</x:v>
      </x:c>
      <x:c r="H108" s="2" t="str">
        <x:f>IF(COUNTA('01_orders_raw'!A108:J108)&gt;0,IF(LEN('01_orders_raw'!B108&amp;"")=0,"SKIP",IF(OR(NOT(ISNUMBER('01_orders_raw'!B108)),'01_orders_raw'!B108&lt;=0,'01_orders_raw'!B108&gt;'09_parameters'!$B$2),"ERROR","OK")),"")</x:f>
        <x:v>OK</x:v>
      </x:c>
      <x:c r="I108" s="2" t="str">
        <x:f>IF(COUNTA('01_orders_raw'!A108:J108)&gt;0,IF(LEN('01_orders_raw'!J108&amp;"")=0,"SKIP",IF(AND('01_orders_raw'!J108&lt;&gt;"Выполнен",'01_orders_raw'!J108&lt;&gt;"В работе",'01_orders_raw'!J108&lt;&gt;"Отменен",'01_orders_raw'!J108&lt;&gt;"Ожидает оплаты"),"ERROR","OK")),"")</x:f>
        <x:v>OK</x:v>
      </x:c>
      <x:c r="J108" s="2" t="n">
        <x:f>COUNTIF(C108:I108,"ERROR")</x:f>
        <x:v>0</x:v>
      </x:c>
      <x:c r="K108" s="2" t="n">
        <x:f>IF(COUNTA('01_orders_raw'!A108:J108)&gt;0,108,"")</x:f>
        <x:v>108</x:v>
      </x:c>
    </x:row>
    <x:row r="109">
      <x:c r="A109" s="2" t="str">
        <x:f>IF(COUNTA('01_orders_raw'!A109:J109)&gt;0,"Order","")</x:f>
        <x:v>Order</x:v>
      </x:c>
      <x:c r="B109" s="2" t="n">
        <x:f>IF(COUNTA('01_orders_raw'!A109:J109)&gt;0,'01_orders_raw'!A109,"")</x:f>
        <x:v>1108</x:v>
      </x:c>
      <x:c r="C109" s="2" t="str">
        <x:f>IF(COUNTA('01_orders_raw'!A109:J109)&gt;0,IF(AND(LEN('01_orders_raw'!A109&amp;"")&gt;0,COUNTIF('01_orders_raw'!$A$2:$A$181,'01_orders_raw'!A109)&gt;1),"ERROR","OK"),"")</x:f>
        <x:v>OK</x:v>
      </x:c>
      <x:c r="D109" s="2" t="str">
        <x:f>IF(COUNTA('01_orders_raw'!A109:J109)&gt;0,IF(OR(LEN('01_orders_raw'!A109&amp;"")=0,LEN('01_orders_raw'!B109&amp;"")=0,LEN('01_orders_raw'!C109&amp;"")=0,LEN('01_orders_raw'!D109&amp;"")=0,LEN('01_orders_raw'!E109&amp;"")=0,LEN('01_orders_raw'!F109&amp;"")=0,LEN('01_orders_raw'!G109&amp;"")=0,LEN('01_orders_raw'!H109&amp;"")=0,LEN('01_orders_raw'!I109&amp;"")=0,LEN('01_orders_raw'!J109&amp;"")=0),"ERROR","OK"),"")</x:f>
        <x:v>OK</x:v>
      </x:c>
      <x:c r="E109" s="2" t="str">
        <x:f>IF(COUNTA('01_orders_raw'!A109:J109)&gt;0,IF(LEN('01_orders_raw'!C109&amp;"")=0,"SKIP",IF(COUNTIF('02_clients_raw'!$A$2:$A$67,'01_orders_raw'!C109)&lt;&gt;1,"ERROR","OK")),"")</x:f>
        <x:v>OK</x:v>
      </x:c>
      <x:c r="F109" s="2" t="str">
        <x:f>IF(COUNTA('01_orders_raw'!A109:J109)&gt;0,IF(OR(LEN('01_orders_raw'!G109&amp;"")=0,LEN('01_orders_raw'!H109&amp;"")=0,LEN('01_orders_raw'!I109&amp;"")=0),"SKIP",IF(AND(ISNUMBER('01_orders_raw'!G109),ISNUMBER('01_orders_raw'!H109),ISNUMBER('01_orders_raw'!I109)),IF(OR('01_orders_raw'!G109&lt;=0,MOD('01_orders_raw'!G109,1)&lt;&gt;0,ABS('01_orders_raw'!I109-'01_orders_raw'!G109*'01_orders_raw'!H109)&gt;'09_parameters'!$B$3),"ERROR","OK"),"ERROR")),"")</x:f>
        <x:v>OK</x:v>
      </x:c>
      <x:c r="G109" s="2" t="str">
        <x:f>IF(COUNTA('01_orders_raw'!A109:J109)&gt;0,IF(LEN('01_orders_raw'!H109&amp;"")=0,"SKIP",IF('01_orders_raw'!H109&lt;0,"ERROR","OK")),"")</x:f>
        <x:v>OK</x:v>
      </x:c>
      <x:c r="H109" s="2" t="str">
        <x:f>IF(COUNTA('01_orders_raw'!A109:J109)&gt;0,IF(LEN('01_orders_raw'!B109&amp;"")=0,"SKIP",IF(OR(NOT(ISNUMBER('01_orders_raw'!B109)),'01_orders_raw'!B109&lt;=0,'01_orders_raw'!B109&gt;'09_parameters'!$B$2),"ERROR","OK")),"")</x:f>
        <x:v>OK</x:v>
      </x:c>
      <x:c r="I109" s="2" t="str">
        <x:f>IF(COUNTA('01_orders_raw'!A109:J109)&gt;0,IF(LEN('01_orders_raw'!J109&amp;"")=0,"SKIP",IF(AND('01_orders_raw'!J109&lt;&gt;"Выполнен",'01_orders_raw'!J109&lt;&gt;"В работе",'01_orders_raw'!J109&lt;&gt;"Отменен",'01_orders_raw'!J109&lt;&gt;"Ожидает оплаты"),"ERROR","OK")),"")</x:f>
        <x:v>OK</x:v>
      </x:c>
      <x:c r="J109" s="2" t="n">
        <x:f>COUNTIF(C109:I109,"ERROR")</x:f>
        <x:v>0</x:v>
      </x:c>
      <x:c r="K109" s="2" t="n">
        <x:f>IF(COUNTA('01_orders_raw'!A109:J109)&gt;0,109,"")</x:f>
        <x:v>109</x:v>
      </x:c>
    </x:row>
    <x:row r="110">
      <x:c r="A110" s="2" t="str">
        <x:f>IF(COUNTA('01_orders_raw'!A110:J110)&gt;0,"Order","")</x:f>
        <x:v>Order</x:v>
      </x:c>
      <x:c r="B110" s="2" t="n">
        <x:f>IF(COUNTA('01_orders_raw'!A110:J110)&gt;0,'01_orders_raw'!A110,"")</x:f>
        <x:v>1109</x:v>
      </x:c>
      <x:c r="C110" s="2" t="str">
        <x:f>IF(COUNTA('01_orders_raw'!A110:J110)&gt;0,IF(AND(LEN('01_orders_raw'!A110&amp;"")&gt;0,COUNTIF('01_orders_raw'!$A$2:$A$181,'01_orders_raw'!A110)&gt;1),"ERROR","OK"),"")</x:f>
        <x:v>OK</x:v>
      </x:c>
      <x:c r="D110" s="2" t="str">
        <x:f>IF(COUNTA('01_orders_raw'!A110:J110)&gt;0,IF(OR(LEN('01_orders_raw'!A110&amp;"")=0,LEN('01_orders_raw'!B110&amp;"")=0,LEN('01_orders_raw'!C110&amp;"")=0,LEN('01_orders_raw'!D110&amp;"")=0,LEN('01_orders_raw'!E110&amp;"")=0,LEN('01_orders_raw'!F110&amp;"")=0,LEN('01_orders_raw'!G110&amp;"")=0,LEN('01_orders_raw'!H110&amp;"")=0,LEN('01_orders_raw'!I110&amp;"")=0,LEN('01_orders_raw'!J110&amp;"")=0),"ERROR","OK"),"")</x:f>
        <x:v>OK</x:v>
      </x:c>
      <x:c r="E110" s="2" t="str">
        <x:f>IF(COUNTA('01_orders_raw'!A110:J110)&gt;0,IF(LEN('01_orders_raw'!C110&amp;"")=0,"SKIP",IF(COUNTIF('02_clients_raw'!$A$2:$A$67,'01_orders_raw'!C110)&lt;&gt;1,"ERROR","OK")),"")</x:f>
        <x:v>OK</x:v>
      </x:c>
      <x:c r="F110" s="2" t="str">
        <x:f>IF(COUNTA('01_orders_raw'!A110:J110)&gt;0,IF(OR(LEN('01_orders_raw'!G110&amp;"")=0,LEN('01_orders_raw'!H110&amp;"")=0,LEN('01_orders_raw'!I110&amp;"")=0),"SKIP",IF(AND(ISNUMBER('01_orders_raw'!G110),ISNUMBER('01_orders_raw'!H110),ISNUMBER('01_orders_raw'!I110)),IF(OR('01_orders_raw'!G110&lt;=0,MOD('01_orders_raw'!G110,1)&lt;&gt;0,ABS('01_orders_raw'!I110-'01_orders_raw'!G110*'01_orders_raw'!H110)&gt;'09_parameters'!$B$3),"ERROR","OK"),"ERROR")),"")</x:f>
        <x:v>OK</x:v>
      </x:c>
      <x:c r="G110" s="2" t="str">
        <x:f>IF(COUNTA('01_orders_raw'!A110:J110)&gt;0,IF(LEN('01_orders_raw'!H110&amp;"")=0,"SKIP",IF('01_orders_raw'!H110&lt;0,"ERROR","OK")),"")</x:f>
        <x:v>OK</x:v>
      </x:c>
      <x:c r="H110" s="2" t="str">
        <x:f>IF(COUNTA('01_orders_raw'!A110:J110)&gt;0,IF(LEN('01_orders_raw'!B110&amp;"")=0,"SKIP",IF(OR(NOT(ISNUMBER('01_orders_raw'!B110)),'01_orders_raw'!B110&lt;=0,'01_orders_raw'!B110&gt;'09_parameters'!$B$2),"ERROR","OK")),"")</x:f>
        <x:v>OK</x:v>
      </x:c>
      <x:c r="I110" s="2" t="str">
        <x:f>IF(COUNTA('01_orders_raw'!A110:J110)&gt;0,IF(LEN('01_orders_raw'!J110&amp;"")=0,"SKIP",IF(AND('01_orders_raw'!J110&lt;&gt;"Выполнен",'01_orders_raw'!J110&lt;&gt;"В работе",'01_orders_raw'!J110&lt;&gt;"Отменен",'01_orders_raw'!J110&lt;&gt;"Ожидает оплаты"),"ERROR","OK")),"")</x:f>
        <x:v>OK</x:v>
      </x:c>
      <x:c r="J110" s="2" t="n">
        <x:f>COUNTIF(C110:I110,"ERROR")</x:f>
        <x:v>0</x:v>
      </x:c>
      <x:c r="K110" s="2" t="n">
        <x:f>IF(COUNTA('01_orders_raw'!A110:J110)&gt;0,110,"")</x:f>
        <x:v>110</x:v>
      </x:c>
    </x:row>
    <x:row r="111">
      <x:c r="A111" s="2" t="str">
        <x:f>IF(COUNTA('01_orders_raw'!A111:J111)&gt;0,"Order","")</x:f>
        <x:v>Order</x:v>
      </x:c>
      <x:c r="B111" s="2" t="n">
        <x:f>IF(COUNTA('01_orders_raw'!A111:J111)&gt;0,'01_orders_raw'!A111,"")</x:f>
        <x:v>1110</x:v>
      </x:c>
      <x:c r="C111" s="2" t="str">
        <x:f>IF(COUNTA('01_orders_raw'!A111:J111)&gt;0,IF(AND(LEN('01_orders_raw'!A111&amp;"")&gt;0,COUNTIF('01_orders_raw'!$A$2:$A$181,'01_orders_raw'!A111)&gt;1),"ERROR","OK"),"")</x:f>
        <x:v>OK</x:v>
      </x:c>
      <x:c r="D111" s="2" t="str">
        <x:f>IF(COUNTA('01_orders_raw'!A111:J111)&gt;0,IF(OR(LEN('01_orders_raw'!A111&amp;"")=0,LEN('01_orders_raw'!B111&amp;"")=0,LEN('01_orders_raw'!C111&amp;"")=0,LEN('01_orders_raw'!D111&amp;"")=0,LEN('01_orders_raw'!E111&amp;"")=0,LEN('01_orders_raw'!F111&amp;"")=0,LEN('01_orders_raw'!G111&amp;"")=0,LEN('01_orders_raw'!H111&amp;"")=0,LEN('01_orders_raw'!I111&amp;"")=0,LEN('01_orders_raw'!J111&amp;"")=0),"ERROR","OK"),"")</x:f>
        <x:v>OK</x:v>
      </x:c>
      <x:c r="E111" s="2" t="str">
        <x:f>IF(COUNTA('01_orders_raw'!A111:J111)&gt;0,IF(LEN('01_orders_raw'!C111&amp;"")=0,"SKIP",IF(COUNTIF('02_clients_raw'!$A$2:$A$67,'01_orders_raw'!C111)&lt;&gt;1,"ERROR","OK")),"")</x:f>
        <x:v>OK</x:v>
      </x:c>
      <x:c r="F111" s="2" t="str">
        <x:f>IF(COUNTA('01_orders_raw'!A111:J111)&gt;0,IF(OR(LEN('01_orders_raw'!G111&amp;"")=0,LEN('01_orders_raw'!H111&amp;"")=0,LEN('01_orders_raw'!I111&amp;"")=0),"SKIP",IF(AND(ISNUMBER('01_orders_raw'!G111),ISNUMBER('01_orders_raw'!H111),ISNUMBER('01_orders_raw'!I111)),IF(OR('01_orders_raw'!G111&lt;=0,MOD('01_orders_raw'!G111,1)&lt;&gt;0,ABS('01_orders_raw'!I111-'01_orders_raw'!G111*'01_orders_raw'!H111)&gt;'09_parameters'!$B$3),"ERROR","OK"),"ERROR")),"")</x:f>
        <x:v>OK</x:v>
      </x:c>
      <x:c r="G111" s="2" t="str">
        <x:f>IF(COUNTA('01_orders_raw'!A111:J111)&gt;0,IF(LEN('01_orders_raw'!H111&amp;"")=0,"SKIP",IF('01_orders_raw'!H111&lt;0,"ERROR","OK")),"")</x:f>
        <x:v>OK</x:v>
      </x:c>
      <x:c r="H111" s="2" t="str">
        <x:f>IF(COUNTA('01_orders_raw'!A111:J111)&gt;0,IF(LEN('01_orders_raw'!B111&amp;"")=0,"SKIP",IF(OR(NOT(ISNUMBER('01_orders_raw'!B111)),'01_orders_raw'!B111&lt;=0,'01_orders_raw'!B111&gt;'09_parameters'!$B$2),"ERROR","OK")),"")</x:f>
        <x:v>OK</x:v>
      </x:c>
      <x:c r="I111" s="2" t="str">
        <x:f>IF(COUNTA('01_orders_raw'!A111:J111)&gt;0,IF(LEN('01_orders_raw'!J111&amp;"")=0,"SKIP",IF(AND('01_orders_raw'!J111&lt;&gt;"Выполнен",'01_orders_raw'!J111&lt;&gt;"В работе",'01_orders_raw'!J111&lt;&gt;"Отменен",'01_orders_raw'!J111&lt;&gt;"Ожидает оплаты"),"ERROR","OK")),"")</x:f>
        <x:v>OK</x:v>
      </x:c>
      <x:c r="J111" s="2" t="n">
        <x:f>COUNTIF(C111:I111,"ERROR")</x:f>
        <x:v>0</x:v>
      </x:c>
      <x:c r="K111" s="2" t="n">
        <x:f>IF(COUNTA('01_orders_raw'!A111:J111)&gt;0,111,"")</x:f>
        <x:v>111</x:v>
      </x:c>
    </x:row>
    <x:row r="112">
      <x:c r="A112" s="2" t="str">
        <x:f>IF(COUNTA('01_orders_raw'!A112:J112)&gt;0,"Order","")</x:f>
        <x:v>Order</x:v>
      </x:c>
      <x:c r="B112" s="2" t="n">
        <x:f>IF(COUNTA('01_orders_raw'!A112:J112)&gt;0,'01_orders_raw'!A112,"")</x:f>
        <x:v>1111</x:v>
      </x:c>
      <x:c r="C112" s="2" t="str">
        <x:f>IF(COUNTA('01_orders_raw'!A112:J112)&gt;0,IF(AND(LEN('01_orders_raw'!A112&amp;"")&gt;0,COUNTIF('01_orders_raw'!$A$2:$A$181,'01_orders_raw'!A112)&gt;1),"ERROR","OK"),"")</x:f>
        <x:v>OK</x:v>
      </x:c>
      <x:c r="D112" s="2" t="str">
        <x:f>IF(COUNTA('01_orders_raw'!A112:J112)&gt;0,IF(OR(LEN('01_orders_raw'!A112&amp;"")=0,LEN('01_orders_raw'!B112&amp;"")=0,LEN('01_orders_raw'!C112&amp;"")=0,LEN('01_orders_raw'!D112&amp;"")=0,LEN('01_orders_raw'!E112&amp;"")=0,LEN('01_orders_raw'!F112&amp;"")=0,LEN('01_orders_raw'!G112&amp;"")=0,LEN('01_orders_raw'!H112&amp;"")=0,LEN('01_orders_raw'!I112&amp;"")=0,LEN('01_orders_raw'!J112&amp;"")=0),"ERROR","OK"),"")</x:f>
        <x:v>OK</x:v>
      </x:c>
      <x:c r="E112" s="2" t="str">
        <x:f>IF(COUNTA('01_orders_raw'!A112:J112)&gt;0,IF(LEN('01_orders_raw'!C112&amp;"")=0,"SKIP",IF(COUNTIF('02_clients_raw'!$A$2:$A$67,'01_orders_raw'!C112)&lt;&gt;1,"ERROR","OK")),"")</x:f>
        <x:v>OK</x:v>
      </x:c>
      <x:c r="F112" s="2" t="str">
        <x:f>IF(COUNTA('01_orders_raw'!A112:J112)&gt;0,IF(OR(LEN('01_orders_raw'!G112&amp;"")=0,LEN('01_orders_raw'!H112&amp;"")=0,LEN('01_orders_raw'!I112&amp;"")=0),"SKIP",IF(AND(ISNUMBER('01_orders_raw'!G112),ISNUMBER('01_orders_raw'!H112),ISNUMBER('01_orders_raw'!I112)),IF(OR('01_orders_raw'!G112&lt;=0,MOD('01_orders_raw'!G112,1)&lt;&gt;0,ABS('01_orders_raw'!I112-'01_orders_raw'!G112*'01_orders_raw'!H112)&gt;'09_parameters'!$B$3),"ERROR","OK"),"ERROR")),"")</x:f>
        <x:v>OK</x:v>
      </x:c>
      <x:c r="G112" s="2" t="str">
        <x:f>IF(COUNTA('01_orders_raw'!A112:J112)&gt;0,IF(LEN('01_orders_raw'!H112&amp;"")=0,"SKIP",IF('01_orders_raw'!H112&lt;0,"ERROR","OK")),"")</x:f>
        <x:v>OK</x:v>
      </x:c>
      <x:c r="H112" s="2" t="str">
        <x:f>IF(COUNTA('01_orders_raw'!A112:J112)&gt;0,IF(LEN('01_orders_raw'!B112&amp;"")=0,"SKIP",IF(OR(NOT(ISNUMBER('01_orders_raw'!B112)),'01_orders_raw'!B112&lt;=0,'01_orders_raw'!B112&gt;'09_parameters'!$B$2),"ERROR","OK")),"")</x:f>
        <x:v>OK</x:v>
      </x:c>
      <x:c r="I112" s="2" t="str">
        <x:f>IF(COUNTA('01_orders_raw'!A112:J112)&gt;0,IF(LEN('01_orders_raw'!J112&amp;"")=0,"SKIP",IF(AND('01_orders_raw'!J112&lt;&gt;"Выполнен",'01_orders_raw'!J112&lt;&gt;"В работе",'01_orders_raw'!J112&lt;&gt;"Отменен",'01_orders_raw'!J112&lt;&gt;"Ожидает оплаты"),"ERROR","OK")),"")</x:f>
        <x:v>OK</x:v>
      </x:c>
      <x:c r="J112" s="2" t="n">
        <x:f>COUNTIF(C112:I112,"ERROR")</x:f>
        <x:v>0</x:v>
      </x:c>
      <x:c r="K112" s="2" t="n">
        <x:f>IF(COUNTA('01_orders_raw'!A112:J112)&gt;0,112,"")</x:f>
        <x:v>112</x:v>
      </x:c>
    </x:row>
    <x:row r="113">
      <x:c r="A113" s="2" t="str">
        <x:f>IF(COUNTA('01_orders_raw'!A113:J113)&gt;0,"Order","")</x:f>
        <x:v>Order</x:v>
      </x:c>
      <x:c r="B113" s="2" t="n">
        <x:f>IF(COUNTA('01_orders_raw'!A113:J113)&gt;0,'01_orders_raw'!A113,"")</x:f>
        <x:v>1112</x:v>
      </x:c>
      <x:c r="C113" s="2" t="str">
        <x:f>IF(COUNTA('01_orders_raw'!A113:J113)&gt;0,IF(AND(LEN('01_orders_raw'!A113&amp;"")&gt;0,COUNTIF('01_orders_raw'!$A$2:$A$181,'01_orders_raw'!A113)&gt;1),"ERROR","OK"),"")</x:f>
        <x:v>OK</x:v>
      </x:c>
      <x:c r="D113" s="2" t="str">
        <x:f>IF(COUNTA('01_orders_raw'!A113:J113)&gt;0,IF(OR(LEN('01_orders_raw'!A113&amp;"")=0,LEN('01_orders_raw'!B113&amp;"")=0,LEN('01_orders_raw'!C113&amp;"")=0,LEN('01_orders_raw'!D113&amp;"")=0,LEN('01_orders_raw'!E113&amp;"")=0,LEN('01_orders_raw'!F113&amp;"")=0,LEN('01_orders_raw'!G113&amp;"")=0,LEN('01_orders_raw'!H113&amp;"")=0,LEN('01_orders_raw'!I113&amp;"")=0,LEN('01_orders_raw'!J113&amp;"")=0),"ERROR","OK"),"")</x:f>
        <x:v>OK</x:v>
      </x:c>
      <x:c r="E113" s="2" t="str">
        <x:f>IF(COUNTA('01_orders_raw'!A113:J113)&gt;0,IF(LEN('01_orders_raw'!C113&amp;"")=0,"SKIP",IF(COUNTIF('02_clients_raw'!$A$2:$A$67,'01_orders_raw'!C113)&lt;&gt;1,"ERROR","OK")),"")</x:f>
        <x:v>OK</x:v>
      </x:c>
      <x:c r="F113" s="2" t="str">
        <x:f>IF(COUNTA('01_orders_raw'!A113:J113)&gt;0,IF(OR(LEN('01_orders_raw'!G113&amp;"")=0,LEN('01_orders_raw'!H113&amp;"")=0,LEN('01_orders_raw'!I113&amp;"")=0),"SKIP",IF(AND(ISNUMBER('01_orders_raw'!G113),ISNUMBER('01_orders_raw'!H113),ISNUMBER('01_orders_raw'!I113)),IF(OR('01_orders_raw'!G113&lt;=0,MOD('01_orders_raw'!G113,1)&lt;&gt;0,ABS('01_orders_raw'!I113-'01_orders_raw'!G113*'01_orders_raw'!H113)&gt;'09_parameters'!$B$3),"ERROR","OK"),"ERROR")),"")</x:f>
        <x:v>OK</x:v>
      </x:c>
      <x:c r="G113" s="2" t="str">
        <x:f>IF(COUNTA('01_orders_raw'!A113:J113)&gt;0,IF(LEN('01_orders_raw'!H113&amp;"")=0,"SKIP",IF('01_orders_raw'!H113&lt;0,"ERROR","OK")),"")</x:f>
        <x:v>OK</x:v>
      </x:c>
      <x:c r="H113" s="2" t="str">
        <x:f>IF(COUNTA('01_orders_raw'!A113:J113)&gt;0,IF(LEN('01_orders_raw'!B113&amp;"")=0,"SKIP",IF(OR(NOT(ISNUMBER('01_orders_raw'!B113)),'01_orders_raw'!B113&lt;=0,'01_orders_raw'!B113&gt;'09_parameters'!$B$2),"ERROR","OK")),"")</x:f>
        <x:v>OK</x:v>
      </x:c>
      <x:c r="I113" s="2" t="str">
        <x:f>IF(COUNTA('01_orders_raw'!A113:J113)&gt;0,IF(LEN('01_orders_raw'!J113&amp;"")=0,"SKIP",IF(AND('01_orders_raw'!J113&lt;&gt;"Выполнен",'01_orders_raw'!J113&lt;&gt;"В работе",'01_orders_raw'!J113&lt;&gt;"Отменен",'01_orders_raw'!J113&lt;&gt;"Ожидает оплаты"),"ERROR","OK")),"")</x:f>
        <x:v>OK</x:v>
      </x:c>
      <x:c r="J113" s="2" t="n">
        <x:f>COUNTIF(C113:I113,"ERROR")</x:f>
        <x:v>0</x:v>
      </x:c>
      <x:c r="K113" s="2" t="n">
        <x:f>IF(COUNTA('01_orders_raw'!A113:J113)&gt;0,113,"")</x:f>
        <x:v>113</x:v>
      </x:c>
    </x:row>
    <x:row r="114">
      <x:c r="A114" s="2" t="str">
        <x:f>IF(COUNTA('01_orders_raw'!A114:J114)&gt;0,"Order","")</x:f>
        <x:v>Order</x:v>
      </x:c>
      <x:c r="B114" s="2" t="n">
        <x:f>IF(COUNTA('01_orders_raw'!A114:J114)&gt;0,'01_orders_raw'!A114,"")</x:f>
        <x:v>1113</x:v>
      </x:c>
      <x:c r="C114" s="2" t="str">
        <x:f>IF(COUNTA('01_orders_raw'!A114:J114)&gt;0,IF(AND(LEN('01_orders_raw'!A114&amp;"")&gt;0,COUNTIF('01_orders_raw'!$A$2:$A$181,'01_orders_raw'!A114)&gt;1),"ERROR","OK"),"")</x:f>
        <x:v>OK</x:v>
      </x:c>
      <x:c r="D114" s="2" t="str">
        <x:f>IF(COUNTA('01_orders_raw'!A114:J114)&gt;0,IF(OR(LEN('01_orders_raw'!A114&amp;"")=0,LEN('01_orders_raw'!B114&amp;"")=0,LEN('01_orders_raw'!C114&amp;"")=0,LEN('01_orders_raw'!D114&amp;"")=0,LEN('01_orders_raw'!E114&amp;"")=0,LEN('01_orders_raw'!F114&amp;"")=0,LEN('01_orders_raw'!G114&amp;"")=0,LEN('01_orders_raw'!H114&amp;"")=0,LEN('01_orders_raw'!I114&amp;"")=0,LEN('01_orders_raw'!J114&amp;"")=0),"ERROR","OK"),"")</x:f>
        <x:v>OK</x:v>
      </x:c>
      <x:c r="E114" s="2" t="str">
        <x:f>IF(COUNTA('01_orders_raw'!A114:J114)&gt;0,IF(LEN('01_orders_raw'!C114&amp;"")=0,"SKIP",IF(COUNTIF('02_clients_raw'!$A$2:$A$67,'01_orders_raw'!C114)&lt;&gt;1,"ERROR","OK")),"")</x:f>
        <x:v>OK</x:v>
      </x:c>
      <x:c r="F114" s="2" t="str">
        <x:f>IF(COUNTA('01_orders_raw'!A114:J114)&gt;0,IF(OR(LEN('01_orders_raw'!G114&amp;"")=0,LEN('01_orders_raw'!H114&amp;"")=0,LEN('01_orders_raw'!I114&amp;"")=0),"SKIP",IF(AND(ISNUMBER('01_orders_raw'!G114),ISNUMBER('01_orders_raw'!H114),ISNUMBER('01_orders_raw'!I114)),IF(OR('01_orders_raw'!G114&lt;=0,MOD('01_orders_raw'!G114,1)&lt;&gt;0,ABS('01_orders_raw'!I114-'01_orders_raw'!G114*'01_orders_raw'!H114)&gt;'09_parameters'!$B$3),"ERROR","OK"),"ERROR")),"")</x:f>
        <x:v>OK</x:v>
      </x:c>
      <x:c r="G114" s="2" t="str">
        <x:f>IF(COUNTA('01_orders_raw'!A114:J114)&gt;0,IF(LEN('01_orders_raw'!H114&amp;"")=0,"SKIP",IF('01_orders_raw'!H114&lt;0,"ERROR","OK")),"")</x:f>
        <x:v>OK</x:v>
      </x:c>
      <x:c r="H114" s="2" t="str">
        <x:f>IF(COUNTA('01_orders_raw'!A114:J114)&gt;0,IF(LEN('01_orders_raw'!B114&amp;"")=0,"SKIP",IF(OR(NOT(ISNUMBER('01_orders_raw'!B114)),'01_orders_raw'!B114&lt;=0,'01_orders_raw'!B114&gt;'09_parameters'!$B$2),"ERROR","OK")),"")</x:f>
        <x:v>OK</x:v>
      </x:c>
      <x:c r="I114" s="2" t="str">
        <x:f>IF(COUNTA('01_orders_raw'!A114:J114)&gt;0,IF(LEN('01_orders_raw'!J114&amp;"")=0,"SKIP",IF(AND('01_orders_raw'!J114&lt;&gt;"Выполнен",'01_orders_raw'!J114&lt;&gt;"В работе",'01_orders_raw'!J114&lt;&gt;"Отменен",'01_orders_raw'!J114&lt;&gt;"Ожидает оплаты"),"ERROR","OK")),"")</x:f>
        <x:v>OK</x:v>
      </x:c>
      <x:c r="J114" s="2" t="n">
        <x:f>COUNTIF(C114:I114,"ERROR")</x:f>
        <x:v>0</x:v>
      </x:c>
      <x:c r="K114" s="2" t="n">
        <x:f>IF(COUNTA('01_orders_raw'!A114:J114)&gt;0,114,"")</x:f>
        <x:v>114</x:v>
      </x:c>
    </x:row>
    <x:row r="115">
      <x:c r="A115" s="2" t="str">
        <x:f>IF(COUNTA('01_orders_raw'!A115:J115)&gt;0,"Order","")</x:f>
        <x:v>Order</x:v>
      </x:c>
      <x:c r="B115" s="2" t="n">
        <x:f>IF(COUNTA('01_orders_raw'!A115:J115)&gt;0,'01_orders_raw'!A115,"")</x:f>
        <x:v>1114</x:v>
      </x:c>
      <x:c r="C115" s="2" t="str">
        <x:f>IF(COUNTA('01_orders_raw'!A115:J115)&gt;0,IF(AND(LEN('01_orders_raw'!A115&amp;"")&gt;0,COUNTIF('01_orders_raw'!$A$2:$A$181,'01_orders_raw'!A115)&gt;1),"ERROR","OK"),"")</x:f>
        <x:v>OK</x:v>
      </x:c>
      <x:c r="D115" s="2" t="str">
        <x:f>IF(COUNTA('01_orders_raw'!A115:J115)&gt;0,IF(OR(LEN('01_orders_raw'!A115&amp;"")=0,LEN('01_orders_raw'!B115&amp;"")=0,LEN('01_orders_raw'!C115&amp;"")=0,LEN('01_orders_raw'!D115&amp;"")=0,LEN('01_orders_raw'!E115&amp;"")=0,LEN('01_orders_raw'!F115&amp;"")=0,LEN('01_orders_raw'!G115&amp;"")=0,LEN('01_orders_raw'!H115&amp;"")=0,LEN('01_orders_raw'!I115&amp;"")=0,LEN('01_orders_raw'!J115&amp;"")=0),"ERROR","OK"),"")</x:f>
        <x:v>OK</x:v>
      </x:c>
      <x:c r="E115" s="2" t="str">
        <x:f>IF(COUNTA('01_orders_raw'!A115:J115)&gt;0,IF(LEN('01_orders_raw'!C115&amp;"")=0,"SKIP",IF(COUNTIF('02_clients_raw'!$A$2:$A$67,'01_orders_raw'!C115)&lt;&gt;1,"ERROR","OK")),"")</x:f>
        <x:v>OK</x:v>
      </x:c>
      <x:c r="F115" s="2" t="str">
        <x:f>IF(COUNTA('01_orders_raw'!A115:J115)&gt;0,IF(OR(LEN('01_orders_raw'!G115&amp;"")=0,LEN('01_orders_raw'!H115&amp;"")=0,LEN('01_orders_raw'!I115&amp;"")=0),"SKIP",IF(AND(ISNUMBER('01_orders_raw'!G115),ISNUMBER('01_orders_raw'!H115),ISNUMBER('01_orders_raw'!I115)),IF(OR('01_orders_raw'!G115&lt;=0,MOD('01_orders_raw'!G115,1)&lt;&gt;0,ABS('01_orders_raw'!I115-'01_orders_raw'!G115*'01_orders_raw'!H115)&gt;'09_parameters'!$B$3),"ERROR","OK"),"ERROR")),"")</x:f>
        <x:v>OK</x:v>
      </x:c>
      <x:c r="G115" s="2" t="str">
        <x:f>IF(COUNTA('01_orders_raw'!A115:J115)&gt;0,IF(LEN('01_orders_raw'!H115&amp;"")=0,"SKIP",IF('01_orders_raw'!H115&lt;0,"ERROR","OK")),"")</x:f>
        <x:v>OK</x:v>
      </x:c>
      <x:c r="H115" s="2" t="str">
        <x:f>IF(COUNTA('01_orders_raw'!A115:J115)&gt;0,IF(LEN('01_orders_raw'!B115&amp;"")=0,"SKIP",IF(OR(NOT(ISNUMBER('01_orders_raw'!B115)),'01_orders_raw'!B115&lt;=0,'01_orders_raw'!B115&gt;'09_parameters'!$B$2),"ERROR","OK")),"")</x:f>
        <x:v>OK</x:v>
      </x:c>
      <x:c r="I115" s="2" t="str">
        <x:f>IF(COUNTA('01_orders_raw'!A115:J115)&gt;0,IF(LEN('01_orders_raw'!J115&amp;"")=0,"SKIP",IF(AND('01_orders_raw'!J115&lt;&gt;"Выполнен",'01_orders_raw'!J115&lt;&gt;"В работе",'01_orders_raw'!J115&lt;&gt;"Отменен",'01_orders_raw'!J115&lt;&gt;"Ожидает оплаты"),"ERROR","OK")),"")</x:f>
        <x:v>OK</x:v>
      </x:c>
      <x:c r="J115" s="2" t="n">
        <x:f>COUNTIF(C115:I115,"ERROR")</x:f>
        <x:v>0</x:v>
      </x:c>
      <x:c r="K115" s="2" t="n">
        <x:f>IF(COUNTA('01_orders_raw'!A115:J115)&gt;0,115,"")</x:f>
        <x:v>115</x:v>
      </x:c>
    </x:row>
    <x:row r="116">
      <x:c r="A116" s="2" t="str">
        <x:f>IF(COUNTA('01_orders_raw'!A116:J116)&gt;0,"Order","")</x:f>
        <x:v>Order</x:v>
      </x:c>
      <x:c r="B116" s="2" t="n">
        <x:f>IF(COUNTA('01_orders_raw'!A116:J116)&gt;0,'01_orders_raw'!A116,"")</x:f>
        <x:v>1115</x:v>
      </x:c>
      <x:c r="C116" s="2" t="str">
        <x:f>IF(COUNTA('01_orders_raw'!A116:J116)&gt;0,IF(AND(LEN('01_orders_raw'!A116&amp;"")&gt;0,COUNTIF('01_orders_raw'!$A$2:$A$181,'01_orders_raw'!A116)&gt;1),"ERROR","OK"),"")</x:f>
        <x:v>OK</x:v>
      </x:c>
      <x:c r="D116" s="2" t="str">
        <x:f>IF(COUNTA('01_orders_raw'!A116:J116)&gt;0,IF(OR(LEN('01_orders_raw'!A116&amp;"")=0,LEN('01_orders_raw'!B116&amp;"")=0,LEN('01_orders_raw'!C116&amp;"")=0,LEN('01_orders_raw'!D116&amp;"")=0,LEN('01_orders_raw'!E116&amp;"")=0,LEN('01_orders_raw'!F116&amp;"")=0,LEN('01_orders_raw'!G116&amp;"")=0,LEN('01_orders_raw'!H116&amp;"")=0,LEN('01_orders_raw'!I116&amp;"")=0,LEN('01_orders_raw'!J116&amp;"")=0),"ERROR","OK"),"")</x:f>
        <x:v>OK</x:v>
      </x:c>
      <x:c r="E116" s="2" t="str">
        <x:f>IF(COUNTA('01_orders_raw'!A116:J116)&gt;0,IF(LEN('01_orders_raw'!C116&amp;"")=0,"SKIP",IF(COUNTIF('02_clients_raw'!$A$2:$A$67,'01_orders_raw'!C116)&lt;&gt;1,"ERROR","OK")),"")</x:f>
        <x:v>OK</x:v>
      </x:c>
      <x:c r="F116" s="2" t="str">
        <x:f>IF(COUNTA('01_orders_raw'!A116:J116)&gt;0,IF(OR(LEN('01_orders_raw'!G116&amp;"")=0,LEN('01_orders_raw'!H116&amp;"")=0,LEN('01_orders_raw'!I116&amp;"")=0),"SKIP",IF(AND(ISNUMBER('01_orders_raw'!G116),ISNUMBER('01_orders_raw'!H116),ISNUMBER('01_orders_raw'!I116)),IF(OR('01_orders_raw'!G116&lt;=0,MOD('01_orders_raw'!G116,1)&lt;&gt;0,ABS('01_orders_raw'!I116-'01_orders_raw'!G116*'01_orders_raw'!H116)&gt;'09_parameters'!$B$3),"ERROR","OK"),"ERROR")),"")</x:f>
        <x:v>OK</x:v>
      </x:c>
      <x:c r="G116" s="2" t="str">
        <x:f>IF(COUNTA('01_orders_raw'!A116:J116)&gt;0,IF(LEN('01_orders_raw'!H116&amp;"")=0,"SKIP",IF('01_orders_raw'!H116&lt;0,"ERROR","OK")),"")</x:f>
        <x:v>OK</x:v>
      </x:c>
      <x:c r="H116" s="2" t="str">
        <x:f>IF(COUNTA('01_orders_raw'!A116:J116)&gt;0,IF(LEN('01_orders_raw'!B116&amp;"")=0,"SKIP",IF(OR(NOT(ISNUMBER('01_orders_raw'!B116)),'01_orders_raw'!B116&lt;=0,'01_orders_raw'!B116&gt;'09_parameters'!$B$2),"ERROR","OK")),"")</x:f>
        <x:v>OK</x:v>
      </x:c>
      <x:c r="I116" s="2" t="str">
        <x:f>IF(COUNTA('01_orders_raw'!A116:J116)&gt;0,IF(LEN('01_orders_raw'!J116&amp;"")=0,"SKIP",IF(AND('01_orders_raw'!J116&lt;&gt;"Выполнен",'01_orders_raw'!J116&lt;&gt;"В работе",'01_orders_raw'!J116&lt;&gt;"Отменен",'01_orders_raw'!J116&lt;&gt;"Ожидает оплаты"),"ERROR","OK")),"")</x:f>
        <x:v>OK</x:v>
      </x:c>
      <x:c r="J116" s="2" t="n">
        <x:f>COUNTIF(C116:I116,"ERROR")</x:f>
        <x:v>0</x:v>
      </x:c>
      <x:c r="K116" s="2" t="n">
        <x:f>IF(COUNTA('01_orders_raw'!A116:J116)&gt;0,116,"")</x:f>
        <x:v>116</x:v>
      </x:c>
    </x:row>
    <x:row r="117">
      <x:c r="A117" s="2" t="str">
        <x:f>IF(COUNTA('01_orders_raw'!A117:J117)&gt;0,"Order","")</x:f>
        <x:v>Order</x:v>
      </x:c>
      <x:c r="B117" s="2" t="n">
        <x:f>IF(COUNTA('01_orders_raw'!A117:J117)&gt;0,'01_orders_raw'!A117,"")</x:f>
        <x:v>1116</x:v>
      </x:c>
      <x:c r="C117" s="2" t="str">
        <x:f>IF(COUNTA('01_orders_raw'!A117:J117)&gt;0,IF(AND(LEN('01_orders_raw'!A117&amp;"")&gt;0,COUNTIF('01_orders_raw'!$A$2:$A$181,'01_orders_raw'!A117)&gt;1),"ERROR","OK"),"")</x:f>
        <x:v>OK</x:v>
      </x:c>
      <x:c r="D117" s="2" t="str">
        <x:f>IF(COUNTA('01_orders_raw'!A117:J117)&gt;0,IF(OR(LEN('01_orders_raw'!A117&amp;"")=0,LEN('01_orders_raw'!B117&amp;"")=0,LEN('01_orders_raw'!C117&amp;"")=0,LEN('01_orders_raw'!D117&amp;"")=0,LEN('01_orders_raw'!E117&amp;"")=0,LEN('01_orders_raw'!F117&amp;"")=0,LEN('01_orders_raw'!G117&amp;"")=0,LEN('01_orders_raw'!H117&amp;"")=0,LEN('01_orders_raw'!I117&amp;"")=0,LEN('01_orders_raw'!J117&amp;"")=0),"ERROR","OK"),"")</x:f>
        <x:v>OK</x:v>
      </x:c>
      <x:c r="E117" s="2" t="str">
        <x:f>IF(COUNTA('01_orders_raw'!A117:J117)&gt;0,IF(LEN('01_orders_raw'!C117&amp;"")=0,"SKIP",IF(COUNTIF('02_clients_raw'!$A$2:$A$67,'01_orders_raw'!C117)&lt;&gt;1,"ERROR","OK")),"")</x:f>
        <x:v>OK</x:v>
      </x:c>
      <x:c r="F117" s="2" t="str">
        <x:f>IF(COUNTA('01_orders_raw'!A117:J117)&gt;0,IF(OR(LEN('01_orders_raw'!G117&amp;"")=0,LEN('01_orders_raw'!H117&amp;"")=0,LEN('01_orders_raw'!I117&amp;"")=0),"SKIP",IF(AND(ISNUMBER('01_orders_raw'!G117),ISNUMBER('01_orders_raw'!H117),ISNUMBER('01_orders_raw'!I117)),IF(OR('01_orders_raw'!G117&lt;=0,MOD('01_orders_raw'!G117,1)&lt;&gt;0,ABS('01_orders_raw'!I117-'01_orders_raw'!G117*'01_orders_raw'!H117)&gt;'09_parameters'!$B$3),"ERROR","OK"),"ERROR")),"")</x:f>
        <x:v>OK</x:v>
      </x:c>
      <x:c r="G117" s="2" t="str">
        <x:f>IF(COUNTA('01_orders_raw'!A117:J117)&gt;0,IF(LEN('01_orders_raw'!H117&amp;"")=0,"SKIP",IF('01_orders_raw'!H117&lt;0,"ERROR","OK")),"")</x:f>
        <x:v>OK</x:v>
      </x:c>
      <x:c r="H117" s="2" t="str">
        <x:f>IF(COUNTA('01_orders_raw'!A117:J117)&gt;0,IF(LEN('01_orders_raw'!B117&amp;"")=0,"SKIP",IF(OR(NOT(ISNUMBER('01_orders_raw'!B117)),'01_orders_raw'!B117&lt;=0,'01_orders_raw'!B117&gt;'09_parameters'!$B$2),"ERROR","OK")),"")</x:f>
        <x:v>OK</x:v>
      </x:c>
      <x:c r="I117" s="2" t="str">
        <x:f>IF(COUNTA('01_orders_raw'!A117:J117)&gt;0,IF(LEN('01_orders_raw'!J117&amp;"")=0,"SKIP",IF(AND('01_orders_raw'!J117&lt;&gt;"Выполнен",'01_orders_raw'!J117&lt;&gt;"В работе",'01_orders_raw'!J117&lt;&gt;"Отменен",'01_orders_raw'!J117&lt;&gt;"Ожидает оплаты"),"ERROR","OK")),"")</x:f>
        <x:v>OK</x:v>
      </x:c>
      <x:c r="J117" s="2" t="n">
        <x:f>COUNTIF(C117:I117,"ERROR")</x:f>
        <x:v>0</x:v>
      </x:c>
      <x:c r="K117" s="2" t="n">
        <x:f>IF(COUNTA('01_orders_raw'!A117:J117)&gt;0,117,"")</x:f>
        <x:v>117</x:v>
      </x:c>
    </x:row>
    <x:row r="118">
      <x:c r="A118" s="2" t="str">
        <x:f>IF(COUNTA('01_orders_raw'!A118:J118)&gt;0,"Order","")</x:f>
        <x:v>Order</x:v>
      </x:c>
      <x:c r="B118" s="2" t="n">
        <x:f>IF(COUNTA('01_orders_raw'!A118:J118)&gt;0,'01_orders_raw'!A118,"")</x:f>
        <x:v>1117</x:v>
      </x:c>
      <x:c r="C118" s="2" t="str">
        <x:f>IF(COUNTA('01_orders_raw'!A118:J118)&gt;0,IF(AND(LEN('01_orders_raw'!A118&amp;"")&gt;0,COUNTIF('01_orders_raw'!$A$2:$A$181,'01_orders_raw'!A118)&gt;1),"ERROR","OK"),"")</x:f>
        <x:v>OK</x:v>
      </x:c>
      <x:c r="D118" s="2" t="str">
        <x:f>IF(COUNTA('01_orders_raw'!A118:J118)&gt;0,IF(OR(LEN('01_orders_raw'!A118&amp;"")=0,LEN('01_orders_raw'!B118&amp;"")=0,LEN('01_orders_raw'!C118&amp;"")=0,LEN('01_orders_raw'!D118&amp;"")=0,LEN('01_orders_raw'!E118&amp;"")=0,LEN('01_orders_raw'!F118&amp;"")=0,LEN('01_orders_raw'!G118&amp;"")=0,LEN('01_orders_raw'!H118&amp;"")=0,LEN('01_orders_raw'!I118&amp;"")=0,LEN('01_orders_raw'!J118&amp;"")=0),"ERROR","OK"),"")</x:f>
        <x:v>OK</x:v>
      </x:c>
      <x:c r="E118" s="2" t="str">
        <x:f>IF(COUNTA('01_orders_raw'!A118:J118)&gt;0,IF(LEN('01_orders_raw'!C118&amp;"")=0,"SKIP",IF(COUNTIF('02_clients_raw'!$A$2:$A$67,'01_orders_raw'!C118)&lt;&gt;1,"ERROR","OK")),"")</x:f>
        <x:v>ERROR</x:v>
      </x:c>
      <x:c r="F118" s="2" t="str">
        <x:f>IF(COUNTA('01_orders_raw'!A118:J118)&gt;0,IF(OR(LEN('01_orders_raw'!G118&amp;"")=0,LEN('01_orders_raw'!H118&amp;"")=0,LEN('01_orders_raw'!I118&amp;"")=0),"SKIP",IF(AND(ISNUMBER('01_orders_raw'!G118),ISNUMBER('01_orders_raw'!H118),ISNUMBER('01_orders_raw'!I118)),IF(OR('01_orders_raw'!G118&lt;=0,MOD('01_orders_raw'!G118,1)&lt;&gt;0,ABS('01_orders_raw'!I118-'01_orders_raw'!G118*'01_orders_raw'!H118)&gt;'09_parameters'!$B$3),"ERROR","OK"),"ERROR")),"")</x:f>
        <x:v>OK</x:v>
      </x:c>
      <x:c r="G118" s="2" t="str">
        <x:f>IF(COUNTA('01_orders_raw'!A118:J118)&gt;0,IF(LEN('01_orders_raw'!H118&amp;"")=0,"SKIP",IF('01_orders_raw'!H118&lt;0,"ERROR","OK")),"")</x:f>
        <x:v>OK</x:v>
      </x:c>
      <x:c r="H118" s="2" t="str">
        <x:f>IF(COUNTA('01_orders_raw'!A118:J118)&gt;0,IF(LEN('01_orders_raw'!B118&amp;"")=0,"SKIP",IF(OR(NOT(ISNUMBER('01_orders_raw'!B118)),'01_orders_raw'!B118&lt;=0,'01_orders_raw'!B118&gt;'09_parameters'!$B$2),"ERROR","OK")),"")</x:f>
        <x:v>OK</x:v>
      </x:c>
      <x:c r="I118" s="2" t="str">
        <x:f>IF(COUNTA('01_orders_raw'!A118:J118)&gt;0,IF(LEN('01_orders_raw'!J118&amp;"")=0,"SKIP",IF(AND('01_orders_raw'!J118&lt;&gt;"Выполнен",'01_orders_raw'!J118&lt;&gt;"В работе",'01_orders_raw'!J118&lt;&gt;"Отменен",'01_orders_raw'!J118&lt;&gt;"Ожидает оплаты"),"ERROR","OK")),"")</x:f>
        <x:v>OK</x:v>
      </x:c>
      <x:c r="J118" s="2" t="n">
        <x:f>COUNTIF(C118:I118,"ERROR")</x:f>
        <x:v>1</x:v>
      </x:c>
      <x:c r="K118" s="2" t="n">
        <x:f>IF(COUNTA('01_orders_raw'!A118:J118)&gt;0,118,"")</x:f>
        <x:v>118</x:v>
      </x:c>
    </x:row>
    <x:row r="119">
      <x:c r="A119" s="2" t="str">
        <x:f>IF(COUNTA('01_orders_raw'!A119:J119)&gt;0,"Order","")</x:f>
        <x:v>Order</x:v>
      </x:c>
      <x:c r="B119" s="2" t="n">
        <x:f>IF(COUNTA('01_orders_raw'!A119:J119)&gt;0,'01_orders_raw'!A119,"")</x:f>
        <x:v>1118</x:v>
      </x:c>
      <x:c r="C119" s="2" t="str">
        <x:f>IF(COUNTA('01_orders_raw'!A119:J119)&gt;0,IF(AND(LEN('01_orders_raw'!A119&amp;"")&gt;0,COUNTIF('01_orders_raw'!$A$2:$A$181,'01_orders_raw'!A119)&gt;1),"ERROR","OK"),"")</x:f>
        <x:v>OK</x:v>
      </x:c>
      <x:c r="D119" s="2" t="str">
        <x:f>IF(COUNTA('01_orders_raw'!A119:J119)&gt;0,IF(OR(LEN('01_orders_raw'!A119&amp;"")=0,LEN('01_orders_raw'!B119&amp;"")=0,LEN('01_orders_raw'!C119&amp;"")=0,LEN('01_orders_raw'!D119&amp;"")=0,LEN('01_orders_raw'!E119&amp;"")=0,LEN('01_orders_raw'!F119&amp;"")=0,LEN('01_orders_raw'!G119&amp;"")=0,LEN('01_orders_raw'!H119&amp;"")=0,LEN('01_orders_raw'!I119&amp;"")=0,LEN('01_orders_raw'!J119&amp;"")=0),"ERROR","OK"),"")</x:f>
        <x:v>OK</x:v>
      </x:c>
      <x:c r="E119" s="2" t="str">
        <x:f>IF(COUNTA('01_orders_raw'!A119:J119)&gt;0,IF(LEN('01_orders_raw'!C119&amp;"")=0,"SKIP",IF(COUNTIF('02_clients_raw'!$A$2:$A$67,'01_orders_raw'!C119)&lt;&gt;1,"ERROR","OK")),"")</x:f>
        <x:v>OK</x:v>
      </x:c>
      <x:c r="F119" s="2" t="str">
        <x:f>IF(COUNTA('01_orders_raw'!A119:J119)&gt;0,IF(OR(LEN('01_orders_raw'!G119&amp;"")=0,LEN('01_orders_raw'!H119&amp;"")=0,LEN('01_orders_raw'!I119&amp;"")=0),"SKIP",IF(AND(ISNUMBER('01_orders_raw'!G119),ISNUMBER('01_orders_raw'!H119),ISNUMBER('01_orders_raw'!I119)),IF(OR('01_orders_raw'!G119&lt;=0,MOD('01_orders_raw'!G119,1)&lt;&gt;0,ABS('01_orders_raw'!I119-'01_orders_raw'!G119*'01_orders_raw'!H119)&gt;'09_parameters'!$B$3),"ERROR","OK"),"ERROR")),"")</x:f>
        <x:v>OK</x:v>
      </x:c>
      <x:c r="G119" s="2" t="str">
        <x:f>IF(COUNTA('01_orders_raw'!A119:J119)&gt;0,IF(LEN('01_orders_raw'!H119&amp;"")=0,"SKIP",IF('01_orders_raw'!H119&lt;0,"ERROR","OK")),"")</x:f>
        <x:v>OK</x:v>
      </x:c>
      <x:c r="H119" s="2" t="str">
        <x:f>IF(COUNTA('01_orders_raw'!A119:J119)&gt;0,IF(LEN('01_orders_raw'!B119&amp;"")=0,"SKIP",IF(OR(NOT(ISNUMBER('01_orders_raw'!B119)),'01_orders_raw'!B119&lt;=0,'01_orders_raw'!B119&gt;'09_parameters'!$B$2),"ERROR","OK")),"")</x:f>
        <x:v>OK</x:v>
      </x:c>
      <x:c r="I119" s="2" t="str">
        <x:f>IF(COUNTA('01_orders_raw'!A119:J119)&gt;0,IF(LEN('01_orders_raw'!J119&amp;"")=0,"SKIP",IF(AND('01_orders_raw'!J119&lt;&gt;"Выполнен",'01_orders_raw'!J119&lt;&gt;"В работе",'01_orders_raw'!J119&lt;&gt;"Отменен",'01_orders_raw'!J119&lt;&gt;"Ожидает оплаты"),"ERROR","OK")),"")</x:f>
        <x:v>OK</x:v>
      </x:c>
      <x:c r="J119" s="2" t="n">
        <x:f>COUNTIF(C119:I119,"ERROR")</x:f>
        <x:v>0</x:v>
      </x:c>
      <x:c r="K119" s="2" t="n">
        <x:f>IF(COUNTA('01_orders_raw'!A119:J119)&gt;0,119,"")</x:f>
        <x:v>119</x:v>
      </x:c>
    </x:row>
    <x:row r="120">
      <x:c r="A120" s="2" t="str">
        <x:f>IF(COUNTA('01_orders_raw'!A120:J120)&gt;0,"Order","")</x:f>
        <x:v>Order</x:v>
      </x:c>
      <x:c r="B120" s="2" t="n">
        <x:f>IF(COUNTA('01_orders_raw'!A120:J120)&gt;0,'01_orders_raw'!A120,"")</x:f>
        <x:v>1119</x:v>
      </x:c>
      <x:c r="C120" s="2" t="str">
        <x:f>IF(COUNTA('01_orders_raw'!A120:J120)&gt;0,IF(AND(LEN('01_orders_raw'!A120&amp;"")&gt;0,COUNTIF('01_orders_raw'!$A$2:$A$181,'01_orders_raw'!A120)&gt;1),"ERROR","OK"),"")</x:f>
        <x:v>OK</x:v>
      </x:c>
      <x:c r="D120" s="2" t="str">
        <x:f>IF(COUNTA('01_orders_raw'!A120:J120)&gt;0,IF(OR(LEN('01_orders_raw'!A120&amp;"")=0,LEN('01_orders_raw'!B120&amp;"")=0,LEN('01_orders_raw'!C120&amp;"")=0,LEN('01_orders_raw'!D120&amp;"")=0,LEN('01_orders_raw'!E120&amp;"")=0,LEN('01_orders_raw'!F120&amp;"")=0,LEN('01_orders_raw'!G120&amp;"")=0,LEN('01_orders_raw'!H120&amp;"")=0,LEN('01_orders_raw'!I120&amp;"")=0,LEN('01_orders_raw'!J120&amp;"")=0),"ERROR","OK"),"")</x:f>
        <x:v>OK</x:v>
      </x:c>
      <x:c r="E120" s="2" t="str">
        <x:f>IF(COUNTA('01_orders_raw'!A120:J120)&gt;0,IF(LEN('01_orders_raw'!C120&amp;"")=0,"SKIP",IF(COUNTIF('02_clients_raw'!$A$2:$A$67,'01_orders_raw'!C120)&lt;&gt;1,"ERROR","OK")),"")</x:f>
        <x:v>OK</x:v>
      </x:c>
      <x:c r="F120" s="2" t="str">
        <x:f>IF(COUNTA('01_orders_raw'!A120:J120)&gt;0,IF(OR(LEN('01_orders_raw'!G120&amp;"")=0,LEN('01_orders_raw'!H120&amp;"")=0,LEN('01_orders_raw'!I120&amp;"")=0),"SKIP",IF(AND(ISNUMBER('01_orders_raw'!G120),ISNUMBER('01_orders_raw'!H120),ISNUMBER('01_orders_raw'!I120)),IF(OR('01_orders_raw'!G120&lt;=0,MOD('01_orders_raw'!G120,1)&lt;&gt;0,ABS('01_orders_raw'!I120-'01_orders_raw'!G120*'01_orders_raw'!H120)&gt;'09_parameters'!$B$3),"ERROR","OK"),"ERROR")),"")</x:f>
        <x:v>OK</x:v>
      </x:c>
      <x:c r="G120" s="2" t="str">
        <x:f>IF(COUNTA('01_orders_raw'!A120:J120)&gt;0,IF(LEN('01_orders_raw'!H120&amp;"")=0,"SKIP",IF('01_orders_raw'!H120&lt;0,"ERROR","OK")),"")</x:f>
        <x:v>OK</x:v>
      </x:c>
      <x:c r="H120" s="2" t="str">
        <x:f>IF(COUNTA('01_orders_raw'!A120:J120)&gt;0,IF(LEN('01_orders_raw'!B120&amp;"")=0,"SKIP",IF(OR(NOT(ISNUMBER('01_orders_raw'!B120)),'01_orders_raw'!B120&lt;=0,'01_orders_raw'!B120&gt;'09_parameters'!$B$2),"ERROR","OK")),"")</x:f>
        <x:v>OK</x:v>
      </x:c>
      <x:c r="I120" s="2" t="str">
        <x:f>IF(COUNTA('01_orders_raw'!A120:J120)&gt;0,IF(LEN('01_orders_raw'!J120&amp;"")=0,"SKIP",IF(AND('01_orders_raw'!J120&lt;&gt;"Выполнен",'01_orders_raw'!J120&lt;&gt;"В работе",'01_orders_raw'!J120&lt;&gt;"Отменен",'01_orders_raw'!J120&lt;&gt;"Ожидает оплаты"),"ERROR","OK")),"")</x:f>
        <x:v>OK</x:v>
      </x:c>
      <x:c r="J120" s="2" t="n">
        <x:f>COUNTIF(C120:I120,"ERROR")</x:f>
        <x:v>0</x:v>
      </x:c>
      <x:c r="K120" s="2" t="n">
        <x:f>IF(COUNTA('01_orders_raw'!A120:J120)&gt;0,120,"")</x:f>
        <x:v>120</x:v>
      </x:c>
    </x:row>
    <x:row r="121">
      <x:c r="A121" s="2" t="str">
        <x:f>IF(COUNTA('01_orders_raw'!A121:J121)&gt;0,"Order","")</x:f>
        <x:v>Order</x:v>
      </x:c>
      <x:c r="B121" s="2" t="n">
        <x:f>IF(COUNTA('01_orders_raw'!A121:J121)&gt;0,'01_orders_raw'!A121,"")</x:f>
        <x:v>1120</x:v>
      </x:c>
      <x:c r="C121" s="2" t="str">
        <x:f>IF(COUNTA('01_orders_raw'!A121:J121)&gt;0,IF(AND(LEN('01_orders_raw'!A121&amp;"")&gt;0,COUNTIF('01_orders_raw'!$A$2:$A$181,'01_orders_raw'!A121)&gt;1),"ERROR","OK"),"")</x:f>
        <x:v>OK</x:v>
      </x:c>
      <x:c r="D121" s="2" t="str">
        <x:f>IF(COUNTA('01_orders_raw'!A121:J121)&gt;0,IF(OR(LEN('01_orders_raw'!A121&amp;"")=0,LEN('01_orders_raw'!B121&amp;"")=0,LEN('01_orders_raw'!C121&amp;"")=0,LEN('01_orders_raw'!D121&amp;"")=0,LEN('01_orders_raw'!E121&amp;"")=0,LEN('01_orders_raw'!F121&amp;"")=0,LEN('01_orders_raw'!G121&amp;"")=0,LEN('01_orders_raw'!H121&amp;"")=0,LEN('01_orders_raw'!I121&amp;"")=0,LEN('01_orders_raw'!J121&amp;"")=0),"ERROR","OK"),"")</x:f>
        <x:v>OK</x:v>
      </x:c>
      <x:c r="E121" s="2" t="str">
        <x:f>IF(COUNTA('01_orders_raw'!A121:J121)&gt;0,IF(LEN('01_orders_raw'!C121&amp;"")=0,"SKIP",IF(COUNTIF('02_clients_raw'!$A$2:$A$67,'01_orders_raw'!C121)&lt;&gt;1,"ERROR","OK")),"")</x:f>
        <x:v>OK</x:v>
      </x:c>
      <x:c r="F121" s="2" t="str">
        <x:f>IF(COUNTA('01_orders_raw'!A121:J121)&gt;0,IF(OR(LEN('01_orders_raw'!G121&amp;"")=0,LEN('01_orders_raw'!H121&amp;"")=0,LEN('01_orders_raw'!I121&amp;"")=0),"SKIP",IF(AND(ISNUMBER('01_orders_raw'!G121),ISNUMBER('01_orders_raw'!H121),ISNUMBER('01_orders_raw'!I121)),IF(OR('01_orders_raw'!G121&lt;=0,MOD('01_orders_raw'!G121,1)&lt;&gt;0,ABS('01_orders_raw'!I121-'01_orders_raw'!G121*'01_orders_raw'!H121)&gt;'09_parameters'!$B$3),"ERROR","OK"),"ERROR")),"")</x:f>
        <x:v>OK</x:v>
      </x:c>
      <x:c r="G121" s="2" t="str">
        <x:f>IF(COUNTA('01_orders_raw'!A121:J121)&gt;0,IF(LEN('01_orders_raw'!H121&amp;"")=0,"SKIP",IF('01_orders_raw'!H121&lt;0,"ERROR","OK")),"")</x:f>
        <x:v>OK</x:v>
      </x:c>
      <x:c r="H121" s="2" t="str">
        <x:f>IF(COUNTA('01_orders_raw'!A121:J121)&gt;0,IF(LEN('01_orders_raw'!B121&amp;"")=0,"SKIP",IF(OR(NOT(ISNUMBER('01_orders_raw'!B121)),'01_orders_raw'!B121&lt;=0,'01_orders_raw'!B121&gt;'09_parameters'!$B$2),"ERROR","OK")),"")</x:f>
        <x:v>OK</x:v>
      </x:c>
      <x:c r="I121" s="2" t="str">
        <x:f>IF(COUNTA('01_orders_raw'!A121:J121)&gt;0,IF(LEN('01_orders_raw'!J121&amp;"")=0,"SKIP",IF(AND('01_orders_raw'!J121&lt;&gt;"Выполнен",'01_orders_raw'!J121&lt;&gt;"В работе",'01_orders_raw'!J121&lt;&gt;"Отменен",'01_orders_raw'!J121&lt;&gt;"Ожидает оплаты"),"ERROR","OK")),"")</x:f>
        <x:v>OK</x:v>
      </x:c>
      <x:c r="J121" s="2" t="n">
        <x:f>COUNTIF(C121:I121,"ERROR")</x:f>
        <x:v>0</x:v>
      </x:c>
      <x:c r="K121" s="2" t="n">
        <x:f>IF(COUNTA('01_orders_raw'!A121:J121)&gt;0,121,"")</x:f>
        <x:v>121</x:v>
      </x:c>
    </x:row>
    <x:row r="122">
      <x:c r="A122" s="2" t="str">
        <x:f>IF(COUNTA('01_orders_raw'!A122:J122)&gt;0,"Order","")</x:f>
        <x:v>Order</x:v>
      </x:c>
      <x:c r="B122" s="2" t="n">
        <x:f>IF(COUNTA('01_orders_raw'!A122:J122)&gt;0,'01_orders_raw'!A122,"")</x:f>
        <x:v>1121</x:v>
      </x:c>
      <x:c r="C122" s="2" t="str">
        <x:f>IF(COUNTA('01_orders_raw'!A122:J122)&gt;0,IF(AND(LEN('01_orders_raw'!A122&amp;"")&gt;0,COUNTIF('01_orders_raw'!$A$2:$A$181,'01_orders_raw'!A122)&gt;1),"ERROR","OK"),"")</x:f>
        <x:v>OK</x:v>
      </x:c>
      <x:c r="D122" s="2" t="str">
        <x:f>IF(COUNTA('01_orders_raw'!A122:J122)&gt;0,IF(OR(LEN('01_orders_raw'!A122&amp;"")=0,LEN('01_orders_raw'!B122&amp;"")=0,LEN('01_orders_raw'!C122&amp;"")=0,LEN('01_orders_raw'!D122&amp;"")=0,LEN('01_orders_raw'!E122&amp;"")=0,LEN('01_orders_raw'!F122&amp;"")=0,LEN('01_orders_raw'!G122&amp;"")=0,LEN('01_orders_raw'!H122&amp;"")=0,LEN('01_orders_raw'!I122&amp;"")=0,LEN('01_orders_raw'!J122&amp;"")=0),"ERROR","OK"),"")</x:f>
        <x:v>OK</x:v>
      </x:c>
      <x:c r="E122" s="2" t="str">
        <x:f>IF(COUNTA('01_orders_raw'!A122:J122)&gt;0,IF(LEN('01_orders_raw'!C122&amp;"")=0,"SKIP",IF(COUNTIF('02_clients_raw'!$A$2:$A$67,'01_orders_raw'!C122)&lt;&gt;1,"ERROR","OK")),"")</x:f>
        <x:v>OK</x:v>
      </x:c>
      <x:c r="F122" s="2" t="str">
        <x:f>IF(COUNTA('01_orders_raw'!A122:J122)&gt;0,IF(OR(LEN('01_orders_raw'!G122&amp;"")=0,LEN('01_orders_raw'!H122&amp;"")=0,LEN('01_orders_raw'!I122&amp;"")=0),"SKIP",IF(AND(ISNUMBER('01_orders_raw'!G122),ISNUMBER('01_orders_raw'!H122),ISNUMBER('01_orders_raw'!I122)),IF(OR('01_orders_raw'!G122&lt;=0,MOD('01_orders_raw'!G122,1)&lt;&gt;0,ABS('01_orders_raw'!I122-'01_orders_raw'!G122*'01_orders_raw'!H122)&gt;'09_parameters'!$B$3),"ERROR","OK"),"ERROR")),"")</x:f>
        <x:v>OK</x:v>
      </x:c>
      <x:c r="G122" s="2" t="str">
        <x:f>IF(COUNTA('01_orders_raw'!A122:J122)&gt;0,IF(LEN('01_orders_raw'!H122&amp;"")=0,"SKIP",IF('01_orders_raw'!H122&lt;0,"ERROR","OK")),"")</x:f>
        <x:v>OK</x:v>
      </x:c>
      <x:c r="H122" s="2" t="str">
        <x:f>IF(COUNTA('01_orders_raw'!A122:J122)&gt;0,IF(LEN('01_orders_raw'!B122&amp;"")=0,"SKIP",IF(OR(NOT(ISNUMBER('01_orders_raw'!B122)),'01_orders_raw'!B122&lt;=0,'01_orders_raw'!B122&gt;'09_parameters'!$B$2),"ERROR","OK")),"")</x:f>
        <x:v>OK</x:v>
      </x:c>
      <x:c r="I122" s="2" t="str">
        <x:f>IF(COUNTA('01_orders_raw'!A122:J122)&gt;0,IF(LEN('01_orders_raw'!J122&amp;"")=0,"SKIP",IF(AND('01_orders_raw'!J122&lt;&gt;"Выполнен",'01_orders_raw'!J122&lt;&gt;"В работе",'01_orders_raw'!J122&lt;&gt;"Отменен",'01_orders_raw'!J122&lt;&gt;"Ожидает оплаты"),"ERROR","OK")),"")</x:f>
        <x:v>OK</x:v>
      </x:c>
      <x:c r="J122" s="2" t="n">
        <x:f>COUNTIF(C122:I122,"ERROR")</x:f>
        <x:v>0</x:v>
      </x:c>
      <x:c r="K122" s="2" t="n">
        <x:f>IF(COUNTA('01_orders_raw'!A122:J122)&gt;0,122,"")</x:f>
        <x:v>122</x:v>
      </x:c>
    </x:row>
    <x:row r="123">
      <x:c r="A123" s="2" t="str">
        <x:f>IF(COUNTA('01_orders_raw'!A123:J123)&gt;0,"Order","")</x:f>
        <x:v>Order</x:v>
      </x:c>
      <x:c r="B123" s="2" t="n">
        <x:f>IF(COUNTA('01_orders_raw'!A123:J123)&gt;0,'01_orders_raw'!A123,"")</x:f>
        <x:v>1122</x:v>
      </x:c>
      <x:c r="C123" s="2" t="str">
        <x:f>IF(COUNTA('01_orders_raw'!A123:J123)&gt;0,IF(AND(LEN('01_orders_raw'!A123&amp;"")&gt;0,COUNTIF('01_orders_raw'!$A$2:$A$181,'01_orders_raw'!A123)&gt;1),"ERROR","OK"),"")</x:f>
        <x:v>OK</x:v>
      </x:c>
      <x:c r="D123" s="2" t="str">
        <x:f>IF(COUNTA('01_orders_raw'!A123:J123)&gt;0,IF(OR(LEN('01_orders_raw'!A123&amp;"")=0,LEN('01_orders_raw'!B123&amp;"")=0,LEN('01_orders_raw'!C123&amp;"")=0,LEN('01_orders_raw'!D123&amp;"")=0,LEN('01_orders_raw'!E123&amp;"")=0,LEN('01_orders_raw'!F123&amp;"")=0,LEN('01_orders_raw'!G123&amp;"")=0,LEN('01_orders_raw'!H123&amp;"")=0,LEN('01_orders_raw'!I123&amp;"")=0,LEN('01_orders_raw'!J123&amp;"")=0),"ERROR","OK"),"")</x:f>
        <x:v>OK</x:v>
      </x:c>
      <x:c r="E123" s="2" t="str">
        <x:f>IF(COUNTA('01_orders_raw'!A123:J123)&gt;0,IF(LEN('01_orders_raw'!C123&amp;"")=0,"SKIP",IF(COUNTIF('02_clients_raw'!$A$2:$A$67,'01_orders_raw'!C123)&lt;&gt;1,"ERROR","OK")),"")</x:f>
        <x:v>OK</x:v>
      </x:c>
      <x:c r="F123" s="2" t="str">
        <x:f>IF(COUNTA('01_orders_raw'!A123:J123)&gt;0,IF(OR(LEN('01_orders_raw'!G123&amp;"")=0,LEN('01_orders_raw'!H123&amp;"")=0,LEN('01_orders_raw'!I123&amp;"")=0),"SKIP",IF(AND(ISNUMBER('01_orders_raw'!G123),ISNUMBER('01_orders_raw'!H123),ISNUMBER('01_orders_raw'!I123)),IF(OR('01_orders_raw'!G123&lt;=0,MOD('01_orders_raw'!G123,1)&lt;&gt;0,ABS('01_orders_raw'!I123-'01_orders_raw'!G123*'01_orders_raw'!H123)&gt;'09_parameters'!$B$3),"ERROR","OK"),"ERROR")),"")</x:f>
        <x:v>OK</x:v>
      </x:c>
      <x:c r="G123" s="2" t="str">
        <x:f>IF(COUNTA('01_orders_raw'!A123:J123)&gt;0,IF(LEN('01_orders_raw'!H123&amp;"")=0,"SKIP",IF('01_orders_raw'!H123&lt;0,"ERROR","OK")),"")</x:f>
        <x:v>OK</x:v>
      </x:c>
      <x:c r="H123" s="2" t="str">
        <x:f>IF(COUNTA('01_orders_raw'!A123:J123)&gt;0,IF(LEN('01_orders_raw'!B123&amp;"")=0,"SKIP",IF(OR(NOT(ISNUMBER('01_orders_raw'!B123)),'01_orders_raw'!B123&lt;=0,'01_orders_raw'!B123&gt;'09_parameters'!$B$2),"ERROR","OK")),"")</x:f>
        <x:v>OK</x:v>
      </x:c>
      <x:c r="I123" s="2" t="str">
        <x:f>IF(COUNTA('01_orders_raw'!A123:J123)&gt;0,IF(LEN('01_orders_raw'!J123&amp;"")=0,"SKIP",IF(AND('01_orders_raw'!J123&lt;&gt;"Выполнен",'01_orders_raw'!J123&lt;&gt;"В работе",'01_orders_raw'!J123&lt;&gt;"Отменен",'01_orders_raw'!J123&lt;&gt;"Ожидает оплаты"),"ERROR","OK")),"")</x:f>
        <x:v>OK</x:v>
      </x:c>
      <x:c r="J123" s="2" t="n">
        <x:f>COUNTIF(C123:I123,"ERROR")</x:f>
        <x:v>0</x:v>
      </x:c>
      <x:c r="K123" s="2" t="n">
        <x:f>IF(COUNTA('01_orders_raw'!A123:J123)&gt;0,123,"")</x:f>
        <x:v>123</x:v>
      </x:c>
    </x:row>
    <x:row r="124">
      <x:c r="A124" s="2" t="str">
        <x:f>IF(COUNTA('01_orders_raw'!A124:J124)&gt;0,"Order","")</x:f>
        <x:v>Order</x:v>
      </x:c>
      <x:c r="B124" s="2" t="n">
        <x:f>IF(COUNTA('01_orders_raw'!A124:J124)&gt;0,'01_orders_raw'!A124,"")</x:f>
        <x:v>1123</x:v>
      </x:c>
      <x:c r="C124" s="2" t="str">
        <x:f>IF(COUNTA('01_orders_raw'!A124:J124)&gt;0,IF(AND(LEN('01_orders_raw'!A124&amp;"")&gt;0,COUNTIF('01_orders_raw'!$A$2:$A$181,'01_orders_raw'!A124)&gt;1),"ERROR","OK"),"")</x:f>
        <x:v>OK</x:v>
      </x:c>
      <x:c r="D124" s="2" t="str">
        <x:f>IF(COUNTA('01_orders_raw'!A124:J124)&gt;0,IF(OR(LEN('01_orders_raw'!A124&amp;"")=0,LEN('01_orders_raw'!B124&amp;"")=0,LEN('01_orders_raw'!C124&amp;"")=0,LEN('01_orders_raw'!D124&amp;"")=0,LEN('01_orders_raw'!E124&amp;"")=0,LEN('01_orders_raw'!F124&amp;"")=0,LEN('01_orders_raw'!G124&amp;"")=0,LEN('01_orders_raw'!H124&amp;"")=0,LEN('01_orders_raw'!I124&amp;"")=0,LEN('01_orders_raw'!J124&amp;"")=0),"ERROR","OK"),"")</x:f>
        <x:v>OK</x:v>
      </x:c>
      <x:c r="E124" s="2" t="str">
        <x:f>IF(COUNTA('01_orders_raw'!A124:J124)&gt;0,IF(LEN('01_orders_raw'!C124&amp;"")=0,"SKIP",IF(COUNTIF('02_clients_raw'!$A$2:$A$67,'01_orders_raw'!C124)&lt;&gt;1,"ERROR","OK")),"")</x:f>
        <x:v>OK</x:v>
      </x:c>
      <x:c r="F124" s="2" t="str">
        <x:f>IF(COUNTA('01_orders_raw'!A124:J124)&gt;0,IF(OR(LEN('01_orders_raw'!G124&amp;"")=0,LEN('01_orders_raw'!H124&amp;"")=0,LEN('01_orders_raw'!I124&amp;"")=0),"SKIP",IF(AND(ISNUMBER('01_orders_raw'!G124),ISNUMBER('01_orders_raw'!H124),ISNUMBER('01_orders_raw'!I124)),IF(OR('01_orders_raw'!G124&lt;=0,MOD('01_orders_raw'!G124,1)&lt;&gt;0,ABS('01_orders_raw'!I124-'01_orders_raw'!G124*'01_orders_raw'!H124)&gt;'09_parameters'!$B$3),"ERROR","OK"),"ERROR")),"")</x:f>
        <x:v>OK</x:v>
      </x:c>
      <x:c r="G124" s="2" t="str">
        <x:f>IF(COUNTA('01_orders_raw'!A124:J124)&gt;0,IF(LEN('01_orders_raw'!H124&amp;"")=0,"SKIP",IF('01_orders_raw'!H124&lt;0,"ERROR","OK")),"")</x:f>
        <x:v>OK</x:v>
      </x:c>
      <x:c r="H124" s="2" t="str">
        <x:f>IF(COUNTA('01_orders_raw'!A124:J124)&gt;0,IF(LEN('01_orders_raw'!B124&amp;"")=0,"SKIP",IF(OR(NOT(ISNUMBER('01_orders_raw'!B124)),'01_orders_raw'!B124&lt;=0,'01_orders_raw'!B124&gt;'09_parameters'!$B$2),"ERROR","OK")),"")</x:f>
        <x:v>OK</x:v>
      </x:c>
      <x:c r="I124" s="2" t="str">
        <x:f>IF(COUNTA('01_orders_raw'!A124:J124)&gt;0,IF(LEN('01_orders_raw'!J124&amp;"")=0,"SKIP",IF(AND('01_orders_raw'!J124&lt;&gt;"Выполнен",'01_orders_raw'!J124&lt;&gt;"В работе",'01_orders_raw'!J124&lt;&gt;"Отменен",'01_orders_raw'!J124&lt;&gt;"Ожидает оплаты"),"ERROR","OK")),"")</x:f>
        <x:v>OK</x:v>
      </x:c>
      <x:c r="J124" s="2" t="n">
        <x:f>COUNTIF(C124:I124,"ERROR")</x:f>
        <x:v>0</x:v>
      </x:c>
      <x:c r="K124" s="2" t="n">
        <x:f>IF(COUNTA('01_orders_raw'!A124:J124)&gt;0,124,"")</x:f>
        <x:v>124</x:v>
      </x:c>
    </x:row>
    <x:row r="125">
      <x:c r="A125" s="2" t="str">
        <x:f>IF(COUNTA('01_orders_raw'!A125:J125)&gt;0,"Order","")</x:f>
        <x:v>Order</x:v>
      </x:c>
      <x:c r="B125" s="2" t="n">
        <x:f>IF(COUNTA('01_orders_raw'!A125:J125)&gt;0,'01_orders_raw'!A125,"")</x:f>
        <x:v>1124</x:v>
      </x:c>
      <x:c r="C125" s="2" t="str">
        <x:f>IF(COUNTA('01_orders_raw'!A125:J125)&gt;0,IF(AND(LEN('01_orders_raw'!A125&amp;"")&gt;0,COUNTIF('01_orders_raw'!$A$2:$A$181,'01_orders_raw'!A125)&gt;1),"ERROR","OK"),"")</x:f>
        <x:v>OK</x:v>
      </x:c>
      <x:c r="D125" s="2" t="str">
        <x:f>IF(COUNTA('01_orders_raw'!A125:J125)&gt;0,IF(OR(LEN('01_orders_raw'!A125&amp;"")=0,LEN('01_orders_raw'!B125&amp;"")=0,LEN('01_orders_raw'!C125&amp;"")=0,LEN('01_orders_raw'!D125&amp;"")=0,LEN('01_orders_raw'!E125&amp;"")=0,LEN('01_orders_raw'!F125&amp;"")=0,LEN('01_orders_raw'!G125&amp;"")=0,LEN('01_orders_raw'!H125&amp;"")=0,LEN('01_orders_raw'!I125&amp;"")=0,LEN('01_orders_raw'!J125&amp;"")=0),"ERROR","OK"),"")</x:f>
        <x:v>OK</x:v>
      </x:c>
      <x:c r="E125" s="2" t="str">
        <x:f>IF(COUNTA('01_orders_raw'!A125:J125)&gt;0,IF(LEN('01_orders_raw'!C125&amp;"")=0,"SKIP",IF(COUNTIF('02_clients_raw'!$A$2:$A$67,'01_orders_raw'!C125)&lt;&gt;1,"ERROR","OK")),"")</x:f>
        <x:v>OK</x:v>
      </x:c>
      <x:c r="F125" s="2" t="str">
        <x:f>IF(COUNTA('01_orders_raw'!A125:J125)&gt;0,IF(OR(LEN('01_orders_raw'!G125&amp;"")=0,LEN('01_orders_raw'!H125&amp;"")=0,LEN('01_orders_raw'!I125&amp;"")=0),"SKIP",IF(AND(ISNUMBER('01_orders_raw'!G125),ISNUMBER('01_orders_raw'!H125),ISNUMBER('01_orders_raw'!I125)),IF(OR('01_orders_raw'!G125&lt;=0,MOD('01_orders_raw'!G125,1)&lt;&gt;0,ABS('01_orders_raw'!I125-'01_orders_raw'!G125*'01_orders_raw'!H125)&gt;'09_parameters'!$B$3),"ERROR","OK"),"ERROR")),"")</x:f>
        <x:v>OK</x:v>
      </x:c>
      <x:c r="G125" s="2" t="str">
        <x:f>IF(COUNTA('01_orders_raw'!A125:J125)&gt;0,IF(LEN('01_orders_raw'!H125&amp;"")=0,"SKIP",IF('01_orders_raw'!H125&lt;0,"ERROR","OK")),"")</x:f>
        <x:v>OK</x:v>
      </x:c>
      <x:c r="H125" s="2" t="str">
        <x:f>IF(COUNTA('01_orders_raw'!A125:J125)&gt;0,IF(LEN('01_orders_raw'!B125&amp;"")=0,"SKIP",IF(OR(NOT(ISNUMBER('01_orders_raw'!B125)),'01_orders_raw'!B125&lt;=0,'01_orders_raw'!B125&gt;'09_parameters'!$B$2),"ERROR","OK")),"")</x:f>
        <x:v>OK</x:v>
      </x:c>
      <x:c r="I125" s="2" t="str">
        <x:f>IF(COUNTA('01_orders_raw'!A125:J125)&gt;0,IF(LEN('01_orders_raw'!J125&amp;"")=0,"SKIP",IF(AND('01_orders_raw'!J125&lt;&gt;"Выполнен",'01_orders_raw'!J125&lt;&gt;"В работе",'01_orders_raw'!J125&lt;&gt;"Отменен",'01_orders_raw'!J125&lt;&gt;"Ожидает оплаты"),"ERROR","OK")),"")</x:f>
        <x:v>OK</x:v>
      </x:c>
      <x:c r="J125" s="2" t="n">
        <x:f>COUNTIF(C125:I125,"ERROR")</x:f>
        <x:v>0</x:v>
      </x:c>
      <x:c r="K125" s="2" t="n">
        <x:f>IF(COUNTA('01_orders_raw'!A125:J125)&gt;0,125,"")</x:f>
        <x:v>125</x:v>
      </x:c>
    </x:row>
    <x:row r="126">
      <x:c r="A126" s="2" t="str">
        <x:f>IF(COUNTA('01_orders_raw'!A126:J126)&gt;0,"Order","")</x:f>
        <x:v>Order</x:v>
      </x:c>
      <x:c r="B126" s="2" t="n">
        <x:f>IF(COUNTA('01_orders_raw'!A126:J126)&gt;0,'01_orders_raw'!A126,"")</x:f>
        <x:v>1125</x:v>
      </x:c>
      <x:c r="C126" s="2" t="str">
        <x:f>IF(COUNTA('01_orders_raw'!A126:J126)&gt;0,IF(AND(LEN('01_orders_raw'!A126&amp;"")&gt;0,COUNTIF('01_orders_raw'!$A$2:$A$181,'01_orders_raw'!A126)&gt;1),"ERROR","OK"),"")</x:f>
        <x:v>OK</x:v>
      </x:c>
      <x:c r="D126" s="2" t="str">
        <x:f>IF(COUNTA('01_orders_raw'!A126:J126)&gt;0,IF(OR(LEN('01_orders_raw'!A126&amp;"")=0,LEN('01_orders_raw'!B126&amp;"")=0,LEN('01_orders_raw'!C126&amp;"")=0,LEN('01_orders_raw'!D126&amp;"")=0,LEN('01_orders_raw'!E126&amp;"")=0,LEN('01_orders_raw'!F126&amp;"")=0,LEN('01_orders_raw'!G126&amp;"")=0,LEN('01_orders_raw'!H126&amp;"")=0,LEN('01_orders_raw'!I126&amp;"")=0,LEN('01_orders_raw'!J126&amp;"")=0),"ERROR","OK"),"")</x:f>
        <x:v>OK</x:v>
      </x:c>
      <x:c r="E126" s="2" t="str">
        <x:f>IF(COUNTA('01_orders_raw'!A126:J126)&gt;0,IF(LEN('01_orders_raw'!C126&amp;"")=0,"SKIP",IF(COUNTIF('02_clients_raw'!$A$2:$A$67,'01_orders_raw'!C126)&lt;&gt;1,"ERROR","OK")),"")</x:f>
        <x:v>OK</x:v>
      </x:c>
      <x:c r="F126" s="2" t="str">
        <x:f>IF(COUNTA('01_orders_raw'!A126:J126)&gt;0,IF(OR(LEN('01_orders_raw'!G126&amp;"")=0,LEN('01_orders_raw'!H126&amp;"")=0,LEN('01_orders_raw'!I126&amp;"")=0),"SKIP",IF(AND(ISNUMBER('01_orders_raw'!G126),ISNUMBER('01_orders_raw'!H126),ISNUMBER('01_orders_raw'!I126)),IF(OR('01_orders_raw'!G126&lt;=0,MOD('01_orders_raw'!G126,1)&lt;&gt;0,ABS('01_orders_raw'!I126-'01_orders_raw'!G126*'01_orders_raw'!H126)&gt;'09_parameters'!$B$3),"ERROR","OK"),"ERROR")),"")</x:f>
        <x:v>OK</x:v>
      </x:c>
      <x:c r="G126" s="2" t="str">
        <x:f>IF(COUNTA('01_orders_raw'!A126:J126)&gt;0,IF(LEN('01_orders_raw'!H126&amp;"")=0,"SKIP",IF('01_orders_raw'!H126&lt;0,"ERROR","OK")),"")</x:f>
        <x:v>OK</x:v>
      </x:c>
      <x:c r="H126" s="2" t="str">
        <x:f>IF(COUNTA('01_orders_raw'!A126:J126)&gt;0,IF(LEN('01_orders_raw'!B126&amp;"")=0,"SKIP",IF(OR(NOT(ISNUMBER('01_orders_raw'!B126)),'01_orders_raw'!B126&lt;=0,'01_orders_raw'!B126&gt;'09_parameters'!$B$2),"ERROR","OK")),"")</x:f>
        <x:v>OK</x:v>
      </x:c>
      <x:c r="I126" s="2" t="str">
        <x:f>IF(COUNTA('01_orders_raw'!A126:J126)&gt;0,IF(LEN('01_orders_raw'!J126&amp;"")=0,"SKIP",IF(AND('01_orders_raw'!J126&lt;&gt;"Выполнен",'01_orders_raw'!J126&lt;&gt;"В работе",'01_orders_raw'!J126&lt;&gt;"Отменен",'01_orders_raw'!J126&lt;&gt;"Ожидает оплаты"),"ERROR","OK")),"")</x:f>
        <x:v>OK</x:v>
      </x:c>
      <x:c r="J126" s="2" t="n">
        <x:f>COUNTIF(C126:I126,"ERROR")</x:f>
        <x:v>0</x:v>
      </x:c>
      <x:c r="K126" s="2" t="n">
        <x:f>IF(COUNTA('01_orders_raw'!A126:J126)&gt;0,126,"")</x:f>
        <x:v>126</x:v>
      </x:c>
    </x:row>
    <x:row r="127">
      <x:c r="A127" s="2" t="str">
        <x:f>IF(COUNTA('01_orders_raw'!A127:J127)&gt;0,"Order","")</x:f>
        <x:v>Order</x:v>
      </x:c>
      <x:c r="B127" s="2" t="n">
        <x:f>IF(COUNTA('01_orders_raw'!A127:J127)&gt;0,'01_orders_raw'!A127,"")</x:f>
        <x:v>1126</x:v>
      </x:c>
      <x:c r="C127" s="2" t="str">
        <x:f>IF(COUNTA('01_orders_raw'!A127:J127)&gt;0,IF(AND(LEN('01_orders_raw'!A127&amp;"")&gt;0,COUNTIF('01_orders_raw'!$A$2:$A$181,'01_orders_raw'!A127)&gt;1),"ERROR","OK"),"")</x:f>
        <x:v>OK</x:v>
      </x:c>
      <x:c r="D127" s="2" t="str">
        <x:f>IF(COUNTA('01_orders_raw'!A127:J127)&gt;0,IF(OR(LEN('01_orders_raw'!A127&amp;"")=0,LEN('01_orders_raw'!B127&amp;"")=0,LEN('01_orders_raw'!C127&amp;"")=0,LEN('01_orders_raw'!D127&amp;"")=0,LEN('01_orders_raw'!E127&amp;"")=0,LEN('01_orders_raw'!F127&amp;"")=0,LEN('01_orders_raw'!G127&amp;"")=0,LEN('01_orders_raw'!H127&amp;"")=0,LEN('01_orders_raw'!I127&amp;"")=0,LEN('01_orders_raw'!J127&amp;"")=0),"ERROR","OK"),"")</x:f>
        <x:v>OK</x:v>
      </x:c>
      <x:c r="E127" s="2" t="str">
        <x:f>IF(COUNTA('01_orders_raw'!A127:J127)&gt;0,IF(LEN('01_orders_raw'!C127&amp;"")=0,"SKIP",IF(COUNTIF('02_clients_raw'!$A$2:$A$67,'01_orders_raw'!C127)&lt;&gt;1,"ERROR","OK")),"")</x:f>
        <x:v>OK</x:v>
      </x:c>
      <x:c r="F127" s="2" t="str">
        <x:f>IF(COUNTA('01_orders_raw'!A127:J127)&gt;0,IF(OR(LEN('01_orders_raw'!G127&amp;"")=0,LEN('01_orders_raw'!H127&amp;"")=0,LEN('01_orders_raw'!I127&amp;"")=0),"SKIP",IF(AND(ISNUMBER('01_orders_raw'!G127),ISNUMBER('01_orders_raw'!H127),ISNUMBER('01_orders_raw'!I127)),IF(OR('01_orders_raw'!G127&lt;=0,MOD('01_orders_raw'!G127,1)&lt;&gt;0,ABS('01_orders_raw'!I127-'01_orders_raw'!G127*'01_orders_raw'!H127)&gt;'09_parameters'!$B$3),"ERROR","OK"),"ERROR")),"")</x:f>
        <x:v>OK</x:v>
      </x:c>
      <x:c r="G127" s="2" t="str">
        <x:f>IF(COUNTA('01_orders_raw'!A127:J127)&gt;0,IF(LEN('01_orders_raw'!H127&amp;"")=0,"SKIP",IF('01_orders_raw'!H127&lt;0,"ERROR","OK")),"")</x:f>
        <x:v>OK</x:v>
      </x:c>
      <x:c r="H127" s="2" t="str">
        <x:f>IF(COUNTA('01_orders_raw'!A127:J127)&gt;0,IF(LEN('01_orders_raw'!B127&amp;"")=0,"SKIP",IF(OR(NOT(ISNUMBER('01_orders_raw'!B127)),'01_orders_raw'!B127&lt;=0,'01_orders_raw'!B127&gt;'09_parameters'!$B$2),"ERROR","OK")),"")</x:f>
        <x:v>OK</x:v>
      </x:c>
      <x:c r="I127" s="2" t="str">
        <x:f>IF(COUNTA('01_orders_raw'!A127:J127)&gt;0,IF(LEN('01_orders_raw'!J127&amp;"")=0,"SKIP",IF(AND('01_orders_raw'!J127&lt;&gt;"Выполнен",'01_orders_raw'!J127&lt;&gt;"В работе",'01_orders_raw'!J127&lt;&gt;"Отменен",'01_orders_raw'!J127&lt;&gt;"Ожидает оплаты"),"ERROR","OK")),"")</x:f>
        <x:v>OK</x:v>
      </x:c>
      <x:c r="J127" s="2" t="n">
        <x:f>COUNTIF(C127:I127,"ERROR")</x:f>
        <x:v>0</x:v>
      </x:c>
      <x:c r="K127" s="2" t="n">
        <x:f>IF(COUNTA('01_orders_raw'!A127:J127)&gt;0,127,"")</x:f>
        <x:v>127</x:v>
      </x:c>
    </x:row>
    <x:row r="128">
      <x:c r="A128" s="2" t="str">
        <x:f>IF(COUNTA('01_orders_raw'!A128:J128)&gt;0,"Order","")</x:f>
        <x:v>Order</x:v>
      </x:c>
      <x:c r="B128" s="2" t="n">
        <x:f>IF(COUNTA('01_orders_raw'!A128:J128)&gt;0,'01_orders_raw'!A128,"")</x:f>
        <x:v>1127</x:v>
      </x:c>
      <x:c r="C128" s="2" t="str">
        <x:f>IF(COUNTA('01_orders_raw'!A128:J128)&gt;0,IF(AND(LEN('01_orders_raw'!A128&amp;"")&gt;0,COUNTIF('01_orders_raw'!$A$2:$A$181,'01_orders_raw'!A128)&gt;1),"ERROR","OK"),"")</x:f>
        <x:v>OK</x:v>
      </x:c>
      <x:c r="D128" s="2" t="str">
        <x:f>IF(COUNTA('01_orders_raw'!A128:J128)&gt;0,IF(OR(LEN('01_orders_raw'!A128&amp;"")=0,LEN('01_orders_raw'!B128&amp;"")=0,LEN('01_orders_raw'!C128&amp;"")=0,LEN('01_orders_raw'!D128&amp;"")=0,LEN('01_orders_raw'!E128&amp;"")=0,LEN('01_orders_raw'!F128&amp;"")=0,LEN('01_orders_raw'!G128&amp;"")=0,LEN('01_orders_raw'!H128&amp;"")=0,LEN('01_orders_raw'!I128&amp;"")=0,LEN('01_orders_raw'!J128&amp;"")=0),"ERROR","OK"),"")</x:f>
        <x:v>OK</x:v>
      </x:c>
      <x:c r="E128" s="2" t="str">
        <x:f>IF(COUNTA('01_orders_raw'!A128:J128)&gt;0,IF(LEN('01_orders_raw'!C128&amp;"")=0,"SKIP",IF(COUNTIF('02_clients_raw'!$A$2:$A$67,'01_orders_raw'!C128)&lt;&gt;1,"ERROR","OK")),"")</x:f>
        <x:v>OK</x:v>
      </x:c>
      <x:c r="F128" s="2" t="str">
        <x:f>IF(COUNTA('01_orders_raw'!A128:J128)&gt;0,IF(OR(LEN('01_orders_raw'!G128&amp;"")=0,LEN('01_orders_raw'!H128&amp;"")=0,LEN('01_orders_raw'!I128&amp;"")=0),"SKIP",IF(AND(ISNUMBER('01_orders_raw'!G128),ISNUMBER('01_orders_raw'!H128),ISNUMBER('01_orders_raw'!I128)),IF(OR('01_orders_raw'!G128&lt;=0,MOD('01_orders_raw'!G128,1)&lt;&gt;0,ABS('01_orders_raw'!I128-'01_orders_raw'!G128*'01_orders_raw'!H128)&gt;'09_parameters'!$B$3),"ERROR","OK"),"ERROR")),"")</x:f>
        <x:v>OK</x:v>
      </x:c>
      <x:c r="G128" s="2" t="str">
        <x:f>IF(COUNTA('01_orders_raw'!A128:J128)&gt;0,IF(LEN('01_orders_raw'!H128&amp;"")=0,"SKIP",IF('01_orders_raw'!H128&lt;0,"ERROR","OK")),"")</x:f>
        <x:v>OK</x:v>
      </x:c>
      <x:c r="H128" s="2" t="str">
        <x:f>IF(COUNTA('01_orders_raw'!A128:J128)&gt;0,IF(LEN('01_orders_raw'!B128&amp;"")=0,"SKIP",IF(OR(NOT(ISNUMBER('01_orders_raw'!B128)),'01_orders_raw'!B128&lt;=0,'01_orders_raw'!B128&gt;'09_parameters'!$B$2),"ERROR","OK")),"")</x:f>
        <x:v>OK</x:v>
      </x:c>
      <x:c r="I128" s="2" t="str">
        <x:f>IF(COUNTA('01_orders_raw'!A128:J128)&gt;0,IF(LEN('01_orders_raw'!J128&amp;"")=0,"SKIP",IF(AND('01_orders_raw'!J128&lt;&gt;"Выполнен",'01_orders_raw'!J128&lt;&gt;"В работе",'01_orders_raw'!J128&lt;&gt;"Отменен",'01_orders_raw'!J128&lt;&gt;"Ожидает оплаты"),"ERROR","OK")),"")</x:f>
        <x:v>OK</x:v>
      </x:c>
      <x:c r="J128" s="2" t="n">
        <x:f>COUNTIF(C128:I128,"ERROR")</x:f>
        <x:v>0</x:v>
      </x:c>
      <x:c r="K128" s="2" t="n">
        <x:f>IF(COUNTA('01_orders_raw'!A128:J128)&gt;0,128,"")</x:f>
        <x:v>128</x:v>
      </x:c>
    </x:row>
    <x:row r="129">
      <x:c r="A129" s="2" t="str">
        <x:f>IF(COUNTA('01_orders_raw'!A129:J129)&gt;0,"Order","")</x:f>
        <x:v>Order</x:v>
      </x:c>
      <x:c r="B129" s="2" t="n">
        <x:f>IF(COUNTA('01_orders_raw'!A129:J129)&gt;0,'01_orders_raw'!A129,"")</x:f>
        <x:v>1128</x:v>
      </x:c>
      <x:c r="C129" s="2" t="str">
        <x:f>IF(COUNTA('01_orders_raw'!A129:J129)&gt;0,IF(AND(LEN('01_orders_raw'!A129&amp;"")&gt;0,COUNTIF('01_orders_raw'!$A$2:$A$181,'01_orders_raw'!A129)&gt;1),"ERROR","OK"),"")</x:f>
        <x:v>OK</x:v>
      </x:c>
      <x:c r="D129" s="2" t="str">
        <x:f>IF(COUNTA('01_orders_raw'!A129:J129)&gt;0,IF(OR(LEN('01_orders_raw'!A129&amp;"")=0,LEN('01_orders_raw'!B129&amp;"")=0,LEN('01_orders_raw'!C129&amp;"")=0,LEN('01_orders_raw'!D129&amp;"")=0,LEN('01_orders_raw'!E129&amp;"")=0,LEN('01_orders_raw'!F129&amp;"")=0,LEN('01_orders_raw'!G129&amp;"")=0,LEN('01_orders_raw'!H129&amp;"")=0,LEN('01_orders_raw'!I129&amp;"")=0,LEN('01_orders_raw'!J129&amp;"")=0),"ERROR","OK"),"")</x:f>
        <x:v>OK</x:v>
      </x:c>
      <x:c r="E129" s="2" t="str">
        <x:f>IF(COUNTA('01_orders_raw'!A129:J129)&gt;0,IF(LEN('01_orders_raw'!C129&amp;"")=0,"SKIP",IF(COUNTIF('02_clients_raw'!$A$2:$A$67,'01_orders_raw'!C129)&lt;&gt;1,"ERROR","OK")),"")</x:f>
        <x:v>OK</x:v>
      </x:c>
      <x:c r="F129" s="2" t="str">
        <x:f>IF(COUNTA('01_orders_raw'!A129:J129)&gt;0,IF(OR(LEN('01_orders_raw'!G129&amp;"")=0,LEN('01_orders_raw'!H129&amp;"")=0,LEN('01_orders_raw'!I129&amp;"")=0),"SKIP",IF(AND(ISNUMBER('01_orders_raw'!G129),ISNUMBER('01_orders_raw'!H129),ISNUMBER('01_orders_raw'!I129)),IF(OR('01_orders_raw'!G129&lt;=0,MOD('01_orders_raw'!G129,1)&lt;&gt;0,ABS('01_orders_raw'!I129-'01_orders_raw'!G129*'01_orders_raw'!H129)&gt;'09_parameters'!$B$3),"ERROR","OK"),"ERROR")),"")</x:f>
        <x:v>OK</x:v>
      </x:c>
      <x:c r="G129" s="2" t="str">
        <x:f>IF(COUNTA('01_orders_raw'!A129:J129)&gt;0,IF(LEN('01_orders_raw'!H129&amp;"")=0,"SKIP",IF('01_orders_raw'!H129&lt;0,"ERROR","OK")),"")</x:f>
        <x:v>OK</x:v>
      </x:c>
      <x:c r="H129" s="2" t="str">
        <x:f>IF(COUNTA('01_orders_raw'!A129:J129)&gt;0,IF(LEN('01_orders_raw'!B129&amp;"")=0,"SKIP",IF(OR(NOT(ISNUMBER('01_orders_raw'!B129)),'01_orders_raw'!B129&lt;=0,'01_orders_raw'!B129&gt;'09_parameters'!$B$2),"ERROR","OK")),"")</x:f>
        <x:v>OK</x:v>
      </x:c>
      <x:c r="I129" s="2" t="str">
        <x:f>IF(COUNTA('01_orders_raw'!A129:J129)&gt;0,IF(LEN('01_orders_raw'!J129&amp;"")=0,"SKIP",IF(AND('01_orders_raw'!J129&lt;&gt;"Выполнен",'01_orders_raw'!J129&lt;&gt;"В работе",'01_orders_raw'!J129&lt;&gt;"Отменен",'01_orders_raw'!J129&lt;&gt;"Ожидает оплаты"),"ERROR","OK")),"")</x:f>
        <x:v>OK</x:v>
      </x:c>
      <x:c r="J129" s="2" t="n">
        <x:f>COUNTIF(C129:I129,"ERROR")</x:f>
        <x:v>0</x:v>
      </x:c>
      <x:c r="K129" s="2" t="n">
        <x:f>IF(COUNTA('01_orders_raw'!A129:J129)&gt;0,129,"")</x:f>
        <x:v>129</x:v>
      </x:c>
    </x:row>
    <x:row r="130">
      <x:c r="A130" s="2" t="str">
        <x:f>IF(COUNTA('01_orders_raw'!A130:J130)&gt;0,"Order","")</x:f>
        <x:v>Order</x:v>
      </x:c>
      <x:c r="B130" s="2" t="n">
        <x:f>IF(COUNTA('01_orders_raw'!A130:J130)&gt;0,'01_orders_raw'!A130,"")</x:f>
        <x:v>1129</x:v>
      </x:c>
      <x:c r="C130" s="2" t="str">
        <x:f>IF(COUNTA('01_orders_raw'!A130:J130)&gt;0,IF(AND(LEN('01_orders_raw'!A130&amp;"")&gt;0,COUNTIF('01_orders_raw'!$A$2:$A$181,'01_orders_raw'!A130)&gt;1),"ERROR","OK"),"")</x:f>
        <x:v>OK</x:v>
      </x:c>
      <x:c r="D130" s="2" t="str">
        <x:f>IF(COUNTA('01_orders_raw'!A130:J130)&gt;0,IF(OR(LEN('01_orders_raw'!A130&amp;"")=0,LEN('01_orders_raw'!B130&amp;"")=0,LEN('01_orders_raw'!C130&amp;"")=0,LEN('01_orders_raw'!D130&amp;"")=0,LEN('01_orders_raw'!E130&amp;"")=0,LEN('01_orders_raw'!F130&amp;"")=0,LEN('01_orders_raw'!G130&amp;"")=0,LEN('01_orders_raw'!H130&amp;"")=0,LEN('01_orders_raw'!I130&amp;"")=0,LEN('01_orders_raw'!J130&amp;"")=0),"ERROR","OK"),"")</x:f>
        <x:v>OK</x:v>
      </x:c>
      <x:c r="E130" s="2" t="str">
        <x:f>IF(COUNTA('01_orders_raw'!A130:J130)&gt;0,IF(LEN('01_orders_raw'!C130&amp;"")=0,"SKIP",IF(COUNTIF('02_clients_raw'!$A$2:$A$67,'01_orders_raw'!C130)&lt;&gt;1,"ERROR","OK")),"")</x:f>
        <x:v>OK</x:v>
      </x:c>
      <x:c r="F130" s="2" t="str">
        <x:f>IF(COUNTA('01_orders_raw'!A130:J130)&gt;0,IF(OR(LEN('01_orders_raw'!G130&amp;"")=0,LEN('01_orders_raw'!H130&amp;"")=0,LEN('01_orders_raw'!I130&amp;"")=0),"SKIP",IF(AND(ISNUMBER('01_orders_raw'!G130),ISNUMBER('01_orders_raw'!H130),ISNUMBER('01_orders_raw'!I130)),IF(OR('01_orders_raw'!G130&lt;=0,MOD('01_orders_raw'!G130,1)&lt;&gt;0,ABS('01_orders_raw'!I130-'01_orders_raw'!G130*'01_orders_raw'!H130)&gt;'09_parameters'!$B$3),"ERROR","OK"),"ERROR")),"")</x:f>
        <x:v>OK</x:v>
      </x:c>
      <x:c r="G130" s="2" t="str">
        <x:f>IF(COUNTA('01_orders_raw'!A130:J130)&gt;0,IF(LEN('01_orders_raw'!H130&amp;"")=0,"SKIP",IF('01_orders_raw'!H130&lt;0,"ERROR","OK")),"")</x:f>
        <x:v>OK</x:v>
      </x:c>
      <x:c r="H130" s="2" t="str">
        <x:f>IF(COUNTA('01_orders_raw'!A130:J130)&gt;0,IF(LEN('01_orders_raw'!B130&amp;"")=0,"SKIP",IF(OR(NOT(ISNUMBER('01_orders_raw'!B130)),'01_orders_raw'!B130&lt;=0,'01_orders_raw'!B130&gt;'09_parameters'!$B$2),"ERROR","OK")),"")</x:f>
        <x:v>OK</x:v>
      </x:c>
      <x:c r="I130" s="2" t="str">
        <x:f>IF(COUNTA('01_orders_raw'!A130:J130)&gt;0,IF(LEN('01_orders_raw'!J130&amp;"")=0,"SKIP",IF(AND('01_orders_raw'!J130&lt;&gt;"Выполнен",'01_orders_raw'!J130&lt;&gt;"В работе",'01_orders_raw'!J130&lt;&gt;"Отменен",'01_orders_raw'!J130&lt;&gt;"Ожидает оплаты"),"ERROR","OK")),"")</x:f>
        <x:v>OK</x:v>
      </x:c>
      <x:c r="J130" s="2" t="n">
        <x:f>COUNTIF(C130:I130,"ERROR")</x:f>
        <x:v>0</x:v>
      </x:c>
      <x:c r="K130" s="2" t="n">
        <x:f>IF(COUNTA('01_orders_raw'!A130:J130)&gt;0,130,"")</x:f>
        <x:v>130</x:v>
      </x:c>
    </x:row>
    <x:row r="131">
      <x:c r="A131" s="2" t="str">
        <x:f>IF(COUNTA('01_orders_raw'!A131:J131)&gt;0,"Order","")</x:f>
        <x:v>Order</x:v>
      </x:c>
      <x:c r="B131" s="2" t="n">
        <x:f>IF(COUNTA('01_orders_raw'!A131:J131)&gt;0,'01_orders_raw'!A131,"")</x:f>
        <x:v>1130</x:v>
      </x:c>
      <x:c r="C131" s="2" t="str">
        <x:f>IF(COUNTA('01_orders_raw'!A131:J131)&gt;0,IF(AND(LEN('01_orders_raw'!A131&amp;"")&gt;0,COUNTIF('01_orders_raw'!$A$2:$A$181,'01_orders_raw'!A131)&gt;1),"ERROR","OK"),"")</x:f>
        <x:v>OK</x:v>
      </x:c>
      <x:c r="D131" s="2" t="str">
        <x:f>IF(COUNTA('01_orders_raw'!A131:J131)&gt;0,IF(OR(LEN('01_orders_raw'!A131&amp;"")=0,LEN('01_orders_raw'!B131&amp;"")=0,LEN('01_orders_raw'!C131&amp;"")=0,LEN('01_orders_raw'!D131&amp;"")=0,LEN('01_orders_raw'!E131&amp;"")=0,LEN('01_orders_raw'!F131&amp;"")=0,LEN('01_orders_raw'!G131&amp;"")=0,LEN('01_orders_raw'!H131&amp;"")=0,LEN('01_orders_raw'!I131&amp;"")=0,LEN('01_orders_raw'!J131&amp;"")=0),"ERROR","OK"),"")</x:f>
        <x:v>OK</x:v>
      </x:c>
      <x:c r="E131" s="2" t="str">
        <x:f>IF(COUNTA('01_orders_raw'!A131:J131)&gt;0,IF(LEN('01_orders_raw'!C131&amp;"")=0,"SKIP",IF(COUNTIF('02_clients_raw'!$A$2:$A$67,'01_orders_raw'!C131)&lt;&gt;1,"ERROR","OK")),"")</x:f>
        <x:v>OK</x:v>
      </x:c>
      <x:c r="F131" s="2" t="str">
        <x:f>IF(COUNTA('01_orders_raw'!A131:J131)&gt;0,IF(OR(LEN('01_orders_raw'!G131&amp;"")=0,LEN('01_orders_raw'!H131&amp;"")=0,LEN('01_orders_raw'!I131&amp;"")=0),"SKIP",IF(AND(ISNUMBER('01_orders_raw'!G131),ISNUMBER('01_orders_raw'!H131),ISNUMBER('01_orders_raw'!I131)),IF(OR('01_orders_raw'!G131&lt;=0,MOD('01_orders_raw'!G131,1)&lt;&gt;0,ABS('01_orders_raw'!I131-'01_orders_raw'!G131*'01_orders_raw'!H131)&gt;'09_parameters'!$B$3),"ERROR","OK"),"ERROR")),"")</x:f>
        <x:v>OK</x:v>
      </x:c>
      <x:c r="G131" s="2" t="str">
        <x:f>IF(COUNTA('01_orders_raw'!A131:J131)&gt;0,IF(LEN('01_orders_raw'!H131&amp;"")=0,"SKIP",IF('01_orders_raw'!H131&lt;0,"ERROR","OK")),"")</x:f>
        <x:v>OK</x:v>
      </x:c>
      <x:c r="H131" s="2" t="str">
        <x:f>IF(COUNTA('01_orders_raw'!A131:J131)&gt;0,IF(LEN('01_orders_raw'!B131&amp;"")=0,"SKIP",IF(OR(NOT(ISNUMBER('01_orders_raw'!B131)),'01_orders_raw'!B131&lt;=0,'01_orders_raw'!B131&gt;'09_parameters'!$B$2),"ERROR","OK")),"")</x:f>
        <x:v>OK</x:v>
      </x:c>
      <x:c r="I131" s="2" t="str">
        <x:f>IF(COUNTA('01_orders_raw'!A131:J131)&gt;0,IF(LEN('01_orders_raw'!J131&amp;"")=0,"SKIP",IF(AND('01_orders_raw'!J131&lt;&gt;"Выполнен",'01_orders_raw'!J131&lt;&gt;"В работе",'01_orders_raw'!J131&lt;&gt;"Отменен",'01_orders_raw'!J131&lt;&gt;"Ожидает оплаты"),"ERROR","OK")),"")</x:f>
        <x:v>OK</x:v>
      </x:c>
      <x:c r="J131" s="2" t="n">
        <x:f>COUNTIF(C131:I131,"ERROR")</x:f>
        <x:v>0</x:v>
      </x:c>
      <x:c r="K131" s="2" t="n">
        <x:f>IF(COUNTA('01_orders_raw'!A131:J131)&gt;0,131,"")</x:f>
        <x:v>131</x:v>
      </x:c>
    </x:row>
    <x:row r="132">
      <x:c r="A132" s="2" t="str">
        <x:f>IF(COUNTA('01_orders_raw'!A132:J132)&gt;0,"Order","")</x:f>
        <x:v>Order</x:v>
      </x:c>
      <x:c r="B132" s="2" t="n">
        <x:f>IF(COUNTA('01_orders_raw'!A132:J132)&gt;0,'01_orders_raw'!A132,"")</x:f>
        <x:v>1131</x:v>
      </x:c>
      <x:c r="C132" s="2" t="str">
        <x:f>IF(COUNTA('01_orders_raw'!A132:J132)&gt;0,IF(AND(LEN('01_orders_raw'!A132&amp;"")&gt;0,COUNTIF('01_orders_raw'!$A$2:$A$181,'01_orders_raw'!A132)&gt;1),"ERROR","OK"),"")</x:f>
        <x:v>OK</x:v>
      </x:c>
      <x:c r="D132" s="2" t="str">
        <x:f>IF(COUNTA('01_orders_raw'!A132:J132)&gt;0,IF(OR(LEN('01_orders_raw'!A132&amp;"")=0,LEN('01_orders_raw'!B132&amp;"")=0,LEN('01_orders_raw'!C132&amp;"")=0,LEN('01_orders_raw'!D132&amp;"")=0,LEN('01_orders_raw'!E132&amp;"")=0,LEN('01_orders_raw'!F132&amp;"")=0,LEN('01_orders_raw'!G132&amp;"")=0,LEN('01_orders_raw'!H132&amp;"")=0,LEN('01_orders_raw'!I132&amp;"")=0,LEN('01_orders_raw'!J132&amp;"")=0),"ERROR","OK"),"")</x:f>
        <x:v>ERROR</x:v>
      </x:c>
      <x:c r="E132" s="2" t="str">
        <x:f>IF(COUNTA('01_orders_raw'!A132:J132)&gt;0,IF(LEN('01_orders_raw'!C132&amp;"")=0,"SKIP",IF(COUNTIF('02_clients_raw'!$A$2:$A$67,'01_orders_raw'!C132)&lt;&gt;1,"ERROR","OK")),"")</x:f>
        <x:v>OK</x:v>
      </x:c>
      <x:c r="F132" s="2" t="str">
        <x:f>IF(COUNTA('01_orders_raw'!A132:J132)&gt;0,IF(OR(LEN('01_orders_raw'!G132&amp;"")=0,LEN('01_orders_raw'!H132&amp;"")=0,LEN('01_orders_raw'!I132&amp;"")=0),"SKIP",IF(AND(ISNUMBER('01_orders_raw'!G132),ISNUMBER('01_orders_raw'!H132),ISNUMBER('01_orders_raw'!I132)),IF(OR('01_orders_raw'!G132&lt;=0,MOD('01_orders_raw'!G132,1)&lt;&gt;0,ABS('01_orders_raw'!I132-'01_orders_raw'!G132*'01_orders_raw'!H132)&gt;'09_parameters'!$B$3),"ERROR","OK"),"ERROR")),"")</x:f>
        <x:v>SKIP</x:v>
      </x:c>
      <x:c r="G132" s="2" t="str">
        <x:f>IF(COUNTA('01_orders_raw'!A132:J132)&gt;0,IF(LEN('01_orders_raw'!H132&amp;"")=0,"SKIP",IF('01_orders_raw'!H132&lt;0,"ERROR","OK")),"")</x:f>
        <x:v>OK</x:v>
      </x:c>
      <x:c r="H132" s="2" t="str">
        <x:f>IF(COUNTA('01_orders_raw'!A132:J132)&gt;0,IF(LEN('01_orders_raw'!B132&amp;"")=0,"SKIP",IF(OR(NOT(ISNUMBER('01_orders_raw'!B132)),'01_orders_raw'!B132&lt;=0,'01_orders_raw'!B132&gt;'09_parameters'!$B$2),"ERROR","OK")),"")</x:f>
        <x:v>OK</x:v>
      </x:c>
      <x:c r="I132" s="2" t="str">
        <x:f>IF(COUNTA('01_orders_raw'!A132:J132)&gt;0,IF(LEN('01_orders_raw'!J132&amp;"")=0,"SKIP",IF(AND('01_orders_raw'!J132&lt;&gt;"Выполнен",'01_orders_raw'!J132&lt;&gt;"В работе",'01_orders_raw'!J132&lt;&gt;"Отменен",'01_orders_raw'!J132&lt;&gt;"Ожидает оплаты"),"ERROR","OK")),"")</x:f>
        <x:v>OK</x:v>
      </x:c>
      <x:c r="J132" s="2" t="n">
        <x:f>COUNTIF(C132:I132,"ERROR")</x:f>
        <x:v>1</x:v>
      </x:c>
      <x:c r="K132" s="2" t="n">
        <x:f>IF(COUNTA('01_orders_raw'!A132:J132)&gt;0,132,"")</x:f>
        <x:v>132</x:v>
      </x:c>
    </x:row>
    <x:row r="133">
      <x:c r="A133" s="2" t="str">
        <x:f>IF(COUNTA('01_orders_raw'!A133:J133)&gt;0,"Order","")</x:f>
        <x:v>Order</x:v>
      </x:c>
      <x:c r="B133" s="2" t="n">
        <x:f>IF(COUNTA('01_orders_raw'!A133:J133)&gt;0,'01_orders_raw'!A133,"")</x:f>
        <x:v>1132</x:v>
      </x:c>
      <x:c r="C133" s="2" t="str">
        <x:f>IF(COUNTA('01_orders_raw'!A133:J133)&gt;0,IF(AND(LEN('01_orders_raw'!A133&amp;"")&gt;0,COUNTIF('01_orders_raw'!$A$2:$A$181,'01_orders_raw'!A133)&gt;1),"ERROR","OK"),"")</x:f>
        <x:v>OK</x:v>
      </x:c>
      <x:c r="D133" s="2" t="str">
        <x:f>IF(COUNTA('01_orders_raw'!A133:J133)&gt;0,IF(OR(LEN('01_orders_raw'!A133&amp;"")=0,LEN('01_orders_raw'!B133&amp;"")=0,LEN('01_orders_raw'!C133&amp;"")=0,LEN('01_orders_raw'!D133&amp;"")=0,LEN('01_orders_raw'!E133&amp;"")=0,LEN('01_orders_raw'!F133&amp;"")=0,LEN('01_orders_raw'!G133&amp;"")=0,LEN('01_orders_raw'!H133&amp;"")=0,LEN('01_orders_raw'!I133&amp;"")=0,LEN('01_orders_raw'!J133&amp;"")=0),"ERROR","OK"),"")</x:f>
        <x:v>OK</x:v>
      </x:c>
      <x:c r="E133" s="2" t="str">
        <x:f>IF(COUNTA('01_orders_raw'!A133:J133)&gt;0,IF(LEN('01_orders_raw'!C133&amp;"")=0,"SKIP",IF(COUNTIF('02_clients_raw'!$A$2:$A$67,'01_orders_raw'!C133)&lt;&gt;1,"ERROR","OK")),"")</x:f>
        <x:v>OK</x:v>
      </x:c>
      <x:c r="F133" s="2" t="str">
        <x:f>IF(COUNTA('01_orders_raw'!A133:J133)&gt;0,IF(OR(LEN('01_orders_raw'!G133&amp;"")=0,LEN('01_orders_raw'!H133&amp;"")=0,LEN('01_orders_raw'!I133&amp;"")=0),"SKIP",IF(AND(ISNUMBER('01_orders_raw'!G133),ISNUMBER('01_orders_raw'!H133),ISNUMBER('01_orders_raw'!I133)),IF(OR('01_orders_raw'!G133&lt;=0,MOD('01_orders_raw'!G133,1)&lt;&gt;0,ABS('01_orders_raw'!I133-'01_orders_raw'!G133*'01_orders_raw'!H133)&gt;'09_parameters'!$B$3),"ERROR","OK"),"ERROR")),"")</x:f>
        <x:v>OK</x:v>
      </x:c>
      <x:c r="G133" s="2" t="str">
        <x:f>IF(COUNTA('01_orders_raw'!A133:J133)&gt;0,IF(LEN('01_orders_raw'!H133&amp;"")=0,"SKIP",IF('01_orders_raw'!H133&lt;0,"ERROR","OK")),"")</x:f>
        <x:v>OK</x:v>
      </x:c>
      <x:c r="H133" s="2" t="str">
        <x:f>IF(COUNTA('01_orders_raw'!A133:J133)&gt;0,IF(LEN('01_orders_raw'!B133&amp;"")=0,"SKIP",IF(OR(NOT(ISNUMBER('01_orders_raw'!B133)),'01_orders_raw'!B133&lt;=0,'01_orders_raw'!B133&gt;'09_parameters'!$B$2),"ERROR","OK")),"")</x:f>
        <x:v>OK</x:v>
      </x:c>
      <x:c r="I133" s="2" t="str">
        <x:f>IF(COUNTA('01_orders_raw'!A133:J133)&gt;0,IF(LEN('01_orders_raw'!J133&amp;"")=0,"SKIP",IF(AND('01_orders_raw'!J133&lt;&gt;"Выполнен",'01_orders_raw'!J133&lt;&gt;"В работе",'01_orders_raw'!J133&lt;&gt;"Отменен",'01_orders_raw'!J133&lt;&gt;"Ожидает оплаты"),"ERROR","OK")),"")</x:f>
        <x:v>OK</x:v>
      </x:c>
      <x:c r="J133" s="2" t="n">
        <x:f>COUNTIF(C133:I133,"ERROR")</x:f>
        <x:v>0</x:v>
      </x:c>
      <x:c r="K133" s="2" t="n">
        <x:f>IF(COUNTA('01_orders_raw'!A133:J133)&gt;0,133,"")</x:f>
        <x:v>133</x:v>
      </x:c>
    </x:row>
    <x:row r="134">
      <x:c r="A134" s="2" t="str">
        <x:f>IF(COUNTA('01_orders_raw'!A134:J134)&gt;0,"Order","")</x:f>
        <x:v>Order</x:v>
      </x:c>
      <x:c r="B134" s="2" t="n">
        <x:f>IF(COUNTA('01_orders_raw'!A134:J134)&gt;0,'01_orders_raw'!A134,"")</x:f>
        <x:v>1133</x:v>
      </x:c>
      <x:c r="C134" s="2" t="str">
        <x:f>IF(COUNTA('01_orders_raw'!A134:J134)&gt;0,IF(AND(LEN('01_orders_raw'!A134&amp;"")&gt;0,COUNTIF('01_orders_raw'!$A$2:$A$181,'01_orders_raw'!A134)&gt;1),"ERROR","OK"),"")</x:f>
        <x:v>OK</x:v>
      </x:c>
      <x:c r="D134" s="2" t="str">
        <x:f>IF(COUNTA('01_orders_raw'!A134:J134)&gt;0,IF(OR(LEN('01_orders_raw'!A134&amp;"")=0,LEN('01_orders_raw'!B134&amp;"")=0,LEN('01_orders_raw'!C134&amp;"")=0,LEN('01_orders_raw'!D134&amp;"")=0,LEN('01_orders_raw'!E134&amp;"")=0,LEN('01_orders_raw'!F134&amp;"")=0,LEN('01_orders_raw'!G134&amp;"")=0,LEN('01_orders_raw'!H134&amp;"")=0,LEN('01_orders_raw'!I134&amp;"")=0,LEN('01_orders_raw'!J134&amp;"")=0),"ERROR","OK"),"")</x:f>
        <x:v>OK</x:v>
      </x:c>
      <x:c r="E134" s="2" t="str">
        <x:f>IF(COUNTA('01_orders_raw'!A134:J134)&gt;0,IF(LEN('01_orders_raw'!C134&amp;"")=0,"SKIP",IF(COUNTIF('02_clients_raw'!$A$2:$A$67,'01_orders_raw'!C134)&lt;&gt;1,"ERROR","OK")),"")</x:f>
        <x:v>OK</x:v>
      </x:c>
      <x:c r="F134" s="2" t="str">
        <x:f>IF(COUNTA('01_orders_raw'!A134:J134)&gt;0,IF(OR(LEN('01_orders_raw'!G134&amp;"")=0,LEN('01_orders_raw'!H134&amp;"")=0,LEN('01_orders_raw'!I134&amp;"")=0),"SKIP",IF(AND(ISNUMBER('01_orders_raw'!G134),ISNUMBER('01_orders_raw'!H134),ISNUMBER('01_orders_raw'!I134)),IF(OR('01_orders_raw'!G134&lt;=0,MOD('01_orders_raw'!G134,1)&lt;&gt;0,ABS('01_orders_raw'!I134-'01_orders_raw'!G134*'01_orders_raw'!H134)&gt;'09_parameters'!$B$3),"ERROR","OK"),"ERROR")),"")</x:f>
        <x:v>OK</x:v>
      </x:c>
      <x:c r="G134" s="2" t="str">
        <x:f>IF(COUNTA('01_orders_raw'!A134:J134)&gt;0,IF(LEN('01_orders_raw'!H134&amp;"")=0,"SKIP",IF('01_orders_raw'!H134&lt;0,"ERROR","OK")),"")</x:f>
        <x:v>OK</x:v>
      </x:c>
      <x:c r="H134" s="2" t="str">
        <x:f>IF(COUNTA('01_orders_raw'!A134:J134)&gt;0,IF(LEN('01_orders_raw'!B134&amp;"")=0,"SKIP",IF(OR(NOT(ISNUMBER('01_orders_raw'!B134)),'01_orders_raw'!B134&lt;=0,'01_orders_raw'!B134&gt;'09_parameters'!$B$2),"ERROR","OK")),"")</x:f>
        <x:v>OK</x:v>
      </x:c>
      <x:c r="I134" s="2" t="str">
        <x:f>IF(COUNTA('01_orders_raw'!A134:J134)&gt;0,IF(LEN('01_orders_raw'!J134&amp;"")=0,"SKIP",IF(AND('01_orders_raw'!J134&lt;&gt;"Выполнен",'01_orders_raw'!J134&lt;&gt;"В работе",'01_orders_raw'!J134&lt;&gt;"Отменен",'01_orders_raw'!J134&lt;&gt;"Ожидает оплаты"),"ERROR","OK")),"")</x:f>
        <x:v>OK</x:v>
      </x:c>
      <x:c r="J134" s="2" t="n">
        <x:f>COUNTIF(C134:I134,"ERROR")</x:f>
        <x:v>0</x:v>
      </x:c>
      <x:c r="K134" s="2" t="n">
        <x:f>IF(COUNTA('01_orders_raw'!A134:J134)&gt;0,134,"")</x:f>
        <x:v>134</x:v>
      </x:c>
    </x:row>
    <x:row r="135">
      <x:c r="A135" s="2" t="str">
        <x:f>IF(COUNTA('01_orders_raw'!A135:J135)&gt;0,"Order","")</x:f>
        <x:v>Order</x:v>
      </x:c>
      <x:c r="B135" s="2" t="n">
        <x:f>IF(COUNTA('01_orders_raw'!A135:J135)&gt;0,'01_orders_raw'!A135,"")</x:f>
        <x:v>1134</x:v>
      </x:c>
      <x:c r="C135" s="2" t="str">
        <x:f>IF(COUNTA('01_orders_raw'!A135:J135)&gt;0,IF(AND(LEN('01_orders_raw'!A135&amp;"")&gt;0,COUNTIF('01_orders_raw'!$A$2:$A$181,'01_orders_raw'!A135)&gt;1),"ERROR","OK"),"")</x:f>
        <x:v>OK</x:v>
      </x:c>
      <x:c r="D135" s="2" t="str">
        <x:f>IF(COUNTA('01_orders_raw'!A135:J135)&gt;0,IF(OR(LEN('01_orders_raw'!A135&amp;"")=0,LEN('01_orders_raw'!B135&amp;"")=0,LEN('01_orders_raw'!C135&amp;"")=0,LEN('01_orders_raw'!D135&amp;"")=0,LEN('01_orders_raw'!E135&amp;"")=0,LEN('01_orders_raw'!F135&amp;"")=0,LEN('01_orders_raw'!G135&amp;"")=0,LEN('01_orders_raw'!H135&amp;"")=0,LEN('01_orders_raw'!I135&amp;"")=0,LEN('01_orders_raw'!J135&amp;"")=0),"ERROR","OK"),"")</x:f>
        <x:v>OK</x:v>
      </x:c>
      <x:c r="E135" s="2" t="str">
        <x:f>IF(COUNTA('01_orders_raw'!A135:J135)&gt;0,IF(LEN('01_orders_raw'!C135&amp;"")=0,"SKIP",IF(COUNTIF('02_clients_raw'!$A$2:$A$67,'01_orders_raw'!C135)&lt;&gt;1,"ERROR","OK")),"")</x:f>
        <x:v>OK</x:v>
      </x:c>
      <x:c r="F135" s="2" t="str">
        <x:f>IF(COUNTA('01_orders_raw'!A135:J135)&gt;0,IF(OR(LEN('01_orders_raw'!G135&amp;"")=0,LEN('01_orders_raw'!H135&amp;"")=0,LEN('01_orders_raw'!I135&amp;"")=0),"SKIP",IF(AND(ISNUMBER('01_orders_raw'!G135),ISNUMBER('01_orders_raw'!H135),ISNUMBER('01_orders_raw'!I135)),IF(OR('01_orders_raw'!G135&lt;=0,MOD('01_orders_raw'!G135,1)&lt;&gt;0,ABS('01_orders_raw'!I135-'01_orders_raw'!G135*'01_orders_raw'!H135)&gt;'09_parameters'!$B$3),"ERROR","OK"),"ERROR")),"")</x:f>
        <x:v>OK</x:v>
      </x:c>
      <x:c r="G135" s="2" t="str">
        <x:f>IF(COUNTA('01_orders_raw'!A135:J135)&gt;0,IF(LEN('01_orders_raw'!H135&amp;"")=0,"SKIP",IF('01_orders_raw'!H135&lt;0,"ERROR","OK")),"")</x:f>
        <x:v>OK</x:v>
      </x:c>
      <x:c r="H135" s="2" t="str">
        <x:f>IF(COUNTA('01_orders_raw'!A135:J135)&gt;0,IF(LEN('01_orders_raw'!B135&amp;"")=0,"SKIP",IF(OR(NOT(ISNUMBER('01_orders_raw'!B135)),'01_orders_raw'!B135&lt;=0,'01_orders_raw'!B135&gt;'09_parameters'!$B$2),"ERROR","OK")),"")</x:f>
        <x:v>OK</x:v>
      </x:c>
      <x:c r="I135" s="2" t="str">
        <x:f>IF(COUNTA('01_orders_raw'!A135:J135)&gt;0,IF(LEN('01_orders_raw'!J135&amp;"")=0,"SKIP",IF(AND('01_orders_raw'!J135&lt;&gt;"Выполнен",'01_orders_raw'!J135&lt;&gt;"В работе",'01_orders_raw'!J135&lt;&gt;"Отменен",'01_orders_raw'!J135&lt;&gt;"Ожидает оплаты"),"ERROR","OK")),"")</x:f>
        <x:v>OK</x:v>
      </x:c>
      <x:c r="J135" s="2" t="n">
        <x:f>COUNTIF(C135:I135,"ERROR")</x:f>
        <x:v>0</x:v>
      </x:c>
      <x:c r="K135" s="2" t="n">
        <x:f>IF(COUNTA('01_orders_raw'!A135:J135)&gt;0,135,"")</x:f>
        <x:v>135</x:v>
      </x:c>
    </x:row>
    <x:row r="136">
      <x:c r="A136" s="2" t="str">
        <x:f>IF(COUNTA('01_orders_raw'!A136:J136)&gt;0,"Order","")</x:f>
        <x:v>Order</x:v>
      </x:c>
      <x:c r="B136" s="2" t="n">
        <x:f>IF(COUNTA('01_orders_raw'!A136:J136)&gt;0,'01_orders_raw'!A136,"")</x:f>
        <x:v>1135</x:v>
      </x:c>
      <x:c r="C136" s="2" t="str">
        <x:f>IF(COUNTA('01_orders_raw'!A136:J136)&gt;0,IF(AND(LEN('01_orders_raw'!A136&amp;"")&gt;0,COUNTIF('01_orders_raw'!$A$2:$A$181,'01_orders_raw'!A136)&gt;1),"ERROR","OK"),"")</x:f>
        <x:v>OK</x:v>
      </x:c>
      <x:c r="D136" s="2" t="str">
        <x:f>IF(COUNTA('01_orders_raw'!A136:J136)&gt;0,IF(OR(LEN('01_orders_raw'!A136&amp;"")=0,LEN('01_orders_raw'!B136&amp;"")=0,LEN('01_orders_raw'!C136&amp;"")=0,LEN('01_orders_raw'!D136&amp;"")=0,LEN('01_orders_raw'!E136&amp;"")=0,LEN('01_orders_raw'!F136&amp;"")=0,LEN('01_orders_raw'!G136&amp;"")=0,LEN('01_orders_raw'!H136&amp;"")=0,LEN('01_orders_raw'!I136&amp;"")=0,LEN('01_orders_raw'!J136&amp;"")=0),"ERROR","OK"),"")</x:f>
        <x:v>OK</x:v>
      </x:c>
      <x:c r="E136" s="2" t="str">
        <x:f>IF(COUNTA('01_orders_raw'!A136:J136)&gt;0,IF(LEN('01_orders_raw'!C136&amp;"")=0,"SKIP",IF(COUNTIF('02_clients_raw'!$A$2:$A$67,'01_orders_raw'!C136)&lt;&gt;1,"ERROR","OK")),"")</x:f>
        <x:v>OK</x:v>
      </x:c>
      <x:c r="F136" s="2" t="str">
        <x:f>IF(COUNTA('01_orders_raw'!A136:J136)&gt;0,IF(OR(LEN('01_orders_raw'!G136&amp;"")=0,LEN('01_orders_raw'!H136&amp;"")=0,LEN('01_orders_raw'!I136&amp;"")=0),"SKIP",IF(AND(ISNUMBER('01_orders_raw'!G136),ISNUMBER('01_orders_raw'!H136),ISNUMBER('01_orders_raw'!I136)),IF(OR('01_orders_raw'!G136&lt;=0,MOD('01_orders_raw'!G136,1)&lt;&gt;0,ABS('01_orders_raw'!I136-'01_orders_raw'!G136*'01_orders_raw'!H136)&gt;'09_parameters'!$B$3),"ERROR","OK"),"ERROR")),"")</x:f>
        <x:v>OK</x:v>
      </x:c>
      <x:c r="G136" s="2" t="str">
        <x:f>IF(COUNTA('01_orders_raw'!A136:J136)&gt;0,IF(LEN('01_orders_raw'!H136&amp;"")=0,"SKIP",IF('01_orders_raw'!H136&lt;0,"ERROR","OK")),"")</x:f>
        <x:v>OK</x:v>
      </x:c>
      <x:c r="H136" s="2" t="str">
        <x:f>IF(COUNTA('01_orders_raw'!A136:J136)&gt;0,IF(LEN('01_orders_raw'!B136&amp;"")=0,"SKIP",IF(OR(NOT(ISNUMBER('01_orders_raw'!B136)),'01_orders_raw'!B136&lt;=0,'01_orders_raw'!B136&gt;'09_parameters'!$B$2),"ERROR","OK")),"")</x:f>
        <x:v>OK</x:v>
      </x:c>
      <x:c r="I136" s="2" t="str">
        <x:f>IF(COUNTA('01_orders_raw'!A136:J136)&gt;0,IF(LEN('01_orders_raw'!J136&amp;"")=0,"SKIP",IF(AND('01_orders_raw'!J136&lt;&gt;"Выполнен",'01_orders_raw'!J136&lt;&gt;"В работе",'01_orders_raw'!J136&lt;&gt;"Отменен",'01_orders_raw'!J136&lt;&gt;"Ожидает оплаты"),"ERROR","OK")),"")</x:f>
        <x:v>OK</x:v>
      </x:c>
      <x:c r="J136" s="2" t="n">
        <x:f>COUNTIF(C136:I136,"ERROR")</x:f>
        <x:v>0</x:v>
      </x:c>
      <x:c r="K136" s="2" t="n">
        <x:f>IF(COUNTA('01_orders_raw'!A136:J136)&gt;0,136,"")</x:f>
        <x:v>136</x:v>
      </x:c>
    </x:row>
    <x:row r="137">
      <x:c r="A137" s="2" t="str">
        <x:f>IF(COUNTA('01_orders_raw'!A137:J137)&gt;0,"Order","")</x:f>
        <x:v>Order</x:v>
      </x:c>
      <x:c r="B137" s="2" t="n">
        <x:f>IF(COUNTA('01_orders_raw'!A137:J137)&gt;0,'01_orders_raw'!A137,"")</x:f>
        <x:v>1136</x:v>
      </x:c>
      <x:c r="C137" s="2" t="str">
        <x:f>IF(COUNTA('01_orders_raw'!A137:J137)&gt;0,IF(AND(LEN('01_orders_raw'!A137&amp;"")&gt;0,COUNTIF('01_orders_raw'!$A$2:$A$181,'01_orders_raw'!A137)&gt;1),"ERROR","OK"),"")</x:f>
        <x:v>OK</x:v>
      </x:c>
      <x:c r="D137" s="2" t="str">
        <x:f>IF(COUNTA('01_orders_raw'!A137:J137)&gt;0,IF(OR(LEN('01_orders_raw'!A137&amp;"")=0,LEN('01_orders_raw'!B137&amp;"")=0,LEN('01_orders_raw'!C137&amp;"")=0,LEN('01_orders_raw'!D137&amp;"")=0,LEN('01_orders_raw'!E137&amp;"")=0,LEN('01_orders_raw'!F137&amp;"")=0,LEN('01_orders_raw'!G137&amp;"")=0,LEN('01_orders_raw'!H137&amp;"")=0,LEN('01_orders_raw'!I137&amp;"")=0,LEN('01_orders_raw'!J137&amp;"")=0),"ERROR","OK"),"")</x:f>
        <x:v>OK</x:v>
      </x:c>
      <x:c r="E137" s="2" t="str">
        <x:f>IF(COUNTA('01_orders_raw'!A137:J137)&gt;0,IF(LEN('01_orders_raw'!C137&amp;"")=0,"SKIP",IF(COUNTIF('02_clients_raw'!$A$2:$A$67,'01_orders_raw'!C137)&lt;&gt;1,"ERROR","OK")),"")</x:f>
        <x:v>OK</x:v>
      </x:c>
      <x:c r="F137" s="2" t="str">
        <x:f>IF(COUNTA('01_orders_raw'!A137:J137)&gt;0,IF(OR(LEN('01_orders_raw'!G137&amp;"")=0,LEN('01_orders_raw'!H137&amp;"")=0,LEN('01_orders_raw'!I137&amp;"")=0),"SKIP",IF(AND(ISNUMBER('01_orders_raw'!G137),ISNUMBER('01_orders_raw'!H137),ISNUMBER('01_orders_raw'!I137)),IF(OR('01_orders_raw'!G137&lt;=0,MOD('01_orders_raw'!G137,1)&lt;&gt;0,ABS('01_orders_raw'!I137-'01_orders_raw'!G137*'01_orders_raw'!H137)&gt;'09_parameters'!$B$3),"ERROR","OK"),"ERROR")),"")</x:f>
        <x:v>OK</x:v>
      </x:c>
      <x:c r="G137" s="2" t="str">
        <x:f>IF(COUNTA('01_orders_raw'!A137:J137)&gt;0,IF(LEN('01_orders_raw'!H137&amp;"")=0,"SKIP",IF('01_orders_raw'!H137&lt;0,"ERROR","OK")),"")</x:f>
        <x:v>OK</x:v>
      </x:c>
      <x:c r="H137" s="2" t="str">
        <x:f>IF(COUNTA('01_orders_raw'!A137:J137)&gt;0,IF(LEN('01_orders_raw'!B137&amp;"")=0,"SKIP",IF(OR(NOT(ISNUMBER('01_orders_raw'!B137)),'01_orders_raw'!B137&lt;=0,'01_orders_raw'!B137&gt;'09_parameters'!$B$2),"ERROR","OK")),"")</x:f>
        <x:v>OK</x:v>
      </x:c>
      <x:c r="I137" s="2" t="str">
        <x:f>IF(COUNTA('01_orders_raw'!A137:J137)&gt;0,IF(LEN('01_orders_raw'!J137&amp;"")=0,"SKIP",IF(AND('01_orders_raw'!J137&lt;&gt;"Выполнен",'01_orders_raw'!J137&lt;&gt;"В работе",'01_orders_raw'!J137&lt;&gt;"Отменен",'01_orders_raw'!J137&lt;&gt;"Ожидает оплаты"),"ERROR","OK")),"")</x:f>
        <x:v>OK</x:v>
      </x:c>
      <x:c r="J137" s="2" t="n">
        <x:f>COUNTIF(C137:I137,"ERROR")</x:f>
        <x:v>0</x:v>
      </x:c>
      <x:c r="K137" s="2" t="n">
        <x:f>IF(COUNTA('01_orders_raw'!A137:J137)&gt;0,137,"")</x:f>
        <x:v>137</x:v>
      </x:c>
    </x:row>
    <x:row r="138">
      <x:c r="A138" s="2" t="str">
        <x:f>IF(COUNTA('01_orders_raw'!A138:J138)&gt;0,"Order","")</x:f>
        <x:v>Order</x:v>
      </x:c>
      <x:c r="B138" s="2" t="n">
        <x:f>IF(COUNTA('01_orders_raw'!A138:J138)&gt;0,'01_orders_raw'!A138,"")</x:f>
        <x:v>1137</x:v>
      </x:c>
      <x:c r="C138" s="2" t="str">
        <x:f>IF(COUNTA('01_orders_raw'!A138:J138)&gt;0,IF(AND(LEN('01_orders_raw'!A138&amp;"")&gt;0,COUNTIF('01_orders_raw'!$A$2:$A$181,'01_orders_raw'!A138)&gt;1),"ERROR","OK"),"")</x:f>
        <x:v>OK</x:v>
      </x:c>
      <x:c r="D138" s="2" t="str">
        <x:f>IF(COUNTA('01_orders_raw'!A138:J138)&gt;0,IF(OR(LEN('01_orders_raw'!A138&amp;"")=0,LEN('01_orders_raw'!B138&amp;"")=0,LEN('01_orders_raw'!C138&amp;"")=0,LEN('01_orders_raw'!D138&amp;"")=0,LEN('01_orders_raw'!E138&amp;"")=0,LEN('01_orders_raw'!F138&amp;"")=0,LEN('01_orders_raw'!G138&amp;"")=0,LEN('01_orders_raw'!H138&amp;"")=0,LEN('01_orders_raw'!I138&amp;"")=0,LEN('01_orders_raw'!J138&amp;"")=0),"ERROR","OK"),"")</x:f>
        <x:v>OK</x:v>
      </x:c>
      <x:c r="E138" s="2" t="str">
        <x:f>IF(COUNTA('01_orders_raw'!A138:J138)&gt;0,IF(LEN('01_orders_raw'!C138&amp;"")=0,"SKIP",IF(COUNTIF('02_clients_raw'!$A$2:$A$67,'01_orders_raw'!C138)&lt;&gt;1,"ERROR","OK")),"")</x:f>
        <x:v>OK</x:v>
      </x:c>
      <x:c r="F138" s="2" t="str">
        <x:f>IF(COUNTA('01_orders_raw'!A138:J138)&gt;0,IF(OR(LEN('01_orders_raw'!G138&amp;"")=0,LEN('01_orders_raw'!H138&amp;"")=0,LEN('01_orders_raw'!I138&amp;"")=0),"SKIP",IF(AND(ISNUMBER('01_orders_raw'!G138),ISNUMBER('01_orders_raw'!H138),ISNUMBER('01_orders_raw'!I138)),IF(OR('01_orders_raw'!G138&lt;=0,MOD('01_orders_raw'!G138,1)&lt;&gt;0,ABS('01_orders_raw'!I138-'01_orders_raw'!G138*'01_orders_raw'!H138)&gt;'09_parameters'!$B$3),"ERROR","OK"),"ERROR")),"")</x:f>
        <x:v>OK</x:v>
      </x:c>
      <x:c r="G138" s="2" t="str">
        <x:f>IF(COUNTA('01_orders_raw'!A138:J138)&gt;0,IF(LEN('01_orders_raw'!H138&amp;"")=0,"SKIP",IF('01_orders_raw'!H138&lt;0,"ERROR","OK")),"")</x:f>
        <x:v>OK</x:v>
      </x:c>
      <x:c r="H138" s="2" t="str">
        <x:f>IF(COUNTA('01_orders_raw'!A138:J138)&gt;0,IF(LEN('01_orders_raw'!B138&amp;"")=0,"SKIP",IF(OR(NOT(ISNUMBER('01_orders_raw'!B138)),'01_orders_raw'!B138&lt;=0,'01_orders_raw'!B138&gt;'09_parameters'!$B$2),"ERROR","OK")),"")</x:f>
        <x:v>OK</x:v>
      </x:c>
      <x:c r="I138" s="2" t="str">
        <x:f>IF(COUNTA('01_orders_raw'!A138:J138)&gt;0,IF(LEN('01_orders_raw'!J138&amp;"")=0,"SKIP",IF(AND('01_orders_raw'!J138&lt;&gt;"Выполнен",'01_orders_raw'!J138&lt;&gt;"В работе",'01_orders_raw'!J138&lt;&gt;"Отменен",'01_orders_raw'!J138&lt;&gt;"Ожидает оплаты"),"ERROR","OK")),"")</x:f>
        <x:v>OK</x:v>
      </x:c>
      <x:c r="J138" s="2" t="n">
        <x:f>COUNTIF(C138:I138,"ERROR")</x:f>
        <x:v>0</x:v>
      </x:c>
      <x:c r="K138" s="2" t="n">
        <x:f>IF(COUNTA('01_orders_raw'!A138:J138)&gt;0,138,"")</x:f>
        <x:v>138</x:v>
      </x:c>
    </x:row>
    <x:row r="139">
      <x:c r="A139" s="2" t="str">
        <x:f>IF(COUNTA('01_orders_raw'!A139:J139)&gt;0,"Order","")</x:f>
        <x:v>Order</x:v>
      </x:c>
      <x:c r="B139" s="2" t="n">
        <x:f>IF(COUNTA('01_orders_raw'!A139:J139)&gt;0,'01_orders_raw'!A139,"")</x:f>
        <x:v>1138</x:v>
      </x:c>
      <x:c r="C139" s="2" t="str">
        <x:f>IF(COUNTA('01_orders_raw'!A139:J139)&gt;0,IF(AND(LEN('01_orders_raw'!A139&amp;"")&gt;0,COUNTIF('01_orders_raw'!$A$2:$A$181,'01_orders_raw'!A139)&gt;1),"ERROR","OK"),"")</x:f>
        <x:v>OK</x:v>
      </x:c>
      <x:c r="D139" s="2" t="str">
        <x:f>IF(COUNTA('01_orders_raw'!A139:J139)&gt;0,IF(OR(LEN('01_orders_raw'!A139&amp;"")=0,LEN('01_orders_raw'!B139&amp;"")=0,LEN('01_orders_raw'!C139&amp;"")=0,LEN('01_orders_raw'!D139&amp;"")=0,LEN('01_orders_raw'!E139&amp;"")=0,LEN('01_orders_raw'!F139&amp;"")=0,LEN('01_orders_raw'!G139&amp;"")=0,LEN('01_orders_raw'!H139&amp;"")=0,LEN('01_orders_raw'!I139&amp;"")=0,LEN('01_orders_raw'!J139&amp;"")=0),"ERROR","OK"),"")</x:f>
        <x:v>OK</x:v>
      </x:c>
      <x:c r="E139" s="2" t="str">
        <x:f>IF(COUNTA('01_orders_raw'!A139:J139)&gt;0,IF(LEN('01_orders_raw'!C139&amp;"")=0,"SKIP",IF(COUNTIF('02_clients_raw'!$A$2:$A$67,'01_orders_raw'!C139)&lt;&gt;1,"ERROR","OK")),"")</x:f>
        <x:v>OK</x:v>
      </x:c>
      <x:c r="F139" s="2" t="str">
        <x:f>IF(COUNTA('01_orders_raw'!A139:J139)&gt;0,IF(OR(LEN('01_orders_raw'!G139&amp;"")=0,LEN('01_orders_raw'!H139&amp;"")=0,LEN('01_orders_raw'!I139&amp;"")=0),"SKIP",IF(AND(ISNUMBER('01_orders_raw'!G139),ISNUMBER('01_orders_raw'!H139),ISNUMBER('01_orders_raw'!I139)),IF(OR('01_orders_raw'!G139&lt;=0,MOD('01_orders_raw'!G139,1)&lt;&gt;0,ABS('01_orders_raw'!I139-'01_orders_raw'!G139*'01_orders_raw'!H139)&gt;'09_parameters'!$B$3),"ERROR","OK"),"ERROR")),"")</x:f>
        <x:v>OK</x:v>
      </x:c>
      <x:c r="G139" s="2" t="str">
        <x:f>IF(COUNTA('01_orders_raw'!A139:J139)&gt;0,IF(LEN('01_orders_raw'!H139&amp;"")=0,"SKIP",IF('01_orders_raw'!H139&lt;0,"ERROR","OK")),"")</x:f>
        <x:v>OK</x:v>
      </x:c>
      <x:c r="H139" s="2" t="str">
        <x:f>IF(COUNTA('01_orders_raw'!A139:J139)&gt;0,IF(LEN('01_orders_raw'!B139&amp;"")=0,"SKIP",IF(OR(NOT(ISNUMBER('01_orders_raw'!B139)),'01_orders_raw'!B139&lt;=0,'01_orders_raw'!B139&gt;'09_parameters'!$B$2),"ERROR","OK")),"")</x:f>
        <x:v>OK</x:v>
      </x:c>
      <x:c r="I139" s="2" t="str">
        <x:f>IF(COUNTA('01_orders_raw'!A139:J139)&gt;0,IF(LEN('01_orders_raw'!J139&amp;"")=0,"SKIP",IF(AND('01_orders_raw'!J139&lt;&gt;"Выполнен",'01_orders_raw'!J139&lt;&gt;"В работе",'01_orders_raw'!J139&lt;&gt;"Отменен",'01_orders_raw'!J139&lt;&gt;"Ожидает оплаты"),"ERROR","OK")),"")</x:f>
        <x:v>OK</x:v>
      </x:c>
      <x:c r="J139" s="2" t="n">
        <x:f>COUNTIF(C139:I139,"ERROR")</x:f>
        <x:v>0</x:v>
      </x:c>
      <x:c r="K139" s="2" t="n">
        <x:f>IF(COUNTA('01_orders_raw'!A139:J139)&gt;0,139,"")</x:f>
        <x:v>139</x:v>
      </x:c>
    </x:row>
    <x:row r="140">
      <x:c r="A140" s="2" t="str">
        <x:f>IF(COUNTA('01_orders_raw'!A140:J140)&gt;0,"Order","")</x:f>
        <x:v>Order</x:v>
      </x:c>
      <x:c r="B140" s="2" t="n">
        <x:f>IF(COUNTA('01_orders_raw'!A140:J140)&gt;0,'01_orders_raw'!A140,"")</x:f>
        <x:v>1139</x:v>
      </x:c>
      <x:c r="C140" s="2" t="str">
        <x:f>IF(COUNTA('01_orders_raw'!A140:J140)&gt;0,IF(AND(LEN('01_orders_raw'!A140&amp;"")&gt;0,COUNTIF('01_orders_raw'!$A$2:$A$181,'01_orders_raw'!A140)&gt;1),"ERROR","OK"),"")</x:f>
        <x:v>OK</x:v>
      </x:c>
      <x:c r="D140" s="2" t="str">
        <x:f>IF(COUNTA('01_orders_raw'!A140:J140)&gt;0,IF(OR(LEN('01_orders_raw'!A140&amp;"")=0,LEN('01_orders_raw'!B140&amp;"")=0,LEN('01_orders_raw'!C140&amp;"")=0,LEN('01_orders_raw'!D140&amp;"")=0,LEN('01_orders_raw'!E140&amp;"")=0,LEN('01_orders_raw'!F140&amp;"")=0,LEN('01_orders_raw'!G140&amp;"")=0,LEN('01_orders_raw'!H140&amp;"")=0,LEN('01_orders_raw'!I140&amp;"")=0,LEN('01_orders_raw'!J140&amp;"")=0),"ERROR","OK"),"")</x:f>
        <x:v>OK</x:v>
      </x:c>
      <x:c r="E140" s="2" t="str">
        <x:f>IF(COUNTA('01_orders_raw'!A140:J140)&gt;0,IF(LEN('01_orders_raw'!C140&amp;"")=0,"SKIP",IF(COUNTIF('02_clients_raw'!$A$2:$A$67,'01_orders_raw'!C140)&lt;&gt;1,"ERROR","OK")),"")</x:f>
        <x:v>OK</x:v>
      </x:c>
      <x:c r="F140" s="2" t="str">
        <x:f>IF(COUNTA('01_orders_raw'!A140:J140)&gt;0,IF(OR(LEN('01_orders_raw'!G140&amp;"")=0,LEN('01_orders_raw'!H140&amp;"")=0,LEN('01_orders_raw'!I140&amp;"")=0),"SKIP",IF(AND(ISNUMBER('01_orders_raw'!G140),ISNUMBER('01_orders_raw'!H140),ISNUMBER('01_orders_raw'!I140)),IF(OR('01_orders_raw'!G140&lt;=0,MOD('01_orders_raw'!G140,1)&lt;&gt;0,ABS('01_orders_raw'!I140-'01_orders_raw'!G140*'01_orders_raw'!H140)&gt;'09_parameters'!$B$3),"ERROR","OK"),"ERROR")),"")</x:f>
        <x:v>OK</x:v>
      </x:c>
      <x:c r="G140" s="2" t="str">
        <x:f>IF(COUNTA('01_orders_raw'!A140:J140)&gt;0,IF(LEN('01_orders_raw'!H140&amp;"")=0,"SKIP",IF('01_orders_raw'!H140&lt;0,"ERROR","OK")),"")</x:f>
        <x:v>OK</x:v>
      </x:c>
      <x:c r="H140" s="2" t="str">
        <x:f>IF(COUNTA('01_orders_raw'!A140:J140)&gt;0,IF(LEN('01_orders_raw'!B140&amp;"")=0,"SKIP",IF(OR(NOT(ISNUMBER('01_orders_raw'!B140)),'01_orders_raw'!B140&lt;=0,'01_orders_raw'!B140&gt;'09_parameters'!$B$2),"ERROR","OK")),"")</x:f>
        <x:v>OK</x:v>
      </x:c>
      <x:c r="I140" s="2" t="str">
        <x:f>IF(COUNTA('01_orders_raw'!A140:J140)&gt;0,IF(LEN('01_orders_raw'!J140&amp;"")=0,"SKIP",IF(AND('01_orders_raw'!J140&lt;&gt;"Выполнен",'01_orders_raw'!J140&lt;&gt;"В работе",'01_orders_raw'!J140&lt;&gt;"Отменен",'01_orders_raw'!J140&lt;&gt;"Ожидает оплаты"),"ERROR","OK")),"")</x:f>
        <x:v>OK</x:v>
      </x:c>
      <x:c r="J140" s="2" t="n">
        <x:f>COUNTIF(C140:I140,"ERROR")</x:f>
        <x:v>0</x:v>
      </x:c>
      <x:c r="K140" s="2" t="n">
        <x:f>IF(COUNTA('01_orders_raw'!A140:J140)&gt;0,140,"")</x:f>
        <x:v>140</x:v>
      </x:c>
    </x:row>
    <x:row r="141">
      <x:c r="A141" s="2" t="str">
        <x:f>IF(COUNTA('01_orders_raw'!A141:J141)&gt;0,"Order","")</x:f>
        <x:v>Order</x:v>
      </x:c>
      <x:c r="B141" s="2" t="n">
        <x:f>IF(COUNTA('01_orders_raw'!A141:J141)&gt;0,'01_orders_raw'!A141,"")</x:f>
        <x:v>1140</x:v>
      </x:c>
      <x:c r="C141" s="2" t="str">
        <x:f>IF(COUNTA('01_orders_raw'!A141:J141)&gt;0,IF(AND(LEN('01_orders_raw'!A141&amp;"")&gt;0,COUNTIF('01_orders_raw'!$A$2:$A$181,'01_orders_raw'!A141)&gt;1),"ERROR","OK"),"")</x:f>
        <x:v>OK</x:v>
      </x:c>
      <x:c r="D141" s="2" t="str">
        <x:f>IF(COUNTA('01_orders_raw'!A141:J141)&gt;0,IF(OR(LEN('01_orders_raw'!A141&amp;"")=0,LEN('01_orders_raw'!B141&amp;"")=0,LEN('01_orders_raw'!C141&amp;"")=0,LEN('01_orders_raw'!D141&amp;"")=0,LEN('01_orders_raw'!E141&amp;"")=0,LEN('01_orders_raw'!F141&amp;"")=0,LEN('01_orders_raw'!G141&amp;"")=0,LEN('01_orders_raw'!H141&amp;"")=0,LEN('01_orders_raw'!I141&amp;"")=0,LEN('01_orders_raw'!J141&amp;"")=0),"ERROR","OK"),"")</x:f>
        <x:v>OK</x:v>
      </x:c>
      <x:c r="E141" s="2" t="str">
        <x:f>IF(COUNTA('01_orders_raw'!A141:J141)&gt;0,IF(LEN('01_orders_raw'!C141&amp;"")=0,"SKIP",IF(COUNTIF('02_clients_raw'!$A$2:$A$67,'01_orders_raw'!C141)&lt;&gt;1,"ERROR","OK")),"")</x:f>
        <x:v>OK</x:v>
      </x:c>
      <x:c r="F141" s="2" t="str">
        <x:f>IF(COUNTA('01_orders_raw'!A141:J141)&gt;0,IF(OR(LEN('01_orders_raw'!G141&amp;"")=0,LEN('01_orders_raw'!H141&amp;"")=0,LEN('01_orders_raw'!I141&amp;"")=0),"SKIP",IF(AND(ISNUMBER('01_orders_raw'!G141),ISNUMBER('01_orders_raw'!H141),ISNUMBER('01_orders_raw'!I141)),IF(OR('01_orders_raw'!G141&lt;=0,MOD('01_orders_raw'!G141,1)&lt;&gt;0,ABS('01_orders_raw'!I141-'01_orders_raw'!G141*'01_orders_raw'!H141)&gt;'09_parameters'!$B$3),"ERROR","OK"),"ERROR")),"")</x:f>
        <x:v>OK</x:v>
      </x:c>
      <x:c r="G141" s="2" t="str">
        <x:f>IF(COUNTA('01_orders_raw'!A141:J141)&gt;0,IF(LEN('01_orders_raw'!H141&amp;"")=0,"SKIP",IF('01_orders_raw'!H141&lt;0,"ERROR","OK")),"")</x:f>
        <x:v>OK</x:v>
      </x:c>
      <x:c r="H141" s="2" t="str">
        <x:f>IF(COUNTA('01_orders_raw'!A141:J141)&gt;0,IF(LEN('01_orders_raw'!B141&amp;"")=0,"SKIP",IF(OR(NOT(ISNUMBER('01_orders_raw'!B141)),'01_orders_raw'!B141&lt;=0,'01_orders_raw'!B141&gt;'09_parameters'!$B$2),"ERROR","OK")),"")</x:f>
        <x:v>OK</x:v>
      </x:c>
      <x:c r="I141" s="2" t="str">
        <x:f>IF(COUNTA('01_orders_raw'!A141:J141)&gt;0,IF(LEN('01_orders_raw'!J141&amp;"")=0,"SKIP",IF(AND('01_orders_raw'!J141&lt;&gt;"Выполнен",'01_orders_raw'!J141&lt;&gt;"В работе",'01_orders_raw'!J141&lt;&gt;"Отменен",'01_orders_raw'!J141&lt;&gt;"Ожидает оплаты"),"ERROR","OK")),"")</x:f>
        <x:v>OK</x:v>
      </x:c>
      <x:c r="J141" s="2" t="n">
        <x:f>COUNTIF(C141:I141,"ERROR")</x:f>
        <x:v>0</x:v>
      </x:c>
      <x:c r="K141" s="2" t="n">
        <x:f>IF(COUNTA('01_orders_raw'!A141:J141)&gt;0,141,"")</x:f>
        <x:v>141</x:v>
      </x:c>
    </x:row>
    <x:row r="142">
      <x:c r="A142" s="2" t="str">
        <x:f>IF(COUNTA('01_orders_raw'!A142:J142)&gt;0,"Order","")</x:f>
        <x:v>Order</x:v>
      </x:c>
      <x:c r="B142" s="2" t="n">
        <x:f>IF(COUNTA('01_orders_raw'!A142:J142)&gt;0,'01_orders_raw'!A142,"")</x:f>
        <x:v>1141</x:v>
      </x:c>
      <x:c r="C142" s="2" t="str">
        <x:f>IF(COUNTA('01_orders_raw'!A142:J142)&gt;0,IF(AND(LEN('01_orders_raw'!A142&amp;"")&gt;0,COUNTIF('01_orders_raw'!$A$2:$A$181,'01_orders_raw'!A142)&gt;1),"ERROR","OK"),"")</x:f>
        <x:v>OK</x:v>
      </x:c>
      <x:c r="D142" s="2" t="str">
        <x:f>IF(COUNTA('01_orders_raw'!A142:J142)&gt;0,IF(OR(LEN('01_orders_raw'!A142&amp;"")=0,LEN('01_orders_raw'!B142&amp;"")=0,LEN('01_orders_raw'!C142&amp;"")=0,LEN('01_orders_raw'!D142&amp;"")=0,LEN('01_orders_raw'!E142&amp;"")=0,LEN('01_orders_raw'!F142&amp;"")=0,LEN('01_orders_raw'!G142&amp;"")=0,LEN('01_orders_raw'!H142&amp;"")=0,LEN('01_orders_raw'!I142&amp;"")=0,LEN('01_orders_raw'!J142&amp;"")=0),"ERROR","OK"),"")</x:f>
        <x:v>OK</x:v>
      </x:c>
      <x:c r="E142" s="2" t="str">
        <x:f>IF(COUNTA('01_orders_raw'!A142:J142)&gt;0,IF(LEN('01_orders_raw'!C142&amp;"")=0,"SKIP",IF(COUNTIF('02_clients_raw'!$A$2:$A$67,'01_orders_raw'!C142)&lt;&gt;1,"ERROR","OK")),"")</x:f>
        <x:v>OK</x:v>
      </x:c>
      <x:c r="F142" s="2" t="str">
        <x:f>IF(COUNTA('01_orders_raw'!A142:J142)&gt;0,IF(OR(LEN('01_orders_raw'!G142&amp;"")=0,LEN('01_orders_raw'!H142&amp;"")=0,LEN('01_orders_raw'!I142&amp;"")=0),"SKIP",IF(AND(ISNUMBER('01_orders_raw'!G142),ISNUMBER('01_orders_raw'!H142),ISNUMBER('01_orders_raw'!I142)),IF(OR('01_orders_raw'!G142&lt;=0,MOD('01_orders_raw'!G142,1)&lt;&gt;0,ABS('01_orders_raw'!I142-'01_orders_raw'!G142*'01_orders_raw'!H142)&gt;'09_parameters'!$B$3),"ERROR","OK"),"ERROR")),"")</x:f>
        <x:v>OK</x:v>
      </x:c>
      <x:c r="G142" s="2" t="str">
        <x:f>IF(COUNTA('01_orders_raw'!A142:J142)&gt;0,IF(LEN('01_orders_raw'!H142&amp;"")=0,"SKIP",IF('01_orders_raw'!H142&lt;0,"ERROR","OK")),"")</x:f>
        <x:v>OK</x:v>
      </x:c>
      <x:c r="H142" s="2" t="str">
        <x:f>IF(COUNTA('01_orders_raw'!A142:J142)&gt;0,IF(LEN('01_orders_raw'!B142&amp;"")=0,"SKIP",IF(OR(NOT(ISNUMBER('01_orders_raw'!B142)),'01_orders_raw'!B142&lt;=0,'01_orders_raw'!B142&gt;'09_parameters'!$B$2),"ERROR","OK")),"")</x:f>
        <x:v>OK</x:v>
      </x:c>
      <x:c r="I142" s="2" t="str">
        <x:f>IF(COUNTA('01_orders_raw'!A142:J142)&gt;0,IF(LEN('01_orders_raw'!J142&amp;"")=0,"SKIP",IF(AND('01_orders_raw'!J142&lt;&gt;"Выполнен",'01_orders_raw'!J142&lt;&gt;"В работе",'01_orders_raw'!J142&lt;&gt;"Отменен",'01_orders_raw'!J142&lt;&gt;"Ожидает оплаты"),"ERROR","OK")),"")</x:f>
        <x:v>OK</x:v>
      </x:c>
      <x:c r="J142" s="2" t="n">
        <x:f>COUNTIF(C142:I142,"ERROR")</x:f>
        <x:v>0</x:v>
      </x:c>
      <x:c r="K142" s="2" t="n">
        <x:f>IF(COUNTA('01_orders_raw'!A142:J142)&gt;0,142,"")</x:f>
        <x:v>142</x:v>
      </x:c>
    </x:row>
    <x:row r="143">
      <x:c r="A143" s="2" t="str">
        <x:f>IF(COUNTA('01_orders_raw'!A143:J143)&gt;0,"Order","")</x:f>
        <x:v>Order</x:v>
      </x:c>
      <x:c r="B143" s="2" t="n">
        <x:f>IF(COUNTA('01_orders_raw'!A143:J143)&gt;0,'01_orders_raw'!A143,"")</x:f>
        <x:v>1142</x:v>
      </x:c>
      <x:c r="C143" s="2" t="str">
        <x:f>IF(COUNTA('01_orders_raw'!A143:J143)&gt;0,IF(AND(LEN('01_orders_raw'!A143&amp;"")&gt;0,COUNTIF('01_orders_raw'!$A$2:$A$181,'01_orders_raw'!A143)&gt;1),"ERROR","OK"),"")</x:f>
        <x:v>OK</x:v>
      </x:c>
      <x:c r="D143" s="2" t="str">
        <x:f>IF(COUNTA('01_orders_raw'!A143:J143)&gt;0,IF(OR(LEN('01_orders_raw'!A143&amp;"")=0,LEN('01_orders_raw'!B143&amp;"")=0,LEN('01_orders_raw'!C143&amp;"")=0,LEN('01_orders_raw'!D143&amp;"")=0,LEN('01_orders_raw'!E143&amp;"")=0,LEN('01_orders_raw'!F143&amp;"")=0,LEN('01_orders_raw'!G143&amp;"")=0,LEN('01_orders_raw'!H143&amp;"")=0,LEN('01_orders_raw'!I143&amp;"")=0,LEN('01_orders_raw'!J143&amp;"")=0),"ERROR","OK"),"")</x:f>
        <x:v>OK</x:v>
      </x:c>
      <x:c r="E143" s="2" t="str">
        <x:f>IF(COUNTA('01_orders_raw'!A143:J143)&gt;0,IF(LEN('01_orders_raw'!C143&amp;"")=0,"SKIP",IF(COUNTIF('02_clients_raw'!$A$2:$A$67,'01_orders_raw'!C143)&lt;&gt;1,"ERROR","OK")),"")</x:f>
        <x:v>OK</x:v>
      </x:c>
      <x:c r="F143" s="2" t="str">
        <x:f>IF(COUNTA('01_orders_raw'!A143:J143)&gt;0,IF(OR(LEN('01_orders_raw'!G143&amp;"")=0,LEN('01_orders_raw'!H143&amp;"")=0,LEN('01_orders_raw'!I143&amp;"")=0),"SKIP",IF(AND(ISNUMBER('01_orders_raw'!G143),ISNUMBER('01_orders_raw'!H143),ISNUMBER('01_orders_raw'!I143)),IF(OR('01_orders_raw'!G143&lt;=0,MOD('01_orders_raw'!G143,1)&lt;&gt;0,ABS('01_orders_raw'!I143-'01_orders_raw'!G143*'01_orders_raw'!H143)&gt;'09_parameters'!$B$3),"ERROR","OK"),"ERROR")),"")</x:f>
        <x:v>OK</x:v>
      </x:c>
      <x:c r="G143" s="2" t="str">
        <x:f>IF(COUNTA('01_orders_raw'!A143:J143)&gt;0,IF(LEN('01_orders_raw'!H143&amp;"")=0,"SKIP",IF('01_orders_raw'!H143&lt;0,"ERROR","OK")),"")</x:f>
        <x:v>OK</x:v>
      </x:c>
      <x:c r="H143" s="2" t="str">
        <x:f>IF(COUNTA('01_orders_raw'!A143:J143)&gt;0,IF(LEN('01_orders_raw'!B143&amp;"")=0,"SKIP",IF(OR(NOT(ISNUMBER('01_orders_raw'!B143)),'01_orders_raw'!B143&lt;=0,'01_orders_raw'!B143&gt;'09_parameters'!$B$2),"ERROR","OK")),"")</x:f>
        <x:v>OK</x:v>
      </x:c>
      <x:c r="I143" s="2" t="str">
        <x:f>IF(COUNTA('01_orders_raw'!A143:J143)&gt;0,IF(LEN('01_orders_raw'!J143&amp;"")=0,"SKIP",IF(AND('01_orders_raw'!J143&lt;&gt;"Выполнен",'01_orders_raw'!J143&lt;&gt;"В работе",'01_orders_raw'!J143&lt;&gt;"Отменен",'01_orders_raw'!J143&lt;&gt;"Ожидает оплаты"),"ERROR","OK")),"")</x:f>
        <x:v>OK</x:v>
      </x:c>
      <x:c r="J143" s="2" t="n">
        <x:f>COUNTIF(C143:I143,"ERROR")</x:f>
        <x:v>0</x:v>
      </x:c>
      <x:c r="K143" s="2" t="n">
        <x:f>IF(COUNTA('01_orders_raw'!A143:J143)&gt;0,143,"")</x:f>
        <x:v>143</x:v>
      </x:c>
    </x:row>
    <x:row r="144">
      <x:c r="A144" s="2" t="str">
        <x:f>IF(COUNTA('01_orders_raw'!A144:J144)&gt;0,"Order","")</x:f>
        <x:v>Order</x:v>
      </x:c>
      <x:c r="B144" s="2" t="n">
        <x:f>IF(COUNTA('01_orders_raw'!A144:J144)&gt;0,'01_orders_raw'!A144,"")</x:f>
        <x:v>1143</x:v>
      </x:c>
      <x:c r="C144" s="2" t="str">
        <x:f>IF(COUNTA('01_orders_raw'!A144:J144)&gt;0,IF(AND(LEN('01_orders_raw'!A144&amp;"")&gt;0,COUNTIF('01_orders_raw'!$A$2:$A$181,'01_orders_raw'!A144)&gt;1),"ERROR","OK"),"")</x:f>
        <x:v>OK</x:v>
      </x:c>
      <x:c r="D144" s="2" t="str">
        <x:f>IF(COUNTA('01_orders_raw'!A144:J144)&gt;0,IF(OR(LEN('01_orders_raw'!A144&amp;"")=0,LEN('01_orders_raw'!B144&amp;"")=0,LEN('01_orders_raw'!C144&amp;"")=0,LEN('01_orders_raw'!D144&amp;"")=0,LEN('01_orders_raw'!E144&amp;"")=0,LEN('01_orders_raw'!F144&amp;"")=0,LEN('01_orders_raw'!G144&amp;"")=0,LEN('01_orders_raw'!H144&amp;"")=0,LEN('01_orders_raw'!I144&amp;"")=0,LEN('01_orders_raw'!J144&amp;"")=0),"ERROR","OK"),"")</x:f>
        <x:v>OK</x:v>
      </x:c>
      <x:c r="E144" s="2" t="str">
        <x:f>IF(COUNTA('01_orders_raw'!A144:J144)&gt;0,IF(LEN('01_orders_raw'!C144&amp;"")=0,"SKIP",IF(COUNTIF('02_clients_raw'!$A$2:$A$67,'01_orders_raw'!C144)&lt;&gt;1,"ERROR","OK")),"")</x:f>
        <x:v>OK</x:v>
      </x:c>
      <x:c r="F144" s="2" t="str">
        <x:f>IF(COUNTA('01_orders_raw'!A144:J144)&gt;0,IF(OR(LEN('01_orders_raw'!G144&amp;"")=0,LEN('01_orders_raw'!H144&amp;"")=0,LEN('01_orders_raw'!I144&amp;"")=0),"SKIP",IF(AND(ISNUMBER('01_orders_raw'!G144),ISNUMBER('01_orders_raw'!H144),ISNUMBER('01_orders_raw'!I144)),IF(OR('01_orders_raw'!G144&lt;=0,MOD('01_orders_raw'!G144,1)&lt;&gt;0,ABS('01_orders_raw'!I144-'01_orders_raw'!G144*'01_orders_raw'!H144)&gt;'09_parameters'!$B$3),"ERROR","OK"),"ERROR")),"")</x:f>
        <x:v>OK</x:v>
      </x:c>
      <x:c r="G144" s="2" t="str">
        <x:f>IF(COUNTA('01_orders_raw'!A144:J144)&gt;0,IF(LEN('01_orders_raw'!H144&amp;"")=0,"SKIP",IF('01_orders_raw'!H144&lt;0,"ERROR","OK")),"")</x:f>
        <x:v>OK</x:v>
      </x:c>
      <x:c r="H144" s="2" t="str">
        <x:f>IF(COUNTA('01_orders_raw'!A144:J144)&gt;0,IF(LEN('01_orders_raw'!B144&amp;"")=0,"SKIP",IF(OR(NOT(ISNUMBER('01_orders_raw'!B144)),'01_orders_raw'!B144&lt;=0,'01_orders_raw'!B144&gt;'09_parameters'!$B$2),"ERROR","OK")),"")</x:f>
        <x:v>OK</x:v>
      </x:c>
      <x:c r="I144" s="2" t="str">
        <x:f>IF(COUNTA('01_orders_raw'!A144:J144)&gt;0,IF(LEN('01_orders_raw'!J144&amp;"")=0,"SKIP",IF(AND('01_orders_raw'!J144&lt;&gt;"Выполнен",'01_orders_raw'!J144&lt;&gt;"В работе",'01_orders_raw'!J144&lt;&gt;"Отменен",'01_orders_raw'!J144&lt;&gt;"Ожидает оплаты"),"ERROR","OK")),"")</x:f>
        <x:v>OK</x:v>
      </x:c>
      <x:c r="J144" s="2" t="n">
        <x:f>COUNTIF(C144:I144,"ERROR")</x:f>
        <x:v>0</x:v>
      </x:c>
      <x:c r="K144" s="2" t="n">
        <x:f>IF(COUNTA('01_orders_raw'!A144:J144)&gt;0,144,"")</x:f>
        <x:v>144</x:v>
      </x:c>
    </x:row>
    <x:row r="145">
      <x:c r="A145" s="2" t="str">
        <x:f>IF(COUNTA('01_orders_raw'!A145:J145)&gt;0,"Order","")</x:f>
        <x:v>Order</x:v>
      </x:c>
      <x:c r="B145" s="2" t="n">
        <x:f>IF(COUNTA('01_orders_raw'!A145:J145)&gt;0,'01_orders_raw'!A145,"")</x:f>
        <x:v>1144</x:v>
      </x:c>
      <x:c r="C145" s="2" t="str">
        <x:f>IF(COUNTA('01_orders_raw'!A145:J145)&gt;0,IF(AND(LEN('01_orders_raw'!A145&amp;"")&gt;0,COUNTIF('01_orders_raw'!$A$2:$A$181,'01_orders_raw'!A145)&gt;1),"ERROR","OK"),"")</x:f>
        <x:v>OK</x:v>
      </x:c>
      <x:c r="D145" s="2" t="str">
        <x:f>IF(COUNTA('01_orders_raw'!A145:J145)&gt;0,IF(OR(LEN('01_orders_raw'!A145&amp;"")=0,LEN('01_orders_raw'!B145&amp;"")=0,LEN('01_orders_raw'!C145&amp;"")=0,LEN('01_orders_raw'!D145&amp;"")=0,LEN('01_orders_raw'!E145&amp;"")=0,LEN('01_orders_raw'!F145&amp;"")=0,LEN('01_orders_raw'!G145&amp;"")=0,LEN('01_orders_raw'!H145&amp;"")=0,LEN('01_orders_raw'!I145&amp;"")=0,LEN('01_orders_raw'!J145&amp;"")=0),"ERROR","OK"),"")</x:f>
        <x:v>OK</x:v>
      </x:c>
      <x:c r="E145" s="2" t="str">
        <x:f>IF(COUNTA('01_orders_raw'!A145:J145)&gt;0,IF(LEN('01_orders_raw'!C145&amp;"")=0,"SKIP",IF(COUNTIF('02_clients_raw'!$A$2:$A$67,'01_orders_raw'!C145)&lt;&gt;1,"ERROR","OK")),"")</x:f>
        <x:v>OK</x:v>
      </x:c>
      <x:c r="F145" s="2" t="str">
        <x:f>IF(COUNTA('01_orders_raw'!A145:J145)&gt;0,IF(OR(LEN('01_orders_raw'!G145&amp;"")=0,LEN('01_orders_raw'!H145&amp;"")=0,LEN('01_orders_raw'!I145&amp;"")=0),"SKIP",IF(AND(ISNUMBER('01_orders_raw'!G145),ISNUMBER('01_orders_raw'!H145),ISNUMBER('01_orders_raw'!I145)),IF(OR('01_orders_raw'!G145&lt;=0,MOD('01_orders_raw'!G145,1)&lt;&gt;0,ABS('01_orders_raw'!I145-'01_orders_raw'!G145*'01_orders_raw'!H145)&gt;'09_parameters'!$B$3),"ERROR","OK"),"ERROR")),"")</x:f>
        <x:v>OK</x:v>
      </x:c>
      <x:c r="G145" s="2" t="str">
        <x:f>IF(COUNTA('01_orders_raw'!A145:J145)&gt;0,IF(LEN('01_orders_raw'!H145&amp;"")=0,"SKIP",IF('01_orders_raw'!H145&lt;0,"ERROR","OK")),"")</x:f>
        <x:v>OK</x:v>
      </x:c>
      <x:c r="H145" s="2" t="str">
        <x:f>IF(COUNTA('01_orders_raw'!A145:J145)&gt;0,IF(LEN('01_orders_raw'!B145&amp;"")=0,"SKIP",IF(OR(NOT(ISNUMBER('01_orders_raw'!B145)),'01_orders_raw'!B145&lt;=0,'01_orders_raw'!B145&gt;'09_parameters'!$B$2),"ERROR","OK")),"")</x:f>
        <x:v>OK</x:v>
      </x:c>
      <x:c r="I145" s="2" t="str">
        <x:f>IF(COUNTA('01_orders_raw'!A145:J145)&gt;0,IF(LEN('01_orders_raw'!J145&amp;"")=0,"SKIP",IF(AND('01_orders_raw'!J145&lt;&gt;"Выполнен",'01_orders_raw'!J145&lt;&gt;"В работе",'01_orders_raw'!J145&lt;&gt;"Отменен",'01_orders_raw'!J145&lt;&gt;"Ожидает оплаты"),"ERROR","OK")),"")</x:f>
        <x:v>OK</x:v>
      </x:c>
      <x:c r="J145" s="2" t="n">
        <x:f>COUNTIF(C145:I145,"ERROR")</x:f>
        <x:v>0</x:v>
      </x:c>
      <x:c r="K145" s="2" t="n">
        <x:f>IF(COUNTA('01_orders_raw'!A145:J145)&gt;0,145,"")</x:f>
        <x:v>145</x:v>
      </x:c>
    </x:row>
    <x:row r="146">
      <x:c r="A146" s="2" t="str">
        <x:f>IF(COUNTA('01_orders_raw'!A146:J146)&gt;0,"Order","")</x:f>
        <x:v>Order</x:v>
      </x:c>
      <x:c r="B146" s="2" t="n">
        <x:f>IF(COUNTA('01_orders_raw'!A146:J146)&gt;0,'01_orders_raw'!A146,"")</x:f>
        <x:v>1145</x:v>
      </x:c>
      <x:c r="C146" s="2" t="str">
        <x:f>IF(COUNTA('01_orders_raw'!A146:J146)&gt;0,IF(AND(LEN('01_orders_raw'!A146&amp;"")&gt;0,COUNTIF('01_orders_raw'!$A$2:$A$181,'01_orders_raw'!A146)&gt;1),"ERROR","OK"),"")</x:f>
        <x:v>OK</x:v>
      </x:c>
      <x:c r="D146" s="2" t="str">
        <x:f>IF(COUNTA('01_orders_raw'!A146:J146)&gt;0,IF(OR(LEN('01_orders_raw'!A146&amp;"")=0,LEN('01_orders_raw'!B146&amp;"")=0,LEN('01_orders_raw'!C146&amp;"")=0,LEN('01_orders_raw'!D146&amp;"")=0,LEN('01_orders_raw'!E146&amp;"")=0,LEN('01_orders_raw'!F146&amp;"")=0,LEN('01_orders_raw'!G146&amp;"")=0,LEN('01_orders_raw'!H146&amp;"")=0,LEN('01_orders_raw'!I146&amp;"")=0,LEN('01_orders_raw'!J146&amp;"")=0),"ERROR","OK"),"")</x:f>
        <x:v>OK</x:v>
      </x:c>
      <x:c r="E146" s="2" t="str">
        <x:f>IF(COUNTA('01_orders_raw'!A146:J146)&gt;0,IF(LEN('01_orders_raw'!C146&amp;"")=0,"SKIP",IF(COUNTIF('02_clients_raw'!$A$2:$A$67,'01_orders_raw'!C146)&lt;&gt;1,"ERROR","OK")),"")</x:f>
        <x:v>OK</x:v>
      </x:c>
      <x:c r="F146" s="2" t="str">
        <x:f>IF(COUNTA('01_orders_raw'!A146:J146)&gt;0,IF(OR(LEN('01_orders_raw'!G146&amp;"")=0,LEN('01_orders_raw'!H146&amp;"")=0,LEN('01_orders_raw'!I146&amp;"")=0),"SKIP",IF(AND(ISNUMBER('01_orders_raw'!G146),ISNUMBER('01_orders_raw'!H146),ISNUMBER('01_orders_raw'!I146)),IF(OR('01_orders_raw'!G146&lt;=0,MOD('01_orders_raw'!G146,1)&lt;&gt;0,ABS('01_orders_raw'!I146-'01_orders_raw'!G146*'01_orders_raw'!H146)&gt;'09_parameters'!$B$3),"ERROR","OK"),"ERROR")),"")</x:f>
        <x:v>OK</x:v>
      </x:c>
      <x:c r="G146" s="2" t="str">
        <x:f>IF(COUNTA('01_orders_raw'!A146:J146)&gt;0,IF(LEN('01_orders_raw'!H146&amp;"")=0,"SKIP",IF('01_orders_raw'!H146&lt;0,"ERROR","OK")),"")</x:f>
        <x:v>OK</x:v>
      </x:c>
      <x:c r="H146" s="2" t="str">
        <x:f>IF(COUNTA('01_orders_raw'!A146:J146)&gt;0,IF(LEN('01_orders_raw'!B146&amp;"")=0,"SKIP",IF(OR(NOT(ISNUMBER('01_orders_raw'!B146)),'01_orders_raw'!B146&lt;=0,'01_orders_raw'!B146&gt;'09_parameters'!$B$2),"ERROR","OK")),"")</x:f>
        <x:v>OK</x:v>
      </x:c>
      <x:c r="I146" s="2" t="str">
        <x:f>IF(COUNTA('01_orders_raw'!A146:J146)&gt;0,IF(LEN('01_orders_raw'!J146&amp;"")=0,"SKIP",IF(AND('01_orders_raw'!J146&lt;&gt;"Выполнен",'01_orders_raw'!J146&lt;&gt;"В работе",'01_orders_raw'!J146&lt;&gt;"Отменен",'01_orders_raw'!J146&lt;&gt;"Ожидает оплаты"),"ERROR","OK")),"")</x:f>
        <x:v>OK</x:v>
      </x:c>
      <x:c r="J146" s="2" t="n">
        <x:f>COUNTIF(C146:I146,"ERROR")</x:f>
        <x:v>0</x:v>
      </x:c>
      <x:c r="K146" s="2" t="n">
        <x:f>IF(COUNTA('01_orders_raw'!A146:J146)&gt;0,146,"")</x:f>
        <x:v>146</x:v>
      </x:c>
    </x:row>
    <x:row r="147">
      <x:c r="A147" s="2" t="str">
        <x:f>IF(COUNTA('01_orders_raw'!A147:J147)&gt;0,"Order","")</x:f>
        <x:v>Order</x:v>
      </x:c>
      <x:c r="B147" s="2" t="n">
        <x:f>IF(COUNTA('01_orders_raw'!A147:J147)&gt;0,'01_orders_raw'!A147,"")</x:f>
        <x:v>1146</x:v>
      </x:c>
      <x:c r="C147" s="2" t="str">
        <x:f>IF(COUNTA('01_orders_raw'!A147:J147)&gt;0,IF(AND(LEN('01_orders_raw'!A147&amp;"")&gt;0,COUNTIF('01_orders_raw'!$A$2:$A$181,'01_orders_raw'!A147)&gt;1),"ERROR","OK"),"")</x:f>
        <x:v>OK</x:v>
      </x:c>
      <x:c r="D147" s="2" t="str">
        <x:f>IF(COUNTA('01_orders_raw'!A147:J147)&gt;0,IF(OR(LEN('01_orders_raw'!A147&amp;"")=0,LEN('01_orders_raw'!B147&amp;"")=0,LEN('01_orders_raw'!C147&amp;"")=0,LEN('01_orders_raw'!D147&amp;"")=0,LEN('01_orders_raw'!E147&amp;"")=0,LEN('01_orders_raw'!F147&amp;"")=0,LEN('01_orders_raw'!G147&amp;"")=0,LEN('01_orders_raw'!H147&amp;"")=0,LEN('01_orders_raw'!I147&amp;"")=0,LEN('01_orders_raw'!J147&amp;"")=0),"ERROR","OK"),"")</x:f>
        <x:v>OK</x:v>
      </x:c>
      <x:c r="E147" s="2" t="str">
        <x:f>IF(COUNTA('01_orders_raw'!A147:J147)&gt;0,IF(LEN('01_orders_raw'!C147&amp;"")=0,"SKIP",IF(COUNTIF('02_clients_raw'!$A$2:$A$67,'01_orders_raw'!C147)&lt;&gt;1,"ERROR","OK")),"")</x:f>
        <x:v>OK</x:v>
      </x:c>
      <x:c r="F147" s="2" t="str">
        <x:f>IF(COUNTA('01_orders_raw'!A147:J147)&gt;0,IF(OR(LEN('01_orders_raw'!G147&amp;"")=0,LEN('01_orders_raw'!H147&amp;"")=0,LEN('01_orders_raw'!I147&amp;"")=0),"SKIP",IF(AND(ISNUMBER('01_orders_raw'!G147),ISNUMBER('01_orders_raw'!H147),ISNUMBER('01_orders_raw'!I147)),IF(OR('01_orders_raw'!G147&lt;=0,MOD('01_orders_raw'!G147,1)&lt;&gt;0,ABS('01_orders_raw'!I147-'01_orders_raw'!G147*'01_orders_raw'!H147)&gt;'09_parameters'!$B$3),"ERROR","OK"),"ERROR")),"")</x:f>
        <x:v>OK</x:v>
      </x:c>
      <x:c r="G147" s="2" t="str">
        <x:f>IF(COUNTA('01_orders_raw'!A147:J147)&gt;0,IF(LEN('01_orders_raw'!H147&amp;"")=0,"SKIP",IF('01_orders_raw'!H147&lt;0,"ERROR","OK")),"")</x:f>
        <x:v>OK</x:v>
      </x:c>
      <x:c r="H147" s="2" t="str">
        <x:f>IF(COUNTA('01_orders_raw'!A147:J147)&gt;0,IF(LEN('01_orders_raw'!B147&amp;"")=0,"SKIP",IF(OR(NOT(ISNUMBER('01_orders_raw'!B147)),'01_orders_raw'!B147&lt;=0,'01_orders_raw'!B147&gt;'09_parameters'!$B$2),"ERROR","OK")),"")</x:f>
        <x:v>OK</x:v>
      </x:c>
      <x:c r="I147" s="2" t="str">
        <x:f>IF(COUNTA('01_orders_raw'!A147:J147)&gt;0,IF(LEN('01_orders_raw'!J147&amp;"")=0,"SKIP",IF(AND('01_orders_raw'!J147&lt;&gt;"Выполнен",'01_orders_raw'!J147&lt;&gt;"В работе",'01_orders_raw'!J147&lt;&gt;"Отменен",'01_orders_raw'!J147&lt;&gt;"Ожидает оплаты"),"ERROR","OK")),"")</x:f>
        <x:v>OK</x:v>
      </x:c>
      <x:c r="J147" s="2" t="n">
        <x:f>COUNTIF(C147:I147,"ERROR")</x:f>
        <x:v>0</x:v>
      </x:c>
      <x:c r="K147" s="2" t="n">
        <x:f>IF(COUNTA('01_orders_raw'!A147:J147)&gt;0,147,"")</x:f>
        <x:v>147</x:v>
      </x:c>
    </x:row>
    <x:row r="148">
      <x:c r="A148" s="2" t="str">
        <x:f>IF(COUNTA('01_orders_raw'!A148:J148)&gt;0,"Order","")</x:f>
        <x:v>Order</x:v>
      </x:c>
      <x:c r="B148" s="2" t="n">
        <x:f>IF(COUNTA('01_orders_raw'!A148:J148)&gt;0,'01_orders_raw'!A148,"")</x:f>
        <x:v>1147</x:v>
      </x:c>
      <x:c r="C148" s="2" t="str">
        <x:f>IF(COUNTA('01_orders_raw'!A148:J148)&gt;0,IF(AND(LEN('01_orders_raw'!A148&amp;"")&gt;0,COUNTIF('01_orders_raw'!$A$2:$A$181,'01_orders_raw'!A148)&gt;1),"ERROR","OK"),"")</x:f>
        <x:v>OK</x:v>
      </x:c>
      <x:c r="D148" s="2" t="str">
        <x:f>IF(COUNTA('01_orders_raw'!A148:J148)&gt;0,IF(OR(LEN('01_orders_raw'!A148&amp;"")=0,LEN('01_orders_raw'!B148&amp;"")=0,LEN('01_orders_raw'!C148&amp;"")=0,LEN('01_orders_raw'!D148&amp;"")=0,LEN('01_orders_raw'!E148&amp;"")=0,LEN('01_orders_raw'!F148&amp;"")=0,LEN('01_orders_raw'!G148&amp;"")=0,LEN('01_orders_raw'!H148&amp;"")=0,LEN('01_orders_raw'!I148&amp;"")=0,LEN('01_orders_raw'!J148&amp;"")=0),"ERROR","OK"),"")</x:f>
        <x:v>OK</x:v>
      </x:c>
      <x:c r="E148" s="2" t="str">
        <x:f>IF(COUNTA('01_orders_raw'!A148:J148)&gt;0,IF(LEN('01_orders_raw'!C148&amp;"")=0,"SKIP",IF(COUNTIF('02_clients_raw'!$A$2:$A$67,'01_orders_raw'!C148)&lt;&gt;1,"ERROR","OK")),"")</x:f>
        <x:v>OK</x:v>
      </x:c>
      <x:c r="F148" s="2" t="str">
        <x:f>IF(COUNTA('01_orders_raw'!A148:J148)&gt;0,IF(OR(LEN('01_orders_raw'!G148&amp;"")=0,LEN('01_orders_raw'!H148&amp;"")=0,LEN('01_orders_raw'!I148&amp;"")=0),"SKIP",IF(AND(ISNUMBER('01_orders_raw'!G148),ISNUMBER('01_orders_raw'!H148),ISNUMBER('01_orders_raw'!I148)),IF(OR('01_orders_raw'!G148&lt;=0,MOD('01_orders_raw'!G148,1)&lt;&gt;0,ABS('01_orders_raw'!I148-'01_orders_raw'!G148*'01_orders_raw'!H148)&gt;'09_parameters'!$B$3),"ERROR","OK"),"ERROR")),"")</x:f>
        <x:v>OK</x:v>
      </x:c>
      <x:c r="G148" s="2" t="str">
        <x:f>IF(COUNTA('01_orders_raw'!A148:J148)&gt;0,IF(LEN('01_orders_raw'!H148&amp;"")=0,"SKIP",IF('01_orders_raw'!H148&lt;0,"ERROR","OK")),"")</x:f>
        <x:v>OK</x:v>
      </x:c>
      <x:c r="H148" s="2" t="str">
        <x:f>IF(COUNTA('01_orders_raw'!A148:J148)&gt;0,IF(LEN('01_orders_raw'!B148&amp;"")=0,"SKIP",IF(OR(NOT(ISNUMBER('01_orders_raw'!B148)),'01_orders_raw'!B148&lt;=0,'01_orders_raw'!B148&gt;'09_parameters'!$B$2),"ERROR","OK")),"")</x:f>
        <x:v>OK</x:v>
      </x:c>
      <x:c r="I148" s="2" t="str">
        <x:f>IF(COUNTA('01_orders_raw'!A148:J148)&gt;0,IF(LEN('01_orders_raw'!J148&amp;"")=0,"SKIP",IF(AND('01_orders_raw'!J148&lt;&gt;"Выполнен",'01_orders_raw'!J148&lt;&gt;"В работе",'01_orders_raw'!J148&lt;&gt;"Отменен",'01_orders_raw'!J148&lt;&gt;"Ожидает оплаты"),"ERROR","OK")),"")</x:f>
        <x:v>OK</x:v>
      </x:c>
      <x:c r="J148" s="2" t="n">
        <x:f>COUNTIF(C148:I148,"ERROR")</x:f>
        <x:v>0</x:v>
      </x:c>
      <x:c r="K148" s="2" t="n">
        <x:f>IF(COUNTA('01_orders_raw'!A148:J148)&gt;0,148,"")</x:f>
        <x:v>148</x:v>
      </x:c>
    </x:row>
    <x:row r="149">
      <x:c r="A149" s="2" t="str">
        <x:f>IF(COUNTA('01_orders_raw'!A149:J149)&gt;0,"Order","")</x:f>
        <x:v>Order</x:v>
      </x:c>
      <x:c r="B149" s="2" t="n">
        <x:f>IF(COUNTA('01_orders_raw'!A149:J149)&gt;0,'01_orders_raw'!A149,"")</x:f>
        <x:v>1148</x:v>
      </x:c>
      <x:c r="C149" s="2" t="str">
        <x:f>IF(COUNTA('01_orders_raw'!A149:J149)&gt;0,IF(AND(LEN('01_orders_raw'!A149&amp;"")&gt;0,COUNTIF('01_orders_raw'!$A$2:$A$181,'01_orders_raw'!A149)&gt;1),"ERROR","OK"),"")</x:f>
        <x:v>OK</x:v>
      </x:c>
      <x:c r="D149" s="2" t="str">
        <x:f>IF(COUNTA('01_orders_raw'!A149:J149)&gt;0,IF(OR(LEN('01_orders_raw'!A149&amp;"")=0,LEN('01_orders_raw'!B149&amp;"")=0,LEN('01_orders_raw'!C149&amp;"")=0,LEN('01_orders_raw'!D149&amp;"")=0,LEN('01_orders_raw'!E149&amp;"")=0,LEN('01_orders_raw'!F149&amp;"")=0,LEN('01_orders_raw'!G149&amp;"")=0,LEN('01_orders_raw'!H149&amp;"")=0,LEN('01_orders_raw'!I149&amp;"")=0,LEN('01_orders_raw'!J149&amp;"")=0),"ERROR","OK"),"")</x:f>
        <x:v>OK</x:v>
      </x:c>
      <x:c r="E149" s="2" t="str">
        <x:f>IF(COUNTA('01_orders_raw'!A149:J149)&gt;0,IF(LEN('01_orders_raw'!C149&amp;"")=0,"SKIP",IF(COUNTIF('02_clients_raw'!$A$2:$A$67,'01_orders_raw'!C149)&lt;&gt;1,"ERROR","OK")),"")</x:f>
        <x:v>OK</x:v>
      </x:c>
      <x:c r="F149" s="2" t="str">
        <x:f>IF(COUNTA('01_orders_raw'!A149:J149)&gt;0,IF(OR(LEN('01_orders_raw'!G149&amp;"")=0,LEN('01_orders_raw'!H149&amp;"")=0,LEN('01_orders_raw'!I149&amp;"")=0),"SKIP",IF(AND(ISNUMBER('01_orders_raw'!G149),ISNUMBER('01_orders_raw'!H149),ISNUMBER('01_orders_raw'!I149)),IF(OR('01_orders_raw'!G149&lt;=0,MOD('01_orders_raw'!G149,1)&lt;&gt;0,ABS('01_orders_raw'!I149-'01_orders_raw'!G149*'01_orders_raw'!H149)&gt;'09_parameters'!$B$3),"ERROR","OK"),"ERROR")),"")</x:f>
        <x:v>OK</x:v>
      </x:c>
      <x:c r="G149" s="2" t="str">
        <x:f>IF(COUNTA('01_orders_raw'!A149:J149)&gt;0,IF(LEN('01_orders_raw'!H149&amp;"")=0,"SKIP",IF('01_orders_raw'!H149&lt;0,"ERROR","OK")),"")</x:f>
        <x:v>OK</x:v>
      </x:c>
      <x:c r="H149" s="2" t="str">
        <x:f>IF(COUNTA('01_orders_raw'!A149:J149)&gt;0,IF(LEN('01_orders_raw'!B149&amp;"")=0,"SKIP",IF(OR(NOT(ISNUMBER('01_orders_raw'!B149)),'01_orders_raw'!B149&lt;=0,'01_orders_raw'!B149&gt;'09_parameters'!$B$2),"ERROR","OK")),"")</x:f>
        <x:v>OK</x:v>
      </x:c>
      <x:c r="I149" s="2" t="str">
        <x:f>IF(COUNTA('01_orders_raw'!A149:J149)&gt;0,IF(LEN('01_orders_raw'!J149&amp;"")=0,"SKIP",IF(AND('01_orders_raw'!J149&lt;&gt;"Выполнен",'01_orders_raw'!J149&lt;&gt;"В работе",'01_orders_raw'!J149&lt;&gt;"Отменен",'01_orders_raw'!J149&lt;&gt;"Ожидает оплаты"),"ERROR","OK")),"")</x:f>
        <x:v>OK</x:v>
      </x:c>
      <x:c r="J149" s="2" t="n">
        <x:f>COUNTIF(C149:I149,"ERROR")</x:f>
        <x:v>0</x:v>
      </x:c>
      <x:c r="K149" s="2" t="n">
        <x:f>IF(COUNTA('01_orders_raw'!A149:J149)&gt;0,149,"")</x:f>
        <x:v>149</x:v>
      </x:c>
    </x:row>
    <x:row r="150">
      <x:c r="A150" s="2" t="str">
        <x:f>IF(COUNTA('01_orders_raw'!A150:J150)&gt;0,"Order","")</x:f>
        <x:v>Order</x:v>
      </x:c>
      <x:c r="B150" s="2" t="n">
        <x:f>IF(COUNTA('01_orders_raw'!A150:J150)&gt;0,'01_orders_raw'!A150,"")</x:f>
        <x:v>1149</x:v>
      </x:c>
      <x:c r="C150" s="2" t="str">
        <x:f>IF(COUNTA('01_orders_raw'!A150:J150)&gt;0,IF(AND(LEN('01_orders_raw'!A150&amp;"")&gt;0,COUNTIF('01_orders_raw'!$A$2:$A$181,'01_orders_raw'!A150)&gt;1),"ERROR","OK"),"")</x:f>
        <x:v>OK</x:v>
      </x:c>
      <x:c r="D150" s="2" t="str">
        <x:f>IF(COUNTA('01_orders_raw'!A150:J150)&gt;0,IF(OR(LEN('01_orders_raw'!A150&amp;"")=0,LEN('01_orders_raw'!B150&amp;"")=0,LEN('01_orders_raw'!C150&amp;"")=0,LEN('01_orders_raw'!D150&amp;"")=0,LEN('01_orders_raw'!E150&amp;"")=0,LEN('01_orders_raw'!F150&amp;"")=0,LEN('01_orders_raw'!G150&amp;"")=0,LEN('01_orders_raw'!H150&amp;"")=0,LEN('01_orders_raw'!I150&amp;"")=0,LEN('01_orders_raw'!J150&amp;"")=0),"ERROR","OK"),"")</x:f>
        <x:v>OK</x:v>
      </x:c>
      <x:c r="E150" s="2" t="str">
        <x:f>IF(COUNTA('01_orders_raw'!A150:J150)&gt;0,IF(LEN('01_orders_raw'!C150&amp;"")=0,"SKIP",IF(COUNTIF('02_clients_raw'!$A$2:$A$67,'01_orders_raw'!C150)&lt;&gt;1,"ERROR","OK")),"")</x:f>
        <x:v>OK</x:v>
      </x:c>
      <x:c r="F150" s="2" t="str">
        <x:f>IF(COUNTA('01_orders_raw'!A150:J150)&gt;0,IF(OR(LEN('01_orders_raw'!G150&amp;"")=0,LEN('01_orders_raw'!H150&amp;"")=0,LEN('01_orders_raw'!I150&amp;"")=0),"SKIP",IF(AND(ISNUMBER('01_orders_raw'!G150),ISNUMBER('01_orders_raw'!H150),ISNUMBER('01_orders_raw'!I150)),IF(OR('01_orders_raw'!G150&lt;=0,MOD('01_orders_raw'!G150,1)&lt;&gt;0,ABS('01_orders_raw'!I150-'01_orders_raw'!G150*'01_orders_raw'!H150)&gt;'09_parameters'!$B$3),"ERROR","OK"),"ERROR")),"")</x:f>
        <x:v>OK</x:v>
      </x:c>
      <x:c r="G150" s="2" t="str">
        <x:f>IF(COUNTA('01_orders_raw'!A150:J150)&gt;0,IF(LEN('01_orders_raw'!H150&amp;"")=0,"SKIP",IF('01_orders_raw'!H150&lt;0,"ERROR","OK")),"")</x:f>
        <x:v>OK</x:v>
      </x:c>
      <x:c r="H150" s="2" t="str">
        <x:f>IF(COUNTA('01_orders_raw'!A150:J150)&gt;0,IF(LEN('01_orders_raw'!B150&amp;"")=0,"SKIP",IF(OR(NOT(ISNUMBER('01_orders_raw'!B150)),'01_orders_raw'!B150&lt;=0,'01_orders_raw'!B150&gt;'09_parameters'!$B$2),"ERROR","OK")),"")</x:f>
        <x:v>OK</x:v>
      </x:c>
      <x:c r="I150" s="2" t="str">
        <x:f>IF(COUNTA('01_orders_raw'!A150:J150)&gt;0,IF(LEN('01_orders_raw'!J150&amp;"")=0,"SKIP",IF(AND('01_orders_raw'!J150&lt;&gt;"Выполнен",'01_orders_raw'!J150&lt;&gt;"В работе",'01_orders_raw'!J150&lt;&gt;"Отменен",'01_orders_raw'!J150&lt;&gt;"Ожидает оплаты"),"ERROR","OK")),"")</x:f>
        <x:v>OK</x:v>
      </x:c>
      <x:c r="J150" s="2" t="n">
        <x:f>COUNTIF(C150:I150,"ERROR")</x:f>
        <x:v>0</x:v>
      </x:c>
      <x:c r="K150" s="2" t="n">
        <x:f>IF(COUNTA('01_orders_raw'!A150:J150)&gt;0,150,"")</x:f>
        <x:v>150</x:v>
      </x:c>
    </x:row>
    <x:row r="151">
      <x:c r="A151" s="2" t="str">
        <x:f>IF(COUNTA('01_orders_raw'!A151:J151)&gt;0,"Order","")</x:f>
        <x:v>Order</x:v>
      </x:c>
      <x:c r="B151" s="2" t="n">
        <x:f>IF(COUNTA('01_orders_raw'!A151:J151)&gt;0,'01_orders_raw'!A151,"")</x:f>
        <x:v>1150</x:v>
      </x:c>
      <x:c r="C151" s="2" t="str">
        <x:f>IF(COUNTA('01_orders_raw'!A151:J151)&gt;0,IF(AND(LEN('01_orders_raw'!A151&amp;"")&gt;0,COUNTIF('01_orders_raw'!$A$2:$A$181,'01_orders_raw'!A151)&gt;1),"ERROR","OK"),"")</x:f>
        <x:v>OK</x:v>
      </x:c>
      <x:c r="D151" s="2" t="str">
        <x:f>IF(COUNTA('01_orders_raw'!A151:J151)&gt;0,IF(OR(LEN('01_orders_raw'!A151&amp;"")=0,LEN('01_orders_raw'!B151&amp;"")=0,LEN('01_orders_raw'!C151&amp;"")=0,LEN('01_orders_raw'!D151&amp;"")=0,LEN('01_orders_raw'!E151&amp;"")=0,LEN('01_orders_raw'!F151&amp;"")=0,LEN('01_orders_raw'!G151&amp;"")=0,LEN('01_orders_raw'!H151&amp;"")=0,LEN('01_orders_raw'!I151&amp;"")=0,LEN('01_orders_raw'!J151&amp;"")=0),"ERROR","OK"),"")</x:f>
        <x:v>OK</x:v>
      </x:c>
      <x:c r="E151" s="2" t="str">
        <x:f>IF(COUNTA('01_orders_raw'!A151:J151)&gt;0,IF(LEN('01_orders_raw'!C151&amp;"")=0,"SKIP",IF(COUNTIF('02_clients_raw'!$A$2:$A$67,'01_orders_raw'!C151)&lt;&gt;1,"ERROR","OK")),"")</x:f>
        <x:v>OK</x:v>
      </x:c>
      <x:c r="F151" s="2" t="str">
        <x:f>IF(COUNTA('01_orders_raw'!A151:J151)&gt;0,IF(OR(LEN('01_orders_raw'!G151&amp;"")=0,LEN('01_orders_raw'!H151&amp;"")=0,LEN('01_orders_raw'!I151&amp;"")=0),"SKIP",IF(AND(ISNUMBER('01_orders_raw'!G151),ISNUMBER('01_orders_raw'!H151),ISNUMBER('01_orders_raw'!I151)),IF(OR('01_orders_raw'!G151&lt;=0,MOD('01_orders_raw'!G151,1)&lt;&gt;0,ABS('01_orders_raw'!I151-'01_orders_raw'!G151*'01_orders_raw'!H151)&gt;'09_parameters'!$B$3),"ERROR","OK"),"ERROR")),"")</x:f>
        <x:v>OK</x:v>
      </x:c>
      <x:c r="G151" s="2" t="str">
        <x:f>IF(COUNTA('01_orders_raw'!A151:J151)&gt;0,IF(LEN('01_orders_raw'!H151&amp;"")=0,"SKIP",IF('01_orders_raw'!H151&lt;0,"ERROR","OK")),"")</x:f>
        <x:v>OK</x:v>
      </x:c>
      <x:c r="H151" s="2" t="str">
        <x:f>IF(COUNTA('01_orders_raw'!A151:J151)&gt;0,IF(LEN('01_orders_raw'!B151&amp;"")=0,"SKIP",IF(OR(NOT(ISNUMBER('01_orders_raw'!B151)),'01_orders_raw'!B151&lt;=0,'01_orders_raw'!B151&gt;'09_parameters'!$B$2),"ERROR","OK")),"")</x:f>
        <x:v>OK</x:v>
      </x:c>
      <x:c r="I151" s="2" t="str">
        <x:f>IF(COUNTA('01_orders_raw'!A151:J151)&gt;0,IF(LEN('01_orders_raw'!J151&amp;"")=0,"SKIP",IF(AND('01_orders_raw'!J151&lt;&gt;"Выполнен",'01_orders_raw'!J151&lt;&gt;"В работе",'01_orders_raw'!J151&lt;&gt;"Отменен",'01_orders_raw'!J151&lt;&gt;"Ожидает оплаты"),"ERROR","OK")),"")</x:f>
        <x:v>OK</x:v>
      </x:c>
      <x:c r="J151" s="2" t="n">
        <x:f>COUNTIF(C151:I151,"ERROR")</x:f>
        <x:v>0</x:v>
      </x:c>
      <x:c r="K151" s="2" t="n">
        <x:f>IF(COUNTA('01_orders_raw'!A151:J151)&gt;0,151,"")</x:f>
        <x:v>151</x:v>
      </x:c>
    </x:row>
    <x:row r="152">
      <x:c r="A152" s="2" t="str">
        <x:f>IF(COUNTA('01_orders_raw'!A152:J152)&gt;0,"Order","")</x:f>
        <x:v>Order</x:v>
      </x:c>
      <x:c r="B152" s="2" t="n">
        <x:f>IF(COUNTA('01_orders_raw'!A152:J152)&gt;0,'01_orders_raw'!A152,"")</x:f>
        <x:v>1151</x:v>
      </x:c>
      <x:c r="C152" s="2" t="str">
        <x:f>IF(COUNTA('01_orders_raw'!A152:J152)&gt;0,IF(AND(LEN('01_orders_raw'!A152&amp;"")&gt;0,COUNTIF('01_orders_raw'!$A$2:$A$181,'01_orders_raw'!A152)&gt;1),"ERROR","OK"),"")</x:f>
        <x:v>OK</x:v>
      </x:c>
      <x:c r="D152" s="2" t="str">
        <x:f>IF(COUNTA('01_orders_raw'!A152:J152)&gt;0,IF(OR(LEN('01_orders_raw'!A152&amp;"")=0,LEN('01_orders_raw'!B152&amp;"")=0,LEN('01_orders_raw'!C152&amp;"")=0,LEN('01_orders_raw'!D152&amp;"")=0,LEN('01_orders_raw'!E152&amp;"")=0,LEN('01_orders_raw'!F152&amp;"")=0,LEN('01_orders_raw'!G152&amp;"")=0,LEN('01_orders_raw'!H152&amp;"")=0,LEN('01_orders_raw'!I152&amp;"")=0,LEN('01_orders_raw'!J152&amp;"")=0),"ERROR","OK"),"")</x:f>
        <x:v>OK</x:v>
      </x:c>
      <x:c r="E152" s="2" t="str">
        <x:f>IF(COUNTA('01_orders_raw'!A152:J152)&gt;0,IF(LEN('01_orders_raw'!C152&amp;"")=0,"SKIP",IF(COUNTIF('02_clients_raw'!$A$2:$A$67,'01_orders_raw'!C152)&lt;&gt;1,"ERROR","OK")),"")</x:f>
        <x:v>OK</x:v>
      </x:c>
      <x:c r="F152" s="2" t="str">
        <x:f>IF(COUNTA('01_orders_raw'!A152:J152)&gt;0,IF(OR(LEN('01_orders_raw'!G152&amp;"")=0,LEN('01_orders_raw'!H152&amp;"")=0,LEN('01_orders_raw'!I152&amp;"")=0),"SKIP",IF(AND(ISNUMBER('01_orders_raw'!G152),ISNUMBER('01_orders_raw'!H152),ISNUMBER('01_orders_raw'!I152)),IF(OR('01_orders_raw'!G152&lt;=0,MOD('01_orders_raw'!G152,1)&lt;&gt;0,ABS('01_orders_raw'!I152-'01_orders_raw'!G152*'01_orders_raw'!H152)&gt;'09_parameters'!$B$3),"ERROR","OK"),"ERROR")),"")</x:f>
        <x:v>OK</x:v>
      </x:c>
      <x:c r="G152" s="2" t="str">
        <x:f>IF(COUNTA('01_orders_raw'!A152:J152)&gt;0,IF(LEN('01_orders_raw'!H152&amp;"")=0,"SKIP",IF('01_orders_raw'!H152&lt;0,"ERROR","OK")),"")</x:f>
        <x:v>OK</x:v>
      </x:c>
      <x:c r="H152" s="2" t="str">
        <x:f>IF(COUNTA('01_orders_raw'!A152:J152)&gt;0,IF(LEN('01_orders_raw'!B152&amp;"")=0,"SKIP",IF(OR(NOT(ISNUMBER('01_orders_raw'!B152)),'01_orders_raw'!B152&lt;=0,'01_orders_raw'!B152&gt;'09_parameters'!$B$2),"ERROR","OK")),"")</x:f>
        <x:v>OK</x:v>
      </x:c>
      <x:c r="I152" s="2" t="str">
        <x:f>IF(COUNTA('01_orders_raw'!A152:J152)&gt;0,IF(LEN('01_orders_raw'!J152&amp;"")=0,"SKIP",IF(AND('01_orders_raw'!J152&lt;&gt;"Выполнен",'01_orders_raw'!J152&lt;&gt;"В работе",'01_orders_raw'!J152&lt;&gt;"Отменен",'01_orders_raw'!J152&lt;&gt;"Ожидает оплаты"),"ERROR","OK")),"")</x:f>
        <x:v>OK</x:v>
      </x:c>
      <x:c r="J152" s="2" t="n">
        <x:f>COUNTIF(C152:I152,"ERROR")</x:f>
        <x:v>0</x:v>
      </x:c>
      <x:c r="K152" s="2" t="n">
        <x:f>IF(COUNTA('01_orders_raw'!A152:J152)&gt;0,152,"")</x:f>
        <x:v>152</x:v>
      </x:c>
    </x:row>
    <x:row r="153">
      <x:c r="A153" s="2" t="str">
        <x:f>IF(COUNTA('01_orders_raw'!A153:J153)&gt;0,"Order","")</x:f>
        <x:v>Order</x:v>
      </x:c>
      <x:c r="B153" s="2" t="n">
        <x:f>IF(COUNTA('01_orders_raw'!A153:J153)&gt;0,'01_orders_raw'!A153,"")</x:f>
        <x:v>1152</x:v>
      </x:c>
      <x:c r="C153" s="2" t="str">
        <x:f>IF(COUNTA('01_orders_raw'!A153:J153)&gt;0,IF(AND(LEN('01_orders_raw'!A153&amp;"")&gt;0,COUNTIF('01_orders_raw'!$A$2:$A$181,'01_orders_raw'!A153)&gt;1),"ERROR","OK"),"")</x:f>
        <x:v>OK</x:v>
      </x:c>
      <x:c r="D153" s="2" t="str">
        <x:f>IF(COUNTA('01_orders_raw'!A153:J153)&gt;0,IF(OR(LEN('01_orders_raw'!A153&amp;"")=0,LEN('01_orders_raw'!B153&amp;"")=0,LEN('01_orders_raw'!C153&amp;"")=0,LEN('01_orders_raw'!D153&amp;"")=0,LEN('01_orders_raw'!E153&amp;"")=0,LEN('01_orders_raw'!F153&amp;"")=0,LEN('01_orders_raw'!G153&amp;"")=0,LEN('01_orders_raw'!H153&amp;"")=0,LEN('01_orders_raw'!I153&amp;"")=0,LEN('01_orders_raw'!J153&amp;"")=0),"ERROR","OK"),"")</x:f>
        <x:v>OK</x:v>
      </x:c>
      <x:c r="E153" s="2" t="str">
        <x:f>IF(COUNTA('01_orders_raw'!A153:J153)&gt;0,IF(LEN('01_orders_raw'!C153&amp;"")=0,"SKIP",IF(COUNTIF('02_clients_raw'!$A$2:$A$67,'01_orders_raw'!C153)&lt;&gt;1,"ERROR","OK")),"")</x:f>
        <x:v>OK</x:v>
      </x:c>
      <x:c r="F153" s="2" t="str">
        <x:f>IF(COUNTA('01_orders_raw'!A153:J153)&gt;0,IF(OR(LEN('01_orders_raw'!G153&amp;"")=0,LEN('01_orders_raw'!H153&amp;"")=0,LEN('01_orders_raw'!I153&amp;"")=0),"SKIP",IF(AND(ISNUMBER('01_orders_raw'!G153),ISNUMBER('01_orders_raw'!H153),ISNUMBER('01_orders_raw'!I153)),IF(OR('01_orders_raw'!G153&lt;=0,MOD('01_orders_raw'!G153,1)&lt;&gt;0,ABS('01_orders_raw'!I153-'01_orders_raw'!G153*'01_orders_raw'!H153)&gt;'09_parameters'!$B$3),"ERROR","OK"),"ERROR")),"")</x:f>
        <x:v>OK</x:v>
      </x:c>
      <x:c r="G153" s="2" t="str">
        <x:f>IF(COUNTA('01_orders_raw'!A153:J153)&gt;0,IF(LEN('01_orders_raw'!H153&amp;"")=0,"SKIP",IF('01_orders_raw'!H153&lt;0,"ERROR","OK")),"")</x:f>
        <x:v>OK</x:v>
      </x:c>
      <x:c r="H153" s="2" t="str">
        <x:f>IF(COUNTA('01_orders_raw'!A153:J153)&gt;0,IF(LEN('01_orders_raw'!B153&amp;"")=0,"SKIP",IF(OR(NOT(ISNUMBER('01_orders_raw'!B153)),'01_orders_raw'!B153&lt;=0,'01_orders_raw'!B153&gt;'09_parameters'!$B$2),"ERROR","OK")),"")</x:f>
        <x:v>OK</x:v>
      </x:c>
      <x:c r="I153" s="2" t="str">
        <x:f>IF(COUNTA('01_orders_raw'!A153:J153)&gt;0,IF(LEN('01_orders_raw'!J153&amp;"")=0,"SKIP",IF(AND('01_orders_raw'!J153&lt;&gt;"Выполнен",'01_orders_raw'!J153&lt;&gt;"В работе",'01_orders_raw'!J153&lt;&gt;"Отменен",'01_orders_raw'!J153&lt;&gt;"Ожидает оплаты"),"ERROR","OK")),"")</x:f>
        <x:v>OK</x:v>
      </x:c>
      <x:c r="J153" s="2" t="n">
        <x:f>COUNTIF(C153:I153,"ERROR")</x:f>
        <x:v>0</x:v>
      </x:c>
      <x:c r="K153" s="2" t="n">
        <x:f>IF(COUNTA('01_orders_raw'!A153:J153)&gt;0,153,"")</x:f>
        <x:v>153</x:v>
      </x:c>
    </x:row>
    <x:row r="154">
      <x:c r="A154" s="2" t="str">
        <x:f>IF(COUNTA('01_orders_raw'!A154:J154)&gt;0,"Order","")</x:f>
        <x:v>Order</x:v>
      </x:c>
      <x:c r="B154" s="2" t="n">
        <x:f>IF(COUNTA('01_orders_raw'!A154:J154)&gt;0,'01_orders_raw'!A154,"")</x:f>
        <x:v>1153</x:v>
      </x:c>
      <x:c r="C154" s="2" t="str">
        <x:f>IF(COUNTA('01_orders_raw'!A154:J154)&gt;0,IF(AND(LEN('01_orders_raw'!A154&amp;"")&gt;0,COUNTIF('01_orders_raw'!$A$2:$A$181,'01_orders_raw'!A154)&gt;1),"ERROR","OK"),"")</x:f>
        <x:v>OK</x:v>
      </x:c>
      <x:c r="D154" s="2" t="str">
        <x:f>IF(COUNTA('01_orders_raw'!A154:J154)&gt;0,IF(OR(LEN('01_orders_raw'!A154&amp;"")=0,LEN('01_orders_raw'!B154&amp;"")=0,LEN('01_orders_raw'!C154&amp;"")=0,LEN('01_orders_raw'!D154&amp;"")=0,LEN('01_orders_raw'!E154&amp;"")=0,LEN('01_orders_raw'!F154&amp;"")=0,LEN('01_orders_raw'!G154&amp;"")=0,LEN('01_orders_raw'!H154&amp;"")=0,LEN('01_orders_raw'!I154&amp;"")=0,LEN('01_orders_raw'!J154&amp;"")=0),"ERROR","OK"),"")</x:f>
        <x:v>OK</x:v>
      </x:c>
      <x:c r="E154" s="2" t="str">
        <x:f>IF(COUNTA('01_orders_raw'!A154:J154)&gt;0,IF(LEN('01_orders_raw'!C154&amp;"")=0,"SKIP",IF(COUNTIF('02_clients_raw'!$A$2:$A$67,'01_orders_raw'!C154)&lt;&gt;1,"ERROR","OK")),"")</x:f>
        <x:v>ERROR</x:v>
      </x:c>
      <x:c r="F154" s="2" t="str">
        <x:f>IF(COUNTA('01_orders_raw'!A154:J154)&gt;0,IF(OR(LEN('01_orders_raw'!G154&amp;"")=0,LEN('01_orders_raw'!H154&amp;"")=0,LEN('01_orders_raw'!I154&amp;"")=0),"SKIP",IF(AND(ISNUMBER('01_orders_raw'!G154),ISNUMBER('01_orders_raw'!H154),ISNUMBER('01_orders_raw'!I154)),IF(OR('01_orders_raw'!G154&lt;=0,MOD('01_orders_raw'!G154,1)&lt;&gt;0,ABS('01_orders_raw'!I154-'01_orders_raw'!G154*'01_orders_raw'!H154)&gt;'09_parameters'!$B$3),"ERROR","OK"),"ERROR")),"")</x:f>
        <x:v>OK</x:v>
      </x:c>
      <x:c r="G154" s="2" t="str">
        <x:f>IF(COUNTA('01_orders_raw'!A154:J154)&gt;0,IF(LEN('01_orders_raw'!H154&amp;"")=0,"SKIP",IF('01_orders_raw'!H154&lt;0,"ERROR","OK")),"")</x:f>
        <x:v>OK</x:v>
      </x:c>
      <x:c r="H154" s="2" t="str">
        <x:f>IF(COUNTA('01_orders_raw'!A154:J154)&gt;0,IF(LEN('01_orders_raw'!B154&amp;"")=0,"SKIP",IF(OR(NOT(ISNUMBER('01_orders_raw'!B154)),'01_orders_raw'!B154&lt;=0,'01_orders_raw'!B154&gt;'09_parameters'!$B$2),"ERROR","OK")),"")</x:f>
        <x:v>OK</x:v>
      </x:c>
      <x:c r="I154" s="2" t="str">
        <x:f>IF(COUNTA('01_orders_raw'!A154:J154)&gt;0,IF(LEN('01_orders_raw'!J154&amp;"")=0,"SKIP",IF(AND('01_orders_raw'!J154&lt;&gt;"Выполнен",'01_orders_raw'!J154&lt;&gt;"В работе",'01_orders_raw'!J154&lt;&gt;"Отменен",'01_orders_raw'!J154&lt;&gt;"Ожидает оплаты"),"ERROR","OK")),"")</x:f>
        <x:v>OK</x:v>
      </x:c>
      <x:c r="J154" s="2" t="n">
        <x:f>COUNTIF(C154:I154,"ERROR")</x:f>
        <x:v>1</x:v>
      </x:c>
      <x:c r="K154" s="2" t="n">
        <x:f>IF(COUNTA('01_orders_raw'!A154:J154)&gt;0,154,"")</x:f>
        <x:v>154</x:v>
      </x:c>
    </x:row>
    <x:row r="155">
      <x:c r="A155" s="2" t="str">
        <x:f>IF(COUNTA('01_orders_raw'!A155:J155)&gt;0,"Order","")</x:f>
        <x:v>Order</x:v>
      </x:c>
      <x:c r="B155" s="2" t="n">
        <x:f>IF(COUNTA('01_orders_raw'!A155:J155)&gt;0,'01_orders_raw'!A155,"")</x:f>
        <x:v>1154</x:v>
      </x:c>
      <x:c r="C155" s="2" t="str">
        <x:f>IF(COUNTA('01_orders_raw'!A155:J155)&gt;0,IF(AND(LEN('01_orders_raw'!A155&amp;"")&gt;0,COUNTIF('01_orders_raw'!$A$2:$A$181,'01_orders_raw'!A155)&gt;1),"ERROR","OK"),"")</x:f>
        <x:v>OK</x:v>
      </x:c>
      <x:c r="D155" s="2" t="str">
        <x:f>IF(COUNTA('01_orders_raw'!A155:J155)&gt;0,IF(OR(LEN('01_orders_raw'!A155&amp;"")=0,LEN('01_orders_raw'!B155&amp;"")=0,LEN('01_orders_raw'!C155&amp;"")=0,LEN('01_orders_raw'!D155&amp;"")=0,LEN('01_orders_raw'!E155&amp;"")=0,LEN('01_orders_raw'!F155&amp;"")=0,LEN('01_orders_raw'!G155&amp;"")=0,LEN('01_orders_raw'!H155&amp;"")=0,LEN('01_orders_raw'!I155&amp;"")=0,LEN('01_orders_raw'!J155&amp;"")=0),"ERROR","OK"),"")</x:f>
        <x:v>OK</x:v>
      </x:c>
      <x:c r="E155" s="2" t="str">
        <x:f>IF(COUNTA('01_orders_raw'!A155:J155)&gt;0,IF(LEN('01_orders_raw'!C155&amp;"")=0,"SKIP",IF(COUNTIF('02_clients_raw'!$A$2:$A$67,'01_orders_raw'!C155)&lt;&gt;1,"ERROR","OK")),"")</x:f>
        <x:v>OK</x:v>
      </x:c>
      <x:c r="F155" s="2" t="str">
        <x:f>IF(COUNTA('01_orders_raw'!A155:J155)&gt;0,IF(OR(LEN('01_orders_raw'!G155&amp;"")=0,LEN('01_orders_raw'!H155&amp;"")=0,LEN('01_orders_raw'!I155&amp;"")=0),"SKIP",IF(AND(ISNUMBER('01_orders_raw'!G155),ISNUMBER('01_orders_raw'!H155),ISNUMBER('01_orders_raw'!I155)),IF(OR('01_orders_raw'!G155&lt;=0,MOD('01_orders_raw'!G155,1)&lt;&gt;0,ABS('01_orders_raw'!I155-'01_orders_raw'!G155*'01_orders_raw'!H155)&gt;'09_parameters'!$B$3),"ERROR","OK"),"ERROR")),"")</x:f>
        <x:v>OK</x:v>
      </x:c>
      <x:c r="G155" s="2" t="str">
        <x:f>IF(COUNTA('01_orders_raw'!A155:J155)&gt;0,IF(LEN('01_orders_raw'!H155&amp;"")=0,"SKIP",IF('01_orders_raw'!H155&lt;0,"ERROR","OK")),"")</x:f>
        <x:v>OK</x:v>
      </x:c>
      <x:c r="H155" s="2" t="str">
        <x:f>IF(COUNTA('01_orders_raw'!A155:J155)&gt;0,IF(LEN('01_orders_raw'!B155&amp;"")=0,"SKIP",IF(OR(NOT(ISNUMBER('01_orders_raw'!B155)),'01_orders_raw'!B155&lt;=0,'01_orders_raw'!B155&gt;'09_parameters'!$B$2),"ERROR","OK")),"")</x:f>
        <x:v>OK</x:v>
      </x:c>
      <x:c r="I155" s="2" t="str">
        <x:f>IF(COUNTA('01_orders_raw'!A155:J155)&gt;0,IF(LEN('01_orders_raw'!J155&amp;"")=0,"SKIP",IF(AND('01_orders_raw'!J155&lt;&gt;"Выполнен",'01_orders_raw'!J155&lt;&gt;"В работе",'01_orders_raw'!J155&lt;&gt;"Отменен",'01_orders_raw'!J155&lt;&gt;"Ожидает оплаты"),"ERROR","OK")),"")</x:f>
        <x:v>OK</x:v>
      </x:c>
      <x:c r="J155" s="2" t="n">
        <x:f>COUNTIF(C155:I155,"ERROR")</x:f>
        <x:v>0</x:v>
      </x:c>
      <x:c r="K155" s="2" t="n">
        <x:f>IF(COUNTA('01_orders_raw'!A155:J155)&gt;0,155,"")</x:f>
        <x:v>155</x:v>
      </x:c>
    </x:row>
    <x:row r="156">
      <x:c r="A156" s="2" t="str">
        <x:f>IF(COUNTA('01_orders_raw'!A156:J156)&gt;0,"Order","")</x:f>
        <x:v>Order</x:v>
      </x:c>
      <x:c r="B156" s="2" t="n">
        <x:f>IF(COUNTA('01_orders_raw'!A156:J156)&gt;0,'01_orders_raw'!A156,"")</x:f>
        <x:v>1155</x:v>
      </x:c>
      <x:c r="C156" s="2" t="str">
        <x:f>IF(COUNTA('01_orders_raw'!A156:J156)&gt;0,IF(AND(LEN('01_orders_raw'!A156&amp;"")&gt;0,COUNTIF('01_orders_raw'!$A$2:$A$181,'01_orders_raw'!A156)&gt;1),"ERROR","OK"),"")</x:f>
        <x:v>OK</x:v>
      </x:c>
      <x:c r="D156" s="2" t="str">
        <x:f>IF(COUNTA('01_orders_raw'!A156:J156)&gt;0,IF(OR(LEN('01_orders_raw'!A156&amp;"")=0,LEN('01_orders_raw'!B156&amp;"")=0,LEN('01_orders_raw'!C156&amp;"")=0,LEN('01_orders_raw'!D156&amp;"")=0,LEN('01_orders_raw'!E156&amp;"")=0,LEN('01_orders_raw'!F156&amp;"")=0,LEN('01_orders_raw'!G156&amp;"")=0,LEN('01_orders_raw'!H156&amp;"")=0,LEN('01_orders_raw'!I156&amp;"")=0,LEN('01_orders_raw'!J156&amp;"")=0),"ERROR","OK"),"")</x:f>
        <x:v>OK</x:v>
      </x:c>
      <x:c r="E156" s="2" t="str">
        <x:f>IF(COUNTA('01_orders_raw'!A156:J156)&gt;0,IF(LEN('01_orders_raw'!C156&amp;"")=0,"SKIP",IF(COUNTIF('02_clients_raw'!$A$2:$A$67,'01_orders_raw'!C156)&lt;&gt;1,"ERROR","OK")),"")</x:f>
        <x:v>OK</x:v>
      </x:c>
      <x:c r="F156" s="2" t="str">
        <x:f>IF(COUNTA('01_orders_raw'!A156:J156)&gt;0,IF(OR(LEN('01_orders_raw'!G156&amp;"")=0,LEN('01_orders_raw'!H156&amp;"")=0,LEN('01_orders_raw'!I156&amp;"")=0),"SKIP",IF(AND(ISNUMBER('01_orders_raw'!G156),ISNUMBER('01_orders_raw'!H156),ISNUMBER('01_orders_raw'!I156)),IF(OR('01_orders_raw'!G156&lt;=0,MOD('01_orders_raw'!G156,1)&lt;&gt;0,ABS('01_orders_raw'!I156-'01_orders_raw'!G156*'01_orders_raw'!H156)&gt;'09_parameters'!$B$3),"ERROR","OK"),"ERROR")),"")</x:f>
        <x:v>OK</x:v>
      </x:c>
      <x:c r="G156" s="2" t="str">
        <x:f>IF(COUNTA('01_orders_raw'!A156:J156)&gt;0,IF(LEN('01_orders_raw'!H156&amp;"")=0,"SKIP",IF('01_orders_raw'!H156&lt;0,"ERROR","OK")),"")</x:f>
        <x:v>OK</x:v>
      </x:c>
      <x:c r="H156" s="2" t="str">
        <x:f>IF(COUNTA('01_orders_raw'!A156:J156)&gt;0,IF(LEN('01_orders_raw'!B156&amp;"")=0,"SKIP",IF(OR(NOT(ISNUMBER('01_orders_raw'!B156)),'01_orders_raw'!B156&lt;=0,'01_orders_raw'!B156&gt;'09_parameters'!$B$2),"ERROR","OK")),"")</x:f>
        <x:v>OK</x:v>
      </x:c>
      <x:c r="I156" s="2" t="str">
        <x:f>IF(COUNTA('01_orders_raw'!A156:J156)&gt;0,IF(LEN('01_orders_raw'!J156&amp;"")=0,"SKIP",IF(AND('01_orders_raw'!J156&lt;&gt;"Выполнен",'01_orders_raw'!J156&lt;&gt;"В работе",'01_orders_raw'!J156&lt;&gt;"Отменен",'01_orders_raw'!J156&lt;&gt;"Ожидает оплаты"),"ERROR","OK")),"")</x:f>
        <x:v>OK</x:v>
      </x:c>
      <x:c r="J156" s="2" t="n">
        <x:f>COUNTIF(C156:I156,"ERROR")</x:f>
        <x:v>0</x:v>
      </x:c>
      <x:c r="K156" s="2" t="n">
        <x:f>IF(COUNTA('01_orders_raw'!A156:J156)&gt;0,156,"")</x:f>
        <x:v>156</x:v>
      </x:c>
    </x:row>
    <x:row r="157">
      <x:c r="A157" s="2" t="str">
        <x:f>IF(COUNTA('01_orders_raw'!A157:J157)&gt;0,"Order","")</x:f>
        <x:v>Order</x:v>
      </x:c>
      <x:c r="B157" s="2" t="n">
        <x:f>IF(COUNTA('01_orders_raw'!A157:J157)&gt;0,'01_orders_raw'!A157,"")</x:f>
        <x:v>1156</x:v>
      </x:c>
      <x:c r="C157" s="2" t="str">
        <x:f>IF(COUNTA('01_orders_raw'!A157:J157)&gt;0,IF(AND(LEN('01_orders_raw'!A157&amp;"")&gt;0,COUNTIF('01_orders_raw'!$A$2:$A$181,'01_orders_raw'!A157)&gt;1),"ERROR","OK"),"")</x:f>
        <x:v>OK</x:v>
      </x:c>
      <x:c r="D157" s="2" t="str">
        <x:f>IF(COUNTA('01_orders_raw'!A157:J157)&gt;0,IF(OR(LEN('01_orders_raw'!A157&amp;"")=0,LEN('01_orders_raw'!B157&amp;"")=0,LEN('01_orders_raw'!C157&amp;"")=0,LEN('01_orders_raw'!D157&amp;"")=0,LEN('01_orders_raw'!E157&amp;"")=0,LEN('01_orders_raw'!F157&amp;"")=0,LEN('01_orders_raw'!G157&amp;"")=0,LEN('01_orders_raw'!H157&amp;"")=0,LEN('01_orders_raw'!I157&amp;"")=0,LEN('01_orders_raw'!J157&amp;"")=0),"ERROR","OK"),"")</x:f>
        <x:v>OK</x:v>
      </x:c>
      <x:c r="E157" s="2" t="str">
        <x:f>IF(COUNTA('01_orders_raw'!A157:J157)&gt;0,IF(LEN('01_orders_raw'!C157&amp;"")=0,"SKIP",IF(COUNTIF('02_clients_raw'!$A$2:$A$67,'01_orders_raw'!C157)&lt;&gt;1,"ERROR","OK")),"")</x:f>
        <x:v>OK</x:v>
      </x:c>
      <x:c r="F157" s="2" t="str">
        <x:f>IF(COUNTA('01_orders_raw'!A157:J157)&gt;0,IF(OR(LEN('01_orders_raw'!G157&amp;"")=0,LEN('01_orders_raw'!H157&amp;"")=0,LEN('01_orders_raw'!I157&amp;"")=0),"SKIP",IF(AND(ISNUMBER('01_orders_raw'!G157),ISNUMBER('01_orders_raw'!H157),ISNUMBER('01_orders_raw'!I157)),IF(OR('01_orders_raw'!G157&lt;=0,MOD('01_orders_raw'!G157,1)&lt;&gt;0,ABS('01_orders_raw'!I157-'01_orders_raw'!G157*'01_orders_raw'!H157)&gt;'09_parameters'!$B$3),"ERROR","OK"),"ERROR")),"")</x:f>
        <x:v>OK</x:v>
      </x:c>
      <x:c r="G157" s="2" t="str">
        <x:f>IF(COUNTA('01_orders_raw'!A157:J157)&gt;0,IF(LEN('01_orders_raw'!H157&amp;"")=0,"SKIP",IF('01_orders_raw'!H157&lt;0,"ERROR","OK")),"")</x:f>
        <x:v>OK</x:v>
      </x:c>
      <x:c r="H157" s="2" t="str">
        <x:f>IF(COUNTA('01_orders_raw'!A157:J157)&gt;0,IF(LEN('01_orders_raw'!B157&amp;"")=0,"SKIP",IF(OR(NOT(ISNUMBER('01_orders_raw'!B157)),'01_orders_raw'!B157&lt;=0,'01_orders_raw'!B157&gt;'09_parameters'!$B$2),"ERROR","OK")),"")</x:f>
        <x:v>OK</x:v>
      </x:c>
      <x:c r="I157" s="2" t="str">
        <x:f>IF(COUNTA('01_orders_raw'!A157:J157)&gt;0,IF(LEN('01_orders_raw'!J157&amp;"")=0,"SKIP",IF(AND('01_orders_raw'!J157&lt;&gt;"Выполнен",'01_orders_raw'!J157&lt;&gt;"В работе",'01_orders_raw'!J157&lt;&gt;"Отменен",'01_orders_raw'!J157&lt;&gt;"Ожидает оплаты"),"ERROR","OK")),"")</x:f>
        <x:v>OK</x:v>
      </x:c>
      <x:c r="J157" s="2" t="n">
        <x:f>COUNTIF(C157:I157,"ERROR")</x:f>
        <x:v>0</x:v>
      </x:c>
      <x:c r="K157" s="2" t="n">
        <x:f>IF(COUNTA('01_orders_raw'!A157:J157)&gt;0,157,"")</x:f>
        <x:v>157</x:v>
      </x:c>
    </x:row>
    <x:row r="158">
      <x:c r="A158" s="2" t="str">
        <x:f>IF(COUNTA('01_orders_raw'!A158:J158)&gt;0,"Order","")</x:f>
        <x:v>Order</x:v>
      </x:c>
      <x:c r="B158" s="2" t="n">
        <x:f>IF(COUNTA('01_orders_raw'!A158:J158)&gt;0,'01_orders_raw'!A158,"")</x:f>
        <x:v>1157</x:v>
      </x:c>
      <x:c r="C158" s="2" t="str">
        <x:f>IF(COUNTA('01_orders_raw'!A158:J158)&gt;0,IF(AND(LEN('01_orders_raw'!A158&amp;"")&gt;0,COUNTIF('01_orders_raw'!$A$2:$A$181,'01_orders_raw'!A158)&gt;1),"ERROR","OK"),"")</x:f>
        <x:v>OK</x:v>
      </x:c>
      <x:c r="D158" s="2" t="str">
        <x:f>IF(COUNTA('01_orders_raw'!A158:J158)&gt;0,IF(OR(LEN('01_orders_raw'!A158&amp;"")=0,LEN('01_orders_raw'!B158&amp;"")=0,LEN('01_orders_raw'!C158&amp;"")=0,LEN('01_orders_raw'!D158&amp;"")=0,LEN('01_orders_raw'!E158&amp;"")=0,LEN('01_orders_raw'!F158&amp;"")=0,LEN('01_orders_raw'!G158&amp;"")=0,LEN('01_orders_raw'!H158&amp;"")=0,LEN('01_orders_raw'!I158&amp;"")=0,LEN('01_orders_raw'!J158&amp;"")=0),"ERROR","OK"),"")</x:f>
        <x:v>OK</x:v>
      </x:c>
      <x:c r="E158" s="2" t="str">
        <x:f>IF(COUNTA('01_orders_raw'!A158:J158)&gt;0,IF(LEN('01_orders_raw'!C158&amp;"")=0,"SKIP",IF(COUNTIF('02_clients_raw'!$A$2:$A$67,'01_orders_raw'!C158)&lt;&gt;1,"ERROR","OK")),"")</x:f>
        <x:v>OK</x:v>
      </x:c>
      <x:c r="F158" s="2" t="str">
        <x:f>IF(COUNTA('01_orders_raw'!A158:J158)&gt;0,IF(OR(LEN('01_orders_raw'!G158&amp;"")=0,LEN('01_orders_raw'!H158&amp;"")=0,LEN('01_orders_raw'!I158&amp;"")=0),"SKIP",IF(AND(ISNUMBER('01_orders_raw'!G158),ISNUMBER('01_orders_raw'!H158),ISNUMBER('01_orders_raw'!I158)),IF(OR('01_orders_raw'!G158&lt;=0,MOD('01_orders_raw'!G158,1)&lt;&gt;0,ABS('01_orders_raw'!I158-'01_orders_raw'!G158*'01_orders_raw'!H158)&gt;'09_parameters'!$B$3),"ERROR","OK"),"ERROR")),"")</x:f>
        <x:v>OK</x:v>
      </x:c>
      <x:c r="G158" s="2" t="str">
        <x:f>IF(COUNTA('01_orders_raw'!A158:J158)&gt;0,IF(LEN('01_orders_raw'!H158&amp;"")=0,"SKIP",IF('01_orders_raw'!H158&lt;0,"ERROR","OK")),"")</x:f>
        <x:v>OK</x:v>
      </x:c>
      <x:c r="H158" s="2" t="str">
        <x:f>IF(COUNTA('01_orders_raw'!A158:J158)&gt;0,IF(LEN('01_orders_raw'!B158&amp;"")=0,"SKIP",IF(OR(NOT(ISNUMBER('01_orders_raw'!B158)),'01_orders_raw'!B158&lt;=0,'01_orders_raw'!B158&gt;'09_parameters'!$B$2),"ERROR","OK")),"")</x:f>
        <x:v>OK</x:v>
      </x:c>
      <x:c r="I158" s="2" t="str">
        <x:f>IF(COUNTA('01_orders_raw'!A158:J158)&gt;0,IF(LEN('01_orders_raw'!J158&amp;"")=0,"SKIP",IF(AND('01_orders_raw'!J158&lt;&gt;"Выполнен",'01_orders_raw'!J158&lt;&gt;"В работе",'01_orders_raw'!J158&lt;&gt;"Отменен",'01_orders_raw'!J158&lt;&gt;"Ожидает оплаты"),"ERROR","OK")),"")</x:f>
        <x:v>OK</x:v>
      </x:c>
      <x:c r="J158" s="2" t="n">
        <x:f>COUNTIF(C158:I158,"ERROR")</x:f>
        <x:v>0</x:v>
      </x:c>
      <x:c r="K158" s="2" t="n">
        <x:f>IF(COUNTA('01_orders_raw'!A158:J158)&gt;0,158,"")</x:f>
        <x:v>158</x:v>
      </x:c>
    </x:row>
    <x:row r="159">
      <x:c r="A159" s="2" t="str">
        <x:f>IF(COUNTA('01_orders_raw'!A159:J159)&gt;0,"Order","")</x:f>
        <x:v>Order</x:v>
      </x:c>
      <x:c r="B159" s="2" t="n">
        <x:f>IF(COUNTA('01_orders_raw'!A159:J159)&gt;0,'01_orders_raw'!A159,"")</x:f>
        <x:v>1158</x:v>
      </x:c>
      <x:c r="C159" s="2" t="str">
        <x:f>IF(COUNTA('01_orders_raw'!A159:J159)&gt;0,IF(AND(LEN('01_orders_raw'!A159&amp;"")&gt;0,COUNTIF('01_orders_raw'!$A$2:$A$181,'01_orders_raw'!A159)&gt;1),"ERROR","OK"),"")</x:f>
        <x:v>OK</x:v>
      </x:c>
      <x:c r="D159" s="2" t="str">
        <x:f>IF(COUNTA('01_orders_raw'!A159:J159)&gt;0,IF(OR(LEN('01_orders_raw'!A159&amp;"")=0,LEN('01_orders_raw'!B159&amp;"")=0,LEN('01_orders_raw'!C159&amp;"")=0,LEN('01_orders_raw'!D159&amp;"")=0,LEN('01_orders_raw'!E159&amp;"")=0,LEN('01_orders_raw'!F159&amp;"")=0,LEN('01_orders_raw'!G159&amp;"")=0,LEN('01_orders_raw'!H159&amp;"")=0,LEN('01_orders_raw'!I159&amp;"")=0,LEN('01_orders_raw'!J159&amp;"")=0),"ERROR","OK"),"")</x:f>
        <x:v>OK</x:v>
      </x:c>
      <x:c r="E159" s="2" t="str">
        <x:f>IF(COUNTA('01_orders_raw'!A159:J159)&gt;0,IF(LEN('01_orders_raw'!C159&amp;"")=0,"SKIP",IF(COUNTIF('02_clients_raw'!$A$2:$A$67,'01_orders_raw'!C159)&lt;&gt;1,"ERROR","OK")),"")</x:f>
        <x:v>OK</x:v>
      </x:c>
      <x:c r="F159" s="2" t="str">
        <x:f>IF(COUNTA('01_orders_raw'!A159:J159)&gt;0,IF(OR(LEN('01_orders_raw'!G159&amp;"")=0,LEN('01_orders_raw'!H159&amp;"")=0,LEN('01_orders_raw'!I159&amp;"")=0),"SKIP",IF(AND(ISNUMBER('01_orders_raw'!G159),ISNUMBER('01_orders_raw'!H159),ISNUMBER('01_orders_raw'!I159)),IF(OR('01_orders_raw'!G159&lt;=0,MOD('01_orders_raw'!G159,1)&lt;&gt;0,ABS('01_orders_raw'!I159-'01_orders_raw'!G159*'01_orders_raw'!H159)&gt;'09_parameters'!$B$3),"ERROR","OK"),"ERROR")),"")</x:f>
        <x:v>OK</x:v>
      </x:c>
      <x:c r="G159" s="2" t="str">
        <x:f>IF(COUNTA('01_orders_raw'!A159:J159)&gt;0,IF(LEN('01_orders_raw'!H159&amp;"")=0,"SKIP",IF('01_orders_raw'!H159&lt;0,"ERROR","OK")),"")</x:f>
        <x:v>OK</x:v>
      </x:c>
      <x:c r="H159" s="2" t="str">
        <x:f>IF(COUNTA('01_orders_raw'!A159:J159)&gt;0,IF(LEN('01_orders_raw'!B159&amp;"")=0,"SKIP",IF(OR(NOT(ISNUMBER('01_orders_raw'!B159)),'01_orders_raw'!B159&lt;=0,'01_orders_raw'!B159&gt;'09_parameters'!$B$2),"ERROR","OK")),"")</x:f>
        <x:v>OK</x:v>
      </x:c>
      <x:c r="I159" s="2" t="str">
        <x:f>IF(COUNTA('01_orders_raw'!A159:J159)&gt;0,IF(LEN('01_orders_raw'!J159&amp;"")=0,"SKIP",IF(AND('01_orders_raw'!J159&lt;&gt;"Выполнен",'01_orders_raw'!J159&lt;&gt;"В работе",'01_orders_raw'!J159&lt;&gt;"Отменен",'01_orders_raw'!J159&lt;&gt;"Ожидает оплаты"),"ERROR","OK")),"")</x:f>
        <x:v>OK</x:v>
      </x:c>
      <x:c r="J159" s="2" t="n">
        <x:f>COUNTIF(C159:I159,"ERROR")</x:f>
        <x:v>0</x:v>
      </x:c>
      <x:c r="K159" s="2" t="n">
        <x:f>IF(COUNTA('01_orders_raw'!A159:J159)&gt;0,159,"")</x:f>
        <x:v>159</x:v>
      </x:c>
    </x:row>
    <x:row r="160">
      <x:c r="A160" s="2" t="str">
        <x:f>IF(COUNTA('01_orders_raw'!A160:J160)&gt;0,"Order","")</x:f>
        <x:v>Order</x:v>
      </x:c>
      <x:c r="B160" s="2" t="n">
        <x:f>IF(COUNTA('01_orders_raw'!A160:J160)&gt;0,'01_orders_raw'!A160,"")</x:f>
        <x:v>1159</x:v>
      </x:c>
      <x:c r="C160" s="2" t="str">
        <x:f>IF(COUNTA('01_orders_raw'!A160:J160)&gt;0,IF(AND(LEN('01_orders_raw'!A160&amp;"")&gt;0,COUNTIF('01_orders_raw'!$A$2:$A$181,'01_orders_raw'!A160)&gt;1),"ERROR","OK"),"")</x:f>
        <x:v>OK</x:v>
      </x:c>
      <x:c r="D160" s="2" t="str">
        <x:f>IF(COUNTA('01_orders_raw'!A160:J160)&gt;0,IF(OR(LEN('01_orders_raw'!A160&amp;"")=0,LEN('01_orders_raw'!B160&amp;"")=0,LEN('01_orders_raw'!C160&amp;"")=0,LEN('01_orders_raw'!D160&amp;"")=0,LEN('01_orders_raw'!E160&amp;"")=0,LEN('01_orders_raw'!F160&amp;"")=0,LEN('01_orders_raw'!G160&amp;"")=0,LEN('01_orders_raw'!H160&amp;"")=0,LEN('01_orders_raw'!I160&amp;"")=0,LEN('01_orders_raw'!J160&amp;"")=0),"ERROR","OK"),"")</x:f>
        <x:v>OK</x:v>
      </x:c>
      <x:c r="E160" s="2" t="str">
        <x:f>IF(COUNTA('01_orders_raw'!A160:J160)&gt;0,IF(LEN('01_orders_raw'!C160&amp;"")=0,"SKIP",IF(COUNTIF('02_clients_raw'!$A$2:$A$67,'01_orders_raw'!C160)&lt;&gt;1,"ERROR","OK")),"")</x:f>
        <x:v>OK</x:v>
      </x:c>
      <x:c r="F160" s="2" t="str">
        <x:f>IF(COUNTA('01_orders_raw'!A160:J160)&gt;0,IF(OR(LEN('01_orders_raw'!G160&amp;"")=0,LEN('01_orders_raw'!H160&amp;"")=0,LEN('01_orders_raw'!I160&amp;"")=0),"SKIP",IF(AND(ISNUMBER('01_orders_raw'!G160),ISNUMBER('01_orders_raw'!H160),ISNUMBER('01_orders_raw'!I160)),IF(OR('01_orders_raw'!G160&lt;=0,MOD('01_orders_raw'!G160,1)&lt;&gt;0,ABS('01_orders_raw'!I160-'01_orders_raw'!G160*'01_orders_raw'!H160)&gt;'09_parameters'!$B$3),"ERROR","OK"),"ERROR")),"")</x:f>
        <x:v>OK</x:v>
      </x:c>
      <x:c r="G160" s="2" t="str">
        <x:f>IF(COUNTA('01_orders_raw'!A160:J160)&gt;0,IF(LEN('01_orders_raw'!H160&amp;"")=0,"SKIP",IF('01_orders_raw'!H160&lt;0,"ERROR","OK")),"")</x:f>
        <x:v>OK</x:v>
      </x:c>
      <x:c r="H160" s="2" t="str">
        <x:f>IF(COUNTA('01_orders_raw'!A160:J160)&gt;0,IF(LEN('01_orders_raw'!B160&amp;"")=0,"SKIP",IF(OR(NOT(ISNUMBER('01_orders_raw'!B160)),'01_orders_raw'!B160&lt;=0,'01_orders_raw'!B160&gt;'09_parameters'!$B$2),"ERROR","OK")),"")</x:f>
        <x:v>OK</x:v>
      </x:c>
      <x:c r="I160" s="2" t="str">
        <x:f>IF(COUNTA('01_orders_raw'!A160:J160)&gt;0,IF(LEN('01_orders_raw'!J160&amp;"")=0,"SKIP",IF(AND('01_orders_raw'!J160&lt;&gt;"Выполнен",'01_orders_raw'!J160&lt;&gt;"В работе",'01_orders_raw'!J160&lt;&gt;"Отменен",'01_orders_raw'!J160&lt;&gt;"Ожидает оплаты"),"ERROR","OK")),"")</x:f>
        <x:v>OK</x:v>
      </x:c>
      <x:c r="J160" s="2" t="n">
        <x:f>COUNTIF(C160:I160,"ERROR")</x:f>
        <x:v>0</x:v>
      </x:c>
      <x:c r="K160" s="2" t="n">
        <x:f>IF(COUNTA('01_orders_raw'!A160:J160)&gt;0,160,"")</x:f>
        <x:v>160</x:v>
      </x:c>
    </x:row>
    <x:row r="161">
      <x:c r="A161" s="2" t="str">
        <x:f>IF(COUNTA('01_orders_raw'!A161:J161)&gt;0,"Order","")</x:f>
        <x:v>Order</x:v>
      </x:c>
      <x:c r="B161" s="2" t="n">
        <x:f>IF(COUNTA('01_orders_raw'!A161:J161)&gt;0,'01_orders_raw'!A161,"")</x:f>
        <x:v>1160</x:v>
      </x:c>
      <x:c r="C161" s="2" t="str">
        <x:f>IF(COUNTA('01_orders_raw'!A161:J161)&gt;0,IF(AND(LEN('01_orders_raw'!A161&amp;"")&gt;0,COUNTIF('01_orders_raw'!$A$2:$A$181,'01_orders_raw'!A161)&gt;1),"ERROR","OK"),"")</x:f>
        <x:v>OK</x:v>
      </x:c>
      <x:c r="D161" s="2" t="str">
        <x:f>IF(COUNTA('01_orders_raw'!A161:J161)&gt;0,IF(OR(LEN('01_orders_raw'!A161&amp;"")=0,LEN('01_orders_raw'!B161&amp;"")=0,LEN('01_orders_raw'!C161&amp;"")=0,LEN('01_orders_raw'!D161&amp;"")=0,LEN('01_orders_raw'!E161&amp;"")=0,LEN('01_orders_raw'!F161&amp;"")=0,LEN('01_orders_raw'!G161&amp;"")=0,LEN('01_orders_raw'!H161&amp;"")=0,LEN('01_orders_raw'!I161&amp;"")=0,LEN('01_orders_raw'!J161&amp;"")=0),"ERROR","OK"),"")</x:f>
        <x:v>OK</x:v>
      </x:c>
      <x:c r="E161" s="2" t="str">
        <x:f>IF(COUNTA('01_orders_raw'!A161:J161)&gt;0,IF(LEN('01_orders_raw'!C161&amp;"")=0,"SKIP",IF(COUNTIF('02_clients_raw'!$A$2:$A$67,'01_orders_raw'!C161)&lt;&gt;1,"ERROR","OK")),"")</x:f>
        <x:v>OK</x:v>
      </x:c>
      <x:c r="F161" s="2" t="str">
        <x:f>IF(COUNTA('01_orders_raw'!A161:J161)&gt;0,IF(OR(LEN('01_orders_raw'!G161&amp;"")=0,LEN('01_orders_raw'!H161&amp;"")=0,LEN('01_orders_raw'!I161&amp;"")=0),"SKIP",IF(AND(ISNUMBER('01_orders_raw'!G161),ISNUMBER('01_orders_raw'!H161),ISNUMBER('01_orders_raw'!I161)),IF(OR('01_orders_raw'!G161&lt;=0,MOD('01_orders_raw'!G161,1)&lt;&gt;0,ABS('01_orders_raw'!I161-'01_orders_raw'!G161*'01_orders_raw'!H161)&gt;'09_parameters'!$B$3),"ERROR","OK"),"ERROR")),"")</x:f>
        <x:v>OK</x:v>
      </x:c>
      <x:c r="G161" s="2" t="str">
        <x:f>IF(COUNTA('01_orders_raw'!A161:J161)&gt;0,IF(LEN('01_orders_raw'!H161&amp;"")=0,"SKIP",IF('01_orders_raw'!H161&lt;0,"ERROR","OK")),"")</x:f>
        <x:v>OK</x:v>
      </x:c>
      <x:c r="H161" s="2" t="str">
        <x:f>IF(COUNTA('01_orders_raw'!A161:J161)&gt;0,IF(LEN('01_orders_raw'!B161&amp;"")=0,"SKIP",IF(OR(NOT(ISNUMBER('01_orders_raw'!B161)),'01_orders_raw'!B161&lt;=0,'01_orders_raw'!B161&gt;'09_parameters'!$B$2),"ERROR","OK")),"")</x:f>
        <x:v>OK</x:v>
      </x:c>
      <x:c r="I161" s="2" t="str">
        <x:f>IF(COUNTA('01_orders_raw'!A161:J161)&gt;0,IF(LEN('01_orders_raw'!J161&amp;"")=0,"SKIP",IF(AND('01_orders_raw'!J161&lt;&gt;"Выполнен",'01_orders_raw'!J161&lt;&gt;"В работе",'01_orders_raw'!J161&lt;&gt;"Отменен",'01_orders_raw'!J161&lt;&gt;"Ожидает оплаты"),"ERROR","OK")),"")</x:f>
        <x:v>OK</x:v>
      </x:c>
      <x:c r="J161" s="2" t="n">
        <x:f>COUNTIF(C161:I161,"ERROR")</x:f>
        <x:v>0</x:v>
      </x:c>
      <x:c r="K161" s="2" t="n">
        <x:f>IF(COUNTA('01_orders_raw'!A161:J161)&gt;0,161,"")</x:f>
        <x:v>161</x:v>
      </x:c>
    </x:row>
    <x:row r="162">
      <x:c r="A162" s="2" t="str">
        <x:f>IF(COUNTA('01_orders_raw'!A162:J162)&gt;0,"Order","")</x:f>
      </x:c>
      <x:c r="B162" s="2" t="str">
        <x:f>IF(COUNTA('01_orders_raw'!A162:J162)&gt;0,'01_orders_raw'!A162,"")</x:f>
      </x:c>
      <x:c r="C162" s="2" t="str">
        <x:f>IF(COUNTA('01_orders_raw'!A162:J162)&gt;0,IF(AND(LEN('01_orders_raw'!A162&amp;"")&gt;0,COUNTIF('01_orders_raw'!$A$2:$A$181,'01_orders_raw'!A162)&gt;1),"ERROR","OK"),"")</x:f>
      </x:c>
      <x:c r="D162" s="2" t="str">
        <x:f>IF(COUNTA('01_orders_raw'!A162:J162)&gt;0,IF(OR(LEN('01_orders_raw'!A162&amp;"")=0,LEN('01_orders_raw'!B162&amp;"")=0,LEN('01_orders_raw'!C162&amp;"")=0,LEN('01_orders_raw'!D162&amp;"")=0,LEN('01_orders_raw'!E162&amp;"")=0,LEN('01_orders_raw'!F162&amp;"")=0,LEN('01_orders_raw'!G162&amp;"")=0,LEN('01_orders_raw'!H162&amp;"")=0,LEN('01_orders_raw'!I162&amp;"")=0,LEN('01_orders_raw'!J162&amp;"")=0),"ERROR","OK"),"")</x:f>
      </x:c>
      <x:c r="E162" s="2" t="str">
        <x:f>IF(COUNTA('01_orders_raw'!A162:J162)&gt;0,IF(LEN('01_orders_raw'!C162&amp;"")=0,"SKIP",IF(COUNTIF('02_clients_raw'!$A$2:$A$67,'01_orders_raw'!C162)&lt;&gt;1,"ERROR","OK")),"")</x:f>
      </x:c>
      <x:c r="F162" s="2" t="str">
        <x:f>IF(COUNTA('01_orders_raw'!A162:J162)&gt;0,IF(OR(LEN('01_orders_raw'!G162&amp;"")=0,LEN('01_orders_raw'!H162&amp;"")=0,LEN('01_orders_raw'!I162&amp;"")=0),"SKIP",IF(AND(ISNUMBER('01_orders_raw'!G162),ISNUMBER('01_orders_raw'!H162),ISNUMBER('01_orders_raw'!I162)),IF(OR('01_orders_raw'!G162&lt;=0,MOD('01_orders_raw'!G162,1)&lt;&gt;0,ABS('01_orders_raw'!I162-'01_orders_raw'!G162*'01_orders_raw'!H162)&gt;'09_parameters'!$B$3),"ERROR","OK"),"ERROR")),"")</x:f>
      </x:c>
      <x:c r="G162" s="2" t="str">
        <x:f>IF(COUNTA('01_orders_raw'!A162:J162)&gt;0,IF(LEN('01_orders_raw'!H162&amp;"")=0,"SKIP",IF('01_orders_raw'!H162&lt;0,"ERROR","OK")),"")</x:f>
      </x:c>
      <x:c r="H162" s="2" t="str">
        <x:f>IF(COUNTA('01_orders_raw'!A162:J162)&gt;0,IF(LEN('01_orders_raw'!B162&amp;"")=0,"SKIP",IF(OR(NOT(ISNUMBER('01_orders_raw'!B162)),'01_orders_raw'!B162&lt;=0,'01_orders_raw'!B162&gt;'09_parameters'!$B$2),"ERROR","OK")),"")</x:f>
      </x:c>
      <x:c r="I162" s="2" t="str">
        <x:f>IF(COUNTA('01_orders_raw'!A162:J162)&gt;0,IF(LEN('01_orders_raw'!J162&amp;"")=0,"SKIP",IF(AND('01_orders_raw'!J162&lt;&gt;"Выполнен",'01_orders_raw'!J162&lt;&gt;"В работе",'01_orders_raw'!J162&lt;&gt;"Отменен",'01_orders_raw'!J162&lt;&gt;"Ожидает оплаты"),"ERROR","OK")),"")</x:f>
      </x:c>
      <x:c r="J162" s="2" t="n">
        <x:f>COUNTIF(C162:I162,"ERROR")</x:f>
        <x:v>0</x:v>
      </x:c>
      <x:c r="K162" s="2" t="str">
        <x:f>IF(COUNTA('01_orders_raw'!A162:J162)&gt;0,162,"")</x:f>
      </x:c>
    </x:row>
    <x:row r="163">
      <x:c r="A163" s="2" t="str">
        <x:f>IF(COUNTA('01_orders_raw'!A163:J163)&gt;0,"Order","")</x:f>
      </x:c>
      <x:c r="B163" s="2" t="str">
        <x:f>IF(COUNTA('01_orders_raw'!A163:J163)&gt;0,'01_orders_raw'!A163,"")</x:f>
      </x:c>
      <x:c r="C163" s="2" t="str">
        <x:f>IF(COUNTA('01_orders_raw'!A163:J163)&gt;0,IF(AND(LEN('01_orders_raw'!A163&amp;"")&gt;0,COUNTIF('01_orders_raw'!$A$2:$A$181,'01_orders_raw'!A163)&gt;1),"ERROR","OK"),"")</x:f>
      </x:c>
      <x:c r="D163" s="2" t="str">
        <x:f>IF(COUNTA('01_orders_raw'!A163:J163)&gt;0,IF(OR(LEN('01_orders_raw'!A163&amp;"")=0,LEN('01_orders_raw'!B163&amp;"")=0,LEN('01_orders_raw'!C163&amp;"")=0,LEN('01_orders_raw'!D163&amp;"")=0,LEN('01_orders_raw'!E163&amp;"")=0,LEN('01_orders_raw'!F163&amp;"")=0,LEN('01_orders_raw'!G163&amp;"")=0,LEN('01_orders_raw'!H163&amp;"")=0,LEN('01_orders_raw'!I163&amp;"")=0,LEN('01_orders_raw'!J163&amp;"")=0),"ERROR","OK"),"")</x:f>
      </x:c>
      <x:c r="E163" s="2" t="str">
        <x:f>IF(COUNTA('01_orders_raw'!A163:J163)&gt;0,IF(LEN('01_orders_raw'!C163&amp;"")=0,"SKIP",IF(COUNTIF('02_clients_raw'!$A$2:$A$67,'01_orders_raw'!C163)&lt;&gt;1,"ERROR","OK")),"")</x:f>
      </x:c>
      <x:c r="F163" s="2" t="str">
        <x:f>IF(COUNTA('01_orders_raw'!A163:J163)&gt;0,IF(OR(LEN('01_orders_raw'!G163&amp;"")=0,LEN('01_orders_raw'!H163&amp;"")=0,LEN('01_orders_raw'!I163&amp;"")=0),"SKIP",IF(AND(ISNUMBER('01_orders_raw'!G163),ISNUMBER('01_orders_raw'!H163),ISNUMBER('01_orders_raw'!I163)),IF(OR('01_orders_raw'!G163&lt;=0,MOD('01_orders_raw'!G163,1)&lt;&gt;0,ABS('01_orders_raw'!I163-'01_orders_raw'!G163*'01_orders_raw'!H163)&gt;'09_parameters'!$B$3),"ERROR","OK"),"ERROR")),"")</x:f>
      </x:c>
      <x:c r="G163" s="2" t="str">
        <x:f>IF(COUNTA('01_orders_raw'!A163:J163)&gt;0,IF(LEN('01_orders_raw'!H163&amp;"")=0,"SKIP",IF('01_orders_raw'!H163&lt;0,"ERROR","OK")),"")</x:f>
      </x:c>
      <x:c r="H163" s="2" t="str">
        <x:f>IF(COUNTA('01_orders_raw'!A163:J163)&gt;0,IF(LEN('01_orders_raw'!B163&amp;"")=0,"SKIP",IF(OR(NOT(ISNUMBER('01_orders_raw'!B163)),'01_orders_raw'!B163&lt;=0,'01_orders_raw'!B163&gt;'09_parameters'!$B$2),"ERROR","OK")),"")</x:f>
      </x:c>
      <x:c r="I163" s="2" t="str">
        <x:f>IF(COUNTA('01_orders_raw'!A163:J163)&gt;0,IF(LEN('01_orders_raw'!J163&amp;"")=0,"SKIP",IF(AND('01_orders_raw'!J163&lt;&gt;"Выполнен",'01_orders_raw'!J163&lt;&gt;"В работе",'01_orders_raw'!J163&lt;&gt;"Отменен",'01_orders_raw'!J163&lt;&gt;"Ожидает оплаты"),"ERROR","OK")),"")</x:f>
      </x:c>
      <x:c r="J163" s="2" t="n">
        <x:f>COUNTIF(C163:I163,"ERROR")</x:f>
        <x:v>0</x:v>
      </x:c>
      <x:c r="K163" s="2" t="str">
        <x:f>IF(COUNTA('01_orders_raw'!A163:J163)&gt;0,163,"")</x:f>
      </x:c>
    </x:row>
    <x:row r="164">
      <x:c r="A164" s="2" t="str">
        <x:f>IF(COUNTA('01_orders_raw'!A164:J164)&gt;0,"Order","")</x:f>
      </x:c>
      <x:c r="B164" s="2" t="str">
        <x:f>IF(COUNTA('01_orders_raw'!A164:J164)&gt;0,'01_orders_raw'!A164,"")</x:f>
      </x:c>
      <x:c r="C164" s="2" t="str">
        <x:f>IF(COUNTA('01_orders_raw'!A164:J164)&gt;0,IF(AND(LEN('01_orders_raw'!A164&amp;"")&gt;0,COUNTIF('01_orders_raw'!$A$2:$A$181,'01_orders_raw'!A164)&gt;1),"ERROR","OK"),"")</x:f>
      </x:c>
      <x:c r="D164" s="2" t="str">
        <x:f>IF(COUNTA('01_orders_raw'!A164:J164)&gt;0,IF(OR(LEN('01_orders_raw'!A164&amp;"")=0,LEN('01_orders_raw'!B164&amp;"")=0,LEN('01_orders_raw'!C164&amp;"")=0,LEN('01_orders_raw'!D164&amp;"")=0,LEN('01_orders_raw'!E164&amp;"")=0,LEN('01_orders_raw'!F164&amp;"")=0,LEN('01_orders_raw'!G164&amp;"")=0,LEN('01_orders_raw'!H164&amp;"")=0,LEN('01_orders_raw'!I164&amp;"")=0,LEN('01_orders_raw'!J164&amp;"")=0),"ERROR","OK"),"")</x:f>
      </x:c>
      <x:c r="E164" s="2" t="str">
        <x:f>IF(COUNTA('01_orders_raw'!A164:J164)&gt;0,IF(LEN('01_orders_raw'!C164&amp;"")=0,"SKIP",IF(COUNTIF('02_clients_raw'!$A$2:$A$67,'01_orders_raw'!C164)&lt;&gt;1,"ERROR","OK")),"")</x:f>
      </x:c>
      <x:c r="F164" s="2" t="str">
        <x:f>IF(COUNTA('01_orders_raw'!A164:J164)&gt;0,IF(OR(LEN('01_orders_raw'!G164&amp;"")=0,LEN('01_orders_raw'!H164&amp;"")=0,LEN('01_orders_raw'!I164&amp;"")=0),"SKIP",IF(AND(ISNUMBER('01_orders_raw'!G164),ISNUMBER('01_orders_raw'!H164),ISNUMBER('01_orders_raw'!I164)),IF(OR('01_orders_raw'!G164&lt;=0,MOD('01_orders_raw'!G164,1)&lt;&gt;0,ABS('01_orders_raw'!I164-'01_orders_raw'!G164*'01_orders_raw'!H164)&gt;'09_parameters'!$B$3),"ERROR","OK"),"ERROR")),"")</x:f>
      </x:c>
      <x:c r="G164" s="2" t="str">
        <x:f>IF(COUNTA('01_orders_raw'!A164:J164)&gt;0,IF(LEN('01_orders_raw'!H164&amp;"")=0,"SKIP",IF('01_orders_raw'!H164&lt;0,"ERROR","OK")),"")</x:f>
      </x:c>
      <x:c r="H164" s="2" t="str">
        <x:f>IF(COUNTA('01_orders_raw'!A164:J164)&gt;0,IF(LEN('01_orders_raw'!B164&amp;"")=0,"SKIP",IF(OR(NOT(ISNUMBER('01_orders_raw'!B164)),'01_orders_raw'!B164&lt;=0,'01_orders_raw'!B164&gt;'09_parameters'!$B$2),"ERROR","OK")),"")</x:f>
      </x:c>
      <x:c r="I164" s="2" t="str">
        <x:f>IF(COUNTA('01_orders_raw'!A164:J164)&gt;0,IF(LEN('01_orders_raw'!J164&amp;"")=0,"SKIP",IF(AND('01_orders_raw'!J164&lt;&gt;"Выполнен",'01_orders_raw'!J164&lt;&gt;"В работе",'01_orders_raw'!J164&lt;&gt;"Отменен",'01_orders_raw'!J164&lt;&gt;"Ожидает оплаты"),"ERROR","OK")),"")</x:f>
      </x:c>
      <x:c r="J164" s="2" t="n">
        <x:f>COUNTIF(C164:I164,"ERROR")</x:f>
        <x:v>0</x:v>
      </x:c>
      <x:c r="K164" s="2" t="str">
        <x:f>IF(COUNTA('01_orders_raw'!A164:J164)&gt;0,164,"")</x:f>
      </x:c>
    </x:row>
    <x:row r="165">
      <x:c r="A165" s="2" t="str">
        <x:f>IF(COUNTA('01_orders_raw'!A165:J165)&gt;0,"Order","")</x:f>
      </x:c>
      <x:c r="B165" s="2" t="str">
        <x:f>IF(COUNTA('01_orders_raw'!A165:J165)&gt;0,'01_orders_raw'!A165,"")</x:f>
      </x:c>
      <x:c r="C165" s="2" t="str">
        <x:f>IF(COUNTA('01_orders_raw'!A165:J165)&gt;0,IF(AND(LEN('01_orders_raw'!A165&amp;"")&gt;0,COUNTIF('01_orders_raw'!$A$2:$A$181,'01_orders_raw'!A165)&gt;1),"ERROR","OK"),"")</x:f>
      </x:c>
      <x:c r="D165" s="2" t="str">
        <x:f>IF(COUNTA('01_orders_raw'!A165:J165)&gt;0,IF(OR(LEN('01_orders_raw'!A165&amp;"")=0,LEN('01_orders_raw'!B165&amp;"")=0,LEN('01_orders_raw'!C165&amp;"")=0,LEN('01_orders_raw'!D165&amp;"")=0,LEN('01_orders_raw'!E165&amp;"")=0,LEN('01_orders_raw'!F165&amp;"")=0,LEN('01_orders_raw'!G165&amp;"")=0,LEN('01_orders_raw'!H165&amp;"")=0,LEN('01_orders_raw'!I165&amp;"")=0,LEN('01_orders_raw'!J165&amp;"")=0),"ERROR","OK"),"")</x:f>
      </x:c>
      <x:c r="E165" s="2" t="str">
        <x:f>IF(COUNTA('01_orders_raw'!A165:J165)&gt;0,IF(LEN('01_orders_raw'!C165&amp;"")=0,"SKIP",IF(COUNTIF('02_clients_raw'!$A$2:$A$67,'01_orders_raw'!C165)&lt;&gt;1,"ERROR","OK")),"")</x:f>
      </x:c>
      <x:c r="F165" s="2" t="str">
        <x:f>IF(COUNTA('01_orders_raw'!A165:J165)&gt;0,IF(OR(LEN('01_orders_raw'!G165&amp;"")=0,LEN('01_orders_raw'!H165&amp;"")=0,LEN('01_orders_raw'!I165&amp;"")=0),"SKIP",IF(AND(ISNUMBER('01_orders_raw'!G165),ISNUMBER('01_orders_raw'!H165),ISNUMBER('01_orders_raw'!I165)),IF(OR('01_orders_raw'!G165&lt;=0,MOD('01_orders_raw'!G165,1)&lt;&gt;0,ABS('01_orders_raw'!I165-'01_orders_raw'!G165*'01_orders_raw'!H165)&gt;'09_parameters'!$B$3),"ERROR","OK"),"ERROR")),"")</x:f>
      </x:c>
      <x:c r="G165" s="2" t="str">
        <x:f>IF(COUNTA('01_orders_raw'!A165:J165)&gt;0,IF(LEN('01_orders_raw'!H165&amp;"")=0,"SKIP",IF('01_orders_raw'!H165&lt;0,"ERROR","OK")),"")</x:f>
      </x:c>
      <x:c r="H165" s="2" t="str">
        <x:f>IF(COUNTA('01_orders_raw'!A165:J165)&gt;0,IF(LEN('01_orders_raw'!B165&amp;"")=0,"SKIP",IF(OR(NOT(ISNUMBER('01_orders_raw'!B165)),'01_orders_raw'!B165&lt;=0,'01_orders_raw'!B165&gt;'09_parameters'!$B$2),"ERROR","OK")),"")</x:f>
      </x:c>
      <x:c r="I165" s="2" t="str">
        <x:f>IF(COUNTA('01_orders_raw'!A165:J165)&gt;0,IF(LEN('01_orders_raw'!J165&amp;"")=0,"SKIP",IF(AND('01_orders_raw'!J165&lt;&gt;"Выполнен",'01_orders_raw'!J165&lt;&gt;"В работе",'01_orders_raw'!J165&lt;&gt;"Отменен",'01_orders_raw'!J165&lt;&gt;"Ожидает оплаты"),"ERROR","OK")),"")</x:f>
      </x:c>
      <x:c r="J165" s="2" t="n">
        <x:f>COUNTIF(C165:I165,"ERROR")</x:f>
        <x:v>0</x:v>
      </x:c>
      <x:c r="K165" s="2" t="str">
        <x:f>IF(COUNTA('01_orders_raw'!A165:J165)&gt;0,165,"")</x:f>
      </x:c>
    </x:row>
    <x:row r="166">
      <x:c r="A166" s="2" t="str">
        <x:f>IF(COUNTA('01_orders_raw'!A166:J166)&gt;0,"Order","")</x:f>
      </x:c>
      <x:c r="B166" s="2" t="str">
        <x:f>IF(COUNTA('01_orders_raw'!A166:J166)&gt;0,'01_orders_raw'!A166,"")</x:f>
      </x:c>
      <x:c r="C166" s="2" t="str">
        <x:f>IF(COUNTA('01_orders_raw'!A166:J166)&gt;0,IF(AND(LEN('01_orders_raw'!A166&amp;"")&gt;0,COUNTIF('01_orders_raw'!$A$2:$A$181,'01_orders_raw'!A166)&gt;1),"ERROR","OK"),"")</x:f>
      </x:c>
      <x:c r="D166" s="2" t="str">
        <x:f>IF(COUNTA('01_orders_raw'!A166:J166)&gt;0,IF(OR(LEN('01_orders_raw'!A166&amp;"")=0,LEN('01_orders_raw'!B166&amp;"")=0,LEN('01_orders_raw'!C166&amp;"")=0,LEN('01_orders_raw'!D166&amp;"")=0,LEN('01_orders_raw'!E166&amp;"")=0,LEN('01_orders_raw'!F166&amp;"")=0,LEN('01_orders_raw'!G166&amp;"")=0,LEN('01_orders_raw'!H166&amp;"")=0,LEN('01_orders_raw'!I166&amp;"")=0,LEN('01_orders_raw'!J166&amp;"")=0),"ERROR","OK"),"")</x:f>
      </x:c>
      <x:c r="E166" s="2" t="str">
        <x:f>IF(COUNTA('01_orders_raw'!A166:J166)&gt;0,IF(LEN('01_orders_raw'!C166&amp;"")=0,"SKIP",IF(COUNTIF('02_clients_raw'!$A$2:$A$67,'01_orders_raw'!C166)&lt;&gt;1,"ERROR","OK")),"")</x:f>
      </x:c>
      <x:c r="F166" s="2" t="str">
        <x:f>IF(COUNTA('01_orders_raw'!A166:J166)&gt;0,IF(OR(LEN('01_orders_raw'!G166&amp;"")=0,LEN('01_orders_raw'!H166&amp;"")=0,LEN('01_orders_raw'!I166&amp;"")=0),"SKIP",IF(AND(ISNUMBER('01_orders_raw'!G166),ISNUMBER('01_orders_raw'!H166),ISNUMBER('01_orders_raw'!I166)),IF(OR('01_orders_raw'!G166&lt;=0,MOD('01_orders_raw'!G166,1)&lt;&gt;0,ABS('01_orders_raw'!I166-'01_orders_raw'!G166*'01_orders_raw'!H166)&gt;'09_parameters'!$B$3),"ERROR","OK"),"ERROR")),"")</x:f>
      </x:c>
      <x:c r="G166" s="2" t="str">
        <x:f>IF(COUNTA('01_orders_raw'!A166:J166)&gt;0,IF(LEN('01_orders_raw'!H166&amp;"")=0,"SKIP",IF('01_orders_raw'!H166&lt;0,"ERROR","OK")),"")</x:f>
      </x:c>
      <x:c r="H166" s="2" t="str">
        <x:f>IF(COUNTA('01_orders_raw'!A166:J166)&gt;0,IF(LEN('01_orders_raw'!B166&amp;"")=0,"SKIP",IF(OR(NOT(ISNUMBER('01_orders_raw'!B166)),'01_orders_raw'!B166&lt;=0,'01_orders_raw'!B166&gt;'09_parameters'!$B$2),"ERROR","OK")),"")</x:f>
      </x:c>
      <x:c r="I166" s="2" t="str">
        <x:f>IF(COUNTA('01_orders_raw'!A166:J166)&gt;0,IF(LEN('01_orders_raw'!J166&amp;"")=0,"SKIP",IF(AND('01_orders_raw'!J166&lt;&gt;"Выполнен",'01_orders_raw'!J166&lt;&gt;"В работе",'01_orders_raw'!J166&lt;&gt;"Отменен",'01_orders_raw'!J166&lt;&gt;"Ожидает оплаты"),"ERROR","OK")),"")</x:f>
      </x:c>
      <x:c r="J166" s="2" t="n">
        <x:f>COUNTIF(C166:I166,"ERROR")</x:f>
        <x:v>0</x:v>
      </x:c>
      <x:c r="K166" s="2" t="str">
        <x:f>IF(COUNTA('01_orders_raw'!A166:J166)&gt;0,166,"")</x:f>
      </x:c>
    </x:row>
    <x:row r="167">
      <x:c r="A167" s="2" t="str">
        <x:f>IF(COUNTA('01_orders_raw'!A167:J167)&gt;0,"Order","")</x:f>
      </x:c>
      <x:c r="B167" s="2" t="str">
        <x:f>IF(COUNTA('01_orders_raw'!A167:J167)&gt;0,'01_orders_raw'!A167,"")</x:f>
      </x:c>
      <x:c r="C167" s="2" t="str">
        <x:f>IF(COUNTA('01_orders_raw'!A167:J167)&gt;0,IF(AND(LEN('01_orders_raw'!A167&amp;"")&gt;0,COUNTIF('01_orders_raw'!$A$2:$A$181,'01_orders_raw'!A167)&gt;1),"ERROR","OK"),"")</x:f>
      </x:c>
      <x:c r="D167" s="2" t="str">
        <x:f>IF(COUNTA('01_orders_raw'!A167:J167)&gt;0,IF(OR(LEN('01_orders_raw'!A167&amp;"")=0,LEN('01_orders_raw'!B167&amp;"")=0,LEN('01_orders_raw'!C167&amp;"")=0,LEN('01_orders_raw'!D167&amp;"")=0,LEN('01_orders_raw'!E167&amp;"")=0,LEN('01_orders_raw'!F167&amp;"")=0,LEN('01_orders_raw'!G167&amp;"")=0,LEN('01_orders_raw'!H167&amp;"")=0,LEN('01_orders_raw'!I167&amp;"")=0,LEN('01_orders_raw'!J167&amp;"")=0),"ERROR","OK"),"")</x:f>
      </x:c>
      <x:c r="E167" s="2" t="str">
        <x:f>IF(COUNTA('01_orders_raw'!A167:J167)&gt;0,IF(LEN('01_orders_raw'!C167&amp;"")=0,"SKIP",IF(COUNTIF('02_clients_raw'!$A$2:$A$67,'01_orders_raw'!C167)&lt;&gt;1,"ERROR","OK")),"")</x:f>
      </x:c>
      <x:c r="F167" s="2" t="str">
        <x:f>IF(COUNTA('01_orders_raw'!A167:J167)&gt;0,IF(OR(LEN('01_orders_raw'!G167&amp;"")=0,LEN('01_orders_raw'!H167&amp;"")=0,LEN('01_orders_raw'!I167&amp;"")=0),"SKIP",IF(AND(ISNUMBER('01_orders_raw'!G167),ISNUMBER('01_orders_raw'!H167),ISNUMBER('01_orders_raw'!I167)),IF(OR('01_orders_raw'!G167&lt;=0,MOD('01_orders_raw'!G167,1)&lt;&gt;0,ABS('01_orders_raw'!I167-'01_orders_raw'!G167*'01_orders_raw'!H167)&gt;'09_parameters'!$B$3),"ERROR","OK"),"ERROR")),"")</x:f>
      </x:c>
      <x:c r="G167" s="2" t="str">
        <x:f>IF(COUNTA('01_orders_raw'!A167:J167)&gt;0,IF(LEN('01_orders_raw'!H167&amp;"")=0,"SKIP",IF('01_orders_raw'!H167&lt;0,"ERROR","OK")),"")</x:f>
      </x:c>
      <x:c r="H167" s="2" t="str">
        <x:f>IF(COUNTA('01_orders_raw'!A167:J167)&gt;0,IF(LEN('01_orders_raw'!B167&amp;"")=0,"SKIP",IF(OR(NOT(ISNUMBER('01_orders_raw'!B167)),'01_orders_raw'!B167&lt;=0,'01_orders_raw'!B167&gt;'09_parameters'!$B$2),"ERROR","OK")),"")</x:f>
      </x:c>
      <x:c r="I167" s="2" t="str">
        <x:f>IF(COUNTA('01_orders_raw'!A167:J167)&gt;0,IF(LEN('01_orders_raw'!J167&amp;"")=0,"SKIP",IF(AND('01_orders_raw'!J167&lt;&gt;"Выполнен",'01_orders_raw'!J167&lt;&gt;"В работе",'01_orders_raw'!J167&lt;&gt;"Отменен",'01_orders_raw'!J167&lt;&gt;"Ожидает оплаты"),"ERROR","OK")),"")</x:f>
      </x:c>
      <x:c r="J167" s="2" t="n">
        <x:f>COUNTIF(C167:I167,"ERROR")</x:f>
        <x:v>0</x:v>
      </x:c>
      <x:c r="K167" s="2" t="str">
        <x:f>IF(COUNTA('01_orders_raw'!A167:J167)&gt;0,167,"")</x:f>
      </x:c>
    </x:row>
    <x:row r="168">
      <x:c r="A168" s="2" t="str">
        <x:f>IF(COUNTA('01_orders_raw'!A168:J168)&gt;0,"Order","")</x:f>
      </x:c>
      <x:c r="B168" s="2" t="str">
        <x:f>IF(COUNTA('01_orders_raw'!A168:J168)&gt;0,'01_orders_raw'!A168,"")</x:f>
      </x:c>
      <x:c r="C168" s="2" t="str">
        <x:f>IF(COUNTA('01_orders_raw'!A168:J168)&gt;0,IF(AND(LEN('01_orders_raw'!A168&amp;"")&gt;0,COUNTIF('01_orders_raw'!$A$2:$A$181,'01_orders_raw'!A168)&gt;1),"ERROR","OK"),"")</x:f>
      </x:c>
      <x:c r="D168" s="2" t="str">
        <x:f>IF(COUNTA('01_orders_raw'!A168:J168)&gt;0,IF(OR(LEN('01_orders_raw'!A168&amp;"")=0,LEN('01_orders_raw'!B168&amp;"")=0,LEN('01_orders_raw'!C168&amp;"")=0,LEN('01_orders_raw'!D168&amp;"")=0,LEN('01_orders_raw'!E168&amp;"")=0,LEN('01_orders_raw'!F168&amp;"")=0,LEN('01_orders_raw'!G168&amp;"")=0,LEN('01_orders_raw'!H168&amp;"")=0,LEN('01_orders_raw'!I168&amp;"")=0,LEN('01_orders_raw'!J168&amp;"")=0),"ERROR","OK"),"")</x:f>
      </x:c>
      <x:c r="E168" s="2" t="str">
        <x:f>IF(COUNTA('01_orders_raw'!A168:J168)&gt;0,IF(LEN('01_orders_raw'!C168&amp;"")=0,"SKIP",IF(COUNTIF('02_clients_raw'!$A$2:$A$67,'01_orders_raw'!C168)&lt;&gt;1,"ERROR","OK")),"")</x:f>
      </x:c>
      <x:c r="F168" s="2" t="str">
        <x:f>IF(COUNTA('01_orders_raw'!A168:J168)&gt;0,IF(OR(LEN('01_orders_raw'!G168&amp;"")=0,LEN('01_orders_raw'!H168&amp;"")=0,LEN('01_orders_raw'!I168&amp;"")=0),"SKIP",IF(AND(ISNUMBER('01_orders_raw'!G168),ISNUMBER('01_orders_raw'!H168),ISNUMBER('01_orders_raw'!I168)),IF(OR('01_orders_raw'!G168&lt;=0,MOD('01_orders_raw'!G168,1)&lt;&gt;0,ABS('01_orders_raw'!I168-'01_orders_raw'!G168*'01_orders_raw'!H168)&gt;'09_parameters'!$B$3),"ERROR","OK"),"ERROR")),"")</x:f>
      </x:c>
      <x:c r="G168" s="2" t="str">
        <x:f>IF(COUNTA('01_orders_raw'!A168:J168)&gt;0,IF(LEN('01_orders_raw'!H168&amp;"")=0,"SKIP",IF('01_orders_raw'!H168&lt;0,"ERROR","OK")),"")</x:f>
      </x:c>
      <x:c r="H168" s="2" t="str">
        <x:f>IF(COUNTA('01_orders_raw'!A168:J168)&gt;0,IF(LEN('01_orders_raw'!B168&amp;"")=0,"SKIP",IF(OR(NOT(ISNUMBER('01_orders_raw'!B168)),'01_orders_raw'!B168&lt;=0,'01_orders_raw'!B168&gt;'09_parameters'!$B$2),"ERROR","OK")),"")</x:f>
      </x:c>
      <x:c r="I168" s="2" t="str">
        <x:f>IF(COUNTA('01_orders_raw'!A168:J168)&gt;0,IF(LEN('01_orders_raw'!J168&amp;"")=0,"SKIP",IF(AND('01_orders_raw'!J168&lt;&gt;"Выполнен",'01_orders_raw'!J168&lt;&gt;"В работе",'01_orders_raw'!J168&lt;&gt;"Отменен",'01_orders_raw'!J168&lt;&gt;"Ожидает оплаты"),"ERROR","OK")),"")</x:f>
      </x:c>
      <x:c r="J168" s="2" t="n">
        <x:f>COUNTIF(C168:I168,"ERROR")</x:f>
        <x:v>0</x:v>
      </x:c>
      <x:c r="K168" s="2" t="str">
        <x:f>IF(COUNTA('01_orders_raw'!A168:J168)&gt;0,168,"")</x:f>
      </x:c>
    </x:row>
    <x:row r="169">
      <x:c r="A169" s="2" t="str">
        <x:f>IF(COUNTA('01_orders_raw'!A169:J169)&gt;0,"Order","")</x:f>
      </x:c>
      <x:c r="B169" s="2" t="str">
        <x:f>IF(COUNTA('01_orders_raw'!A169:J169)&gt;0,'01_orders_raw'!A169,"")</x:f>
      </x:c>
      <x:c r="C169" s="2" t="str">
        <x:f>IF(COUNTA('01_orders_raw'!A169:J169)&gt;0,IF(AND(LEN('01_orders_raw'!A169&amp;"")&gt;0,COUNTIF('01_orders_raw'!$A$2:$A$181,'01_orders_raw'!A169)&gt;1),"ERROR","OK"),"")</x:f>
      </x:c>
      <x:c r="D169" s="2" t="str">
        <x:f>IF(COUNTA('01_orders_raw'!A169:J169)&gt;0,IF(OR(LEN('01_orders_raw'!A169&amp;"")=0,LEN('01_orders_raw'!B169&amp;"")=0,LEN('01_orders_raw'!C169&amp;"")=0,LEN('01_orders_raw'!D169&amp;"")=0,LEN('01_orders_raw'!E169&amp;"")=0,LEN('01_orders_raw'!F169&amp;"")=0,LEN('01_orders_raw'!G169&amp;"")=0,LEN('01_orders_raw'!H169&amp;"")=0,LEN('01_orders_raw'!I169&amp;"")=0,LEN('01_orders_raw'!J169&amp;"")=0),"ERROR","OK"),"")</x:f>
      </x:c>
      <x:c r="E169" s="2" t="str">
        <x:f>IF(COUNTA('01_orders_raw'!A169:J169)&gt;0,IF(LEN('01_orders_raw'!C169&amp;"")=0,"SKIP",IF(COUNTIF('02_clients_raw'!$A$2:$A$67,'01_orders_raw'!C169)&lt;&gt;1,"ERROR","OK")),"")</x:f>
      </x:c>
      <x:c r="F169" s="2" t="str">
        <x:f>IF(COUNTA('01_orders_raw'!A169:J169)&gt;0,IF(OR(LEN('01_orders_raw'!G169&amp;"")=0,LEN('01_orders_raw'!H169&amp;"")=0,LEN('01_orders_raw'!I169&amp;"")=0),"SKIP",IF(AND(ISNUMBER('01_orders_raw'!G169),ISNUMBER('01_orders_raw'!H169),ISNUMBER('01_orders_raw'!I169)),IF(OR('01_orders_raw'!G169&lt;=0,MOD('01_orders_raw'!G169,1)&lt;&gt;0,ABS('01_orders_raw'!I169-'01_orders_raw'!G169*'01_orders_raw'!H169)&gt;'09_parameters'!$B$3),"ERROR","OK"),"ERROR")),"")</x:f>
      </x:c>
      <x:c r="G169" s="2" t="str">
        <x:f>IF(COUNTA('01_orders_raw'!A169:J169)&gt;0,IF(LEN('01_orders_raw'!H169&amp;"")=0,"SKIP",IF('01_orders_raw'!H169&lt;0,"ERROR","OK")),"")</x:f>
      </x:c>
      <x:c r="H169" s="2" t="str">
        <x:f>IF(COUNTA('01_orders_raw'!A169:J169)&gt;0,IF(LEN('01_orders_raw'!B169&amp;"")=0,"SKIP",IF(OR(NOT(ISNUMBER('01_orders_raw'!B169)),'01_orders_raw'!B169&lt;=0,'01_orders_raw'!B169&gt;'09_parameters'!$B$2),"ERROR","OK")),"")</x:f>
      </x:c>
      <x:c r="I169" s="2" t="str">
        <x:f>IF(COUNTA('01_orders_raw'!A169:J169)&gt;0,IF(LEN('01_orders_raw'!J169&amp;"")=0,"SKIP",IF(AND('01_orders_raw'!J169&lt;&gt;"Выполнен",'01_orders_raw'!J169&lt;&gt;"В работе",'01_orders_raw'!J169&lt;&gt;"Отменен",'01_orders_raw'!J169&lt;&gt;"Ожидает оплаты"),"ERROR","OK")),"")</x:f>
      </x:c>
      <x:c r="J169" s="2" t="n">
        <x:f>COUNTIF(C169:I169,"ERROR")</x:f>
        <x:v>0</x:v>
      </x:c>
      <x:c r="K169" s="2" t="str">
        <x:f>IF(COUNTA('01_orders_raw'!A169:J169)&gt;0,169,"")</x:f>
      </x:c>
    </x:row>
    <x:row r="170">
      <x:c r="A170" s="2" t="str">
        <x:f>IF(COUNTA('01_orders_raw'!A170:J170)&gt;0,"Order","")</x:f>
      </x:c>
      <x:c r="B170" s="2" t="str">
        <x:f>IF(COUNTA('01_orders_raw'!A170:J170)&gt;0,'01_orders_raw'!A170,"")</x:f>
      </x:c>
      <x:c r="C170" s="2" t="str">
        <x:f>IF(COUNTA('01_orders_raw'!A170:J170)&gt;0,IF(AND(LEN('01_orders_raw'!A170&amp;"")&gt;0,COUNTIF('01_orders_raw'!$A$2:$A$181,'01_orders_raw'!A170)&gt;1),"ERROR","OK"),"")</x:f>
      </x:c>
      <x:c r="D170" s="2" t="str">
        <x:f>IF(COUNTA('01_orders_raw'!A170:J170)&gt;0,IF(OR(LEN('01_orders_raw'!A170&amp;"")=0,LEN('01_orders_raw'!B170&amp;"")=0,LEN('01_orders_raw'!C170&amp;"")=0,LEN('01_orders_raw'!D170&amp;"")=0,LEN('01_orders_raw'!E170&amp;"")=0,LEN('01_orders_raw'!F170&amp;"")=0,LEN('01_orders_raw'!G170&amp;"")=0,LEN('01_orders_raw'!H170&amp;"")=0,LEN('01_orders_raw'!I170&amp;"")=0,LEN('01_orders_raw'!J170&amp;"")=0),"ERROR","OK"),"")</x:f>
      </x:c>
      <x:c r="E170" s="2" t="str">
        <x:f>IF(COUNTA('01_orders_raw'!A170:J170)&gt;0,IF(LEN('01_orders_raw'!C170&amp;"")=0,"SKIP",IF(COUNTIF('02_clients_raw'!$A$2:$A$67,'01_orders_raw'!C170)&lt;&gt;1,"ERROR","OK")),"")</x:f>
      </x:c>
      <x:c r="F170" s="2" t="str">
        <x:f>IF(COUNTA('01_orders_raw'!A170:J170)&gt;0,IF(OR(LEN('01_orders_raw'!G170&amp;"")=0,LEN('01_orders_raw'!H170&amp;"")=0,LEN('01_orders_raw'!I170&amp;"")=0),"SKIP",IF(AND(ISNUMBER('01_orders_raw'!G170),ISNUMBER('01_orders_raw'!H170),ISNUMBER('01_orders_raw'!I170)),IF(OR('01_orders_raw'!G170&lt;=0,MOD('01_orders_raw'!G170,1)&lt;&gt;0,ABS('01_orders_raw'!I170-'01_orders_raw'!G170*'01_orders_raw'!H170)&gt;'09_parameters'!$B$3),"ERROR","OK"),"ERROR")),"")</x:f>
      </x:c>
      <x:c r="G170" s="2" t="str">
        <x:f>IF(COUNTA('01_orders_raw'!A170:J170)&gt;0,IF(LEN('01_orders_raw'!H170&amp;"")=0,"SKIP",IF('01_orders_raw'!H170&lt;0,"ERROR","OK")),"")</x:f>
      </x:c>
      <x:c r="H170" s="2" t="str">
        <x:f>IF(COUNTA('01_orders_raw'!A170:J170)&gt;0,IF(LEN('01_orders_raw'!B170&amp;"")=0,"SKIP",IF(OR(NOT(ISNUMBER('01_orders_raw'!B170)),'01_orders_raw'!B170&lt;=0,'01_orders_raw'!B170&gt;'09_parameters'!$B$2),"ERROR","OK")),"")</x:f>
      </x:c>
      <x:c r="I170" s="2" t="str">
        <x:f>IF(COUNTA('01_orders_raw'!A170:J170)&gt;0,IF(LEN('01_orders_raw'!J170&amp;"")=0,"SKIP",IF(AND('01_orders_raw'!J170&lt;&gt;"Выполнен",'01_orders_raw'!J170&lt;&gt;"В работе",'01_orders_raw'!J170&lt;&gt;"Отменен",'01_orders_raw'!J170&lt;&gt;"Ожидает оплаты"),"ERROR","OK")),"")</x:f>
      </x:c>
      <x:c r="J170" s="2" t="n">
        <x:f>COUNTIF(C170:I170,"ERROR")</x:f>
        <x:v>0</x:v>
      </x:c>
      <x:c r="K170" s="2" t="str">
        <x:f>IF(COUNTA('01_orders_raw'!A170:J170)&gt;0,170,"")</x:f>
      </x:c>
    </x:row>
    <x:row r="171">
      <x:c r="A171" s="2" t="str">
        <x:f>IF(COUNTA('01_orders_raw'!A171:J171)&gt;0,"Order","")</x:f>
      </x:c>
      <x:c r="B171" s="2" t="str">
        <x:f>IF(COUNTA('01_orders_raw'!A171:J171)&gt;0,'01_orders_raw'!A171,"")</x:f>
      </x:c>
      <x:c r="C171" s="2" t="str">
        <x:f>IF(COUNTA('01_orders_raw'!A171:J171)&gt;0,IF(AND(LEN('01_orders_raw'!A171&amp;"")&gt;0,COUNTIF('01_orders_raw'!$A$2:$A$181,'01_orders_raw'!A171)&gt;1),"ERROR","OK"),"")</x:f>
      </x:c>
      <x:c r="D171" s="2" t="str">
        <x:f>IF(COUNTA('01_orders_raw'!A171:J171)&gt;0,IF(OR(LEN('01_orders_raw'!A171&amp;"")=0,LEN('01_orders_raw'!B171&amp;"")=0,LEN('01_orders_raw'!C171&amp;"")=0,LEN('01_orders_raw'!D171&amp;"")=0,LEN('01_orders_raw'!E171&amp;"")=0,LEN('01_orders_raw'!F171&amp;"")=0,LEN('01_orders_raw'!G171&amp;"")=0,LEN('01_orders_raw'!H171&amp;"")=0,LEN('01_orders_raw'!I171&amp;"")=0,LEN('01_orders_raw'!J171&amp;"")=0),"ERROR","OK"),"")</x:f>
      </x:c>
      <x:c r="E171" s="2" t="str">
        <x:f>IF(COUNTA('01_orders_raw'!A171:J171)&gt;0,IF(LEN('01_orders_raw'!C171&amp;"")=0,"SKIP",IF(COUNTIF('02_clients_raw'!$A$2:$A$67,'01_orders_raw'!C171)&lt;&gt;1,"ERROR","OK")),"")</x:f>
      </x:c>
      <x:c r="F171" s="2" t="str">
        <x:f>IF(COUNTA('01_orders_raw'!A171:J171)&gt;0,IF(OR(LEN('01_orders_raw'!G171&amp;"")=0,LEN('01_orders_raw'!H171&amp;"")=0,LEN('01_orders_raw'!I171&amp;"")=0),"SKIP",IF(AND(ISNUMBER('01_orders_raw'!G171),ISNUMBER('01_orders_raw'!H171),ISNUMBER('01_orders_raw'!I171)),IF(OR('01_orders_raw'!G171&lt;=0,MOD('01_orders_raw'!G171,1)&lt;&gt;0,ABS('01_orders_raw'!I171-'01_orders_raw'!G171*'01_orders_raw'!H171)&gt;'09_parameters'!$B$3),"ERROR","OK"),"ERROR")),"")</x:f>
      </x:c>
      <x:c r="G171" s="2" t="str">
        <x:f>IF(COUNTA('01_orders_raw'!A171:J171)&gt;0,IF(LEN('01_orders_raw'!H171&amp;"")=0,"SKIP",IF('01_orders_raw'!H171&lt;0,"ERROR","OK")),"")</x:f>
      </x:c>
      <x:c r="H171" s="2" t="str">
        <x:f>IF(COUNTA('01_orders_raw'!A171:J171)&gt;0,IF(LEN('01_orders_raw'!B171&amp;"")=0,"SKIP",IF(OR(NOT(ISNUMBER('01_orders_raw'!B171)),'01_orders_raw'!B171&lt;=0,'01_orders_raw'!B171&gt;'09_parameters'!$B$2),"ERROR","OK")),"")</x:f>
      </x:c>
      <x:c r="I171" s="2" t="str">
        <x:f>IF(COUNTA('01_orders_raw'!A171:J171)&gt;0,IF(LEN('01_orders_raw'!J171&amp;"")=0,"SKIP",IF(AND('01_orders_raw'!J171&lt;&gt;"Выполнен",'01_orders_raw'!J171&lt;&gt;"В работе",'01_orders_raw'!J171&lt;&gt;"Отменен",'01_orders_raw'!J171&lt;&gt;"Ожидает оплаты"),"ERROR","OK")),"")</x:f>
      </x:c>
      <x:c r="J171" s="2" t="n">
        <x:f>COUNTIF(C171:I171,"ERROR")</x:f>
        <x:v>0</x:v>
      </x:c>
      <x:c r="K171" s="2" t="str">
        <x:f>IF(COUNTA('01_orders_raw'!A171:J171)&gt;0,171,"")</x:f>
      </x:c>
    </x:row>
    <x:row r="172">
      <x:c r="A172" s="2" t="str">
        <x:f>IF(COUNTA('01_orders_raw'!A172:J172)&gt;0,"Order","")</x:f>
      </x:c>
      <x:c r="B172" s="2" t="str">
        <x:f>IF(COUNTA('01_orders_raw'!A172:J172)&gt;0,'01_orders_raw'!A172,"")</x:f>
      </x:c>
      <x:c r="C172" s="2" t="str">
        <x:f>IF(COUNTA('01_orders_raw'!A172:J172)&gt;0,IF(AND(LEN('01_orders_raw'!A172&amp;"")&gt;0,COUNTIF('01_orders_raw'!$A$2:$A$181,'01_orders_raw'!A172)&gt;1),"ERROR","OK"),"")</x:f>
      </x:c>
      <x:c r="D172" s="2" t="str">
        <x:f>IF(COUNTA('01_orders_raw'!A172:J172)&gt;0,IF(OR(LEN('01_orders_raw'!A172&amp;"")=0,LEN('01_orders_raw'!B172&amp;"")=0,LEN('01_orders_raw'!C172&amp;"")=0,LEN('01_orders_raw'!D172&amp;"")=0,LEN('01_orders_raw'!E172&amp;"")=0,LEN('01_orders_raw'!F172&amp;"")=0,LEN('01_orders_raw'!G172&amp;"")=0,LEN('01_orders_raw'!H172&amp;"")=0,LEN('01_orders_raw'!I172&amp;"")=0,LEN('01_orders_raw'!J172&amp;"")=0),"ERROR","OK"),"")</x:f>
      </x:c>
      <x:c r="E172" s="2" t="str">
        <x:f>IF(COUNTA('01_orders_raw'!A172:J172)&gt;0,IF(LEN('01_orders_raw'!C172&amp;"")=0,"SKIP",IF(COUNTIF('02_clients_raw'!$A$2:$A$67,'01_orders_raw'!C172)&lt;&gt;1,"ERROR","OK")),"")</x:f>
      </x:c>
      <x:c r="F172" s="2" t="str">
        <x:f>IF(COUNTA('01_orders_raw'!A172:J172)&gt;0,IF(OR(LEN('01_orders_raw'!G172&amp;"")=0,LEN('01_orders_raw'!H172&amp;"")=0,LEN('01_orders_raw'!I172&amp;"")=0),"SKIP",IF(AND(ISNUMBER('01_orders_raw'!G172),ISNUMBER('01_orders_raw'!H172),ISNUMBER('01_orders_raw'!I172)),IF(OR('01_orders_raw'!G172&lt;=0,MOD('01_orders_raw'!G172,1)&lt;&gt;0,ABS('01_orders_raw'!I172-'01_orders_raw'!G172*'01_orders_raw'!H172)&gt;'09_parameters'!$B$3),"ERROR","OK"),"ERROR")),"")</x:f>
      </x:c>
      <x:c r="G172" s="2" t="str">
        <x:f>IF(COUNTA('01_orders_raw'!A172:J172)&gt;0,IF(LEN('01_orders_raw'!H172&amp;"")=0,"SKIP",IF('01_orders_raw'!H172&lt;0,"ERROR","OK")),"")</x:f>
      </x:c>
      <x:c r="H172" s="2" t="str">
        <x:f>IF(COUNTA('01_orders_raw'!A172:J172)&gt;0,IF(LEN('01_orders_raw'!B172&amp;"")=0,"SKIP",IF(OR(NOT(ISNUMBER('01_orders_raw'!B172)),'01_orders_raw'!B172&lt;=0,'01_orders_raw'!B172&gt;'09_parameters'!$B$2),"ERROR","OK")),"")</x:f>
      </x:c>
      <x:c r="I172" s="2" t="str">
        <x:f>IF(COUNTA('01_orders_raw'!A172:J172)&gt;0,IF(LEN('01_orders_raw'!J172&amp;"")=0,"SKIP",IF(AND('01_orders_raw'!J172&lt;&gt;"Выполнен",'01_orders_raw'!J172&lt;&gt;"В работе",'01_orders_raw'!J172&lt;&gt;"Отменен",'01_orders_raw'!J172&lt;&gt;"Ожидает оплаты"),"ERROR","OK")),"")</x:f>
      </x:c>
      <x:c r="J172" s="2" t="n">
        <x:f>COUNTIF(C172:I172,"ERROR")</x:f>
        <x:v>0</x:v>
      </x:c>
      <x:c r="K172" s="2" t="str">
        <x:f>IF(COUNTA('01_orders_raw'!A172:J172)&gt;0,172,"")</x:f>
      </x:c>
    </x:row>
    <x:row r="173">
      <x:c r="A173" s="2" t="str">
        <x:f>IF(COUNTA('01_orders_raw'!A173:J173)&gt;0,"Order","")</x:f>
      </x:c>
      <x:c r="B173" s="2" t="str">
        <x:f>IF(COUNTA('01_orders_raw'!A173:J173)&gt;0,'01_orders_raw'!A173,"")</x:f>
      </x:c>
      <x:c r="C173" s="2" t="str">
        <x:f>IF(COUNTA('01_orders_raw'!A173:J173)&gt;0,IF(AND(LEN('01_orders_raw'!A173&amp;"")&gt;0,COUNTIF('01_orders_raw'!$A$2:$A$181,'01_orders_raw'!A173)&gt;1),"ERROR","OK"),"")</x:f>
      </x:c>
      <x:c r="D173" s="2" t="str">
        <x:f>IF(COUNTA('01_orders_raw'!A173:J173)&gt;0,IF(OR(LEN('01_orders_raw'!A173&amp;"")=0,LEN('01_orders_raw'!B173&amp;"")=0,LEN('01_orders_raw'!C173&amp;"")=0,LEN('01_orders_raw'!D173&amp;"")=0,LEN('01_orders_raw'!E173&amp;"")=0,LEN('01_orders_raw'!F173&amp;"")=0,LEN('01_orders_raw'!G173&amp;"")=0,LEN('01_orders_raw'!H173&amp;"")=0,LEN('01_orders_raw'!I173&amp;"")=0,LEN('01_orders_raw'!J173&amp;"")=0),"ERROR","OK"),"")</x:f>
      </x:c>
      <x:c r="E173" s="2" t="str">
        <x:f>IF(COUNTA('01_orders_raw'!A173:J173)&gt;0,IF(LEN('01_orders_raw'!C173&amp;"")=0,"SKIP",IF(COUNTIF('02_clients_raw'!$A$2:$A$67,'01_orders_raw'!C173)&lt;&gt;1,"ERROR","OK")),"")</x:f>
      </x:c>
      <x:c r="F173" s="2" t="str">
        <x:f>IF(COUNTA('01_orders_raw'!A173:J173)&gt;0,IF(OR(LEN('01_orders_raw'!G173&amp;"")=0,LEN('01_orders_raw'!H173&amp;"")=0,LEN('01_orders_raw'!I173&amp;"")=0),"SKIP",IF(AND(ISNUMBER('01_orders_raw'!G173),ISNUMBER('01_orders_raw'!H173),ISNUMBER('01_orders_raw'!I173)),IF(OR('01_orders_raw'!G173&lt;=0,MOD('01_orders_raw'!G173,1)&lt;&gt;0,ABS('01_orders_raw'!I173-'01_orders_raw'!G173*'01_orders_raw'!H173)&gt;'09_parameters'!$B$3),"ERROR","OK"),"ERROR")),"")</x:f>
      </x:c>
      <x:c r="G173" s="2" t="str">
        <x:f>IF(COUNTA('01_orders_raw'!A173:J173)&gt;0,IF(LEN('01_orders_raw'!H173&amp;"")=0,"SKIP",IF('01_orders_raw'!H173&lt;0,"ERROR","OK")),"")</x:f>
      </x:c>
      <x:c r="H173" s="2" t="str">
        <x:f>IF(COUNTA('01_orders_raw'!A173:J173)&gt;0,IF(LEN('01_orders_raw'!B173&amp;"")=0,"SKIP",IF(OR(NOT(ISNUMBER('01_orders_raw'!B173)),'01_orders_raw'!B173&lt;=0,'01_orders_raw'!B173&gt;'09_parameters'!$B$2),"ERROR","OK")),"")</x:f>
      </x:c>
      <x:c r="I173" s="2" t="str">
        <x:f>IF(COUNTA('01_orders_raw'!A173:J173)&gt;0,IF(LEN('01_orders_raw'!J173&amp;"")=0,"SKIP",IF(AND('01_orders_raw'!J173&lt;&gt;"Выполнен",'01_orders_raw'!J173&lt;&gt;"В работе",'01_orders_raw'!J173&lt;&gt;"Отменен",'01_orders_raw'!J173&lt;&gt;"Ожидает оплаты"),"ERROR","OK")),"")</x:f>
      </x:c>
      <x:c r="J173" s="2" t="n">
        <x:f>COUNTIF(C173:I173,"ERROR")</x:f>
        <x:v>0</x:v>
      </x:c>
      <x:c r="K173" s="2" t="str">
        <x:f>IF(COUNTA('01_orders_raw'!A173:J173)&gt;0,173,"")</x:f>
      </x:c>
    </x:row>
    <x:row r="174">
      <x:c r="A174" s="2" t="str">
        <x:f>IF(COUNTA('01_orders_raw'!A174:J174)&gt;0,"Order","")</x:f>
      </x:c>
      <x:c r="B174" s="2" t="str">
        <x:f>IF(COUNTA('01_orders_raw'!A174:J174)&gt;0,'01_orders_raw'!A174,"")</x:f>
      </x:c>
      <x:c r="C174" s="2" t="str">
        <x:f>IF(COUNTA('01_orders_raw'!A174:J174)&gt;0,IF(AND(LEN('01_orders_raw'!A174&amp;"")&gt;0,COUNTIF('01_orders_raw'!$A$2:$A$181,'01_orders_raw'!A174)&gt;1),"ERROR","OK"),"")</x:f>
      </x:c>
      <x:c r="D174" s="2" t="str">
        <x:f>IF(COUNTA('01_orders_raw'!A174:J174)&gt;0,IF(OR(LEN('01_orders_raw'!A174&amp;"")=0,LEN('01_orders_raw'!B174&amp;"")=0,LEN('01_orders_raw'!C174&amp;"")=0,LEN('01_orders_raw'!D174&amp;"")=0,LEN('01_orders_raw'!E174&amp;"")=0,LEN('01_orders_raw'!F174&amp;"")=0,LEN('01_orders_raw'!G174&amp;"")=0,LEN('01_orders_raw'!H174&amp;"")=0,LEN('01_orders_raw'!I174&amp;"")=0,LEN('01_orders_raw'!J174&amp;"")=0),"ERROR","OK"),"")</x:f>
      </x:c>
      <x:c r="E174" s="2" t="str">
        <x:f>IF(COUNTA('01_orders_raw'!A174:J174)&gt;0,IF(LEN('01_orders_raw'!C174&amp;"")=0,"SKIP",IF(COUNTIF('02_clients_raw'!$A$2:$A$67,'01_orders_raw'!C174)&lt;&gt;1,"ERROR","OK")),"")</x:f>
      </x:c>
      <x:c r="F174" s="2" t="str">
        <x:f>IF(COUNTA('01_orders_raw'!A174:J174)&gt;0,IF(OR(LEN('01_orders_raw'!G174&amp;"")=0,LEN('01_orders_raw'!H174&amp;"")=0,LEN('01_orders_raw'!I174&amp;"")=0),"SKIP",IF(AND(ISNUMBER('01_orders_raw'!G174),ISNUMBER('01_orders_raw'!H174),ISNUMBER('01_orders_raw'!I174)),IF(OR('01_orders_raw'!G174&lt;=0,MOD('01_orders_raw'!G174,1)&lt;&gt;0,ABS('01_orders_raw'!I174-'01_orders_raw'!G174*'01_orders_raw'!H174)&gt;'09_parameters'!$B$3),"ERROR","OK"),"ERROR")),"")</x:f>
      </x:c>
      <x:c r="G174" s="2" t="str">
        <x:f>IF(COUNTA('01_orders_raw'!A174:J174)&gt;0,IF(LEN('01_orders_raw'!H174&amp;"")=0,"SKIP",IF('01_orders_raw'!H174&lt;0,"ERROR","OK")),"")</x:f>
      </x:c>
      <x:c r="H174" s="2" t="str">
        <x:f>IF(COUNTA('01_orders_raw'!A174:J174)&gt;0,IF(LEN('01_orders_raw'!B174&amp;"")=0,"SKIP",IF(OR(NOT(ISNUMBER('01_orders_raw'!B174)),'01_orders_raw'!B174&lt;=0,'01_orders_raw'!B174&gt;'09_parameters'!$B$2),"ERROR","OK")),"")</x:f>
      </x:c>
      <x:c r="I174" s="2" t="str">
        <x:f>IF(COUNTA('01_orders_raw'!A174:J174)&gt;0,IF(LEN('01_orders_raw'!J174&amp;"")=0,"SKIP",IF(AND('01_orders_raw'!J174&lt;&gt;"Выполнен",'01_orders_raw'!J174&lt;&gt;"В работе",'01_orders_raw'!J174&lt;&gt;"Отменен",'01_orders_raw'!J174&lt;&gt;"Ожидает оплаты"),"ERROR","OK")),"")</x:f>
      </x:c>
      <x:c r="J174" s="2" t="n">
        <x:f>COUNTIF(C174:I174,"ERROR")</x:f>
        <x:v>0</x:v>
      </x:c>
      <x:c r="K174" s="2" t="str">
        <x:f>IF(COUNTA('01_orders_raw'!A174:J174)&gt;0,174,"")</x:f>
      </x:c>
    </x:row>
    <x:row r="175">
      <x:c r="A175" s="2" t="str">
        <x:f>IF(COUNTA('01_orders_raw'!A175:J175)&gt;0,"Order","")</x:f>
      </x:c>
      <x:c r="B175" s="2" t="str">
        <x:f>IF(COUNTA('01_orders_raw'!A175:J175)&gt;0,'01_orders_raw'!A175,"")</x:f>
      </x:c>
      <x:c r="C175" s="2" t="str">
        <x:f>IF(COUNTA('01_orders_raw'!A175:J175)&gt;0,IF(AND(LEN('01_orders_raw'!A175&amp;"")&gt;0,COUNTIF('01_orders_raw'!$A$2:$A$181,'01_orders_raw'!A175)&gt;1),"ERROR","OK"),"")</x:f>
      </x:c>
      <x:c r="D175" s="2" t="str">
        <x:f>IF(COUNTA('01_orders_raw'!A175:J175)&gt;0,IF(OR(LEN('01_orders_raw'!A175&amp;"")=0,LEN('01_orders_raw'!B175&amp;"")=0,LEN('01_orders_raw'!C175&amp;"")=0,LEN('01_orders_raw'!D175&amp;"")=0,LEN('01_orders_raw'!E175&amp;"")=0,LEN('01_orders_raw'!F175&amp;"")=0,LEN('01_orders_raw'!G175&amp;"")=0,LEN('01_orders_raw'!H175&amp;"")=0,LEN('01_orders_raw'!I175&amp;"")=0,LEN('01_orders_raw'!J175&amp;"")=0),"ERROR","OK"),"")</x:f>
      </x:c>
      <x:c r="E175" s="2" t="str">
        <x:f>IF(COUNTA('01_orders_raw'!A175:J175)&gt;0,IF(LEN('01_orders_raw'!C175&amp;"")=0,"SKIP",IF(COUNTIF('02_clients_raw'!$A$2:$A$67,'01_orders_raw'!C175)&lt;&gt;1,"ERROR","OK")),"")</x:f>
      </x:c>
      <x:c r="F175" s="2" t="str">
        <x:f>IF(COUNTA('01_orders_raw'!A175:J175)&gt;0,IF(OR(LEN('01_orders_raw'!G175&amp;"")=0,LEN('01_orders_raw'!H175&amp;"")=0,LEN('01_orders_raw'!I175&amp;"")=0),"SKIP",IF(AND(ISNUMBER('01_orders_raw'!G175),ISNUMBER('01_orders_raw'!H175),ISNUMBER('01_orders_raw'!I175)),IF(OR('01_orders_raw'!G175&lt;=0,MOD('01_orders_raw'!G175,1)&lt;&gt;0,ABS('01_orders_raw'!I175-'01_orders_raw'!G175*'01_orders_raw'!H175)&gt;'09_parameters'!$B$3),"ERROR","OK"),"ERROR")),"")</x:f>
      </x:c>
      <x:c r="G175" s="2" t="str">
        <x:f>IF(COUNTA('01_orders_raw'!A175:J175)&gt;0,IF(LEN('01_orders_raw'!H175&amp;"")=0,"SKIP",IF('01_orders_raw'!H175&lt;0,"ERROR","OK")),"")</x:f>
      </x:c>
      <x:c r="H175" s="2" t="str">
        <x:f>IF(COUNTA('01_orders_raw'!A175:J175)&gt;0,IF(LEN('01_orders_raw'!B175&amp;"")=0,"SKIP",IF(OR(NOT(ISNUMBER('01_orders_raw'!B175)),'01_orders_raw'!B175&lt;=0,'01_orders_raw'!B175&gt;'09_parameters'!$B$2),"ERROR","OK")),"")</x:f>
      </x:c>
      <x:c r="I175" s="2" t="str">
        <x:f>IF(COUNTA('01_orders_raw'!A175:J175)&gt;0,IF(LEN('01_orders_raw'!J175&amp;"")=0,"SKIP",IF(AND('01_orders_raw'!J175&lt;&gt;"Выполнен",'01_orders_raw'!J175&lt;&gt;"В работе",'01_orders_raw'!J175&lt;&gt;"Отменен",'01_orders_raw'!J175&lt;&gt;"Ожидает оплаты"),"ERROR","OK")),"")</x:f>
      </x:c>
      <x:c r="J175" s="2" t="n">
        <x:f>COUNTIF(C175:I175,"ERROR")</x:f>
        <x:v>0</x:v>
      </x:c>
      <x:c r="K175" s="2" t="str">
        <x:f>IF(COUNTA('01_orders_raw'!A175:J175)&gt;0,175,"")</x:f>
      </x:c>
    </x:row>
    <x:row r="176">
      <x:c r="A176" s="2" t="str">
        <x:f>IF(COUNTA('01_orders_raw'!A176:J176)&gt;0,"Order","")</x:f>
      </x:c>
      <x:c r="B176" s="2" t="str">
        <x:f>IF(COUNTA('01_orders_raw'!A176:J176)&gt;0,'01_orders_raw'!A176,"")</x:f>
      </x:c>
      <x:c r="C176" s="2" t="str">
        <x:f>IF(COUNTA('01_orders_raw'!A176:J176)&gt;0,IF(AND(LEN('01_orders_raw'!A176&amp;"")&gt;0,COUNTIF('01_orders_raw'!$A$2:$A$181,'01_orders_raw'!A176)&gt;1),"ERROR","OK"),"")</x:f>
      </x:c>
      <x:c r="D176" s="2" t="str">
        <x:f>IF(COUNTA('01_orders_raw'!A176:J176)&gt;0,IF(OR(LEN('01_orders_raw'!A176&amp;"")=0,LEN('01_orders_raw'!B176&amp;"")=0,LEN('01_orders_raw'!C176&amp;"")=0,LEN('01_orders_raw'!D176&amp;"")=0,LEN('01_orders_raw'!E176&amp;"")=0,LEN('01_orders_raw'!F176&amp;"")=0,LEN('01_orders_raw'!G176&amp;"")=0,LEN('01_orders_raw'!H176&amp;"")=0,LEN('01_orders_raw'!I176&amp;"")=0,LEN('01_orders_raw'!J176&amp;"")=0),"ERROR","OK"),"")</x:f>
      </x:c>
      <x:c r="E176" s="2" t="str">
        <x:f>IF(COUNTA('01_orders_raw'!A176:J176)&gt;0,IF(LEN('01_orders_raw'!C176&amp;"")=0,"SKIP",IF(COUNTIF('02_clients_raw'!$A$2:$A$67,'01_orders_raw'!C176)&lt;&gt;1,"ERROR","OK")),"")</x:f>
      </x:c>
      <x:c r="F176" s="2" t="str">
        <x:f>IF(COUNTA('01_orders_raw'!A176:J176)&gt;0,IF(OR(LEN('01_orders_raw'!G176&amp;"")=0,LEN('01_orders_raw'!H176&amp;"")=0,LEN('01_orders_raw'!I176&amp;"")=0),"SKIP",IF(AND(ISNUMBER('01_orders_raw'!G176),ISNUMBER('01_orders_raw'!H176),ISNUMBER('01_orders_raw'!I176)),IF(OR('01_orders_raw'!G176&lt;=0,MOD('01_orders_raw'!G176,1)&lt;&gt;0,ABS('01_orders_raw'!I176-'01_orders_raw'!G176*'01_orders_raw'!H176)&gt;'09_parameters'!$B$3),"ERROR","OK"),"ERROR")),"")</x:f>
      </x:c>
      <x:c r="G176" s="2" t="str">
        <x:f>IF(COUNTA('01_orders_raw'!A176:J176)&gt;0,IF(LEN('01_orders_raw'!H176&amp;"")=0,"SKIP",IF('01_orders_raw'!H176&lt;0,"ERROR","OK")),"")</x:f>
      </x:c>
      <x:c r="H176" s="2" t="str">
        <x:f>IF(COUNTA('01_orders_raw'!A176:J176)&gt;0,IF(LEN('01_orders_raw'!B176&amp;"")=0,"SKIP",IF(OR(NOT(ISNUMBER('01_orders_raw'!B176)),'01_orders_raw'!B176&lt;=0,'01_orders_raw'!B176&gt;'09_parameters'!$B$2),"ERROR","OK")),"")</x:f>
      </x:c>
      <x:c r="I176" s="2" t="str">
        <x:f>IF(COUNTA('01_orders_raw'!A176:J176)&gt;0,IF(LEN('01_orders_raw'!J176&amp;"")=0,"SKIP",IF(AND('01_orders_raw'!J176&lt;&gt;"Выполнен",'01_orders_raw'!J176&lt;&gt;"В работе",'01_orders_raw'!J176&lt;&gt;"Отменен",'01_orders_raw'!J176&lt;&gt;"Ожидает оплаты"),"ERROR","OK")),"")</x:f>
      </x:c>
      <x:c r="J176" s="2" t="n">
        <x:f>COUNTIF(C176:I176,"ERROR")</x:f>
        <x:v>0</x:v>
      </x:c>
      <x:c r="K176" s="2" t="str">
        <x:f>IF(COUNTA('01_orders_raw'!A176:J176)&gt;0,176,"")</x:f>
      </x:c>
    </x:row>
    <x:row r="177">
      <x:c r="A177" s="2" t="str">
        <x:f>IF(COUNTA('01_orders_raw'!A177:J177)&gt;0,"Order","")</x:f>
      </x:c>
      <x:c r="B177" s="2" t="str">
        <x:f>IF(COUNTA('01_orders_raw'!A177:J177)&gt;0,'01_orders_raw'!A177,"")</x:f>
      </x:c>
      <x:c r="C177" s="2" t="str">
        <x:f>IF(COUNTA('01_orders_raw'!A177:J177)&gt;0,IF(AND(LEN('01_orders_raw'!A177&amp;"")&gt;0,COUNTIF('01_orders_raw'!$A$2:$A$181,'01_orders_raw'!A177)&gt;1),"ERROR","OK"),"")</x:f>
      </x:c>
      <x:c r="D177" s="2" t="str">
        <x:f>IF(COUNTA('01_orders_raw'!A177:J177)&gt;0,IF(OR(LEN('01_orders_raw'!A177&amp;"")=0,LEN('01_orders_raw'!B177&amp;"")=0,LEN('01_orders_raw'!C177&amp;"")=0,LEN('01_orders_raw'!D177&amp;"")=0,LEN('01_orders_raw'!E177&amp;"")=0,LEN('01_orders_raw'!F177&amp;"")=0,LEN('01_orders_raw'!G177&amp;"")=0,LEN('01_orders_raw'!H177&amp;"")=0,LEN('01_orders_raw'!I177&amp;"")=0,LEN('01_orders_raw'!J177&amp;"")=0),"ERROR","OK"),"")</x:f>
      </x:c>
      <x:c r="E177" s="2" t="str">
        <x:f>IF(COUNTA('01_orders_raw'!A177:J177)&gt;0,IF(LEN('01_orders_raw'!C177&amp;"")=0,"SKIP",IF(COUNTIF('02_clients_raw'!$A$2:$A$67,'01_orders_raw'!C177)&lt;&gt;1,"ERROR","OK")),"")</x:f>
      </x:c>
      <x:c r="F177" s="2" t="str">
        <x:f>IF(COUNTA('01_orders_raw'!A177:J177)&gt;0,IF(OR(LEN('01_orders_raw'!G177&amp;"")=0,LEN('01_orders_raw'!H177&amp;"")=0,LEN('01_orders_raw'!I177&amp;"")=0),"SKIP",IF(AND(ISNUMBER('01_orders_raw'!G177),ISNUMBER('01_orders_raw'!H177),ISNUMBER('01_orders_raw'!I177)),IF(OR('01_orders_raw'!G177&lt;=0,MOD('01_orders_raw'!G177,1)&lt;&gt;0,ABS('01_orders_raw'!I177-'01_orders_raw'!G177*'01_orders_raw'!H177)&gt;'09_parameters'!$B$3),"ERROR","OK"),"ERROR")),"")</x:f>
      </x:c>
      <x:c r="G177" s="2" t="str">
        <x:f>IF(COUNTA('01_orders_raw'!A177:J177)&gt;0,IF(LEN('01_orders_raw'!H177&amp;"")=0,"SKIP",IF('01_orders_raw'!H177&lt;0,"ERROR","OK")),"")</x:f>
      </x:c>
      <x:c r="H177" s="2" t="str">
        <x:f>IF(COUNTA('01_orders_raw'!A177:J177)&gt;0,IF(LEN('01_orders_raw'!B177&amp;"")=0,"SKIP",IF(OR(NOT(ISNUMBER('01_orders_raw'!B177)),'01_orders_raw'!B177&lt;=0,'01_orders_raw'!B177&gt;'09_parameters'!$B$2),"ERROR","OK")),"")</x:f>
      </x:c>
      <x:c r="I177" s="2" t="str">
        <x:f>IF(COUNTA('01_orders_raw'!A177:J177)&gt;0,IF(LEN('01_orders_raw'!J177&amp;"")=0,"SKIP",IF(AND('01_orders_raw'!J177&lt;&gt;"Выполнен",'01_orders_raw'!J177&lt;&gt;"В работе",'01_orders_raw'!J177&lt;&gt;"Отменен",'01_orders_raw'!J177&lt;&gt;"Ожидает оплаты"),"ERROR","OK")),"")</x:f>
      </x:c>
      <x:c r="J177" s="2" t="n">
        <x:f>COUNTIF(C177:I177,"ERROR")</x:f>
        <x:v>0</x:v>
      </x:c>
      <x:c r="K177" s="2" t="str">
        <x:f>IF(COUNTA('01_orders_raw'!A177:J177)&gt;0,177,"")</x:f>
      </x:c>
    </x:row>
    <x:row r="178">
      <x:c r="A178" s="2" t="str">
        <x:f>IF(COUNTA('01_orders_raw'!A178:J178)&gt;0,"Order","")</x:f>
      </x:c>
      <x:c r="B178" s="2" t="str">
        <x:f>IF(COUNTA('01_orders_raw'!A178:J178)&gt;0,'01_orders_raw'!A178,"")</x:f>
      </x:c>
      <x:c r="C178" s="2" t="str">
        <x:f>IF(COUNTA('01_orders_raw'!A178:J178)&gt;0,IF(AND(LEN('01_orders_raw'!A178&amp;"")&gt;0,COUNTIF('01_orders_raw'!$A$2:$A$181,'01_orders_raw'!A178)&gt;1),"ERROR","OK"),"")</x:f>
      </x:c>
      <x:c r="D178" s="2" t="str">
        <x:f>IF(COUNTA('01_orders_raw'!A178:J178)&gt;0,IF(OR(LEN('01_orders_raw'!A178&amp;"")=0,LEN('01_orders_raw'!B178&amp;"")=0,LEN('01_orders_raw'!C178&amp;"")=0,LEN('01_orders_raw'!D178&amp;"")=0,LEN('01_orders_raw'!E178&amp;"")=0,LEN('01_orders_raw'!F178&amp;"")=0,LEN('01_orders_raw'!G178&amp;"")=0,LEN('01_orders_raw'!H178&amp;"")=0,LEN('01_orders_raw'!I178&amp;"")=0,LEN('01_orders_raw'!J178&amp;"")=0),"ERROR","OK"),"")</x:f>
      </x:c>
      <x:c r="E178" s="2" t="str">
        <x:f>IF(COUNTA('01_orders_raw'!A178:J178)&gt;0,IF(LEN('01_orders_raw'!C178&amp;"")=0,"SKIP",IF(COUNTIF('02_clients_raw'!$A$2:$A$67,'01_orders_raw'!C178)&lt;&gt;1,"ERROR","OK")),"")</x:f>
      </x:c>
      <x:c r="F178" s="2" t="str">
        <x:f>IF(COUNTA('01_orders_raw'!A178:J178)&gt;0,IF(OR(LEN('01_orders_raw'!G178&amp;"")=0,LEN('01_orders_raw'!H178&amp;"")=0,LEN('01_orders_raw'!I178&amp;"")=0),"SKIP",IF(AND(ISNUMBER('01_orders_raw'!G178),ISNUMBER('01_orders_raw'!H178),ISNUMBER('01_orders_raw'!I178)),IF(OR('01_orders_raw'!G178&lt;=0,MOD('01_orders_raw'!G178,1)&lt;&gt;0,ABS('01_orders_raw'!I178-'01_orders_raw'!G178*'01_orders_raw'!H178)&gt;'09_parameters'!$B$3),"ERROR","OK"),"ERROR")),"")</x:f>
      </x:c>
      <x:c r="G178" s="2" t="str">
        <x:f>IF(COUNTA('01_orders_raw'!A178:J178)&gt;0,IF(LEN('01_orders_raw'!H178&amp;"")=0,"SKIP",IF('01_orders_raw'!H178&lt;0,"ERROR","OK")),"")</x:f>
      </x:c>
      <x:c r="H178" s="2" t="str">
        <x:f>IF(COUNTA('01_orders_raw'!A178:J178)&gt;0,IF(LEN('01_orders_raw'!B178&amp;"")=0,"SKIP",IF(OR(NOT(ISNUMBER('01_orders_raw'!B178)),'01_orders_raw'!B178&lt;=0,'01_orders_raw'!B178&gt;'09_parameters'!$B$2),"ERROR","OK")),"")</x:f>
      </x:c>
      <x:c r="I178" s="2" t="str">
        <x:f>IF(COUNTA('01_orders_raw'!A178:J178)&gt;0,IF(LEN('01_orders_raw'!J178&amp;"")=0,"SKIP",IF(AND('01_orders_raw'!J178&lt;&gt;"Выполнен",'01_orders_raw'!J178&lt;&gt;"В работе",'01_orders_raw'!J178&lt;&gt;"Отменен",'01_orders_raw'!J178&lt;&gt;"Ожидает оплаты"),"ERROR","OK")),"")</x:f>
      </x:c>
      <x:c r="J178" s="2" t="n">
        <x:f>COUNTIF(C178:I178,"ERROR")</x:f>
        <x:v>0</x:v>
      </x:c>
      <x:c r="K178" s="2" t="str">
        <x:f>IF(COUNTA('01_orders_raw'!A178:J178)&gt;0,178,"")</x:f>
      </x:c>
    </x:row>
    <x:row r="179">
      <x:c r="A179" s="2" t="str">
        <x:f>IF(COUNTA('01_orders_raw'!A179:J179)&gt;0,"Order","")</x:f>
      </x:c>
      <x:c r="B179" s="2" t="str">
        <x:f>IF(COUNTA('01_orders_raw'!A179:J179)&gt;0,'01_orders_raw'!A179,"")</x:f>
      </x:c>
      <x:c r="C179" s="2" t="str">
        <x:f>IF(COUNTA('01_orders_raw'!A179:J179)&gt;0,IF(AND(LEN('01_orders_raw'!A179&amp;"")&gt;0,COUNTIF('01_orders_raw'!$A$2:$A$181,'01_orders_raw'!A179)&gt;1),"ERROR","OK"),"")</x:f>
      </x:c>
      <x:c r="D179" s="2" t="str">
        <x:f>IF(COUNTA('01_orders_raw'!A179:J179)&gt;0,IF(OR(LEN('01_orders_raw'!A179&amp;"")=0,LEN('01_orders_raw'!B179&amp;"")=0,LEN('01_orders_raw'!C179&amp;"")=0,LEN('01_orders_raw'!D179&amp;"")=0,LEN('01_orders_raw'!E179&amp;"")=0,LEN('01_orders_raw'!F179&amp;"")=0,LEN('01_orders_raw'!G179&amp;"")=0,LEN('01_orders_raw'!H179&amp;"")=0,LEN('01_orders_raw'!I179&amp;"")=0,LEN('01_orders_raw'!J179&amp;"")=0),"ERROR","OK"),"")</x:f>
      </x:c>
      <x:c r="E179" s="2" t="str">
        <x:f>IF(COUNTA('01_orders_raw'!A179:J179)&gt;0,IF(LEN('01_orders_raw'!C179&amp;"")=0,"SKIP",IF(COUNTIF('02_clients_raw'!$A$2:$A$67,'01_orders_raw'!C179)&lt;&gt;1,"ERROR","OK")),"")</x:f>
      </x:c>
      <x:c r="F179" s="2" t="str">
        <x:f>IF(COUNTA('01_orders_raw'!A179:J179)&gt;0,IF(OR(LEN('01_orders_raw'!G179&amp;"")=0,LEN('01_orders_raw'!H179&amp;"")=0,LEN('01_orders_raw'!I179&amp;"")=0),"SKIP",IF(AND(ISNUMBER('01_orders_raw'!G179),ISNUMBER('01_orders_raw'!H179),ISNUMBER('01_orders_raw'!I179)),IF(OR('01_orders_raw'!G179&lt;=0,MOD('01_orders_raw'!G179,1)&lt;&gt;0,ABS('01_orders_raw'!I179-'01_orders_raw'!G179*'01_orders_raw'!H179)&gt;'09_parameters'!$B$3),"ERROR","OK"),"ERROR")),"")</x:f>
      </x:c>
      <x:c r="G179" s="2" t="str">
        <x:f>IF(COUNTA('01_orders_raw'!A179:J179)&gt;0,IF(LEN('01_orders_raw'!H179&amp;"")=0,"SKIP",IF('01_orders_raw'!H179&lt;0,"ERROR","OK")),"")</x:f>
      </x:c>
      <x:c r="H179" s="2" t="str">
        <x:f>IF(COUNTA('01_orders_raw'!A179:J179)&gt;0,IF(LEN('01_orders_raw'!B179&amp;"")=0,"SKIP",IF(OR(NOT(ISNUMBER('01_orders_raw'!B179)),'01_orders_raw'!B179&lt;=0,'01_orders_raw'!B179&gt;'09_parameters'!$B$2),"ERROR","OK")),"")</x:f>
      </x:c>
      <x:c r="I179" s="2" t="str">
        <x:f>IF(COUNTA('01_orders_raw'!A179:J179)&gt;0,IF(LEN('01_orders_raw'!J179&amp;"")=0,"SKIP",IF(AND('01_orders_raw'!J179&lt;&gt;"Выполнен",'01_orders_raw'!J179&lt;&gt;"В работе",'01_orders_raw'!J179&lt;&gt;"Отменен",'01_orders_raw'!J179&lt;&gt;"Ожидает оплаты"),"ERROR","OK")),"")</x:f>
      </x:c>
      <x:c r="J179" s="2" t="n">
        <x:f>COUNTIF(C179:I179,"ERROR")</x:f>
        <x:v>0</x:v>
      </x:c>
      <x:c r="K179" s="2" t="str">
        <x:f>IF(COUNTA('01_orders_raw'!A179:J179)&gt;0,179,"")</x:f>
      </x:c>
    </x:row>
    <x:row r="180">
      <x:c r="A180" s="2" t="str">
        <x:f>IF(COUNTA('01_orders_raw'!A180:J180)&gt;0,"Order","")</x:f>
      </x:c>
      <x:c r="B180" s="2" t="str">
        <x:f>IF(COUNTA('01_orders_raw'!A180:J180)&gt;0,'01_orders_raw'!A180,"")</x:f>
      </x:c>
      <x:c r="C180" s="2" t="str">
        <x:f>IF(COUNTA('01_orders_raw'!A180:J180)&gt;0,IF(AND(LEN('01_orders_raw'!A180&amp;"")&gt;0,COUNTIF('01_orders_raw'!$A$2:$A$181,'01_orders_raw'!A180)&gt;1),"ERROR","OK"),"")</x:f>
      </x:c>
      <x:c r="D180" s="2" t="str">
        <x:f>IF(COUNTA('01_orders_raw'!A180:J180)&gt;0,IF(OR(LEN('01_orders_raw'!A180&amp;"")=0,LEN('01_orders_raw'!B180&amp;"")=0,LEN('01_orders_raw'!C180&amp;"")=0,LEN('01_orders_raw'!D180&amp;"")=0,LEN('01_orders_raw'!E180&amp;"")=0,LEN('01_orders_raw'!F180&amp;"")=0,LEN('01_orders_raw'!G180&amp;"")=0,LEN('01_orders_raw'!H180&amp;"")=0,LEN('01_orders_raw'!I180&amp;"")=0,LEN('01_orders_raw'!J180&amp;"")=0),"ERROR","OK"),"")</x:f>
      </x:c>
      <x:c r="E180" s="2" t="str">
        <x:f>IF(COUNTA('01_orders_raw'!A180:J180)&gt;0,IF(LEN('01_orders_raw'!C180&amp;"")=0,"SKIP",IF(COUNTIF('02_clients_raw'!$A$2:$A$67,'01_orders_raw'!C180)&lt;&gt;1,"ERROR","OK")),"")</x:f>
      </x:c>
      <x:c r="F180" s="2" t="str">
        <x:f>IF(COUNTA('01_orders_raw'!A180:J180)&gt;0,IF(OR(LEN('01_orders_raw'!G180&amp;"")=0,LEN('01_orders_raw'!H180&amp;"")=0,LEN('01_orders_raw'!I180&amp;"")=0),"SKIP",IF(AND(ISNUMBER('01_orders_raw'!G180),ISNUMBER('01_orders_raw'!H180),ISNUMBER('01_orders_raw'!I180)),IF(OR('01_orders_raw'!G180&lt;=0,MOD('01_orders_raw'!G180,1)&lt;&gt;0,ABS('01_orders_raw'!I180-'01_orders_raw'!G180*'01_orders_raw'!H180)&gt;'09_parameters'!$B$3),"ERROR","OK"),"ERROR")),"")</x:f>
      </x:c>
      <x:c r="G180" s="2" t="str">
        <x:f>IF(COUNTA('01_orders_raw'!A180:J180)&gt;0,IF(LEN('01_orders_raw'!H180&amp;"")=0,"SKIP",IF('01_orders_raw'!H180&lt;0,"ERROR","OK")),"")</x:f>
      </x:c>
      <x:c r="H180" s="2" t="str">
        <x:f>IF(COUNTA('01_orders_raw'!A180:J180)&gt;0,IF(LEN('01_orders_raw'!B180&amp;"")=0,"SKIP",IF(OR(NOT(ISNUMBER('01_orders_raw'!B180)),'01_orders_raw'!B180&lt;=0,'01_orders_raw'!B180&gt;'09_parameters'!$B$2),"ERROR","OK")),"")</x:f>
      </x:c>
      <x:c r="I180" s="2" t="str">
        <x:f>IF(COUNTA('01_orders_raw'!A180:J180)&gt;0,IF(LEN('01_orders_raw'!J180&amp;"")=0,"SKIP",IF(AND('01_orders_raw'!J180&lt;&gt;"Выполнен",'01_orders_raw'!J180&lt;&gt;"В работе",'01_orders_raw'!J180&lt;&gt;"Отменен",'01_orders_raw'!J180&lt;&gt;"Ожидает оплаты"),"ERROR","OK")),"")</x:f>
      </x:c>
      <x:c r="J180" s="2" t="n">
        <x:f>COUNTIF(C180:I180,"ERROR")</x:f>
        <x:v>0</x:v>
      </x:c>
      <x:c r="K180" s="2" t="str">
        <x:f>IF(COUNTA('01_orders_raw'!A180:J180)&gt;0,180,"")</x:f>
      </x:c>
    </x:row>
    <x:row r="181">
      <x:c r="A181" s="2" t="str">
        <x:f>IF(COUNTA('01_orders_raw'!A181:J181)&gt;0,"Order","")</x:f>
      </x:c>
      <x:c r="B181" s="2" t="str">
        <x:f>IF(COUNTA('01_orders_raw'!A181:J181)&gt;0,'01_orders_raw'!A181,"")</x:f>
      </x:c>
      <x:c r="C181" s="2" t="str">
        <x:f>IF(COUNTA('01_orders_raw'!A181:J181)&gt;0,IF(AND(LEN('01_orders_raw'!A181&amp;"")&gt;0,COUNTIF('01_orders_raw'!$A$2:$A$181,'01_orders_raw'!A181)&gt;1),"ERROR","OK"),"")</x:f>
      </x:c>
      <x:c r="D181" s="2" t="str">
        <x:f>IF(COUNTA('01_orders_raw'!A181:J181)&gt;0,IF(OR(LEN('01_orders_raw'!A181&amp;"")=0,LEN('01_orders_raw'!B181&amp;"")=0,LEN('01_orders_raw'!C181&amp;"")=0,LEN('01_orders_raw'!D181&amp;"")=0,LEN('01_orders_raw'!E181&amp;"")=0,LEN('01_orders_raw'!F181&amp;"")=0,LEN('01_orders_raw'!G181&amp;"")=0,LEN('01_orders_raw'!H181&amp;"")=0,LEN('01_orders_raw'!I181&amp;"")=0,LEN('01_orders_raw'!J181&amp;"")=0),"ERROR","OK"),"")</x:f>
      </x:c>
      <x:c r="E181" s="2" t="str">
        <x:f>IF(COUNTA('01_orders_raw'!A181:J181)&gt;0,IF(LEN('01_orders_raw'!C181&amp;"")=0,"SKIP",IF(COUNTIF('02_clients_raw'!$A$2:$A$67,'01_orders_raw'!C181)&lt;&gt;1,"ERROR","OK")),"")</x:f>
      </x:c>
      <x:c r="F181" s="2" t="str">
        <x:f>IF(COUNTA('01_orders_raw'!A181:J181)&gt;0,IF(OR(LEN('01_orders_raw'!G181&amp;"")=0,LEN('01_orders_raw'!H181&amp;"")=0,LEN('01_orders_raw'!I181&amp;"")=0),"SKIP",IF(AND(ISNUMBER('01_orders_raw'!G181),ISNUMBER('01_orders_raw'!H181),ISNUMBER('01_orders_raw'!I181)),IF(OR('01_orders_raw'!G181&lt;=0,MOD('01_orders_raw'!G181,1)&lt;&gt;0,ABS('01_orders_raw'!I181-'01_orders_raw'!G181*'01_orders_raw'!H181)&gt;'09_parameters'!$B$3),"ERROR","OK"),"ERROR")),"")</x:f>
      </x:c>
      <x:c r="G181" s="2" t="str">
        <x:f>IF(COUNTA('01_orders_raw'!A181:J181)&gt;0,IF(LEN('01_orders_raw'!H181&amp;"")=0,"SKIP",IF('01_orders_raw'!H181&lt;0,"ERROR","OK")),"")</x:f>
      </x:c>
      <x:c r="H181" s="2" t="str">
        <x:f>IF(COUNTA('01_orders_raw'!A181:J181)&gt;0,IF(LEN('01_orders_raw'!B181&amp;"")=0,"SKIP",IF(OR(NOT(ISNUMBER('01_orders_raw'!B181)),'01_orders_raw'!B181&lt;=0,'01_orders_raw'!B181&gt;'09_parameters'!$B$2),"ERROR","OK")),"")</x:f>
      </x:c>
      <x:c r="I181" s="2" t="str">
        <x:f>IF(COUNTA('01_orders_raw'!A181:J181)&gt;0,IF(LEN('01_orders_raw'!J181&amp;"")=0,"SKIP",IF(AND('01_orders_raw'!J181&lt;&gt;"Выполнен",'01_orders_raw'!J181&lt;&gt;"В работе",'01_orders_raw'!J181&lt;&gt;"Отменен",'01_orders_raw'!J181&lt;&gt;"Ожидает оплаты"),"ERROR","OK")),"")</x:f>
      </x:c>
      <x:c r="J181" s="2" t="n">
        <x:f>COUNTIF(C181:I181,"ERROR")</x:f>
        <x:v>0</x:v>
      </x:c>
      <x:c r="K181" s="2" t="str">
        <x:f>IF(COUNTA('01_orders_raw'!A181:J181)&gt;0,181,"")</x:f>
      </x:c>
    </x:row>
    <x:row r="182">
      <x:c r="A182" s="2" t="str">
        <x:f>IF(COUNTA('02_clients_raw'!A2:F2)&gt;0,"Client","")</x:f>
        <x:v>Client</x:v>
      </x:c>
      <x:c r="B182" s="2" t="str">
        <x:f>IF(COUNTA('02_clients_raw'!A2:F2)&gt;0,'02_clients_raw'!A2,"")</x:f>
        <x:v>C001</x:v>
      </x:c>
      <x:c r="C182" s="2" t="str">
        <x:f>IF(COUNTA('02_clients_raw'!A2:F2)&gt;0,IF(AND(LEN('02_clients_raw'!A2&amp;"")&gt;0,COUNTIF('02_clients_raw'!$A$2:$A$67,'02_clients_raw'!A2)&gt;1),"ERROR","OK"),"")</x:f>
        <x:v>OK</x:v>
      </x:c>
      <x:c r="D182" s="2" t="str">
        <x:f>IF(COUNTA('02_clients_raw'!A2:F2)&gt;0,IF(OR(LEN('02_clients_raw'!A2&amp;"")=0,LEN('02_clients_raw'!B2&amp;"")=0,LEN('02_clients_raw'!C2&amp;"")=0,LEN('02_clients_raw'!D2&amp;"")=0,LEN('02_clients_raw'!E2&amp;"")=0,LEN('02_clients_raw'!F2&amp;"")=0),"ERROR","OK"),"")</x:f>
        <x:v>OK</x:v>
      </x:c>
      <x:c r="E182" s="2" t="str">
        <x:f>IF(COUNTA('02_clients_raw'!A2:F2)&gt;0,"N/A","")</x:f>
        <x:v>N/A</x:v>
      </x:c>
      <x:c r="F182" s="2" t="str">
        <x:f>IF(COUNTA('02_clients_raw'!A2:F2)&gt;0,IF(LEN('02_clients_raw'!C2&amp;"")=0,"SKIP",IF(OR(AND(LEN('02_clients_raw'!C2&amp;"")&lt;&gt;10,LEN('02_clients_raw'!C2&amp;"")&lt;&gt;12),NOT(AND(IF(1&gt;LEN('02_clients_raw'!C2&amp;""),TRUE,IFERROR(FIND(MID('02_clients_raw'!C2&amp;"",1,1),"x0123456789")&gt;=2,FALSE)),IF(2&gt;LEN('02_clients_raw'!C2&amp;""),TRUE,IFERROR(FIND(MID('02_clients_raw'!C2&amp;"",2,1),"x0123456789")&gt;=2,FALSE)),IF(3&gt;LEN('02_clients_raw'!C2&amp;""),TRUE,IFERROR(FIND(MID('02_clients_raw'!C2&amp;"",3,1),"x0123456789")&gt;=2,FALSE)),IF(4&gt;LEN('02_clients_raw'!C2&amp;""),TRUE,IFERROR(FIND(MID('02_clients_raw'!C2&amp;"",4,1),"x0123456789")&gt;=2,FALSE)),IF(5&gt;LEN('02_clients_raw'!C2&amp;""),TRUE,IFERROR(FIND(MID('02_clients_raw'!C2&amp;"",5,1),"x0123456789")&gt;=2,FALSE)),IF(6&gt;LEN('02_clients_raw'!C2&amp;""),TRUE,IFERROR(FIND(MID('02_clients_raw'!C2&amp;"",6,1),"x0123456789")&gt;=2,FALSE)),IF(7&gt;LEN('02_clients_raw'!C2&amp;""),TRUE,IFERROR(FIND(MID('02_clients_raw'!C2&amp;"",7,1),"x0123456789")&gt;=2,FALSE)),IF(8&gt;LEN('02_clients_raw'!C2&amp;""),TRUE,IFERROR(FIND(MID('02_clients_raw'!C2&amp;"",8,1),"x0123456789")&gt;=2,FALSE)),IF(9&gt;LEN('02_clients_raw'!C2&amp;""),TRUE,IFERROR(FIND(MID('02_clients_raw'!C2&amp;"",9,1),"x0123456789")&gt;=2,FALSE)),IF(10&gt;LEN('02_clients_raw'!C2&amp;""),TRUE,IFERROR(FIND(MID('02_clients_raw'!C2&amp;"",10,1),"x0123456789")&gt;=2,FALSE)),IF(11&gt;LEN('02_clients_raw'!C2&amp;""),TRUE,IFERROR(FIND(MID('02_clients_raw'!C2&amp;"",11,1),"x0123456789")&gt;=2,FALSE)),IF(12&gt;LEN('02_clients_raw'!C2&amp;""),TRUE,IFERROR(FIND(MID('02_clients_raw'!C2&amp;"",12,1),"x0123456789")&gt;=2,FALSE))))),"ERROR","OK")),"")</x:f>
        <x:v>OK</x:v>
      </x:c>
      <x:c r="G182" s="2" t="str">
        <x:f>IF(COUNTA('02_clients_raw'!A2:F2)&gt;0,"N/A","")</x:f>
        <x:v>N/A</x:v>
      </x:c>
      <x:c r="H182" s="2" t="str">
        <x:f>IF(COUNTA('02_clients_raw'!A2:F2)&gt;0,IF(LEN('02_clients_raw'!E2&amp;"")=0,"SKIP",IF(OR(NOT(ISNUMBER('02_clients_raw'!E2)),'02_clients_raw'!E2&lt;=0,'02_clients_raw'!E2&gt;'09_parameters'!$B$2),"ERROR","OK")),"")</x:f>
        <x:v>OK</x:v>
      </x:c>
      <x:c r="I182" s="2" t="str">
        <x:f>IF(COUNTA('02_clients_raw'!A2:F2)&gt;0,"N/A","")</x:f>
        <x:v>N/A</x:v>
      </x:c>
      <x:c r="J182" s="2" t="n">
        <x:f>COUNTIF(C182:I182,"ERROR")</x:f>
        <x:v>0</x:v>
      </x:c>
      <x:c r="K182" s="2" t="n">
        <x:f>IF(COUNTA('02_clients_raw'!A2:F2)&gt;0,2,"")</x:f>
        <x:v>2</x:v>
      </x:c>
    </x:row>
    <x:row r="183">
      <x:c r="A183" s="2" t="str">
        <x:f>IF(COUNTA('02_clients_raw'!A3:F3)&gt;0,"Client","")</x:f>
        <x:v>Client</x:v>
      </x:c>
      <x:c r="B183" s="2" t="str">
        <x:f>IF(COUNTA('02_clients_raw'!A3:F3)&gt;0,'02_clients_raw'!A3,"")</x:f>
        <x:v>C002</x:v>
      </x:c>
      <x:c r="C183" s="2" t="str">
        <x:f>IF(COUNTA('02_clients_raw'!A3:F3)&gt;0,IF(AND(LEN('02_clients_raw'!A3&amp;"")&gt;0,COUNTIF('02_clients_raw'!$A$2:$A$67,'02_clients_raw'!A3)&gt;1),"ERROR","OK"),"")</x:f>
        <x:v>OK</x:v>
      </x:c>
      <x:c r="D183" s="2" t="str">
        <x:f>IF(COUNTA('02_clients_raw'!A3:F3)&gt;0,IF(OR(LEN('02_clients_raw'!A3&amp;"")=0,LEN('02_clients_raw'!B3&amp;"")=0,LEN('02_clients_raw'!C3&amp;"")=0,LEN('02_clients_raw'!D3&amp;"")=0,LEN('02_clients_raw'!E3&amp;"")=0,LEN('02_clients_raw'!F3&amp;"")=0),"ERROR","OK"),"")</x:f>
        <x:v>OK</x:v>
      </x:c>
      <x:c r="E183" s="2" t="str">
        <x:f>IF(COUNTA('02_clients_raw'!A3:F3)&gt;0,"N/A","")</x:f>
        <x:v>N/A</x:v>
      </x:c>
      <x:c r="F183" s="2" t="str">
        <x:f>IF(COUNTA('02_clients_raw'!A3:F3)&gt;0,IF(LEN('02_clients_raw'!C3&amp;"")=0,"SKIP",IF(OR(AND(LEN('02_clients_raw'!C3&amp;"")&lt;&gt;10,LEN('02_clients_raw'!C3&amp;"")&lt;&gt;12),NOT(AND(IF(1&gt;LEN('02_clients_raw'!C3&amp;""),TRUE,IFERROR(FIND(MID('02_clients_raw'!C3&amp;"",1,1),"x0123456789")&gt;=2,FALSE)),IF(2&gt;LEN('02_clients_raw'!C3&amp;""),TRUE,IFERROR(FIND(MID('02_clients_raw'!C3&amp;"",2,1),"x0123456789")&gt;=2,FALSE)),IF(3&gt;LEN('02_clients_raw'!C3&amp;""),TRUE,IFERROR(FIND(MID('02_clients_raw'!C3&amp;"",3,1),"x0123456789")&gt;=2,FALSE)),IF(4&gt;LEN('02_clients_raw'!C3&amp;""),TRUE,IFERROR(FIND(MID('02_clients_raw'!C3&amp;"",4,1),"x0123456789")&gt;=2,FALSE)),IF(5&gt;LEN('02_clients_raw'!C3&amp;""),TRUE,IFERROR(FIND(MID('02_clients_raw'!C3&amp;"",5,1),"x0123456789")&gt;=2,FALSE)),IF(6&gt;LEN('02_clients_raw'!C3&amp;""),TRUE,IFERROR(FIND(MID('02_clients_raw'!C3&amp;"",6,1),"x0123456789")&gt;=2,FALSE)),IF(7&gt;LEN('02_clients_raw'!C3&amp;""),TRUE,IFERROR(FIND(MID('02_clients_raw'!C3&amp;"",7,1),"x0123456789")&gt;=2,FALSE)),IF(8&gt;LEN('02_clients_raw'!C3&amp;""),TRUE,IFERROR(FIND(MID('02_clients_raw'!C3&amp;"",8,1),"x0123456789")&gt;=2,FALSE)),IF(9&gt;LEN('02_clients_raw'!C3&amp;""),TRUE,IFERROR(FIND(MID('02_clients_raw'!C3&amp;"",9,1),"x0123456789")&gt;=2,FALSE)),IF(10&gt;LEN('02_clients_raw'!C3&amp;""),TRUE,IFERROR(FIND(MID('02_clients_raw'!C3&amp;"",10,1),"x0123456789")&gt;=2,FALSE)),IF(11&gt;LEN('02_clients_raw'!C3&amp;""),TRUE,IFERROR(FIND(MID('02_clients_raw'!C3&amp;"",11,1),"x0123456789")&gt;=2,FALSE)),IF(12&gt;LEN('02_clients_raw'!C3&amp;""),TRUE,IFERROR(FIND(MID('02_clients_raw'!C3&amp;"",12,1),"x0123456789")&gt;=2,FALSE))))),"ERROR","OK")),"")</x:f>
        <x:v>OK</x:v>
      </x:c>
      <x:c r="G183" s="2" t="str">
        <x:f>IF(COUNTA('02_clients_raw'!A3:F3)&gt;0,"N/A","")</x:f>
        <x:v>N/A</x:v>
      </x:c>
      <x:c r="H183" s="2" t="str">
        <x:f>IF(COUNTA('02_clients_raw'!A3:F3)&gt;0,IF(LEN('02_clients_raw'!E3&amp;"")=0,"SKIP",IF(OR(NOT(ISNUMBER('02_clients_raw'!E3)),'02_clients_raw'!E3&lt;=0,'02_clients_raw'!E3&gt;'09_parameters'!$B$2),"ERROR","OK")),"")</x:f>
        <x:v>OK</x:v>
      </x:c>
      <x:c r="I183" s="2" t="str">
        <x:f>IF(COUNTA('02_clients_raw'!A3:F3)&gt;0,"N/A","")</x:f>
        <x:v>N/A</x:v>
      </x:c>
      <x:c r="J183" s="2" t="n">
        <x:f>COUNTIF(C183:I183,"ERROR")</x:f>
        <x:v>0</x:v>
      </x:c>
      <x:c r="K183" s="2" t="n">
        <x:f>IF(COUNTA('02_clients_raw'!A3:F3)&gt;0,3,"")</x:f>
        <x:v>3</x:v>
      </x:c>
    </x:row>
    <x:row r="184">
      <x:c r="A184" s="2" t="str">
        <x:f>IF(COUNTA('02_clients_raw'!A4:F4)&gt;0,"Client","")</x:f>
        <x:v>Client</x:v>
      </x:c>
      <x:c r="B184" s="2" t="str">
        <x:f>IF(COUNTA('02_clients_raw'!A4:F4)&gt;0,'02_clients_raw'!A4,"")</x:f>
        <x:v>C003</x:v>
      </x:c>
      <x:c r="C184" s="2" t="str">
        <x:f>IF(COUNTA('02_clients_raw'!A4:F4)&gt;0,IF(AND(LEN('02_clients_raw'!A4&amp;"")&gt;0,COUNTIF('02_clients_raw'!$A$2:$A$67,'02_clients_raw'!A4)&gt;1),"ERROR","OK"),"")</x:f>
        <x:v>OK</x:v>
      </x:c>
      <x:c r="D184" s="2" t="str">
        <x:f>IF(COUNTA('02_clients_raw'!A4:F4)&gt;0,IF(OR(LEN('02_clients_raw'!A4&amp;"")=0,LEN('02_clients_raw'!B4&amp;"")=0,LEN('02_clients_raw'!C4&amp;"")=0,LEN('02_clients_raw'!D4&amp;"")=0,LEN('02_clients_raw'!E4&amp;"")=0,LEN('02_clients_raw'!F4&amp;"")=0),"ERROR","OK"),"")</x:f>
        <x:v>OK</x:v>
      </x:c>
      <x:c r="E184" s="2" t="str">
        <x:f>IF(COUNTA('02_clients_raw'!A4:F4)&gt;0,"N/A","")</x:f>
        <x:v>N/A</x:v>
      </x:c>
      <x:c r="F184" s="2" t="str">
        <x:f>IF(COUNTA('02_clients_raw'!A4:F4)&gt;0,IF(LEN('02_clients_raw'!C4&amp;"")=0,"SKIP",IF(OR(AND(LEN('02_clients_raw'!C4&amp;"")&lt;&gt;10,LEN('02_clients_raw'!C4&amp;"")&lt;&gt;12),NOT(AND(IF(1&gt;LEN('02_clients_raw'!C4&amp;""),TRUE,IFERROR(FIND(MID('02_clients_raw'!C4&amp;"",1,1),"x0123456789")&gt;=2,FALSE)),IF(2&gt;LEN('02_clients_raw'!C4&amp;""),TRUE,IFERROR(FIND(MID('02_clients_raw'!C4&amp;"",2,1),"x0123456789")&gt;=2,FALSE)),IF(3&gt;LEN('02_clients_raw'!C4&amp;""),TRUE,IFERROR(FIND(MID('02_clients_raw'!C4&amp;"",3,1),"x0123456789")&gt;=2,FALSE)),IF(4&gt;LEN('02_clients_raw'!C4&amp;""),TRUE,IFERROR(FIND(MID('02_clients_raw'!C4&amp;"",4,1),"x0123456789")&gt;=2,FALSE)),IF(5&gt;LEN('02_clients_raw'!C4&amp;""),TRUE,IFERROR(FIND(MID('02_clients_raw'!C4&amp;"",5,1),"x0123456789")&gt;=2,FALSE)),IF(6&gt;LEN('02_clients_raw'!C4&amp;""),TRUE,IFERROR(FIND(MID('02_clients_raw'!C4&amp;"",6,1),"x0123456789")&gt;=2,FALSE)),IF(7&gt;LEN('02_clients_raw'!C4&amp;""),TRUE,IFERROR(FIND(MID('02_clients_raw'!C4&amp;"",7,1),"x0123456789")&gt;=2,FALSE)),IF(8&gt;LEN('02_clients_raw'!C4&amp;""),TRUE,IFERROR(FIND(MID('02_clients_raw'!C4&amp;"",8,1),"x0123456789")&gt;=2,FALSE)),IF(9&gt;LEN('02_clients_raw'!C4&amp;""),TRUE,IFERROR(FIND(MID('02_clients_raw'!C4&amp;"",9,1),"x0123456789")&gt;=2,FALSE)),IF(10&gt;LEN('02_clients_raw'!C4&amp;""),TRUE,IFERROR(FIND(MID('02_clients_raw'!C4&amp;"",10,1),"x0123456789")&gt;=2,FALSE)),IF(11&gt;LEN('02_clients_raw'!C4&amp;""),TRUE,IFERROR(FIND(MID('02_clients_raw'!C4&amp;"",11,1),"x0123456789")&gt;=2,FALSE)),IF(12&gt;LEN('02_clients_raw'!C4&amp;""),TRUE,IFERROR(FIND(MID('02_clients_raw'!C4&amp;"",12,1),"x0123456789")&gt;=2,FALSE))))),"ERROR","OK")),"")</x:f>
        <x:v>OK</x:v>
      </x:c>
      <x:c r="G184" s="2" t="str">
        <x:f>IF(COUNTA('02_clients_raw'!A4:F4)&gt;0,"N/A","")</x:f>
        <x:v>N/A</x:v>
      </x:c>
      <x:c r="H184" s="2" t="str">
        <x:f>IF(COUNTA('02_clients_raw'!A4:F4)&gt;0,IF(LEN('02_clients_raw'!E4&amp;"")=0,"SKIP",IF(OR(NOT(ISNUMBER('02_clients_raw'!E4)),'02_clients_raw'!E4&lt;=0,'02_clients_raw'!E4&gt;'09_parameters'!$B$2),"ERROR","OK")),"")</x:f>
        <x:v>OK</x:v>
      </x:c>
      <x:c r="I184" s="2" t="str">
        <x:f>IF(COUNTA('02_clients_raw'!A4:F4)&gt;0,"N/A","")</x:f>
        <x:v>N/A</x:v>
      </x:c>
      <x:c r="J184" s="2" t="n">
        <x:f>COUNTIF(C184:I184,"ERROR")</x:f>
        <x:v>0</x:v>
      </x:c>
      <x:c r="K184" s="2" t="n">
        <x:f>IF(COUNTA('02_clients_raw'!A4:F4)&gt;0,4,"")</x:f>
        <x:v>4</x:v>
      </x:c>
    </x:row>
    <x:row r="185">
      <x:c r="A185" s="2" t="str">
        <x:f>IF(COUNTA('02_clients_raw'!A5:F5)&gt;0,"Client","")</x:f>
        <x:v>Client</x:v>
      </x:c>
      <x:c r="B185" s="2" t="str">
        <x:f>IF(COUNTA('02_clients_raw'!A5:F5)&gt;0,'02_clients_raw'!A5,"")</x:f>
        <x:v>C004</x:v>
      </x:c>
      <x:c r="C185" s="2" t="str">
        <x:f>IF(COUNTA('02_clients_raw'!A5:F5)&gt;0,IF(AND(LEN('02_clients_raw'!A5&amp;"")&gt;0,COUNTIF('02_clients_raw'!$A$2:$A$67,'02_clients_raw'!A5)&gt;1),"ERROR","OK"),"")</x:f>
        <x:v>OK</x:v>
      </x:c>
      <x:c r="D185" s="2" t="str">
        <x:f>IF(COUNTA('02_clients_raw'!A5:F5)&gt;0,IF(OR(LEN('02_clients_raw'!A5&amp;"")=0,LEN('02_clients_raw'!B5&amp;"")=0,LEN('02_clients_raw'!C5&amp;"")=0,LEN('02_clients_raw'!D5&amp;"")=0,LEN('02_clients_raw'!E5&amp;"")=0,LEN('02_clients_raw'!F5&amp;"")=0),"ERROR","OK"),"")</x:f>
        <x:v>OK</x:v>
      </x:c>
      <x:c r="E185" s="2" t="str">
        <x:f>IF(COUNTA('02_clients_raw'!A5:F5)&gt;0,"N/A","")</x:f>
        <x:v>N/A</x:v>
      </x:c>
      <x:c r="F185" s="2" t="str">
        <x:f>IF(COUNTA('02_clients_raw'!A5:F5)&gt;0,IF(LEN('02_clients_raw'!C5&amp;"")=0,"SKIP",IF(OR(AND(LEN('02_clients_raw'!C5&amp;"")&lt;&gt;10,LEN('02_clients_raw'!C5&amp;"")&lt;&gt;12),NOT(AND(IF(1&gt;LEN('02_clients_raw'!C5&amp;""),TRUE,IFERROR(FIND(MID('02_clients_raw'!C5&amp;"",1,1),"x0123456789")&gt;=2,FALSE)),IF(2&gt;LEN('02_clients_raw'!C5&amp;""),TRUE,IFERROR(FIND(MID('02_clients_raw'!C5&amp;"",2,1),"x0123456789")&gt;=2,FALSE)),IF(3&gt;LEN('02_clients_raw'!C5&amp;""),TRUE,IFERROR(FIND(MID('02_clients_raw'!C5&amp;"",3,1),"x0123456789")&gt;=2,FALSE)),IF(4&gt;LEN('02_clients_raw'!C5&amp;""),TRUE,IFERROR(FIND(MID('02_clients_raw'!C5&amp;"",4,1),"x0123456789")&gt;=2,FALSE)),IF(5&gt;LEN('02_clients_raw'!C5&amp;""),TRUE,IFERROR(FIND(MID('02_clients_raw'!C5&amp;"",5,1),"x0123456789")&gt;=2,FALSE)),IF(6&gt;LEN('02_clients_raw'!C5&amp;""),TRUE,IFERROR(FIND(MID('02_clients_raw'!C5&amp;"",6,1),"x0123456789")&gt;=2,FALSE)),IF(7&gt;LEN('02_clients_raw'!C5&amp;""),TRUE,IFERROR(FIND(MID('02_clients_raw'!C5&amp;"",7,1),"x0123456789")&gt;=2,FALSE)),IF(8&gt;LEN('02_clients_raw'!C5&amp;""),TRUE,IFERROR(FIND(MID('02_clients_raw'!C5&amp;"",8,1),"x0123456789")&gt;=2,FALSE)),IF(9&gt;LEN('02_clients_raw'!C5&amp;""),TRUE,IFERROR(FIND(MID('02_clients_raw'!C5&amp;"",9,1),"x0123456789")&gt;=2,FALSE)),IF(10&gt;LEN('02_clients_raw'!C5&amp;""),TRUE,IFERROR(FIND(MID('02_clients_raw'!C5&amp;"",10,1),"x0123456789")&gt;=2,FALSE)),IF(11&gt;LEN('02_clients_raw'!C5&amp;""),TRUE,IFERROR(FIND(MID('02_clients_raw'!C5&amp;"",11,1),"x0123456789")&gt;=2,FALSE)),IF(12&gt;LEN('02_clients_raw'!C5&amp;""),TRUE,IFERROR(FIND(MID('02_clients_raw'!C5&amp;"",12,1),"x0123456789")&gt;=2,FALSE))))),"ERROR","OK")),"")</x:f>
        <x:v>OK</x:v>
      </x:c>
      <x:c r="G185" s="2" t="str">
        <x:f>IF(COUNTA('02_clients_raw'!A5:F5)&gt;0,"N/A","")</x:f>
        <x:v>N/A</x:v>
      </x:c>
      <x:c r="H185" s="2" t="str">
        <x:f>IF(COUNTA('02_clients_raw'!A5:F5)&gt;0,IF(LEN('02_clients_raw'!E5&amp;"")=0,"SKIP",IF(OR(NOT(ISNUMBER('02_clients_raw'!E5)),'02_clients_raw'!E5&lt;=0,'02_clients_raw'!E5&gt;'09_parameters'!$B$2),"ERROR","OK")),"")</x:f>
        <x:v>OK</x:v>
      </x:c>
      <x:c r="I185" s="2" t="str">
        <x:f>IF(COUNTA('02_clients_raw'!A5:F5)&gt;0,"N/A","")</x:f>
        <x:v>N/A</x:v>
      </x:c>
      <x:c r="J185" s="2" t="n">
        <x:f>COUNTIF(C185:I185,"ERROR")</x:f>
        <x:v>0</x:v>
      </x:c>
      <x:c r="K185" s="2" t="n">
        <x:f>IF(COUNTA('02_clients_raw'!A5:F5)&gt;0,5,"")</x:f>
        <x:v>5</x:v>
      </x:c>
    </x:row>
    <x:row r="186">
      <x:c r="A186" s="2" t="str">
        <x:f>IF(COUNTA('02_clients_raw'!A6:F6)&gt;0,"Client","")</x:f>
        <x:v>Client</x:v>
      </x:c>
      <x:c r="B186" s="2" t="str">
        <x:f>IF(COUNTA('02_clients_raw'!A6:F6)&gt;0,'02_clients_raw'!A6,"")</x:f>
        <x:v>C005</x:v>
      </x:c>
      <x:c r="C186" s="2" t="str">
        <x:f>IF(COUNTA('02_clients_raw'!A6:F6)&gt;0,IF(AND(LEN('02_clients_raw'!A6&amp;"")&gt;0,COUNTIF('02_clients_raw'!$A$2:$A$67,'02_clients_raw'!A6)&gt;1),"ERROR","OK"),"")</x:f>
        <x:v>OK</x:v>
      </x:c>
      <x:c r="D186" s="2" t="str">
        <x:f>IF(COUNTA('02_clients_raw'!A6:F6)&gt;0,IF(OR(LEN('02_clients_raw'!A6&amp;"")=0,LEN('02_clients_raw'!B6&amp;"")=0,LEN('02_clients_raw'!C6&amp;"")=0,LEN('02_clients_raw'!D6&amp;"")=0,LEN('02_clients_raw'!E6&amp;"")=0,LEN('02_clients_raw'!F6&amp;"")=0),"ERROR","OK"),"")</x:f>
        <x:v>ERROR</x:v>
      </x:c>
      <x:c r="E186" s="2" t="str">
        <x:f>IF(COUNTA('02_clients_raw'!A6:F6)&gt;0,"N/A","")</x:f>
        <x:v>N/A</x:v>
      </x:c>
      <x:c r="F186" s="2" t="str">
        <x:f>IF(COUNTA('02_clients_raw'!A6:F6)&gt;0,IF(LEN('02_clients_raw'!C6&amp;"")=0,"SKIP",IF(OR(AND(LEN('02_clients_raw'!C6&amp;"")&lt;&gt;10,LEN('02_clients_raw'!C6&amp;"")&lt;&gt;12),NOT(AND(IF(1&gt;LEN('02_clients_raw'!C6&amp;""),TRUE,IFERROR(FIND(MID('02_clients_raw'!C6&amp;"",1,1),"x0123456789")&gt;=2,FALSE)),IF(2&gt;LEN('02_clients_raw'!C6&amp;""),TRUE,IFERROR(FIND(MID('02_clients_raw'!C6&amp;"",2,1),"x0123456789")&gt;=2,FALSE)),IF(3&gt;LEN('02_clients_raw'!C6&amp;""),TRUE,IFERROR(FIND(MID('02_clients_raw'!C6&amp;"",3,1),"x0123456789")&gt;=2,FALSE)),IF(4&gt;LEN('02_clients_raw'!C6&amp;""),TRUE,IFERROR(FIND(MID('02_clients_raw'!C6&amp;"",4,1),"x0123456789")&gt;=2,FALSE)),IF(5&gt;LEN('02_clients_raw'!C6&amp;""),TRUE,IFERROR(FIND(MID('02_clients_raw'!C6&amp;"",5,1),"x0123456789")&gt;=2,FALSE)),IF(6&gt;LEN('02_clients_raw'!C6&amp;""),TRUE,IFERROR(FIND(MID('02_clients_raw'!C6&amp;"",6,1),"x0123456789")&gt;=2,FALSE)),IF(7&gt;LEN('02_clients_raw'!C6&amp;""),TRUE,IFERROR(FIND(MID('02_clients_raw'!C6&amp;"",7,1),"x0123456789")&gt;=2,FALSE)),IF(8&gt;LEN('02_clients_raw'!C6&amp;""),TRUE,IFERROR(FIND(MID('02_clients_raw'!C6&amp;"",8,1),"x0123456789")&gt;=2,FALSE)),IF(9&gt;LEN('02_clients_raw'!C6&amp;""),TRUE,IFERROR(FIND(MID('02_clients_raw'!C6&amp;"",9,1),"x0123456789")&gt;=2,FALSE)),IF(10&gt;LEN('02_clients_raw'!C6&amp;""),TRUE,IFERROR(FIND(MID('02_clients_raw'!C6&amp;"",10,1),"x0123456789")&gt;=2,FALSE)),IF(11&gt;LEN('02_clients_raw'!C6&amp;""),TRUE,IFERROR(FIND(MID('02_clients_raw'!C6&amp;"",11,1),"x0123456789")&gt;=2,FALSE)),IF(12&gt;LEN('02_clients_raw'!C6&amp;""),TRUE,IFERROR(FIND(MID('02_clients_raw'!C6&amp;"",12,1),"x0123456789")&gt;=2,FALSE))))),"ERROR","OK")),"")</x:f>
        <x:v>SKIP</x:v>
      </x:c>
      <x:c r="G186" s="2" t="str">
        <x:f>IF(COUNTA('02_clients_raw'!A6:F6)&gt;0,"N/A","")</x:f>
        <x:v>N/A</x:v>
      </x:c>
      <x:c r="H186" s="2" t="str">
        <x:f>IF(COUNTA('02_clients_raw'!A6:F6)&gt;0,IF(LEN('02_clients_raw'!E6&amp;"")=0,"SKIP",IF(OR(NOT(ISNUMBER('02_clients_raw'!E6)),'02_clients_raw'!E6&lt;=0,'02_clients_raw'!E6&gt;'09_parameters'!$B$2),"ERROR","OK")),"")</x:f>
        <x:v>OK</x:v>
      </x:c>
      <x:c r="I186" s="2" t="str">
        <x:f>IF(COUNTA('02_clients_raw'!A6:F6)&gt;0,"N/A","")</x:f>
        <x:v>N/A</x:v>
      </x:c>
      <x:c r="J186" s="2" t="n">
        <x:f>COUNTIF(C186:I186,"ERROR")</x:f>
        <x:v>1</x:v>
      </x:c>
      <x:c r="K186" s="2" t="n">
        <x:f>IF(COUNTA('02_clients_raw'!A6:F6)&gt;0,6,"")</x:f>
        <x:v>6</x:v>
      </x:c>
    </x:row>
    <x:row r="187">
      <x:c r="A187" s="2" t="str">
        <x:f>IF(COUNTA('02_clients_raw'!A7:F7)&gt;0,"Client","")</x:f>
        <x:v>Client</x:v>
      </x:c>
      <x:c r="B187" s="2" t="str">
        <x:f>IF(COUNTA('02_clients_raw'!A7:F7)&gt;0,'02_clients_raw'!A7,"")</x:f>
        <x:v>C006</x:v>
      </x:c>
      <x:c r="C187" s="2" t="str">
        <x:f>IF(COUNTA('02_clients_raw'!A7:F7)&gt;0,IF(AND(LEN('02_clients_raw'!A7&amp;"")&gt;0,COUNTIF('02_clients_raw'!$A$2:$A$67,'02_clients_raw'!A7)&gt;1),"ERROR","OK"),"")</x:f>
        <x:v>OK</x:v>
      </x:c>
      <x:c r="D187" s="2" t="str">
        <x:f>IF(COUNTA('02_clients_raw'!A7:F7)&gt;0,IF(OR(LEN('02_clients_raw'!A7&amp;"")=0,LEN('02_clients_raw'!B7&amp;"")=0,LEN('02_clients_raw'!C7&amp;"")=0,LEN('02_clients_raw'!D7&amp;"")=0,LEN('02_clients_raw'!E7&amp;"")=0,LEN('02_clients_raw'!F7&amp;"")=0),"ERROR","OK"),"")</x:f>
        <x:v>OK</x:v>
      </x:c>
      <x:c r="E187" s="2" t="str">
        <x:f>IF(COUNTA('02_clients_raw'!A7:F7)&gt;0,"N/A","")</x:f>
        <x:v>N/A</x:v>
      </x:c>
      <x:c r="F187" s="2" t="str">
        <x:f>IF(COUNTA('02_clients_raw'!A7:F7)&gt;0,IF(LEN('02_clients_raw'!C7&amp;"")=0,"SKIP",IF(OR(AND(LEN('02_clients_raw'!C7&amp;"")&lt;&gt;10,LEN('02_clients_raw'!C7&amp;"")&lt;&gt;12),NOT(AND(IF(1&gt;LEN('02_clients_raw'!C7&amp;""),TRUE,IFERROR(FIND(MID('02_clients_raw'!C7&amp;"",1,1),"x0123456789")&gt;=2,FALSE)),IF(2&gt;LEN('02_clients_raw'!C7&amp;""),TRUE,IFERROR(FIND(MID('02_clients_raw'!C7&amp;"",2,1),"x0123456789")&gt;=2,FALSE)),IF(3&gt;LEN('02_clients_raw'!C7&amp;""),TRUE,IFERROR(FIND(MID('02_clients_raw'!C7&amp;"",3,1),"x0123456789")&gt;=2,FALSE)),IF(4&gt;LEN('02_clients_raw'!C7&amp;""),TRUE,IFERROR(FIND(MID('02_clients_raw'!C7&amp;"",4,1),"x0123456789")&gt;=2,FALSE)),IF(5&gt;LEN('02_clients_raw'!C7&amp;""),TRUE,IFERROR(FIND(MID('02_clients_raw'!C7&amp;"",5,1),"x0123456789")&gt;=2,FALSE)),IF(6&gt;LEN('02_clients_raw'!C7&amp;""),TRUE,IFERROR(FIND(MID('02_clients_raw'!C7&amp;"",6,1),"x0123456789")&gt;=2,FALSE)),IF(7&gt;LEN('02_clients_raw'!C7&amp;""),TRUE,IFERROR(FIND(MID('02_clients_raw'!C7&amp;"",7,1),"x0123456789")&gt;=2,FALSE)),IF(8&gt;LEN('02_clients_raw'!C7&amp;""),TRUE,IFERROR(FIND(MID('02_clients_raw'!C7&amp;"",8,1),"x0123456789")&gt;=2,FALSE)),IF(9&gt;LEN('02_clients_raw'!C7&amp;""),TRUE,IFERROR(FIND(MID('02_clients_raw'!C7&amp;"",9,1),"x0123456789")&gt;=2,FALSE)),IF(10&gt;LEN('02_clients_raw'!C7&amp;""),TRUE,IFERROR(FIND(MID('02_clients_raw'!C7&amp;"",10,1),"x0123456789")&gt;=2,FALSE)),IF(11&gt;LEN('02_clients_raw'!C7&amp;""),TRUE,IFERROR(FIND(MID('02_clients_raw'!C7&amp;"",11,1),"x0123456789")&gt;=2,FALSE)),IF(12&gt;LEN('02_clients_raw'!C7&amp;""),TRUE,IFERROR(FIND(MID('02_clients_raw'!C7&amp;"",12,1),"x0123456789")&gt;=2,FALSE))))),"ERROR","OK")),"")</x:f>
        <x:v>OK</x:v>
      </x:c>
      <x:c r="G187" s="2" t="str">
        <x:f>IF(COUNTA('02_clients_raw'!A7:F7)&gt;0,"N/A","")</x:f>
        <x:v>N/A</x:v>
      </x:c>
      <x:c r="H187" s="2" t="str">
        <x:f>IF(COUNTA('02_clients_raw'!A7:F7)&gt;0,IF(LEN('02_clients_raw'!E7&amp;"")=0,"SKIP",IF(OR(NOT(ISNUMBER('02_clients_raw'!E7)),'02_clients_raw'!E7&lt;=0,'02_clients_raw'!E7&gt;'09_parameters'!$B$2),"ERROR","OK")),"")</x:f>
        <x:v>OK</x:v>
      </x:c>
      <x:c r="I187" s="2" t="str">
        <x:f>IF(COUNTA('02_clients_raw'!A7:F7)&gt;0,"N/A","")</x:f>
        <x:v>N/A</x:v>
      </x:c>
      <x:c r="J187" s="2" t="n">
        <x:f>COUNTIF(C187:I187,"ERROR")</x:f>
        <x:v>0</x:v>
      </x:c>
      <x:c r="K187" s="2" t="n">
        <x:f>IF(COUNTA('02_clients_raw'!A7:F7)&gt;0,7,"")</x:f>
        <x:v>7</x:v>
      </x:c>
    </x:row>
    <x:row r="188">
      <x:c r="A188" s="2" t="str">
        <x:f>IF(COUNTA('02_clients_raw'!A8:F8)&gt;0,"Client","")</x:f>
        <x:v>Client</x:v>
      </x:c>
      <x:c r="B188" s="2" t="str">
        <x:f>IF(COUNTA('02_clients_raw'!A8:F8)&gt;0,'02_clients_raw'!A8,"")</x:f>
        <x:v>C007</x:v>
      </x:c>
      <x:c r="C188" s="2" t="str">
        <x:f>IF(COUNTA('02_clients_raw'!A8:F8)&gt;0,IF(AND(LEN('02_clients_raw'!A8&amp;"")&gt;0,COUNTIF('02_clients_raw'!$A$2:$A$67,'02_clients_raw'!A8)&gt;1),"ERROR","OK"),"")</x:f>
        <x:v>OK</x:v>
      </x:c>
      <x:c r="D188" s="2" t="str">
        <x:f>IF(COUNTA('02_clients_raw'!A8:F8)&gt;0,IF(OR(LEN('02_clients_raw'!A8&amp;"")=0,LEN('02_clients_raw'!B8&amp;"")=0,LEN('02_clients_raw'!C8&amp;"")=0,LEN('02_clients_raw'!D8&amp;"")=0,LEN('02_clients_raw'!E8&amp;"")=0,LEN('02_clients_raw'!F8&amp;"")=0),"ERROR","OK"),"")</x:f>
        <x:v>OK</x:v>
      </x:c>
      <x:c r="E188" s="2" t="str">
        <x:f>IF(COUNTA('02_clients_raw'!A8:F8)&gt;0,"N/A","")</x:f>
        <x:v>N/A</x:v>
      </x:c>
      <x:c r="F188" s="2" t="str">
        <x:f>IF(COUNTA('02_clients_raw'!A8:F8)&gt;0,IF(LEN('02_clients_raw'!C8&amp;"")=0,"SKIP",IF(OR(AND(LEN('02_clients_raw'!C8&amp;"")&lt;&gt;10,LEN('02_clients_raw'!C8&amp;"")&lt;&gt;12),NOT(AND(IF(1&gt;LEN('02_clients_raw'!C8&amp;""),TRUE,IFERROR(FIND(MID('02_clients_raw'!C8&amp;"",1,1),"x0123456789")&gt;=2,FALSE)),IF(2&gt;LEN('02_clients_raw'!C8&amp;""),TRUE,IFERROR(FIND(MID('02_clients_raw'!C8&amp;"",2,1),"x0123456789")&gt;=2,FALSE)),IF(3&gt;LEN('02_clients_raw'!C8&amp;""),TRUE,IFERROR(FIND(MID('02_clients_raw'!C8&amp;"",3,1),"x0123456789")&gt;=2,FALSE)),IF(4&gt;LEN('02_clients_raw'!C8&amp;""),TRUE,IFERROR(FIND(MID('02_clients_raw'!C8&amp;"",4,1),"x0123456789")&gt;=2,FALSE)),IF(5&gt;LEN('02_clients_raw'!C8&amp;""),TRUE,IFERROR(FIND(MID('02_clients_raw'!C8&amp;"",5,1),"x0123456789")&gt;=2,FALSE)),IF(6&gt;LEN('02_clients_raw'!C8&amp;""),TRUE,IFERROR(FIND(MID('02_clients_raw'!C8&amp;"",6,1),"x0123456789")&gt;=2,FALSE)),IF(7&gt;LEN('02_clients_raw'!C8&amp;""),TRUE,IFERROR(FIND(MID('02_clients_raw'!C8&amp;"",7,1),"x0123456789")&gt;=2,FALSE)),IF(8&gt;LEN('02_clients_raw'!C8&amp;""),TRUE,IFERROR(FIND(MID('02_clients_raw'!C8&amp;"",8,1),"x0123456789")&gt;=2,FALSE)),IF(9&gt;LEN('02_clients_raw'!C8&amp;""),TRUE,IFERROR(FIND(MID('02_clients_raw'!C8&amp;"",9,1),"x0123456789")&gt;=2,FALSE)),IF(10&gt;LEN('02_clients_raw'!C8&amp;""),TRUE,IFERROR(FIND(MID('02_clients_raw'!C8&amp;"",10,1),"x0123456789")&gt;=2,FALSE)),IF(11&gt;LEN('02_clients_raw'!C8&amp;""),TRUE,IFERROR(FIND(MID('02_clients_raw'!C8&amp;"",11,1),"x0123456789")&gt;=2,FALSE)),IF(12&gt;LEN('02_clients_raw'!C8&amp;""),TRUE,IFERROR(FIND(MID('02_clients_raw'!C8&amp;"",12,1),"x0123456789")&gt;=2,FALSE))))),"ERROR","OK")),"")</x:f>
        <x:v>OK</x:v>
      </x:c>
      <x:c r="G188" s="2" t="str">
        <x:f>IF(COUNTA('02_clients_raw'!A8:F8)&gt;0,"N/A","")</x:f>
        <x:v>N/A</x:v>
      </x:c>
      <x:c r="H188" s="2" t="str">
        <x:f>IF(COUNTA('02_clients_raw'!A8:F8)&gt;0,IF(LEN('02_clients_raw'!E8&amp;"")=0,"SKIP",IF(OR(NOT(ISNUMBER('02_clients_raw'!E8)),'02_clients_raw'!E8&lt;=0,'02_clients_raw'!E8&gt;'09_parameters'!$B$2),"ERROR","OK")),"")</x:f>
        <x:v>OK</x:v>
      </x:c>
      <x:c r="I188" s="2" t="str">
        <x:f>IF(COUNTA('02_clients_raw'!A8:F8)&gt;0,"N/A","")</x:f>
        <x:v>N/A</x:v>
      </x:c>
      <x:c r="J188" s="2" t="n">
        <x:f>COUNTIF(C188:I188,"ERROR")</x:f>
        <x:v>0</x:v>
      </x:c>
      <x:c r="K188" s="2" t="n">
        <x:f>IF(COUNTA('02_clients_raw'!A8:F8)&gt;0,8,"")</x:f>
        <x:v>8</x:v>
      </x:c>
    </x:row>
    <x:row r="189">
      <x:c r="A189" s="2" t="str">
        <x:f>IF(COUNTA('02_clients_raw'!A9:F9)&gt;0,"Client","")</x:f>
        <x:v>Client</x:v>
      </x:c>
      <x:c r="B189" s="2" t="str">
        <x:f>IF(COUNTA('02_clients_raw'!A9:F9)&gt;0,'02_clients_raw'!A9,"")</x:f>
        <x:v>C008</x:v>
      </x:c>
      <x:c r="C189" s="2" t="str">
        <x:f>IF(COUNTA('02_clients_raw'!A9:F9)&gt;0,IF(AND(LEN('02_clients_raw'!A9&amp;"")&gt;0,COUNTIF('02_clients_raw'!$A$2:$A$67,'02_clients_raw'!A9)&gt;1),"ERROR","OK"),"")</x:f>
        <x:v>OK</x:v>
      </x:c>
      <x:c r="D189" s="2" t="str">
        <x:f>IF(COUNTA('02_clients_raw'!A9:F9)&gt;0,IF(OR(LEN('02_clients_raw'!A9&amp;"")=0,LEN('02_clients_raw'!B9&amp;"")=0,LEN('02_clients_raw'!C9&amp;"")=0,LEN('02_clients_raw'!D9&amp;"")=0,LEN('02_clients_raw'!E9&amp;"")=0,LEN('02_clients_raw'!F9&amp;"")=0),"ERROR","OK"),"")</x:f>
        <x:v>OK</x:v>
      </x:c>
      <x:c r="E189" s="2" t="str">
        <x:f>IF(COUNTA('02_clients_raw'!A9:F9)&gt;0,"N/A","")</x:f>
        <x:v>N/A</x:v>
      </x:c>
      <x:c r="F189" s="2" t="str">
        <x:f>IF(COUNTA('02_clients_raw'!A9:F9)&gt;0,IF(LEN('02_clients_raw'!C9&amp;"")=0,"SKIP",IF(OR(AND(LEN('02_clients_raw'!C9&amp;"")&lt;&gt;10,LEN('02_clients_raw'!C9&amp;"")&lt;&gt;12),NOT(AND(IF(1&gt;LEN('02_clients_raw'!C9&amp;""),TRUE,IFERROR(FIND(MID('02_clients_raw'!C9&amp;"",1,1),"x0123456789")&gt;=2,FALSE)),IF(2&gt;LEN('02_clients_raw'!C9&amp;""),TRUE,IFERROR(FIND(MID('02_clients_raw'!C9&amp;"",2,1),"x0123456789")&gt;=2,FALSE)),IF(3&gt;LEN('02_clients_raw'!C9&amp;""),TRUE,IFERROR(FIND(MID('02_clients_raw'!C9&amp;"",3,1),"x0123456789")&gt;=2,FALSE)),IF(4&gt;LEN('02_clients_raw'!C9&amp;""),TRUE,IFERROR(FIND(MID('02_clients_raw'!C9&amp;"",4,1),"x0123456789")&gt;=2,FALSE)),IF(5&gt;LEN('02_clients_raw'!C9&amp;""),TRUE,IFERROR(FIND(MID('02_clients_raw'!C9&amp;"",5,1),"x0123456789")&gt;=2,FALSE)),IF(6&gt;LEN('02_clients_raw'!C9&amp;""),TRUE,IFERROR(FIND(MID('02_clients_raw'!C9&amp;"",6,1),"x0123456789")&gt;=2,FALSE)),IF(7&gt;LEN('02_clients_raw'!C9&amp;""),TRUE,IFERROR(FIND(MID('02_clients_raw'!C9&amp;"",7,1),"x0123456789")&gt;=2,FALSE)),IF(8&gt;LEN('02_clients_raw'!C9&amp;""),TRUE,IFERROR(FIND(MID('02_clients_raw'!C9&amp;"",8,1),"x0123456789")&gt;=2,FALSE)),IF(9&gt;LEN('02_clients_raw'!C9&amp;""),TRUE,IFERROR(FIND(MID('02_clients_raw'!C9&amp;"",9,1),"x0123456789")&gt;=2,FALSE)),IF(10&gt;LEN('02_clients_raw'!C9&amp;""),TRUE,IFERROR(FIND(MID('02_clients_raw'!C9&amp;"",10,1),"x0123456789")&gt;=2,FALSE)),IF(11&gt;LEN('02_clients_raw'!C9&amp;""),TRUE,IFERROR(FIND(MID('02_clients_raw'!C9&amp;"",11,1),"x0123456789")&gt;=2,FALSE)),IF(12&gt;LEN('02_clients_raw'!C9&amp;""),TRUE,IFERROR(FIND(MID('02_clients_raw'!C9&amp;"",12,1),"x0123456789")&gt;=2,FALSE))))),"ERROR","OK")),"")</x:f>
        <x:v>OK</x:v>
      </x:c>
      <x:c r="G189" s="2" t="str">
        <x:f>IF(COUNTA('02_clients_raw'!A9:F9)&gt;0,"N/A","")</x:f>
        <x:v>N/A</x:v>
      </x:c>
      <x:c r="H189" s="2" t="str">
        <x:f>IF(COUNTA('02_clients_raw'!A9:F9)&gt;0,IF(LEN('02_clients_raw'!E9&amp;"")=0,"SKIP",IF(OR(NOT(ISNUMBER('02_clients_raw'!E9)),'02_clients_raw'!E9&lt;=0,'02_clients_raw'!E9&gt;'09_parameters'!$B$2),"ERROR","OK")),"")</x:f>
        <x:v>OK</x:v>
      </x:c>
      <x:c r="I189" s="2" t="str">
        <x:f>IF(COUNTA('02_clients_raw'!A9:F9)&gt;0,"N/A","")</x:f>
        <x:v>N/A</x:v>
      </x:c>
      <x:c r="J189" s="2" t="n">
        <x:f>COUNTIF(C189:I189,"ERROR")</x:f>
        <x:v>0</x:v>
      </x:c>
      <x:c r="K189" s="2" t="n">
        <x:f>IF(COUNTA('02_clients_raw'!A9:F9)&gt;0,9,"")</x:f>
        <x:v>9</x:v>
      </x:c>
    </x:row>
    <x:row r="190">
      <x:c r="A190" s="2" t="str">
        <x:f>IF(COUNTA('02_clients_raw'!A10:F10)&gt;0,"Client","")</x:f>
        <x:v>Client</x:v>
      </x:c>
      <x:c r="B190" s="2" t="str">
        <x:f>IF(COUNTA('02_clients_raw'!A10:F10)&gt;0,'02_clients_raw'!A10,"")</x:f>
        <x:v>C009</x:v>
      </x:c>
      <x:c r="C190" s="2" t="str">
        <x:f>IF(COUNTA('02_clients_raw'!A10:F10)&gt;0,IF(AND(LEN('02_clients_raw'!A10&amp;"")&gt;0,COUNTIF('02_clients_raw'!$A$2:$A$67,'02_clients_raw'!A10)&gt;1),"ERROR","OK"),"")</x:f>
        <x:v>ERROR</x:v>
      </x:c>
      <x:c r="D190" s="2" t="str">
        <x:f>IF(COUNTA('02_clients_raw'!A10:F10)&gt;0,IF(OR(LEN('02_clients_raw'!A10&amp;"")=0,LEN('02_clients_raw'!B10&amp;"")=0,LEN('02_clients_raw'!C10&amp;"")=0,LEN('02_clients_raw'!D10&amp;"")=0,LEN('02_clients_raw'!E10&amp;"")=0,LEN('02_clients_raw'!F10&amp;"")=0),"ERROR","OK"),"")</x:f>
        <x:v>OK</x:v>
      </x:c>
      <x:c r="E190" s="2" t="str">
        <x:f>IF(COUNTA('02_clients_raw'!A10:F10)&gt;0,"N/A","")</x:f>
        <x:v>N/A</x:v>
      </x:c>
      <x:c r="F190" s="2" t="str">
        <x:f>IF(COUNTA('02_clients_raw'!A10:F10)&gt;0,IF(LEN('02_clients_raw'!C10&amp;"")=0,"SKIP",IF(OR(AND(LEN('02_clients_raw'!C10&amp;"")&lt;&gt;10,LEN('02_clients_raw'!C10&amp;"")&lt;&gt;12),NOT(AND(IF(1&gt;LEN('02_clients_raw'!C10&amp;""),TRUE,IFERROR(FIND(MID('02_clients_raw'!C10&amp;"",1,1),"x0123456789")&gt;=2,FALSE)),IF(2&gt;LEN('02_clients_raw'!C10&amp;""),TRUE,IFERROR(FIND(MID('02_clients_raw'!C10&amp;"",2,1),"x0123456789")&gt;=2,FALSE)),IF(3&gt;LEN('02_clients_raw'!C10&amp;""),TRUE,IFERROR(FIND(MID('02_clients_raw'!C10&amp;"",3,1),"x0123456789")&gt;=2,FALSE)),IF(4&gt;LEN('02_clients_raw'!C10&amp;""),TRUE,IFERROR(FIND(MID('02_clients_raw'!C10&amp;"",4,1),"x0123456789")&gt;=2,FALSE)),IF(5&gt;LEN('02_clients_raw'!C10&amp;""),TRUE,IFERROR(FIND(MID('02_clients_raw'!C10&amp;"",5,1),"x0123456789")&gt;=2,FALSE)),IF(6&gt;LEN('02_clients_raw'!C10&amp;""),TRUE,IFERROR(FIND(MID('02_clients_raw'!C10&amp;"",6,1),"x0123456789")&gt;=2,FALSE)),IF(7&gt;LEN('02_clients_raw'!C10&amp;""),TRUE,IFERROR(FIND(MID('02_clients_raw'!C10&amp;"",7,1),"x0123456789")&gt;=2,FALSE)),IF(8&gt;LEN('02_clients_raw'!C10&amp;""),TRUE,IFERROR(FIND(MID('02_clients_raw'!C10&amp;"",8,1),"x0123456789")&gt;=2,FALSE)),IF(9&gt;LEN('02_clients_raw'!C10&amp;""),TRUE,IFERROR(FIND(MID('02_clients_raw'!C10&amp;"",9,1),"x0123456789")&gt;=2,FALSE)),IF(10&gt;LEN('02_clients_raw'!C10&amp;""),TRUE,IFERROR(FIND(MID('02_clients_raw'!C10&amp;"",10,1),"x0123456789")&gt;=2,FALSE)),IF(11&gt;LEN('02_clients_raw'!C10&amp;""),TRUE,IFERROR(FIND(MID('02_clients_raw'!C10&amp;"",11,1),"x0123456789")&gt;=2,FALSE)),IF(12&gt;LEN('02_clients_raw'!C10&amp;""),TRUE,IFERROR(FIND(MID('02_clients_raw'!C10&amp;"",12,1),"x0123456789")&gt;=2,FALSE))))),"ERROR","OK")),"")</x:f>
        <x:v>OK</x:v>
      </x:c>
      <x:c r="G190" s="2" t="str">
        <x:f>IF(COUNTA('02_clients_raw'!A10:F10)&gt;0,"N/A","")</x:f>
        <x:v>N/A</x:v>
      </x:c>
      <x:c r="H190" s="2" t="str">
        <x:f>IF(COUNTA('02_clients_raw'!A10:F10)&gt;0,IF(LEN('02_clients_raw'!E10&amp;"")=0,"SKIP",IF(OR(NOT(ISNUMBER('02_clients_raw'!E10)),'02_clients_raw'!E10&lt;=0,'02_clients_raw'!E10&gt;'09_parameters'!$B$2),"ERROR","OK")),"")</x:f>
        <x:v>OK</x:v>
      </x:c>
      <x:c r="I190" s="2" t="str">
        <x:f>IF(COUNTA('02_clients_raw'!A10:F10)&gt;0,"N/A","")</x:f>
        <x:v>N/A</x:v>
      </x:c>
      <x:c r="J190" s="2" t="n">
        <x:f>COUNTIF(C190:I190,"ERROR")</x:f>
        <x:v>1</x:v>
      </x:c>
      <x:c r="K190" s="2" t="n">
        <x:f>IF(COUNTA('02_clients_raw'!A10:F10)&gt;0,10,"")</x:f>
        <x:v>10</x:v>
      </x:c>
    </x:row>
    <x:row r="191">
      <x:c r="A191" s="2" t="str">
        <x:f>IF(COUNTA('02_clients_raw'!A11:F11)&gt;0,"Client","")</x:f>
        <x:v>Client</x:v>
      </x:c>
      <x:c r="B191" s="2" t="str">
        <x:f>IF(COUNTA('02_clients_raw'!A11:F11)&gt;0,'02_clients_raw'!A11,"")</x:f>
        <x:v>C010</x:v>
      </x:c>
      <x:c r="C191" s="2" t="str">
        <x:f>IF(COUNTA('02_clients_raw'!A11:F11)&gt;0,IF(AND(LEN('02_clients_raw'!A11&amp;"")&gt;0,COUNTIF('02_clients_raw'!$A$2:$A$67,'02_clients_raw'!A11)&gt;1),"ERROR","OK"),"")</x:f>
        <x:v>OK</x:v>
      </x:c>
      <x:c r="D191" s="2" t="str">
        <x:f>IF(COUNTA('02_clients_raw'!A11:F11)&gt;0,IF(OR(LEN('02_clients_raw'!A11&amp;"")=0,LEN('02_clients_raw'!B11&amp;"")=0,LEN('02_clients_raw'!C11&amp;"")=0,LEN('02_clients_raw'!D11&amp;"")=0,LEN('02_clients_raw'!E11&amp;"")=0,LEN('02_clients_raw'!F11&amp;"")=0),"ERROR","OK"),"")</x:f>
        <x:v>OK</x:v>
      </x:c>
      <x:c r="E191" s="2" t="str">
        <x:f>IF(COUNTA('02_clients_raw'!A11:F11)&gt;0,"N/A","")</x:f>
        <x:v>N/A</x:v>
      </x:c>
      <x:c r="F191" s="2" t="str">
        <x:f>IF(COUNTA('02_clients_raw'!A11:F11)&gt;0,IF(LEN('02_clients_raw'!C11&amp;"")=0,"SKIP",IF(OR(AND(LEN('02_clients_raw'!C11&amp;"")&lt;&gt;10,LEN('02_clients_raw'!C11&amp;"")&lt;&gt;12),NOT(AND(IF(1&gt;LEN('02_clients_raw'!C11&amp;""),TRUE,IFERROR(FIND(MID('02_clients_raw'!C11&amp;"",1,1),"x0123456789")&gt;=2,FALSE)),IF(2&gt;LEN('02_clients_raw'!C11&amp;""),TRUE,IFERROR(FIND(MID('02_clients_raw'!C11&amp;"",2,1),"x0123456789")&gt;=2,FALSE)),IF(3&gt;LEN('02_clients_raw'!C11&amp;""),TRUE,IFERROR(FIND(MID('02_clients_raw'!C11&amp;"",3,1),"x0123456789")&gt;=2,FALSE)),IF(4&gt;LEN('02_clients_raw'!C11&amp;""),TRUE,IFERROR(FIND(MID('02_clients_raw'!C11&amp;"",4,1),"x0123456789")&gt;=2,FALSE)),IF(5&gt;LEN('02_clients_raw'!C11&amp;""),TRUE,IFERROR(FIND(MID('02_clients_raw'!C11&amp;"",5,1),"x0123456789")&gt;=2,FALSE)),IF(6&gt;LEN('02_clients_raw'!C11&amp;""),TRUE,IFERROR(FIND(MID('02_clients_raw'!C11&amp;"",6,1),"x0123456789")&gt;=2,FALSE)),IF(7&gt;LEN('02_clients_raw'!C11&amp;""),TRUE,IFERROR(FIND(MID('02_clients_raw'!C11&amp;"",7,1),"x0123456789")&gt;=2,FALSE)),IF(8&gt;LEN('02_clients_raw'!C11&amp;""),TRUE,IFERROR(FIND(MID('02_clients_raw'!C11&amp;"",8,1),"x0123456789")&gt;=2,FALSE)),IF(9&gt;LEN('02_clients_raw'!C11&amp;""),TRUE,IFERROR(FIND(MID('02_clients_raw'!C11&amp;"",9,1),"x0123456789")&gt;=2,FALSE)),IF(10&gt;LEN('02_clients_raw'!C11&amp;""),TRUE,IFERROR(FIND(MID('02_clients_raw'!C11&amp;"",10,1),"x0123456789")&gt;=2,FALSE)),IF(11&gt;LEN('02_clients_raw'!C11&amp;""),TRUE,IFERROR(FIND(MID('02_clients_raw'!C11&amp;"",11,1),"x0123456789")&gt;=2,FALSE)),IF(12&gt;LEN('02_clients_raw'!C11&amp;""),TRUE,IFERROR(FIND(MID('02_clients_raw'!C11&amp;"",12,1),"x0123456789")&gt;=2,FALSE))))),"ERROR","OK")),"")</x:f>
        <x:v>OK</x:v>
      </x:c>
      <x:c r="G191" s="2" t="str">
        <x:f>IF(COUNTA('02_clients_raw'!A11:F11)&gt;0,"N/A","")</x:f>
        <x:v>N/A</x:v>
      </x:c>
      <x:c r="H191" s="2" t="str">
        <x:f>IF(COUNTA('02_clients_raw'!A11:F11)&gt;0,IF(LEN('02_clients_raw'!E11&amp;"")=0,"SKIP",IF(OR(NOT(ISNUMBER('02_clients_raw'!E11)),'02_clients_raw'!E11&lt;=0,'02_clients_raw'!E11&gt;'09_parameters'!$B$2),"ERROR","OK")),"")</x:f>
        <x:v>OK</x:v>
      </x:c>
      <x:c r="I191" s="2" t="str">
        <x:f>IF(COUNTA('02_clients_raw'!A11:F11)&gt;0,"N/A","")</x:f>
        <x:v>N/A</x:v>
      </x:c>
      <x:c r="J191" s="2" t="n">
        <x:f>COUNTIF(C191:I191,"ERROR")</x:f>
        <x:v>0</x:v>
      </x:c>
      <x:c r="K191" s="2" t="n">
        <x:f>IF(COUNTA('02_clients_raw'!A11:F11)&gt;0,11,"")</x:f>
        <x:v>11</x:v>
      </x:c>
    </x:row>
    <x:row r="192">
      <x:c r="A192" s="2" t="str">
        <x:f>IF(COUNTA('02_clients_raw'!A12:F12)&gt;0,"Client","")</x:f>
        <x:v>Client</x:v>
      </x:c>
      <x:c r="B192" s="2" t="str">
        <x:f>IF(COUNTA('02_clients_raw'!A12:F12)&gt;0,'02_clients_raw'!A12,"")</x:f>
        <x:v>C011</x:v>
      </x:c>
      <x:c r="C192" s="2" t="str">
        <x:f>IF(COUNTA('02_clients_raw'!A12:F12)&gt;0,IF(AND(LEN('02_clients_raw'!A12&amp;"")&gt;0,COUNTIF('02_clients_raw'!$A$2:$A$67,'02_clients_raw'!A12)&gt;1),"ERROR","OK"),"")</x:f>
        <x:v>OK</x:v>
      </x:c>
      <x:c r="D192" s="2" t="str">
        <x:f>IF(COUNTA('02_clients_raw'!A12:F12)&gt;0,IF(OR(LEN('02_clients_raw'!A12&amp;"")=0,LEN('02_clients_raw'!B12&amp;"")=0,LEN('02_clients_raw'!C12&amp;"")=0,LEN('02_clients_raw'!D12&amp;"")=0,LEN('02_clients_raw'!E12&amp;"")=0,LEN('02_clients_raw'!F12&amp;"")=0),"ERROR","OK"),"")</x:f>
        <x:v>OK</x:v>
      </x:c>
      <x:c r="E192" s="2" t="str">
        <x:f>IF(COUNTA('02_clients_raw'!A12:F12)&gt;0,"N/A","")</x:f>
        <x:v>N/A</x:v>
      </x:c>
      <x:c r="F192" s="2" t="str">
        <x:f>IF(COUNTA('02_clients_raw'!A12:F12)&gt;0,IF(LEN('02_clients_raw'!C12&amp;"")=0,"SKIP",IF(OR(AND(LEN('02_clients_raw'!C12&amp;"")&lt;&gt;10,LEN('02_clients_raw'!C12&amp;"")&lt;&gt;12),NOT(AND(IF(1&gt;LEN('02_clients_raw'!C12&amp;""),TRUE,IFERROR(FIND(MID('02_clients_raw'!C12&amp;"",1,1),"x0123456789")&gt;=2,FALSE)),IF(2&gt;LEN('02_clients_raw'!C12&amp;""),TRUE,IFERROR(FIND(MID('02_clients_raw'!C12&amp;"",2,1),"x0123456789")&gt;=2,FALSE)),IF(3&gt;LEN('02_clients_raw'!C12&amp;""),TRUE,IFERROR(FIND(MID('02_clients_raw'!C12&amp;"",3,1),"x0123456789")&gt;=2,FALSE)),IF(4&gt;LEN('02_clients_raw'!C12&amp;""),TRUE,IFERROR(FIND(MID('02_clients_raw'!C12&amp;"",4,1),"x0123456789")&gt;=2,FALSE)),IF(5&gt;LEN('02_clients_raw'!C12&amp;""),TRUE,IFERROR(FIND(MID('02_clients_raw'!C12&amp;"",5,1),"x0123456789")&gt;=2,FALSE)),IF(6&gt;LEN('02_clients_raw'!C12&amp;""),TRUE,IFERROR(FIND(MID('02_clients_raw'!C12&amp;"",6,1),"x0123456789")&gt;=2,FALSE)),IF(7&gt;LEN('02_clients_raw'!C12&amp;""),TRUE,IFERROR(FIND(MID('02_clients_raw'!C12&amp;"",7,1),"x0123456789")&gt;=2,FALSE)),IF(8&gt;LEN('02_clients_raw'!C12&amp;""),TRUE,IFERROR(FIND(MID('02_clients_raw'!C12&amp;"",8,1),"x0123456789")&gt;=2,FALSE)),IF(9&gt;LEN('02_clients_raw'!C12&amp;""),TRUE,IFERROR(FIND(MID('02_clients_raw'!C12&amp;"",9,1),"x0123456789")&gt;=2,FALSE)),IF(10&gt;LEN('02_clients_raw'!C12&amp;""),TRUE,IFERROR(FIND(MID('02_clients_raw'!C12&amp;"",10,1),"x0123456789")&gt;=2,FALSE)),IF(11&gt;LEN('02_clients_raw'!C12&amp;""),TRUE,IFERROR(FIND(MID('02_clients_raw'!C12&amp;"",11,1),"x0123456789")&gt;=2,FALSE)),IF(12&gt;LEN('02_clients_raw'!C12&amp;""),TRUE,IFERROR(FIND(MID('02_clients_raw'!C12&amp;"",12,1),"x0123456789")&gt;=2,FALSE))))),"ERROR","OK")),"")</x:f>
        <x:v>OK</x:v>
      </x:c>
      <x:c r="G192" s="2" t="str">
        <x:f>IF(COUNTA('02_clients_raw'!A12:F12)&gt;0,"N/A","")</x:f>
        <x:v>N/A</x:v>
      </x:c>
      <x:c r="H192" s="2" t="str">
        <x:f>IF(COUNTA('02_clients_raw'!A12:F12)&gt;0,IF(LEN('02_clients_raw'!E12&amp;"")=0,"SKIP",IF(OR(NOT(ISNUMBER('02_clients_raw'!E12)),'02_clients_raw'!E12&lt;=0,'02_clients_raw'!E12&gt;'09_parameters'!$B$2),"ERROR","OK")),"")</x:f>
        <x:v>OK</x:v>
      </x:c>
      <x:c r="I192" s="2" t="str">
        <x:f>IF(COUNTA('02_clients_raw'!A12:F12)&gt;0,"N/A","")</x:f>
        <x:v>N/A</x:v>
      </x:c>
      <x:c r="J192" s="2" t="n">
        <x:f>COUNTIF(C192:I192,"ERROR")</x:f>
        <x:v>0</x:v>
      </x:c>
      <x:c r="K192" s="2" t="n">
        <x:f>IF(COUNTA('02_clients_raw'!A12:F12)&gt;0,12,"")</x:f>
        <x:v>12</x:v>
      </x:c>
    </x:row>
    <x:row r="193">
      <x:c r="A193" s="2" t="str">
        <x:f>IF(COUNTA('02_clients_raw'!A13:F13)&gt;0,"Client","")</x:f>
        <x:v>Client</x:v>
      </x:c>
      <x:c r="B193" s="2" t="str">
        <x:f>IF(COUNTA('02_clients_raw'!A13:F13)&gt;0,'02_clients_raw'!A13,"")</x:f>
        <x:v>C012</x:v>
      </x:c>
      <x:c r="C193" s="2" t="str">
        <x:f>IF(COUNTA('02_clients_raw'!A13:F13)&gt;0,IF(AND(LEN('02_clients_raw'!A13&amp;"")&gt;0,COUNTIF('02_clients_raw'!$A$2:$A$67,'02_clients_raw'!A13)&gt;1),"ERROR","OK"),"")</x:f>
        <x:v>OK</x:v>
      </x:c>
      <x:c r="D193" s="2" t="str">
        <x:f>IF(COUNTA('02_clients_raw'!A13:F13)&gt;0,IF(OR(LEN('02_clients_raw'!A13&amp;"")=0,LEN('02_clients_raw'!B13&amp;"")=0,LEN('02_clients_raw'!C13&amp;"")=0,LEN('02_clients_raw'!D13&amp;"")=0,LEN('02_clients_raw'!E13&amp;"")=0,LEN('02_clients_raw'!F13&amp;"")=0),"ERROR","OK"),"")</x:f>
        <x:v>OK</x:v>
      </x:c>
      <x:c r="E193" s="2" t="str">
        <x:f>IF(COUNTA('02_clients_raw'!A13:F13)&gt;0,"N/A","")</x:f>
        <x:v>N/A</x:v>
      </x:c>
      <x:c r="F193" s="2" t="str">
        <x:f>IF(COUNTA('02_clients_raw'!A13:F13)&gt;0,IF(LEN('02_clients_raw'!C13&amp;"")=0,"SKIP",IF(OR(AND(LEN('02_clients_raw'!C13&amp;"")&lt;&gt;10,LEN('02_clients_raw'!C13&amp;"")&lt;&gt;12),NOT(AND(IF(1&gt;LEN('02_clients_raw'!C13&amp;""),TRUE,IFERROR(FIND(MID('02_clients_raw'!C13&amp;"",1,1),"x0123456789")&gt;=2,FALSE)),IF(2&gt;LEN('02_clients_raw'!C13&amp;""),TRUE,IFERROR(FIND(MID('02_clients_raw'!C13&amp;"",2,1),"x0123456789")&gt;=2,FALSE)),IF(3&gt;LEN('02_clients_raw'!C13&amp;""),TRUE,IFERROR(FIND(MID('02_clients_raw'!C13&amp;"",3,1),"x0123456789")&gt;=2,FALSE)),IF(4&gt;LEN('02_clients_raw'!C13&amp;""),TRUE,IFERROR(FIND(MID('02_clients_raw'!C13&amp;"",4,1),"x0123456789")&gt;=2,FALSE)),IF(5&gt;LEN('02_clients_raw'!C13&amp;""),TRUE,IFERROR(FIND(MID('02_clients_raw'!C13&amp;"",5,1),"x0123456789")&gt;=2,FALSE)),IF(6&gt;LEN('02_clients_raw'!C13&amp;""),TRUE,IFERROR(FIND(MID('02_clients_raw'!C13&amp;"",6,1),"x0123456789")&gt;=2,FALSE)),IF(7&gt;LEN('02_clients_raw'!C13&amp;""),TRUE,IFERROR(FIND(MID('02_clients_raw'!C13&amp;"",7,1),"x0123456789")&gt;=2,FALSE)),IF(8&gt;LEN('02_clients_raw'!C13&amp;""),TRUE,IFERROR(FIND(MID('02_clients_raw'!C13&amp;"",8,1),"x0123456789")&gt;=2,FALSE)),IF(9&gt;LEN('02_clients_raw'!C13&amp;""),TRUE,IFERROR(FIND(MID('02_clients_raw'!C13&amp;"",9,1),"x0123456789")&gt;=2,FALSE)),IF(10&gt;LEN('02_clients_raw'!C13&amp;""),TRUE,IFERROR(FIND(MID('02_clients_raw'!C13&amp;"",10,1),"x0123456789")&gt;=2,FALSE)),IF(11&gt;LEN('02_clients_raw'!C13&amp;""),TRUE,IFERROR(FIND(MID('02_clients_raw'!C13&amp;"",11,1),"x0123456789")&gt;=2,FALSE)),IF(12&gt;LEN('02_clients_raw'!C13&amp;""),TRUE,IFERROR(FIND(MID('02_clients_raw'!C13&amp;"",12,1),"x0123456789")&gt;=2,FALSE))))),"ERROR","OK")),"")</x:f>
        <x:v>ERROR</x:v>
      </x:c>
      <x:c r="G193" s="2" t="str">
        <x:f>IF(COUNTA('02_clients_raw'!A13:F13)&gt;0,"N/A","")</x:f>
        <x:v>N/A</x:v>
      </x:c>
      <x:c r="H193" s="2" t="str">
        <x:f>IF(COUNTA('02_clients_raw'!A13:F13)&gt;0,IF(LEN('02_clients_raw'!E13&amp;"")=0,"SKIP",IF(OR(NOT(ISNUMBER('02_clients_raw'!E13)),'02_clients_raw'!E13&lt;=0,'02_clients_raw'!E13&gt;'09_parameters'!$B$2),"ERROR","OK")),"")</x:f>
        <x:v>OK</x:v>
      </x:c>
      <x:c r="I193" s="2" t="str">
        <x:f>IF(COUNTA('02_clients_raw'!A13:F13)&gt;0,"N/A","")</x:f>
        <x:v>N/A</x:v>
      </x:c>
      <x:c r="J193" s="2" t="n">
        <x:f>COUNTIF(C193:I193,"ERROR")</x:f>
        <x:v>1</x:v>
      </x:c>
      <x:c r="K193" s="2" t="n">
        <x:f>IF(COUNTA('02_clients_raw'!A13:F13)&gt;0,13,"")</x:f>
        <x:v>13</x:v>
      </x:c>
    </x:row>
    <x:row r="194">
      <x:c r="A194" s="2" t="str">
        <x:f>IF(COUNTA('02_clients_raw'!A14:F14)&gt;0,"Client","")</x:f>
        <x:v>Client</x:v>
      </x:c>
      <x:c r="B194" s="2" t="str">
        <x:f>IF(COUNTA('02_clients_raw'!A14:F14)&gt;0,'02_clients_raw'!A14,"")</x:f>
        <x:v>C013</x:v>
      </x:c>
      <x:c r="C194" s="2" t="str">
        <x:f>IF(COUNTA('02_clients_raw'!A14:F14)&gt;0,IF(AND(LEN('02_clients_raw'!A14&amp;"")&gt;0,COUNTIF('02_clients_raw'!$A$2:$A$67,'02_clients_raw'!A14)&gt;1),"ERROR","OK"),"")</x:f>
        <x:v>OK</x:v>
      </x:c>
      <x:c r="D194" s="2" t="str">
        <x:f>IF(COUNTA('02_clients_raw'!A14:F14)&gt;0,IF(OR(LEN('02_clients_raw'!A14&amp;"")=0,LEN('02_clients_raw'!B14&amp;"")=0,LEN('02_clients_raw'!C14&amp;"")=0,LEN('02_clients_raw'!D14&amp;"")=0,LEN('02_clients_raw'!E14&amp;"")=0,LEN('02_clients_raw'!F14&amp;"")=0),"ERROR","OK"),"")</x:f>
        <x:v>OK</x:v>
      </x:c>
      <x:c r="E194" s="2" t="str">
        <x:f>IF(COUNTA('02_clients_raw'!A14:F14)&gt;0,"N/A","")</x:f>
        <x:v>N/A</x:v>
      </x:c>
      <x:c r="F194" s="2" t="str">
        <x:f>IF(COUNTA('02_clients_raw'!A14:F14)&gt;0,IF(LEN('02_clients_raw'!C14&amp;"")=0,"SKIP",IF(OR(AND(LEN('02_clients_raw'!C14&amp;"")&lt;&gt;10,LEN('02_clients_raw'!C14&amp;"")&lt;&gt;12),NOT(AND(IF(1&gt;LEN('02_clients_raw'!C14&amp;""),TRUE,IFERROR(FIND(MID('02_clients_raw'!C14&amp;"",1,1),"x0123456789")&gt;=2,FALSE)),IF(2&gt;LEN('02_clients_raw'!C14&amp;""),TRUE,IFERROR(FIND(MID('02_clients_raw'!C14&amp;"",2,1),"x0123456789")&gt;=2,FALSE)),IF(3&gt;LEN('02_clients_raw'!C14&amp;""),TRUE,IFERROR(FIND(MID('02_clients_raw'!C14&amp;"",3,1),"x0123456789")&gt;=2,FALSE)),IF(4&gt;LEN('02_clients_raw'!C14&amp;""),TRUE,IFERROR(FIND(MID('02_clients_raw'!C14&amp;"",4,1),"x0123456789")&gt;=2,FALSE)),IF(5&gt;LEN('02_clients_raw'!C14&amp;""),TRUE,IFERROR(FIND(MID('02_clients_raw'!C14&amp;"",5,1),"x0123456789")&gt;=2,FALSE)),IF(6&gt;LEN('02_clients_raw'!C14&amp;""),TRUE,IFERROR(FIND(MID('02_clients_raw'!C14&amp;"",6,1),"x0123456789")&gt;=2,FALSE)),IF(7&gt;LEN('02_clients_raw'!C14&amp;""),TRUE,IFERROR(FIND(MID('02_clients_raw'!C14&amp;"",7,1),"x0123456789")&gt;=2,FALSE)),IF(8&gt;LEN('02_clients_raw'!C14&amp;""),TRUE,IFERROR(FIND(MID('02_clients_raw'!C14&amp;"",8,1),"x0123456789")&gt;=2,FALSE)),IF(9&gt;LEN('02_clients_raw'!C14&amp;""),TRUE,IFERROR(FIND(MID('02_clients_raw'!C14&amp;"",9,1),"x0123456789")&gt;=2,FALSE)),IF(10&gt;LEN('02_clients_raw'!C14&amp;""),TRUE,IFERROR(FIND(MID('02_clients_raw'!C14&amp;"",10,1),"x0123456789")&gt;=2,FALSE)),IF(11&gt;LEN('02_clients_raw'!C14&amp;""),TRUE,IFERROR(FIND(MID('02_clients_raw'!C14&amp;"",11,1),"x0123456789")&gt;=2,FALSE)),IF(12&gt;LEN('02_clients_raw'!C14&amp;""),TRUE,IFERROR(FIND(MID('02_clients_raw'!C14&amp;"",12,1),"x0123456789")&gt;=2,FALSE))))),"ERROR","OK")),"")</x:f>
        <x:v>OK</x:v>
      </x:c>
      <x:c r="G194" s="2" t="str">
        <x:f>IF(COUNTA('02_clients_raw'!A14:F14)&gt;0,"N/A","")</x:f>
        <x:v>N/A</x:v>
      </x:c>
      <x:c r="H194" s="2" t="str">
        <x:f>IF(COUNTA('02_clients_raw'!A14:F14)&gt;0,IF(LEN('02_clients_raw'!E14&amp;"")=0,"SKIP",IF(OR(NOT(ISNUMBER('02_clients_raw'!E14)),'02_clients_raw'!E14&lt;=0,'02_clients_raw'!E14&gt;'09_parameters'!$B$2),"ERROR","OK")),"")</x:f>
        <x:v>OK</x:v>
      </x:c>
      <x:c r="I194" s="2" t="str">
        <x:f>IF(COUNTA('02_clients_raw'!A14:F14)&gt;0,"N/A","")</x:f>
        <x:v>N/A</x:v>
      </x:c>
      <x:c r="J194" s="2" t="n">
        <x:f>COUNTIF(C194:I194,"ERROR")</x:f>
        <x:v>0</x:v>
      </x:c>
      <x:c r="K194" s="2" t="n">
        <x:f>IF(COUNTA('02_clients_raw'!A14:F14)&gt;0,14,"")</x:f>
        <x:v>14</x:v>
      </x:c>
    </x:row>
    <x:row r="195">
      <x:c r="A195" s="2" t="str">
        <x:f>IF(COUNTA('02_clients_raw'!A15:F15)&gt;0,"Client","")</x:f>
        <x:v>Client</x:v>
      </x:c>
      <x:c r="B195" s="2" t="str">
        <x:f>IF(COUNTA('02_clients_raw'!A15:F15)&gt;0,'02_clients_raw'!A15,"")</x:f>
        <x:v>C014</x:v>
      </x:c>
      <x:c r="C195" s="2" t="str">
        <x:f>IF(COUNTA('02_clients_raw'!A15:F15)&gt;0,IF(AND(LEN('02_clients_raw'!A15&amp;"")&gt;0,COUNTIF('02_clients_raw'!$A$2:$A$67,'02_clients_raw'!A15)&gt;1),"ERROR","OK"),"")</x:f>
        <x:v>OK</x:v>
      </x:c>
      <x:c r="D195" s="2" t="str">
        <x:f>IF(COUNTA('02_clients_raw'!A15:F15)&gt;0,IF(OR(LEN('02_clients_raw'!A15&amp;"")=0,LEN('02_clients_raw'!B15&amp;"")=0,LEN('02_clients_raw'!C15&amp;"")=0,LEN('02_clients_raw'!D15&amp;"")=0,LEN('02_clients_raw'!E15&amp;"")=0,LEN('02_clients_raw'!F15&amp;"")=0),"ERROR","OK"),"")</x:f>
        <x:v>OK</x:v>
      </x:c>
      <x:c r="E195" s="2" t="str">
        <x:f>IF(COUNTA('02_clients_raw'!A15:F15)&gt;0,"N/A","")</x:f>
        <x:v>N/A</x:v>
      </x:c>
      <x:c r="F195" s="2" t="str">
        <x:f>IF(COUNTA('02_clients_raw'!A15:F15)&gt;0,IF(LEN('02_clients_raw'!C15&amp;"")=0,"SKIP",IF(OR(AND(LEN('02_clients_raw'!C15&amp;"")&lt;&gt;10,LEN('02_clients_raw'!C15&amp;"")&lt;&gt;12),NOT(AND(IF(1&gt;LEN('02_clients_raw'!C15&amp;""),TRUE,IFERROR(FIND(MID('02_clients_raw'!C15&amp;"",1,1),"x0123456789")&gt;=2,FALSE)),IF(2&gt;LEN('02_clients_raw'!C15&amp;""),TRUE,IFERROR(FIND(MID('02_clients_raw'!C15&amp;"",2,1),"x0123456789")&gt;=2,FALSE)),IF(3&gt;LEN('02_clients_raw'!C15&amp;""),TRUE,IFERROR(FIND(MID('02_clients_raw'!C15&amp;"",3,1),"x0123456789")&gt;=2,FALSE)),IF(4&gt;LEN('02_clients_raw'!C15&amp;""),TRUE,IFERROR(FIND(MID('02_clients_raw'!C15&amp;"",4,1),"x0123456789")&gt;=2,FALSE)),IF(5&gt;LEN('02_clients_raw'!C15&amp;""),TRUE,IFERROR(FIND(MID('02_clients_raw'!C15&amp;"",5,1),"x0123456789")&gt;=2,FALSE)),IF(6&gt;LEN('02_clients_raw'!C15&amp;""),TRUE,IFERROR(FIND(MID('02_clients_raw'!C15&amp;"",6,1),"x0123456789")&gt;=2,FALSE)),IF(7&gt;LEN('02_clients_raw'!C15&amp;""),TRUE,IFERROR(FIND(MID('02_clients_raw'!C15&amp;"",7,1),"x0123456789")&gt;=2,FALSE)),IF(8&gt;LEN('02_clients_raw'!C15&amp;""),TRUE,IFERROR(FIND(MID('02_clients_raw'!C15&amp;"",8,1),"x0123456789")&gt;=2,FALSE)),IF(9&gt;LEN('02_clients_raw'!C15&amp;""),TRUE,IFERROR(FIND(MID('02_clients_raw'!C15&amp;"",9,1),"x0123456789")&gt;=2,FALSE)),IF(10&gt;LEN('02_clients_raw'!C15&amp;""),TRUE,IFERROR(FIND(MID('02_clients_raw'!C15&amp;"",10,1),"x0123456789")&gt;=2,FALSE)),IF(11&gt;LEN('02_clients_raw'!C15&amp;""),TRUE,IFERROR(FIND(MID('02_clients_raw'!C15&amp;"",11,1),"x0123456789")&gt;=2,FALSE)),IF(12&gt;LEN('02_clients_raw'!C15&amp;""),TRUE,IFERROR(FIND(MID('02_clients_raw'!C15&amp;"",12,1),"x0123456789")&gt;=2,FALSE))))),"ERROR","OK")),"")</x:f>
        <x:v>OK</x:v>
      </x:c>
      <x:c r="G195" s="2" t="str">
        <x:f>IF(COUNTA('02_clients_raw'!A15:F15)&gt;0,"N/A","")</x:f>
        <x:v>N/A</x:v>
      </x:c>
      <x:c r="H195" s="2" t="str">
        <x:f>IF(COUNTA('02_clients_raw'!A15:F15)&gt;0,IF(LEN('02_clients_raw'!E15&amp;"")=0,"SKIP",IF(OR(NOT(ISNUMBER('02_clients_raw'!E15)),'02_clients_raw'!E15&lt;=0,'02_clients_raw'!E15&gt;'09_parameters'!$B$2),"ERROR","OK")),"")</x:f>
        <x:v>OK</x:v>
      </x:c>
      <x:c r="I195" s="2" t="str">
        <x:f>IF(COUNTA('02_clients_raw'!A15:F15)&gt;0,"N/A","")</x:f>
        <x:v>N/A</x:v>
      </x:c>
      <x:c r="J195" s="2" t="n">
        <x:f>COUNTIF(C195:I195,"ERROR")</x:f>
        <x:v>0</x:v>
      </x:c>
      <x:c r="K195" s="2" t="n">
        <x:f>IF(COUNTA('02_clients_raw'!A15:F15)&gt;0,15,"")</x:f>
        <x:v>15</x:v>
      </x:c>
    </x:row>
    <x:row r="196">
      <x:c r="A196" s="2" t="str">
        <x:f>IF(COUNTA('02_clients_raw'!A16:F16)&gt;0,"Client","")</x:f>
        <x:v>Client</x:v>
      </x:c>
      <x:c r="B196" s="2" t="str">
        <x:f>IF(COUNTA('02_clients_raw'!A16:F16)&gt;0,'02_clients_raw'!A16,"")</x:f>
        <x:v>C015</x:v>
      </x:c>
      <x:c r="C196" s="2" t="str">
        <x:f>IF(COUNTA('02_clients_raw'!A16:F16)&gt;0,IF(AND(LEN('02_clients_raw'!A16&amp;"")&gt;0,COUNTIF('02_clients_raw'!$A$2:$A$67,'02_clients_raw'!A16)&gt;1),"ERROR","OK"),"")</x:f>
        <x:v>OK</x:v>
      </x:c>
      <x:c r="D196" s="2" t="str">
        <x:f>IF(COUNTA('02_clients_raw'!A16:F16)&gt;0,IF(OR(LEN('02_clients_raw'!A16&amp;"")=0,LEN('02_clients_raw'!B16&amp;"")=0,LEN('02_clients_raw'!C16&amp;"")=0,LEN('02_clients_raw'!D16&amp;"")=0,LEN('02_clients_raw'!E16&amp;"")=0,LEN('02_clients_raw'!F16&amp;"")=0),"ERROR","OK"),"")</x:f>
        <x:v>OK</x:v>
      </x:c>
      <x:c r="E196" s="2" t="str">
        <x:f>IF(COUNTA('02_clients_raw'!A16:F16)&gt;0,"N/A","")</x:f>
        <x:v>N/A</x:v>
      </x:c>
      <x:c r="F196" s="2" t="str">
        <x:f>IF(COUNTA('02_clients_raw'!A16:F16)&gt;0,IF(LEN('02_clients_raw'!C16&amp;"")=0,"SKIP",IF(OR(AND(LEN('02_clients_raw'!C16&amp;"")&lt;&gt;10,LEN('02_clients_raw'!C16&amp;"")&lt;&gt;12),NOT(AND(IF(1&gt;LEN('02_clients_raw'!C16&amp;""),TRUE,IFERROR(FIND(MID('02_clients_raw'!C16&amp;"",1,1),"x0123456789")&gt;=2,FALSE)),IF(2&gt;LEN('02_clients_raw'!C16&amp;""),TRUE,IFERROR(FIND(MID('02_clients_raw'!C16&amp;"",2,1),"x0123456789")&gt;=2,FALSE)),IF(3&gt;LEN('02_clients_raw'!C16&amp;""),TRUE,IFERROR(FIND(MID('02_clients_raw'!C16&amp;"",3,1),"x0123456789")&gt;=2,FALSE)),IF(4&gt;LEN('02_clients_raw'!C16&amp;""),TRUE,IFERROR(FIND(MID('02_clients_raw'!C16&amp;"",4,1),"x0123456789")&gt;=2,FALSE)),IF(5&gt;LEN('02_clients_raw'!C16&amp;""),TRUE,IFERROR(FIND(MID('02_clients_raw'!C16&amp;"",5,1),"x0123456789")&gt;=2,FALSE)),IF(6&gt;LEN('02_clients_raw'!C16&amp;""),TRUE,IFERROR(FIND(MID('02_clients_raw'!C16&amp;"",6,1),"x0123456789")&gt;=2,FALSE)),IF(7&gt;LEN('02_clients_raw'!C16&amp;""),TRUE,IFERROR(FIND(MID('02_clients_raw'!C16&amp;"",7,1),"x0123456789")&gt;=2,FALSE)),IF(8&gt;LEN('02_clients_raw'!C16&amp;""),TRUE,IFERROR(FIND(MID('02_clients_raw'!C16&amp;"",8,1),"x0123456789")&gt;=2,FALSE)),IF(9&gt;LEN('02_clients_raw'!C16&amp;""),TRUE,IFERROR(FIND(MID('02_clients_raw'!C16&amp;"",9,1),"x0123456789")&gt;=2,FALSE)),IF(10&gt;LEN('02_clients_raw'!C16&amp;""),TRUE,IFERROR(FIND(MID('02_clients_raw'!C16&amp;"",10,1),"x0123456789")&gt;=2,FALSE)),IF(11&gt;LEN('02_clients_raw'!C16&amp;""),TRUE,IFERROR(FIND(MID('02_clients_raw'!C16&amp;"",11,1),"x0123456789")&gt;=2,FALSE)),IF(12&gt;LEN('02_clients_raw'!C16&amp;""),TRUE,IFERROR(FIND(MID('02_clients_raw'!C16&amp;"",12,1),"x0123456789")&gt;=2,FALSE))))),"ERROR","OK")),"")</x:f>
        <x:v>OK</x:v>
      </x:c>
      <x:c r="G196" s="2" t="str">
        <x:f>IF(COUNTA('02_clients_raw'!A16:F16)&gt;0,"N/A","")</x:f>
        <x:v>N/A</x:v>
      </x:c>
      <x:c r="H196" s="2" t="str">
        <x:f>IF(COUNTA('02_clients_raw'!A16:F16)&gt;0,IF(LEN('02_clients_raw'!E16&amp;"")=0,"SKIP",IF(OR(NOT(ISNUMBER('02_clients_raw'!E16)),'02_clients_raw'!E16&lt;=0,'02_clients_raw'!E16&gt;'09_parameters'!$B$2),"ERROR","OK")),"")</x:f>
        <x:v>OK</x:v>
      </x:c>
      <x:c r="I196" s="2" t="str">
        <x:f>IF(COUNTA('02_clients_raw'!A16:F16)&gt;0,"N/A","")</x:f>
        <x:v>N/A</x:v>
      </x:c>
      <x:c r="J196" s="2" t="n">
        <x:f>COUNTIF(C196:I196,"ERROR")</x:f>
        <x:v>0</x:v>
      </x:c>
      <x:c r="K196" s="2" t="n">
        <x:f>IF(COUNTA('02_clients_raw'!A16:F16)&gt;0,16,"")</x:f>
        <x:v>16</x:v>
      </x:c>
    </x:row>
    <x:row r="197">
      <x:c r="A197" s="2" t="str">
        <x:f>IF(COUNTA('02_clients_raw'!A17:F17)&gt;0,"Client","")</x:f>
        <x:v>Client</x:v>
      </x:c>
      <x:c r="B197" s="2" t="str">
        <x:f>IF(COUNTA('02_clients_raw'!A17:F17)&gt;0,'02_clients_raw'!A17,"")</x:f>
        <x:v>C016</x:v>
      </x:c>
      <x:c r="C197" s="2" t="str">
        <x:f>IF(COUNTA('02_clients_raw'!A17:F17)&gt;0,IF(AND(LEN('02_clients_raw'!A17&amp;"")&gt;0,COUNTIF('02_clients_raw'!$A$2:$A$67,'02_clients_raw'!A17)&gt;1),"ERROR","OK"),"")</x:f>
        <x:v>OK</x:v>
      </x:c>
      <x:c r="D197" s="2" t="str">
        <x:f>IF(COUNTA('02_clients_raw'!A17:F17)&gt;0,IF(OR(LEN('02_clients_raw'!A17&amp;"")=0,LEN('02_clients_raw'!B17&amp;"")=0,LEN('02_clients_raw'!C17&amp;"")=0,LEN('02_clients_raw'!D17&amp;"")=0,LEN('02_clients_raw'!E17&amp;"")=0,LEN('02_clients_raw'!F17&amp;"")=0),"ERROR","OK"),"")</x:f>
        <x:v>OK</x:v>
      </x:c>
      <x:c r="E197" s="2" t="str">
        <x:f>IF(COUNTA('02_clients_raw'!A17:F17)&gt;0,"N/A","")</x:f>
        <x:v>N/A</x:v>
      </x:c>
      <x:c r="F197" s="2" t="str">
        <x:f>IF(COUNTA('02_clients_raw'!A17:F17)&gt;0,IF(LEN('02_clients_raw'!C17&amp;"")=0,"SKIP",IF(OR(AND(LEN('02_clients_raw'!C17&amp;"")&lt;&gt;10,LEN('02_clients_raw'!C17&amp;"")&lt;&gt;12),NOT(AND(IF(1&gt;LEN('02_clients_raw'!C17&amp;""),TRUE,IFERROR(FIND(MID('02_clients_raw'!C17&amp;"",1,1),"x0123456789")&gt;=2,FALSE)),IF(2&gt;LEN('02_clients_raw'!C17&amp;""),TRUE,IFERROR(FIND(MID('02_clients_raw'!C17&amp;"",2,1),"x0123456789")&gt;=2,FALSE)),IF(3&gt;LEN('02_clients_raw'!C17&amp;""),TRUE,IFERROR(FIND(MID('02_clients_raw'!C17&amp;"",3,1),"x0123456789")&gt;=2,FALSE)),IF(4&gt;LEN('02_clients_raw'!C17&amp;""),TRUE,IFERROR(FIND(MID('02_clients_raw'!C17&amp;"",4,1),"x0123456789")&gt;=2,FALSE)),IF(5&gt;LEN('02_clients_raw'!C17&amp;""),TRUE,IFERROR(FIND(MID('02_clients_raw'!C17&amp;"",5,1),"x0123456789")&gt;=2,FALSE)),IF(6&gt;LEN('02_clients_raw'!C17&amp;""),TRUE,IFERROR(FIND(MID('02_clients_raw'!C17&amp;"",6,1),"x0123456789")&gt;=2,FALSE)),IF(7&gt;LEN('02_clients_raw'!C17&amp;""),TRUE,IFERROR(FIND(MID('02_clients_raw'!C17&amp;"",7,1),"x0123456789")&gt;=2,FALSE)),IF(8&gt;LEN('02_clients_raw'!C17&amp;""),TRUE,IFERROR(FIND(MID('02_clients_raw'!C17&amp;"",8,1),"x0123456789")&gt;=2,FALSE)),IF(9&gt;LEN('02_clients_raw'!C17&amp;""),TRUE,IFERROR(FIND(MID('02_clients_raw'!C17&amp;"",9,1),"x0123456789")&gt;=2,FALSE)),IF(10&gt;LEN('02_clients_raw'!C17&amp;""),TRUE,IFERROR(FIND(MID('02_clients_raw'!C17&amp;"",10,1),"x0123456789")&gt;=2,FALSE)),IF(11&gt;LEN('02_clients_raw'!C17&amp;""),TRUE,IFERROR(FIND(MID('02_clients_raw'!C17&amp;"",11,1),"x0123456789")&gt;=2,FALSE)),IF(12&gt;LEN('02_clients_raw'!C17&amp;""),TRUE,IFERROR(FIND(MID('02_clients_raw'!C17&amp;"",12,1),"x0123456789")&gt;=2,FALSE))))),"ERROR","OK")),"")</x:f>
        <x:v>OK</x:v>
      </x:c>
      <x:c r="G197" s="2" t="str">
        <x:f>IF(COUNTA('02_clients_raw'!A17:F17)&gt;0,"N/A","")</x:f>
        <x:v>N/A</x:v>
      </x:c>
      <x:c r="H197" s="2" t="str">
        <x:f>IF(COUNTA('02_clients_raw'!A17:F17)&gt;0,IF(LEN('02_clients_raw'!E17&amp;"")=0,"SKIP",IF(OR(NOT(ISNUMBER('02_clients_raw'!E17)),'02_clients_raw'!E17&lt;=0,'02_clients_raw'!E17&gt;'09_parameters'!$B$2),"ERROR","OK")),"")</x:f>
        <x:v>OK</x:v>
      </x:c>
      <x:c r="I197" s="2" t="str">
        <x:f>IF(COUNTA('02_clients_raw'!A17:F17)&gt;0,"N/A","")</x:f>
        <x:v>N/A</x:v>
      </x:c>
      <x:c r="J197" s="2" t="n">
        <x:f>COUNTIF(C197:I197,"ERROR")</x:f>
        <x:v>0</x:v>
      </x:c>
      <x:c r="K197" s="2" t="n">
        <x:f>IF(COUNTA('02_clients_raw'!A17:F17)&gt;0,17,"")</x:f>
        <x:v>17</x:v>
      </x:c>
    </x:row>
    <x:row r="198">
      <x:c r="A198" s="2" t="str">
        <x:f>IF(COUNTA('02_clients_raw'!A18:F18)&gt;0,"Client","")</x:f>
        <x:v>Client</x:v>
      </x:c>
      <x:c r="B198" s="2" t="str">
        <x:f>IF(COUNTA('02_clients_raw'!A18:F18)&gt;0,'02_clients_raw'!A18,"")</x:f>
        <x:v>C017</x:v>
      </x:c>
      <x:c r="C198" s="2" t="str">
        <x:f>IF(COUNTA('02_clients_raw'!A18:F18)&gt;0,IF(AND(LEN('02_clients_raw'!A18&amp;"")&gt;0,COUNTIF('02_clients_raw'!$A$2:$A$67,'02_clients_raw'!A18)&gt;1),"ERROR","OK"),"")</x:f>
        <x:v>OK</x:v>
      </x:c>
      <x:c r="D198" s="2" t="str">
        <x:f>IF(COUNTA('02_clients_raw'!A18:F18)&gt;0,IF(OR(LEN('02_clients_raw'!A18&amp;"")=0,LEN('02_clients_raw'!B18&amp;"")=0,LEN('02_clients_raw'!C18&amp;"")=0,LEN('02_clients_raw'!D18&amp;"")=0,LEN('02_clients_raw'!E18&amp;"")=0,LEN('02_clients_raw'!F18&amp;"")=0),"ERROR","OK"),"")</x:f>
        <x:v>OK</x:v>
      </x:c>
      <x:c r="E198" s="2" t="str">
        <x:f>IF(COUNTA('02_clients_raw'!A18:F18)&gt;0,"N/A","")</x:f>
        <x:v>N/A</x:v>
      </x:c>
      <x:c r="F198" s="2" t="str">
        <x:f>IF(COUNTA('02_clients_raw'!A18:F18)&gt;0,IF(LEN('02_clients_raw'!C18&amp;"")=0,"SKIP",IF(OR(AND(LEN('02_clients_raw'!C18&amp;"")&lt;&gt;10,LEN('02_clients_raw'!C18&amp;"")&lt;&gt;12),NOT(AND(IF(1&gt;LEN('02_clients_raw'!C18&amp;""),TRUE,IFERROR(FIND(MID('02_clients_raw'!C18&amp;"",1,1),"x0123456789")&gt;=2,FALSE)),IF(2&gt;LEN('02_clients_raw'!C18&amp;""),TRUE,IFERROR(FIND(MID('02_clients_raw'!C18&amp;"",2,1),"x0123456789")&gt;=2,FALSE)),IF(3&gt;LEN('02_clients_raw'!C18&amp;""),TRUE,IFERROR(FIND(MID('02_clients_raw'!C18&amp;"",3,1),"x0123456789")&gt;=2,FALSE)),IF(4&gt;LEN('02_clients_raw'!C18&amp;""),TRUE,IFERROR(FIND(MID('02_clients_raw'!C18&amp;"",4,1),"x0123456789")&gt;=2,FALSE)),IF(5&gt;LEN('02_clients_raw'!C18&amp;""),TRUE,IFERROR(FIND(MID('02_clients_raw'!C18&amp;"",5,1),"x0123456789")&gt;=2,FALSE)),IF(6&gt;LEN('02_clients_raw'!C18&amp;""),TRUE,IFERROR(FIND(MID('02_clients_raw'!C18&amp;"",6,1),"x0123456789")&gt;=2,FALSE)),IF(7&gt;LEN('02_clients_raw'!C18&amp;""),TRUE,IFERROR(FIND(MID('02_clients_raw'!C18&amp;"",7,1),"x0123456789")&gt;=2,FALSE)),IF(8&gt;LEN('02_clients_raw'!C18&amp;""),TRUE,IFERROR(FIND(MID('02_clients_raw'!C18&amp;"",8,1),"x0123456789")&gt;=2,FALSE)),IF(9&gt;LEN('02_clients_raw'!C18&amp;""),TRUE,IFERROR(FIND(MID('02_clients_raw'!C18&amp;"",9,1),"x0123456789")&gt;=2,FALSE)),IF(10&gt;LEN('02_clients_raw'!C18&amp;""),TRUE,IFERROR(FIND(MID('02_clients_raw'!C18&amp;"",10,1),"x0123456789")&gt;=2,FALSE)),IF(11&gt;LEN('02_clients_raw'!C18&amp;""),TRUE,IFERROR(FIND(MID('02_clients_raw'!C18&amp;"",11,1),"x0123456789")&gt;=2,FALSE)),IF(12&gt;LEN('02_clients_raw'!C18&amp;""),TRUE,IFERROR(FIND(MID('02_clients_raw'!C18&amp;"",12,1),"x0123456789")&gt;=2,FALSE))))),"ERROR","OK")),"")</x:f>
        <x:v>OK</x:v>
      </x:c>
      <x:c r="G198" s="2" t="str">
        <x:f>IF(COUNTA('02_clients_raw'!A18:F18)&gt;0,"N/A","")</x:f>
        <x:v>N/A</x:v>
      </x:c>
      <x:c r="H198" s="2" t="str">
        <x:f>IF(COUNTA('02_clients_raw'!A18:F18)&gt;0,IF(LEN('02_clients_raw'!E18&amp;"")=0,"SKIP",IF(OR(NOT(ISNUMBER('02_clients_raw'!E18)),'02_clients_raw'!E18&lt;=0,'02_clients_raw'!E18&gt;'09_parameters'!$B$2),"ERROR","OK")),"")</x:f>
        <x:v>OK</x:v>
      </x:c>
      <x:c r="I198" s="2" t="str">
        <x:f>IF(COUNTA('02_clients_raw'!A18:F18)&gt;0,"N/A","")</x:f>
        <x:v>N/A</x:v>
      </x:c>
      <x:c r="J198" s="2" t="n">
        <x:f>COUNTIF(C198:I198,"ERROR")</x:f>
        <x:v>0</x:v>
      </x:c>
      <x:c r="K198" s="2" t="n">
        <x:f>IF(COUNTA('02_clients_raw'!A18:F18)&gt;0,18,"")</x:f>
        <x:v>18</x:v>
      </x:c>
    </x:row>
    <x:row r="199">
      <x:c r="A199" s="2" t="str">
        <x:f>IF(COUNTA('02_clients_raw'!A19:F19)&gt;0,"Client","")</x:f>
        <x:v>Client</x:v>
      </x:c>
      <x:c r="B199" s="2" t="str">
        <x:f>IF(COUNTA('02_clients_raw'!A19:F19)&gt;0,'02_clients_raw'!A19,"")</x:f>
        <x:v>C018</x:v>
      </x:c>
      <x:c r="C199" s="2" t="str">
        <x:f>IF(COUNTA('02_clients_raw'!A19:F19)&gt;0,IF(AND(LEN('02_clients_raw'!A19&amp;"")&gt;0,COUNTIF('02_clients_raw'!$A$2:$A$67,'02_clients_raw'!A19)&gt;1),"ERROR","OK"),"")</x:f>
        <x:v>OK</x:v>
      </x:c>
      <x:c r="D199" s="2" t="str">
        <x:f>IF(COUNTA('02_clients_raw'!A19:F19)&gt;0,IF(OR(LEN('02_clients_raw'!A19&amp;"")=0,LEN('02_clients_raw'!B19&amp;"")=0,LEN('02_clients_raw'!C19&amp;"")=0,LEN('02_clients_raw'!D19&amp;"")=0,LEN('02_clients_raw'!E19&amp;"")=0,LEN('02_clients_raw'!F19&amp;"")=0),"ERROR","OK"),"")</x:f>
        <x:v>ERROR</x:v>
      </x:c>
      <x:c r="E199" s="2" t="str">
        <x:f>IF(COUNTA('02_clients_raw'!A19:F19)&gt;0,"N/A","")</x:f>
        <x:v>N/A</x:v>
      </x:c>
      <x:c r="F199" s="2" t="str">
        <x:f>IF(COUNTA('02_clients_raw'!A19:F19)&gt;0,IF(LEN('02_clients_raw'!C19&amp;"")=0,"SKIP",IF(OR(AND(LEN('02_clients_raw'!C19&amp;"")&lt;&gt;10,LEN('02_clients_raw'!C19&amp;"")&lt;&gt;12),NOT(AND(IF(1&gt;LEN('02_clients_raw'!C19&amp;""),TRUE,IFERROR(FIND(MID('02_clients_raw'!C19&amp;"",1,1),"x0123456789")&gt;=2,FALSE)),IF(2&gt;LEN('02_clients_raw'!C19&amp;""),TRUE,IFERROR(FIND(MID('02_clients_raw'!C19&amp;"",2,1),"x0123456789")&gt;=2,FALSE)),IF(3&gt;LEN('02_clients_raw'!C19&amp;""),TRUE,IFERROR(FIND(MID('02_clients_raw'!C19&amp;"",3,1),"x0123456789")&gt;=2,FALSE)),IF(4&gt;LEN('02_clients_raw'!C19&amp;""),TRUE,IFERROR(FIND(MID('02_clients_raw'!C19&amp;"",4,1),"x0123456789")&gt;=2,FALSE)),IF(5&gt;LEN('02_clients_raw'!C19&amp;""),TRUE,IFERROR(FIND(MID('02_clients_raw'!C19&amp;"",5,1),"x0123456789")&gt;=2,FALSE)),IF(6&gt;LEN('02_clients_raw'!C19&amp;""),TRUE,IFERROR(FIND(MID('02_clients_raw'!C19&amp;"",6,1),"x0123456789")&gt;=2,FALSE)),IF(7&gt;LEN('02_clients_raw'!C19&amp;""),TRUE,IFERROR(FIND(MID('02_clients_raw'!C19&amp;"",7,1),"x0123456789")&gt;=2,FALSE)),IF(8&gt;LEN('02_clients_raw'!C19&amp;""),TRUE,IFERROR(FIND(MID('02_clients_raw'!C19&amp;"",8,1),"x0123456789")&gt;=2,FALSE)),IF(9&gt;LEN('02_clients_raw'!C19&amp;""),TRUE,IFERROR(FIND(MID('02_clients_raw'!C19&amp;"",9,1),"x0123456789")&gt;=2,FALSE)),IF(10&gt;LEN('02_clients_raw'!C19&amp;""),TRUE,IFERROR(FIND(MID('02_clients_raw'!C19&amp;"",10,1),"x0123456789")&gt;=2,FALSE)),IF(11&gt;LEN('02_clients_raw'!C19&amp;""),TRUE,IFERROR(FIND(MID('02_clients_raw'!C19&amp;"",11,1),"x0123456789")&gt;=2,FALSE)),IF(12&gt;LEN('02_clients_raw'!C19&amp;""),TRUE,IFERROR(FIND(MID('02_clients_raw'!C19&amp;"",12,1),"x0123456789")&gt;=2,FALSE))))),"ERROR","OK")),"")</x:f>
        <x:v>OK</x:v>
      </x:c>
      <x:c r="G199" s="2" t="str">
        <x:f>IF(COUNTA('02_clients_raw'!A19:F19)&gt;0,"N/A","")</x:f>
        <x:v>N/A</x:v>
      </x:c>
      <x:c r="H199" s="2" t="str">
        <x:f>IF(COUNTA('02_clients_raw'!A19:F19)&gt;0,IF(LEN('02_clients_raw'!E19&amp;"")=0,"SKIP",IF(OR(NOT(ISNUMBER('02_clients_raw'!E19)),'02_clients_raw'!E19&lt;=0,'02_clients_raw'!E19&gt;'09_parameters'!$B$2),"ERROR","OK")),"")</x:f>
        <x:v>OK</x:v>
      </x:c>
      <x:c r="I199" s="2" t="str">
        <x:f>IF(COUNTA('02_clients_raw'!A19:F19)&gt;0,"N/A","")</x:f>
        <x:v>N/A</x:v>
      </x:c>
      <x:c r="J199" s="2" t="n">
        <x:f>COUNTIF(C199:I199,"ERROR")</x:f>
        <x:v>1</x:v>
      </x:c>
      <x:c r="K199" s="2" t="n">
        <x:f>IF(COUNTA('02_clients_raw'!A19:F19)&gt;0,19,"")</x:f>
        <x:v>19</x:v>
      </x:c>
    </x:row>
    <x:row r="200">
      <x:c r="A200" s="2" t="str">
        <x:f>IF(COUNTA('02_clients_raw'!A20:F20)&gt;0,"Client","")</x:f>
        <x:v>Client</x:v>
      </x:c>
      <x:c r="B200" s="2" t="str">
        <x:f>IF(COUNTA('02_clients_raw'!A20:F20)&gt;0,'02_clients_raw'!A20,"")</x:f>
        <x:v>C019</x:v>
      </x:c>
      <x:c r="C200" s="2" t="str">
        <x:f>IF(COUNTA('02_clients_raw'!A20:F20)&gt;0,IF(AND(LEN('02_clients_raw'!A20&amp;"")&gt;0,COUNTIF('02_clients_raw'!$A$2:$A$67,'02_clients_raw'!A20)&gt;1),"ERROR","OK"),"")</x:f>
        <x:v>OK</x:v>
      </x:c>
      <x:c r="D200" s="2" t="str">
        <x:f>IF(COUNTA('02_clients_raw'!A20:F20)&gt;0,IF(OR(LEN('02_clients_raw'!A20&amp;"")=0,LEN('02_clients_raw'!B20&amp;"")=0,LEN('02_clients_raw'!C20&amp;"")=0,LEN('02_clients_raw'!D20&amp;"")=0,LEN('02_clients_raw'!E20&amp;"")=0,LEN('02_clients_raw'!F20&amp;"")=0),"ERROR","OK"),"")</x:f>
        <x:v>OK</x:v>
      </x:c>
      <x:c r="E200" s="2" t="str">
        <x:f>IF(COUNTA('02_clients_raw'!A20:F20)&gt;0,"N/A","")</x:f>
        <x:v>N/A</x:v>
      </x:c>
      <x:c r="F200" s="2" t="str">
        <x:f>IF(COUNTA('02_clients_raw'!A20:F20)&gt;0,IF(LEN('02_clients_raw'!C20&amp;"")=0,"SKIP",IF(OR(AND(LEN('02_clients_raw'!C20&amp;"")&lt;&gt;10,LEN('02_clients_raw'!C20&amp;"")&lt;&gt;12),NOT(AND(IF(1&gt;LEN('02_clients_raw'!C20&amp;""),TRUE,IFERROR(FIND(MID('02_clients_raw'!C20&amp;"",1,1),"x0123456789")&gt;=2,FALSE)),IF(2&gt;LEN('02_clients_raw'!C20&amp;""),TRUE,IFERROR(FIND(MID('02_clients_raw'!C20&amp;"",2,1),"x0123456789")&gt;=2,FALSE)),IF(3&gt;LEN('02_clients_raw'!C20&amp;""),TRUE,IFERROR(FIND(MID('02_clients_raw'!C20&amp;"",3,1),"x0123456789")&gt;=2,FALSE)),IF(4&gt;LEN('02_clients_raw'!C20&amp;""),TRUE,IFERROR(FIND(MID('02_clients_raw'!C20&amp;"",4,1),"x0123456789")&gt;=2,FALSE)),IF(5&gt;LEN('02_clients_raw'!C20&amp;""),TRUE,IFERROR(FIND(MID('02_clients_raw'!C20&amp;"",5,1),"x0123456789")&gt;=2,FALSE)),IF(6&gt;LEN('02_clients_raw'!C20&amp;""),TRUE,IFERROR(FIND(MID('02_clients_raw'!C20&amp;"",6,1),"x0123456789")&gt;=2,FALSE)),IF(7&gt;LEN('02_clients_raw'!C20&amp;""),TRUE,IFERROR(FIND(MID('02_clients_raw'!C20&amp;"",7,1),"x0123456789")&gt;=2,FALSE)),IF(8&gt;LEN('02_clients_raw'!C20&amp;""),TRUE,IFERROR(FIND(MID('02_clients_raw'!C20&amp;"",8,1),"x0123456789")&gt;=2,FALSE)),IF(9&gt;LEN('02_clients_raw'!C20&amp;""),TRUE,IFERROR(FIND(MID('02_clients_raw'!C20&amp;"",9,1),"x0123456789")&gt;=2,FALSE)),IF(10&gt;LEN('02_clients_raw'!C20&amp;""),TRUE,IFERROR(FIND(MID('02_clients_raw'!C20&amp;"",10,1),"x0123456789")&gt;=2,FALSE)),IF(11&gt;LEN('02_clients_raw'!C20&amp;""),TRUE,IFERROR(FIND(MID('02_clients_raw'!C20&amp;"",11,1),"x0123456789")&gt;=2,FALSE)),IF(12&gt;LEN('02_clients_raw'!C20&amp;""),TRUE,IFERROR(FIND(MID('02_clients_raw'!C20&amp;"",12,1),"x0123456789")&gt;=2,FALSE))))),"ERROR","OK")),"")</x:f>
        <x:v>OK</x:v>
      </x:c>
      <x:c r="G200" s="2" t="str">
        <x:f>IF(COUNTA('02_clients_raw'!A20:F20)&gt;0,"N/A","")</x:f>
        <x:v>N/A</x:v>
      </x:c>
      <x:c r="H200" s="2" t="str">
        <x:f>IF(COUNTA('02_clients_raw'!A20:F20)&gt;0,IF(LEN('02_clients_raw'!E20&amp;"")=0,"SKIP",IF(OR(NOT(ISNUMBER('02_clients_raw'!E20)),'02_clients_raw'!E20&lt;=0,'02_clients_raw'!E20&gt;'09_parameters'!$B$2),"ERROR","OK")),"")</x:f>
        <x:v>OK</x:v>
      </x:c>
      <x:c r="I200" s="2" t="str">
        <x:f>IF(COUNTA('02_clients_raw'!A20:F20)&gt;0,"N/A","")</x:f>
        <x:v>N/A</x:v>
      </x:c>
      <x:c r="J200" s="2" t="n">
        <x:f>COUNTIF(C200:I200,"ERROR")</x:f>
        <x:v>0</x:v>
      </x:c>
      <x:c r="K200" s="2" t="n">
        <x:f>IF(COUNTA('02_clients_raw'!A20:F20)&gt;0,20,"")</x:f>
        <x:v>20</x:v>
      </x:c>
    </x:row>
    <x:row r="201">
      <x:c r="A201" s="2" t="str">
        <x:f>IF(COUNTA('02_clients_raw'!A21:F21)&gt;0,"Client","")</x:f>
        <x:v>Client</x:v>
      </x:c>
      <x:c r="B201" s="2" t="str">
        <x:f>IF(COUNTA('02_clients_raw'!A21:F21)&gt;0,'02_clients_raw'!A21,"")</x:f>
        <x:v>C020</x:v>
      </x:c>
      <x:c r="C201" s="2" t="str">
        <x:f>IF(COUNTA('02_clients_raw'!A21:F21)&gt;0,IF(AND(LEN('02_clients_raw'!A21&amp;"")&gt;0,COUNTIF('02_clients_raw'!$A$2:$A$67,'02_clients_raw'!A21)&gt;1),"ERROR","OK"),"")</x:f>
        <x:v>OK</x:v>
      </x:c>
      <x:c r="D201" s="2" t="str">
        <x:f>IF(COUNTA('02_clients_raw'!A21:F21)&gt;0,IF(OR(LEN('02_clients_raw'!A21&amp;"")=0,LEN('02_clients_raw'!B21&amp;"")=0,LEN('02_clients_raw'!C21&amp;"")=0,LEN('02_clients_raw'!D21&amp;"")=0,LEN('02_clients_raw'!E21&amp;"")=0,LEN('02_clients_raw'!F21&amp;"")=0),"ERROR","OK"),"")</x:f>
        <x:v>OK</x:v>
      </x:c>
      <x:c r="E201" s="2" t="str">
        <x:f>IF(COUNTA('02_clients_raw'!A21:F21)&gt;0,"N/A","")</x:f>
        <x:v>N/A</x:v>
      </x:c>
      <x:c r="F201" s="2" t="str">
        <x:f>IF(COUNTA('02_clients_raw'!A21:F21)&gt;0,IF(LEN('02_clients_raw'!C21&amp;"")=0,"SKIP",IF(OR(AND(LEN('02_clients_raw'!C21&amp;"")&lt;&gt;10,LEN('02_clients_raw'!C21&amp;"")&lt;&gt;12),NOT(AND(IF(1&gt;LEN('02_clients_raw'!C21&amp;""),TRUE,IFERROR(FIND(MID('02_clients_raw'!C21&amp;"",1,1),"x0123456789")&gt;=2,FALSE)),IF(2&gt;LEN('02_clients_raw'!C21&amp;""),TRUE,IFERROR(FIND(MID('02_clients_raw'!C21&amp;"",2,1),"x0123456789")&gt;=2,FALSE)),IF(3&gt;LEN('02_clients_raw'!C21&amp;""),TRUE,IFERROR(FIND(MID('02_clients_raw'!C21&amp;"",3,1),"x0123456789")&gt;=2,FALSE)),IF(4&gt;LEN('02_clients_raw'!C21&amp;""),TRUE,IFERROR(FIND(MID('02_clients_raw'!C21&amp;"",4,1),"x0123456789")&gt;=2,FALSE)),IF(5&gt;LEN('02_clients_raw'!C21&amp;""),TRUE,IFERROR(FIND(MID('02_clients_raw'!C21&amp;"",5,1),"x0123456789")&gt;=2,FALSE)),IF(6&gt;LEN('02_clients_raw'!C21&amp;""),TRUE,IFERROR(FIND(MID('02_clients_raw'!C21&amp;"",6,1),"x0123456789")&gt;=2,FALSE)),IF(7&gt;LEN('02_clients_raw'!C21&amp;""),TRUE,IFERROR(FIND(MID('02_clients_raw'!C21&amp;"",7,1),"x0123456789")&gt;=2,FALSE)),IF(8&gt;LEN('02_clients_raw'!C21&amp;""),TRUE,IFERROR(FIND(MID('02_clients_raw'!C21&amp;"",8,1),"x0123456789")&gt;=2,FALSE)),IF(9&gt;LEN('02_clients_raw'!C21&amp;""),TRUE,IFERROR(FIND(MID('02_clients_raw'!C21&amp;"",9,1),"x0123456789")&gt;=2,FALSE)),IF(10&gt;LEN('02_clients_raw'!C21&amp;""),TRUE,IFERROR(FIND(MID('02_clients_raw'!C21&amp;"",10,1),"x0123456789")&gt;=2,FALSE)),IF(11&gt;LEN('02_clients_raw'!C21&amp;""),TRUE,IFERROR(FIND(MID('02_clients_raw'!C21&amp;"",11,1),"x0123456789")&gt;=2,FALSE)),IF(12&gt;LEN('02_clients_raw'!C21&amp;""),TRUE,IFERROR(FIND(MID('02_clients_raw'!C21&amp;"",12,1),"x0123456789")&gt;=2,FALSE))))),"ERROR","OK")),"")</x:f>
        <x:v>OK</x:v>
      </x:c>
      <x:c r="G201" s="2" t="str">
        <x:f>IF(COUNTA('02_clients_raw'!A21:F21)&gt;0,"N/A","")</x:f>
        <x:v>N/A</x:v>
      </x:c>
      <x:c r="H201" s="2" t="str">
        <x:f>IF(COUNTA('02_clients_raw'!A21:F21)&gt;0,IF(LEN('02_clients_raw'!E21&amp;"")=0,"SKIP",IF(OR(NOT(ISNUMBER('02_clients_raw'!E21)),'02_clients_raw'!E21&lt;=0,'02_clients_raw'!E21&gt;'09_parameters'!$B$2),"ERROR","OK")),"")</x:f>
        <x:v>OK</x:v>
      </x:c>
      <x:c r="I201" s="2" t="str">
        <x:f>IF(COUNTA('02_clients_raw'!A21:F21)&gt;0,"N/A","")</x:f>
        <x:v>N/A</x:v>
      </x:c>
      <x:c r="J201" s="2" t="n">
        <x:f>COUNTIF(C201:I201,"ERROR")</x:f>
        <x:v>0</x:v>
      </x:c>
      <x:c r="K201" s="2" t="n">
        <x:f>IF(COUNTA('02_clients_raw'!A21:F21)&gt;0,21,"")</x:f>
        <x:v>21</x:v>
      </x:c>
    </x:row>
    <x:row r="202">
      <x:c r="A202" s="2" t="str">
        <x:f>IF(COUNTA('02_clients_raw'!A22:F22)&gt;0,"Client","")</x:f>
        <x:v>Client</x:v>
      </x:c>
      <x:c r="B202" s="2" t="str">
        <x:f>IF(COUNTA('02_clients_raw'!A22:F22)&gt;0,'02_clients_raw'!A22,"")</x:f>
        <x:v>C021</x:v>
      </x:c>
      <x:c r="C202" s="2" t="str">
        <x:f>IF(COUNTA('02_clients_raw'!A22:F22)&gt;0,IF(AND(LEN('02_clients_raw'!A22&amp;"")&gt;0,COUNTIF('02_clients_raw'!$A$2:$A$67,'02_clients_raw'!A22)&gt;1),"ERROR","OK"),"")</x:f>
        <x:v>OK</x:v>
      </x:c>
      <x:c r="D202" s="2" t="str">
        <x:f>IF(COUNTA('02_clients_raw'!A22:F22)&gt;0,IF(OR(LEN('02_clients_raw'!A22&amp;"")=0,LEN('02_clients_raw'!B22&amp;"")=0,LEN('02_clients_raw'!C22&amp;"")=0,LEN('02_clients_raw'!D22&amp;"")=0,LEN('02_clients_raw'!E22&amp;"")=0,LEN('02_clients_raw'!F22&amp;"")=0),"ERROR","OK"),"")</x:f>
        <x:v>OK</x:v>
      </x:c>
      <x:c r="E202" s="2" t="str">
        <x:f>IF(COUNTA('02_clients_raw'!A22:F22)&gt;0,"N/A","")</x:f>
        <x:v>N/A</x:v>
      </x:c>
      <x:c r="F202" s="2" t="str">
        <x:f>IF(COUNTA('02_clients_raw'!A22:F22)&gt;0,IF(LEN('02_clients_raw'!C22&amp;"")=0,"SKIP",IF(OR(AND(LEN('02_clients_raw'!C22&amp;"")&lt;&gt;10,LEN('02_clients_raw'!C22&amp;"")&lt;&gt;12),NOT(AND(IF(1&gt;LEN('02_clients_raw'!C22&amp;""),TRUE,IFERROR(FIND(MID('02_clients_raw'!C22&amp;"",1,1),"x0123456789")&gt;=2,FALSE)),IF(2&gt;LEN('02_clients_raw'!C22&amp;""),TRUE,IFERROR(FIND(MID('02_clients_raw'!C22&amp;"",2,1),"x0123456789")&gt;=2,FALSE)),IF(3&gt;LEN('02_clients_raw'!C22&amp;""),TRUE,IFERROR(FIND(MID('02_clients_raw'!C22&amp;"",3,1),"x0123456789")&gt;=2,FALSE)),IF(4&gt;LEN('02_clients_raw'!C22&amp;""),TRUE,IFERROR(FIND(MID('02_clients_raw'!C22&amp;"",4,1),"x0123456789")&gt;=2,FALSE)),IF(5&gt;LEN('02_clients_raw'!C22&amp;""),TRUE,IFERROR(FIND(MID('02_clients_raw'!C22&amp;"",5,1),"x0123456789")&gt;=2,FALSE)),IF(6&gt;LEN('02_clients_raw'!C22&amp;""),TRUE,IFERROR(FIND(MID('02_clients_raw'!C22&amp;"",6,1),"x0123456789")&gt;=2,FALSE)),IF(7&gt;LEN('02_clients_raw'!C22&amp;""),TRUE,IFERROR(FIND(MID('02_clients_raw'!C22&amp;"",7,1),"x0123456789")&gt;=2,FALSE)),IF(8&gt;LEN('02_clients_raw'!C22&amp;""),TRUE,IFERROR(FIND(MID('02_clients_raw'!C22&amp;"",8,1),"x0123456789")&gt;=2,FALSE)),IF(9&gt;LEN('02_clients_raw'!C22&amp;""),TRUE,IFERROR(FIND(MID('02_clients_raw'!C22&amp;"",9,1),"x0123456789")&gt;=2,FALSE)),IF(10&gt;LEN('02_clients_raw'!C22&amp;""),TRUE,IFERROR(FIND(MID('02_clients_raw'!C22&amp;"",10,1),"x0123456789")&gt;=2,FALSE)),IF(11&gt;LEN('02_clients_raw'!C22&amp;""),TRUE,IFERROR(FIND(MID('02_clients_raw'!C22&amp;"",11,1),"x0123456789")&gt;=2,FALSE)),IF(12&gt;LEN('02_clients_raw'!C22&amp;""),TRUE,IFERROR(FIND(MID('02_clients_raw'!C22&amp;"",12,1),"x0123456789")&gt;=2,FALSE))))),"ERROR","OK")),"")</x:f>
        <x:v>OK</x:v>
      </x:c>
      <x:c r="G202" s="2" t="str">
        <x:f>IF(COUNTA('02_clients_raw'!A22:F22)&gt;0,"N/A","")</x:f>
        <x:v>N/A</x:v>
      </x:c>
      <x:c r="H202" s="2" t="str">
        <x:f>IF(COUNTA('02_clients_raw'!A22:F22)&gt;0,IF(LEN('02_clients_raw'!E22&amp;"")=0,"SKIP",IF(OR(NOT(ISNUMBER('02_clients_raw'!E22)),'02_clients_raw'!E22&lt;=0,'02_clients_raw'!E22&gt;'09_parameters'!$B$2),"ERROR","OK")),"")</x:f>
        <x:v>OK</x:v>
      </x:c>
      <x:c r="I202" s="2" t="str">
        <x:f>IF(COUNTA('02_clients_raw'!A22:F22)&gt;0,"N/A","")</x:f>
        <x:v>N/A</x:v>
      </x:c>
      <x:c r="J202" s="2" t="n">
        <x:f>COUNTIF(C202:I202,"ERROR")</x:f>
        <x:v>0</x:v>
      </x:c>
      <x:c r="K202" s="2" t="n">
        <x:f>IF(COUNTA('02_clients_raw'!A22:F22)&gt;0,22,"")</x:f>
        <x:v>22</x:v>
      </x:c>
    </x:row>
    <x:row r="203">
      <x:c r="A203" s="2" t="str">
        <x:f>IF(COUNTA('02_clients_raw'!A23:F23)&gt;0,"Client","")</x:f>
        <x:v>Client</x:v>
      </x:c>
      <x:c r="B203" s="2" t="str">
        <x:f>IF(COUNTA('02_clients_raw'!A23:F23)&gt;0,'02_clients_raw'!A23,"")</x:f>
        <x:v>C022</x:v>
      </x:c>
      <x:c r="C203" s="2" t="str">
        <x:f>IF(COUNTA('02_clients_raw'!A23:F23)&gt;0,IF(AND(LEN('02_clients_raw'!A23&amp;"")&gt;0,COUNTIF('02_clients_raw'!$A$2:$A$67,'02_clients_raw'!A23)&gt;1),"ERROR","OK"),"")</x:f>
        <x:v>OK</x:v>
      </x:c>
      <x:c r="D203" s="2" t="str">
        <x:f>IF(COUNTA('02_clients_raw'!A23:F23)&gt;0,IF(OR(LEN('02_clients_raw'!A23&amp;"")=0,LEN('02_clients_raw'!B23&amp;"")=0,LEN('02_clients_raw'!C23&amp;"")=0,LEN('02_clients_raw'!D23&amp;"")=0,LEN('02_clients_raw'!E23&amp;"")=0,LEN('02_clients_raw'!F23&amp;"")=0),"ERROR","OK"),"")</x:f>
        <x:v>OK</x:v>
      </x:c>
      <x:c r="E203" s="2" t="str">
        <x:f>IF(COUNTA('02_clients_raw'!A23:F23)&gt;0,"N/A","")</x:f>
        <x:v>N/A</x:v>
      </x:c>
      <x:c r="F203" s="2" t="str">
        <x:f>IF(COUNTA('02_clients_raw'!A23:F23)&gt;0,IF(LEN('02_clients_raw'!C23&amp;"")=0,"SKIP",IF(OR(AND(LEN('02_clients_raw'!C23&amp;"")&lt;&gt;10,LEN('02_clients_raw'!C23&amp;"")&lt;&gt;12),NOT(AND(IF(1&gt;LEN('02_clients_raw'!C23&amp;""),TRUE,IFERROR(FIND(MID('02_clients_raw'!C23&amp;"",1,1),"x0123456789")&gt;=2,FALSE)),IF(2&gt;LEN('02_clients_raw'!C23&amp;""),TRUE,IFERROR(FIND(MID('02_clients_raw'!C23&amp;"",2,1),"x0123456789")&gt;=2,FALSE)),IF(3&gt;LEN('02_clients_raw'!C23&amp;""),TRUE,IFERROR(FIND(MID('02_clients_raw'!C23&amp;"",3,1),"x0123456789")&gt;=2,FALSE)),IF(4&gt;LEN('02_clients_raw'!C23&amp;""),TRUE,IFERROR(FIND(MID('02_clients_raw'!C23&amp;"",4,1),"x0123456789")&gt;=2,FALSE)),IF(5&gt;LEN('02_clients_raw'!C23&amp;""),TRUE,IFERROR(FIND(MID('02_clients_raw'!C23&amp;"",5,1),"x0123456789")&gt;=2,FALSE)),IF(6&gt;LEN('02_clients_raw'!C23&amp;""),TRUE,IFERROR(FIND(MID('02_clients_raw'!C23&amp;"",6,1),"x0123456789")&gt;=2,FALSE)),IF(7&gt;LEN('02_clients_raw'!C23&amp;""),TRUE,IFERROR(FIND(MID('02_clients_raw'!C23&amp;"",7,1),"x0123456789")&gt;=2,FALSE)),IF(8&gt;LEN('02_clients_raw'!C23&amp;""),TRUE,IFERROR(FIND(MID('02_clients_raw'!C23&amp;"",8,1),"x0123456789")&gt;=2,FALSE)),IF(9&gt;LEN('02_clients_raw'!C23&amp;""),TRUE,IFERROR(FIND(MID('02_clients_raw'!C23&amp;"",9,1),"x0123456789")&gt;=2,FALSE)),IF(10&gt;LEN('02_clients_raw'!C23&amp;""),TRUE,IFERROR(FIND(MID('02_clients_raw'!C23&amp;"",10,1),"x0123456789")&gt;=2,FALSE)),IF(11&gt;LEN('02_clients_raw'!C23&amp;""),TRUE,IFERROR(FIND(MID('02_clients_raw'!C23&amp;"",11,1),"x0123456789")&gt;=2,FALSE)),IF(12&gt;LEN('02_clients_raw'!C23&amp;""),TRUE,IFERROR(FIND(MID('02_clients_raw'!C23&amp;"",12,1),"x0123456789")&gt;=2,FALSE))))),"ERROR","OK")),"")</x:f>
        <x:v>OK</x:v>
      </x:c>
      <x:c r="G203" s="2" t="str">
        <x:f>IF(COUNTA('02_clients_raw'!A23:F23)&gt;0,"N/A","")</x:f>
        <x:v>N/A</x:v>
      </x:c>
      <x:c r="H203" s="2" t="str">
        <x:f>IF(COUNTA('02_clients_raw'!A23:F23)&gt;0,IF(LEN('02_clients_raw'!E23&amp;"")=0,"SKIP",IF(OR(NOT(ISNUMBER('02_clients_raw'!E23)),'02_clients_raw'!E23&lt;=0,'02_clients_raw'!E23&gt;'09_parameters'!$B$2),"ERROR","OK")),"")</x:f>
        <x:v>OK</x:v>
      </x:c>
      <x:c r="I203" s="2" t="str">
        <x:f>IF(COUNTA('02_clients_raw'!A23:F23)&gt;0,"N/A","")</x:f>
        <x:v>N/A</x:v>
      </x:c>
      <x:c r="J203" s="2" t="n">
        <x:f>COUNTIF(C203:I203,"ERROR")</x:f>
        <x:v>0</x:v>
      </x:c>
      <x:c r="K203" s="2" t="n">
        <x:f>IF(COUNTA('02_clients_raw'!A23:F23)&gt;0,23,"")</x:f>
        <x:v>23</x:v>
      </x:c>
    </x:row>
    <x:row r="204">
      <x:c r="A204" s="2" t="str">
        <x:f>IF(COUNTA('02_clients_raw'!A24:F24)&gt;0,"Client","")</x:f>
        <x:v>Client</x:v>
      </x:c>
      <x:c r="B204" s="2" t="str">
        <x:f>IF(COUNTA('02_clients_raw'!A24:F24)&gt;0,'02_clients_raw'!A24,"")</x:f>
        <x:v>C023</x:v>
      </x:c>
      <x:c r="C204" s="2" t="str">
        <x:f>IF(COUNTA('02_clients_raw'!A24:F24)&gt;0,IF(AND(LEN('02_clients_raw'!A24&amp;"")&gt;0,COUNTIF('02_clients_raw'!$A$2:$A$67,'02_clients_raw'!A24)&gt;1),"ERROR","OK"),"")</x:f>
        <x:v>OK</x:v>
      </x:c>
      <x:c r="D204" s="2" t="str">
        <x:f>IF(COUNTA('02_clients_raw'!A24:F24)&gt;0,IF(OR(LEN('02_clients_raw'!A24&amp;"")=0,LEN('02_clients_raw'!B24&amp;"")=0,LEN('02_clients_raw'!C24&amp;"")=0,LEN('02_clients_raw'!D24&amp;"")=0,LEN('02_clients_raw'!E24&amp;"")=0,LEN('02_clients_raw'!F24&amp;"")=0),"ERROR","OK"),"")</x:f>
        <x:v>OK</x:v>
      </x:c>
      <x:c r="E204" s="2" t="str">
        <x:f>IF(COUNTA('02_clients_raw'!A24:F24)&gt;0,"N/A","")</x:f>
        <x:v>N/A</x:v>
      </x:c>
      <x:c r="F204" s="2" t="str">
        <x:f>IF(COUNTA('02_clients_raw'!A24:F24)&gt;0,IF(LEN('02_clients_raw'!C24&amp;"")=0,"SKIP",IF(OR(AND(LEN('02_clients_raw'!C24&amp;"")&lt;&gt;10,LEN('02_clients_raw'!C24&amp;"")&lt;&gt;12),NOT(AND(IF(1&gt;LEN('02_clients_raw'!C24&amp;""),TRUE,IFERROR(FIND(MID('02_clients_raw'!C24&amp;"",1,1),"x0123456789")&gt;=2,FALSE)),IF(2&gt;LEN('02_clients_raw'!C24&amp;""),TRUE,IFERROR(FIND(MID('02_clients_raw'!C24&amp;"",2,1),"x0123456789")&gt;=2,FALSE)),IF(3&gt;LEN('02_clients_raw'!C24&amp;""),TRUE,IFERROR(FIND(MID('02_clients_raw'!C24&amp;"",3,1),"x0123456789")&gt;=2,FALSE)),IF(4&gt;LEN('02_clients_raw'!C24&amp;""),TRUE,IFERROR(FIND(MID('02_clients_raw'!C24&amp;"",4,1),"x0123456789")&gt;=2,FALSE)),IF(5&gt;LEN('02_clients_raw'!C24&amp;""),TRUE,IFERROR(FIND(MID('02_clients_raw'!C24&amp;"",5,1),"x0123456789")&gt;=2,FALSE)),IF(6&gt;LEN('02_clients_raw'!C24&amp;""),TRUE,IFERROR(FIND(MID('02_clients_raw'!C24&amp;"",6,1),"x0123456789")&gt;=2,FALSE)),IF(7&gt;LEN('02_clients_raw'!C24&amp;""),TRUE,IFERROR(FIND(MID('02_clients_raw'!C24&amp;"",7,1),"x0123456789")&gt;=2,FALSE)),IF(8&gt;LEN('02_clients_raw'!C24&amp;""),TRUE,IFERROR(FIND(MID('02_clients_raw'!C24&amp;"",8,1),"x0123456789")&gt;=2,FALSE)),IF(9&gt;LEN('02_clients_raw'!C24&amp;""),TRUE,IFERROR(FIND(MID('02_clients_raw'!C24&amp;"",9,1),"x0123456789")&gt;=2,FALSE)),IF(10&gt;LEN('02_clients_raw'!C24&amp;""),TRUE,IFERROR(FIND(MID('02_clients_raw'!C24&amp;"",10,1),"x0123456789")&gt;=2,FALSE)),IF(11&gt;LEN('02_clients_raw'!C24&amp;""),TRUE,IFERROR(FIND(MID('02_clients_raw'!C24&amp;"",11,1),"x0123456789")&gt;=2,FALSE)),IF(12&gt;LEN('02_clients_raw'!C24&amp;""),TRUE,IFERROR(FIND(MID('02_clients_raw'!C24&amp;"",12,1),"x0123456789")&gt;=2,FALSE))))),"ERROR","OK")),"")</x:f>
        <x:v>OK</x:v>
      </x:c>
      <x:c r="G204" s="2" t="str">
        <x:f>IF(COUNTA('02_clients_raw'!A24:F24)&gt;0,"N/A","")</x:f>
        <x:v>N/A</x:v>
      </x:c>
      <x:c r="H204" s="2" t="str">
        <x:f>IF(COUNTA('02_clients_raw'!A24:F24)&gt;0,IF(LEN('02_clients_raw'!E24&amp;"")=0,"SKIP",IF(OR(NOT(ISNUMBER('02_clients_raw'!E24)),'02_clients_raw'!E24&lt;=0,'02_clients_raw'!E24&gt;'09_parameters'!$B$2),"ERROR","OK")),"")</x:f>
        <x:v>OK</x:v>
      </x:c>
      <x:c r="I204" s="2" t="str">
        <x:f>IF(COUNTA('02_clients_raw'!A24:F24)&gt;0,"N/A","")</x:f>
        <x:v>N/A</x:v>
      </x:c>
      <x:c r="J204" s="2" t="n">
        <x:f>COUNTIF(C204:I204,"ERROR")</x:f>
        <x:v>0</x:v>
      </x:c>
      <x:c r="K204" s="2" t="n">
        <x:f>IF(COUNTA('02_clients_raw'!A24:F24)&gt;0,24,"")</x:f>
        <x:v>24</x:v>
      </x:c>
    </x:row>
    <x:row r="205">
      <x:c r="A205" s="2" t="str">
        <x:f>IF(COUNTA('02_clients_raw'!A25:F25)&gt;0,"Client","")</x:f>
        <x:v>Client</x:v>
      </x:c>
      <x:c r="B205" s="2" t="str">
        <x:f>IF(COUNTA('02_clients_raw'!A25:F25)&gt;0,'02_clients_raw'!A25,"")</x:f>
        <x:v>C024</x:v>
      </x:c>
      <x:c r="C205" s="2" t="str">
        <x:f>IF(COUNTA('02_clients_raw'!A25:F25)&gt;0,IF(AND(LEN('02_clients_raw'!A25&amp;"")&gt;0,COUNTIF('02_clients_raw'!$A$2:$A$67,'02_clients_raw'!A25)&gt;1),"ERROR","OK"),"")</x:f>
        <x:v>OK</x:v>
      </x:c>
      <x:c r="D205" s="2" t="str">
        <x:f>IF(COUNTA('02_clients_raw'!A25:F25)&gt;0,IF(OR(LEN('02_clients_raw'!A25&amp;"")=0,LEN('02_clients_raw'!B25&amp;"")=0,LEN('02_clients_raw'!C25&amp;"")=0,LEN('02_clients_raw'!D25&amp;"")=0,LEN('02_clients_raw'!E25&amp;"")=0,LEN('02_clients_raw'!F25&amp;"")=0),"ERROR","OK"),"")</x:f>
        <x:v>OK</x:v>
      </x:c>
      <x:c r="E205" s="2" t="str">
        <x:f>IF(COUNTA('02_clients_raw'!A25:F25)&gt;0,"N/A","")</x:f>
        <x:v>N/A</x:v>
      </x:c>
      <x:c r="F205" s="2" t="str">
        <x:f>IF(COUNTA('02_clients_raw'!A25:F25)&gt;0,IF(LEN('02_clients_raw'!C25&amp;"")=0,"SKIP",IF(OR(AND(LEN('02_clients_raw'!C25&amp;"")&lt;&gt;10,LEN('02_clients_raw'!C25&amp;"")&lt;&gt;12),NOT(AND(IF(1&gt;LEN('02_clients_raw'!C25&amp;""),TRUE,IFERROR(FIND(MID('02_clients_raw'!C25&amp;"",1,1),"x0123456789")&gt;=2,FALSE)),IF(2&gt;LEN('02_clients_raw'!C25&amp;""),TRUE,IFERROR(FIND(MID('02_clients_raw'!C25&amp;"",2,1),"x0123456789")&gt;=2,FALSE)),IF(3&gt;LEN('02_clients_raw'!C25&amp;""),TRUE,IFERROR(FIND(MID('02_clients_raw'!C25&amp;"",3,1),"x0123456789")&gt;=2,FALSE)),IF(4&gt;LEN('02_clients_raw'!C25&amp;""),TRUE,IFERROR(FIND(MID('02_clients_raw'!C25&amp;"",4,1),"x0123456789")&gt;=2,FALSE)),IF(5&gt;LEN('02_clients_raw'!C25&amp;""),TRUE,IFERROR(FIND(MID('02_clients_raw'!C25&amp;"",5,1),"x0123456789")&gt;=2,FALSE)),IF(6&gt;LEN('02_clients_raw'!C25&amp;""),TRUE,IFERROR(FIND(MID('02_clients_raw'!C25&amp;"",6,1),"x0123456789")&gt;=2,FALSE)),IF(7&gt;LEN('02_clients_raw'!C25&amp;""),TRUE,IFERROR(FIND(MID('02_clients_raw'!C25&amp;"",7,1),"x0123456789")&gt;=2,FALSE)),IF(8&gt;LEN('02_clients_raw'!C25&amp;""),TRUE,IFERROR(FIND(MID('02_clients_raw'!C25&amp;"",8,1),"x0123456789")&gt;=2,FALSE)),IF(9&gt;LEN('02_clients_raw'!C25&amp;""),TRUE,IFERROR(FIND(MID('02_clients_raw'!C25&amp;"",9,1),"x0123456789")&gt;=2,FALSE)),IF(10&gt;LEN('02_clients_raw'!C25&amp;""),TRUE,IFERROR(FIND(MID('02_clients_raw'!C25&amp;"",10,1),"x0123456789")&gt;=2,FALSE)),IF(11&gt;LEN('02_clients_raw'!C25&amp;""),TRUE,IFERROR(FIND(MID('02_clients_raw'!C25&amp;"",11,1),"x0123456789")&gt;=2,FALSE)),IF(12&gt;LEN('02_clients_raw'!C25&amp;""),TRUE,IFERROR(FIND(MID('02_clients_raw'!C25&amp;"",12,1),"x0123456789")&gt;=2,FALSE))))),"ERROR","OK")),"")</x:f>
        <x:v>OK</x:v>
      </x:c>
      <x:c r="G205" s="2" t="str">
        <x:f>IF(COUNTA('02_clients_raw'!A25:F25)&gt;0,"N/A","")</x:f>
        <x:v>N/A</x:v>
      </x:c>
      <x:c r="H205" s="2" t="str">
        <x:f>IF(COUNTA('02_clients_raw'!A25:F25)&gt;0,IF(LEN('02_clients_raw'!E25&amp;"")=0,"SKIP",IF(OR(NOT(ISNUMBER('02_clients_raw'!E25)),'02_clients_raw'!E25&lt;=0,'02_clients_raw'!E25&gt;'09_parameters'!$B$2),"ERROR","OK")),"")</x:f>
        <x:v>OK</x:v>
      </x:c>
      <x:c r="I205" s="2" t="str">
        <x:f>IF(COUNTA('02_clients_raw'!A25:F25)&gt;0,"N/A","")</x:f>
        <x:v>N/A</x:v>
      </x:c>
      <x:c r="J205" s="2" t="n">
        <x:f>COUNTIF(C205:I205,"ERROR")</x:f>
        <x:v>0</x:v>
      </x:c>
      <x:c r="K205" s="2" t="n">
        <x:f>IF(COUNTA('02_clients_raw'!A25:F25)&gt;0,25,"")</x:f>
        <x:v>25</x:v>
      </x:c>
    </x:row>
    <x:row r="206">
      <x:c r="A206" s="2" t="str">
        <x:f>IF(COUNTA('02_clients_raw'!A26:F26)&gt;0,"Client","")</x:f>
        <x:v>Client</x:v>
      </x:c>
      <x:c r="B206" s="2" t="str">
        <x:f>IF(COUNTA('02_clients_raw'!A26:F26)&gt;0,'02_clients_raw'!A26,"")</x:f>
        <x:v>C025</x:v>
      </x:c>
      <x:c r="C206" s="2" t="str">
        <x:f>IF(COUNTA('02_clients_raw'!A26:F26)&gt;0,IF(AND(LEN('02_clients_raw'!A26&amp;"")&gt;0,COUNTIF('02_clients_raw'!$A$2:$A$67,'02_clients_raw'!A26)&gt;1),"ERROR","OK"),"")</x:f>
        <x:v>OK</x:v>
      </x:c>
      <x:c r="D206" s="2" t="str">
        <x:f>IF(COUNTA('02_clients_raw'!A26:F26)&gt;0,IF(OR(LEN('02_clients_raw'!A26&amp;"")=0,LEN('02_clients_raw'!B26&amp;"")=0,LEN('02_clients_raw'!C26&amp;"")=0,LEN('02_clients_raw'!D26&amp;"")=0,LEN('02_clients_raw'!E26&amp;"")=0,LEN('02_clients_raw'!F26&amp;"")=0),"ERROR","OK"),"")</x:f>
        <x:v>ERROR</x:v>
      </x:c>
      <x:c r="E206" s="2" t="str">
        <x:f>IF(COUNTA('02_clients_raw'!A26:F26)&gt;0,"N/A","")</x:f>
        <x:v>N/A</x:v>
      </x:c>
      <x:c r="F206" s="2" t="str">
        <x:f>IF(COUNTA('02_clients_raw'!A26:F26)&gt;0,IF(LEN('02_clients_raw'!C26&amp;"")=0,"SKIP",IF(OR(AND(LEN('02_clients_raw'!C26&amp;"")&lt;&gt;10,LEN('02_clients_raw'!C26&amp;"")&lt;&gt;12),NOT(AND(IF(1&gt;LEN('02_clients_raw'!C26&amp;""),TRUE,IFERROR(FIND(MID('02_clients_raw'!C26&amp;"",1,1),"x0123456789")&gt;=2,FALSE)),IF(2&gt;LEN('02_clients_raw'!C26&amp;""),TRUE,IFERROR(FIND(MID('02_clients_raw'!C26&amp;"",2,1),"x0123456789")&gt;=2,FALSE)),IF(3&gt;LEN('02_clients_raw'!C26&amp;""),TRUE,IFERROR(FIND(MID('02_clients_raw'!C26&amp;"",3,1),"x0123456789")&gt;=2,FALSE)),IF(4&gt;LEN('02_clients_raw'!C26&amp;""),TRUE,IFERROR(FIND(MID('02_clients_raw'!C26&amp;"",4,1),"x0123456789")&gt;=2,FALSE)),IF(5&gt;LEN('02_clients_raw'!C26&amp;""),TRUE,IFERROR(FIND(MID('02_clients_raw'!C26&amp;"",5,1),"x0123456789")&gt;=2,FALSE)),IF(6&gt;LEN('02_clients_raw'!C26&amp;""),TRUE,IFERROR(FIND(MID('02_clients_raw'!C26&amp;"",6,1),"x0123456789")&gt;=2,FALSE)),IF(7&gt;LEN('02_clients_raw'!C26&amp;""),TRUE,IFERROR(FIND(MID('02_clients_raw'!C26&amp;"",7,1),"x0123456789")&gt;=2,FALSE)),IF(8&gt;LEN('02_clients_raw'!C26&amp;""),TRUE,IFERROR(FIND(MID('02_clients_raw'!C26&amp;"",8,1),"x0123456789")&gt;=2,FALSE)),IF(9&gt;LEN('02_clients_raw'!C26&amp;""),TRUE,IFERROR(FIND(MID('02_clients_raw'!C26&amp;"",9,1),"x0123456789")&gt;=2,FALSE)),IF(10&gt;LEN('02_clients_raw'!C26&amp;""),TRUE,IFERROR(FIND(MID('02_clients_raw'!C26&amp;"",10,1),"x0123456789")&gt;=2,FALSE)),IF(11&gt;LEN('02_clients_raw'!C26&amp;""),TRUE,IFERROR(FIND(MID('02_clients_raw'!C26&amp;"",11,1),"x0123456789")&gt;=2,FALSE)),IF(12&gt;LEN('02_clients_raw'!C26&amp;""),TRUE,IFERROR(FIND(MID('02_clients_raw'!C26&amp;"",12,1),"x0123456789")&gt;=2,FALSE))))),"ERROR","OK")),"")</x:f>
        <x:v>OK</x:v>
      </x:c>
      <x:c r="G206" s="2" t="str">
        <x:f>IF(COUNTA('02_clients_raw'!A26:F26)&gt;0,"N/A","")</x:f>
        <x:v>N/A</x:v>
      </x:c>
      <x:c r="H206" s="2" t="str">
        <x:f>IF(COUNTA('02_clients_raw'!A26:F26)&gt;0,IF(LEN('02_clients_raw'!E26&amp;"")=0,"SKIP",IF(OR(NOT(ISNUMBER('02_clients_raw'!E26)),'02_clients_raw'!E26&lt;=0,'02_clients_raw'!E26&gt;'09_parameters'!$B$2),"ERROR","OK")),"")</x:f>
        <x:v>SKIP</x:v>
      </x:c>
      <x:c r="I206" s="2" t="str">
        <x:f>IF(COUNTA('02_clients_raw'!A26:F26)&gt;0,"N/A","")</x:f>
        <x:v>N/A</x:v>
      </x:c>
      <x:c r="J206" s="2" t="n">
        <x:f>COUNTIF(C206:I206,"ERROR")</x:f>
        <x:v>1</x:v>
      </x:c>
      <x:c r="K206" s="2" t="n">
        <x:f>IF(COUNTA('02_clients_raw'!A26:F26)&gt;0,26,"")</x:f>
        <x:v>26</x:v>
      </x:c>
    </x:row>
    <x:row r="207">
      <x:c r="A207" s="2" t="str">
        <x:f>IF(COUNTA('02_clients_raw'!A27:F27)&gt;0,"Client","")</x:f>
        <x:v>Client</x:v>
      </x:c>
      <x:c r="B207" s="2" t="str">
        <x:f>IF(COUNTA('02_clients_raw'!A27:F27)&gt;0,'02_clients_raw'!A27,"")</x:f>
        <x:v>C026</x:v>
      </x:c>
      <x:c r="C207" s="2" t="str">
        <x:f>IF(COUNTA('02_clients_raw'!A27:F27)&gt;0,IF(AND(LEN('02_clients_raw'!A27&amp;"")&gt;0,COUNTIF('02_clients_raw'!$A$2:$A$67,'02_clients_raw'!A27)&gt;1),"ERROR","OK"),"")</x:f>
        <x:v>OK</x:v>
      </x:c>
      <x:c r="D207" s="2" t="str">
        <x:f>IF(COUNTA('02_clients_raw'!A27:F27)&gt;0,IF(OR(LEN('02_clients_raw'!A27&amp;"")=0,LEN('02_clients_raw'!B27&amp;"")=0,LEN('02_clients_raw'!C27&amp;"")=0,LEN('02_clients_raw'!D27&amp;"")=0,LEN('02_clients_raw'!E27&amp;"")=0,LEN('02_clients_raw'!F27&amp;"")=0),"ERROR","OK"),"")</x:f>
        <x:v>OK</x:v>
      </x:c>
      <x:c r="E207" s="2" t="str">
        <x:f>IF(COUNTA('02_clients_raw'!A27:F27)&gt;0,"N/A","")</x:f>
        <x:v>N/A</x:v>
      </x:c>
      <x:c r="F207" s="2" t="str">
        <x:f>IF(COUNTA('02_clients_raw'!A27:F27)&gt;0,IF(LEN('02_clients_raw'!C27&amp;"")=0,"SKIP",IF(OR(AND(LEN('02_clients_raw'!C27&amp;"")&lt;&gt;10,LEN('02_clients_raw'!C27&amp;"")&lt;&gt;12),NOT(AND(IF(1&gt;LEN('02_clients_raw'!C27&amp;""),TRUE,IFERROR(FIND(MID('02_clients_raw'!C27&amp;"",1,1),"x0123456789")&gt;=2,FALSE)),IF(2&gt;LEN('02_clients_raw'!C27&amp;""),TRUE,IFERROR(FIND(MID('02_clients_raw'!C27&amp;"",2,1),"x0123456789")&gt;=2,FALSE)),IF(3&gt;LEN('02_clients_raw'!C27&amp;""),TRUE,IFERROR(FIND(MID('02_clients_raw'!C27&amp;"",3,1),"x0123456789")&gt;=2,FALSE)),IF(4&gt;LEN('02_clients_raw'!C27&amp;""),TRUE,IFERROR(FIND(MID('02_clients_raw'!C27&amp;"",4,1),"x0123456789")&gt;=2,FALSE)),IF(5&gt;LEN('02_clients_raw'!C27&amp;""),TRUE,IFERROR(FIND(MID('02_clients_raw'!C27&amp;"",5,1),"x0123456789")&gt;=2,FALSE)),IF(6&gt;LEN('02_clients_raw'!C27&amp;""),TRUE,IFERROR(FIND(MID('02_clients_raw'!C27&amp;"",6,1),"x0123456789")&gt;=2,FALSE)),IF(7&gt;LEN('02_clients_raw'!C27&amp;""),TRUE,IFERROR(FIND(MID('02_clients_raw'!C27&amp;"",7,1),"x0123456789")&gt;=2,FALSE)),IF(8&gt;LEN('02_clients_raw'!C27&amp;""),TRUE,IFERROR(FIND(MID('02_clients_raw'!C27&amp;"",8,1),"x0123456789")&gt;=2,FALSE)),IF(9&gt;LEN('02_clients_raw'!C27&amp;""),TRUE,IFERROR(FIND(MID('02_clients_raw'!C27&amp;"",9,1),"x0123456789")&gt;=2,FALSE)),IF(10&gt;LEN('02_clients_raw'!C27&amp;""),TRUE,IFERROR(FIND(MID('02_clients_raw'!C27&amp;"",10,1),"x0123456789")&gt;=2,FALSE)),IF(11&gt;LEN('02_clients_raw'!C27&amp;""),TRUE,IFERROR(FIND(MID('02_clients_raw'!C27&amp;"",11,1),"x0123456789")&gt;=2,FALSE)),IF(12&gt;LEN('02_clients_raw'!C27&amp;""),TRUE,IFERROR(FIND(MID('02_clients_raw'!C27&amp;"",12,1),"x0123456789")&gt;=2,FALSE))))),"ERROR","OK")),"")</x:f>
        <x:v>OK</x:v>
      </x:c>
      <x:c r="G207" s="2" t="str">
        <x:f>IF(COUNTA('02_clients_raw'!A27:F27)&gt;0,"N/A","")</x:f>
        <x:v>N/A</x:v>
      </x:c>
      <x:c r="H207" s="2" t="str">
        <x:f>IF(COUNTA('02_clients_raw'!A27:F27)&gt;0,IF(LEN('02_clients_raw'!E27&amp;"")=0,"SKIP",IF(OR(NOT(ISNUMBER('02_clients_raw'!E27)),'02_clients_raw'!E27&lt;=0,'02_clients_raw'!E27&gt;'09_parameters'!$B$2),"ERROR","OK")),"")</x:f>
        <x:v>OK</x:v>
      </x:c>
      <x:c r="I207" s="2" t="str">
        <x:f>IF(COUNTA('02_clients_raw'!A27:F27)&gt;0,"N/A","")</x:f>
        <x:v>N/A</x:v>
      </x:c>
      <x:c r="J207" s="2" t="n">
        <x:f>COUNTIF(C207:I207,"ERROR")</x:f>
        <x:v>0</x:v>
      </x:c>
      <x:c r="K207" s="2" t="n">
        <x:f>IF(COUNTA('02_clients_raw'!A27:F27)&gt;0,27,"")</x:f>
        <x:v>27</x:v>
      </x:c>
    </x:row>
    <x:row r="208">
      <x:c r="A208" s="2" t="str">
        <x:f>IF(COUNTA('02_clients_raw'!A28:F28)&gt;0,"Client","")</x:f>
        <x:v>Client</x:v>
      </x:c>
      <x:c r="B208" s="2" t="str">
        <x:f>IF(COUNTA('02_clients_raw'!A28:F28)&gt;0,'02_clients_raw'!A28,"")</x:f>
        <x:v>C027</x:v>
      </x:c>
      <x:c r="C208" s="2" t="str">
        <x:f>IF(COUNTA('02_clients_raw'!A28:F28)&gt;0,IF(AND(LEN('02_clients_raw'!A28&amp;"")&gt;0,COUNTIF('02_clients_raw'!$A$2:$A$67,'02_clients_raw'!A28)&gt;1),"ERROR","OK"),"")</x:f>
        <x:v>OK</x:v>
      </x:c>
      <x:c r="D208" s="2" t="str">
        <x:f>IF(COUNTA('02_clients_raw'!A28:F28)&gt;0,IF(OR(LEN('02_clients_raw'!A28&amp;"")=0,LEN('02_clients_raw'!B28&amp;"")=0,LEN('02_clients_raw'!C28&amp;"")=0,LEN('02_clients_raw'!D28&amp;"")=0,LEN('02_clients_raw'!E28&amp;"")=0,LEN('02_clients_raw'!F28&amp;"")=0),"ERROR","OK"),"")</x:f>
        <x:v>OK</x:v>
      </x:c>
      <x:c r="E208" s="2" t="str">
        <x:f>IF(COUNTA('02_clients_raw'!A28:F28)&gt;0,"N/A","")</x:f>
        <x:v>N/A</x:v>
      </x:c>
      <x:c r="F208" s="2" t="str">
        <x:f>IF(COUNTA('02_clients_raw'!A28:F28)&gt;0,IF(LEN('02_clients_raw'!C28&amp;"")=0,"SKIP",IF(OR(AND(LEN('02_clients_raw'!C28&amp;"")&lt;&gt;10,LEN('02_clients_raw'!C28&amp;"")&lt;&gt;12),NOT(AND(IF(1&gt;LEN('02_clients_raw'!C28&amp;""),TRUE,IFERROR(FIND(MID('02_clients_raw'!C28&amp;"",1,1),"x0123456789")&gt;=2,FALSE)),IF(2&gt;LEN('02_clients_raw'!C28&amp;""),TRUE,IFERROR(FIND(MID('02_clients_raw'!C28&amp;"",2,1),"x0123456789")&gt;=2,FALSE)),IF(3&gt;LEN('02_clients_raw'!C28&amp;""),TRUE,IFERROR(FIND(MID('02_clients_raw'!C28&amp;"",3,1),"x0123456789")&gt;=2,FALSE)),IF(4&gt;LEN('02_clients_raw'!C28&amp;""),TRUE,IFERROR(FIND(MID('02_clients_raw'!C28&amp;"",4,1),"x0123456789")&gt;=2,FALSE)),IF(5&gt;LEN('02_clients_raw'!C28&amp;""),TRUE,IFERROR(FIND(MID('02_clients_raw'!C28&amp;"",5,1),"x0123456789")&gt;=2,FALSE)),IF(6&gt;LEN('02_clients_raw'!C28&amp;""),TRUE,IFERROR(FIND(MID('02_clients_raw'!C28&amp;"",6,1),"x0123456789")&gt;=2,FALSE)),IF(7&gt;LEN('02_clients_raw'!C28&amp;""),TRUE,IFERROR(FIND(MID('02_clients_raw'!C28&amp;"",7,1),"x0123456789")&gt;=2,FALSE)),IF(8&gt;LEN('02_clients_raw'!C28&amp;""),TRUE,IFERROR(FIND(MID('02_clients_raw'!C28&amp;"",8,1),"x0123456789")&gt;=2,FALSE)),IF(9&gt;LEN('02_clients_raw'!C28&amp;""),TRUE,IFERROR(FIND(MID('02_clients_raw'!C28&amp;"",9,1),"x0123456789")&gt;=2,FALSE)),IF(10&gt;LEN('02_clients_raw'!C28&amp;""),TRUE,IFERROR(FIND(MID('02_clients_raw'!C28&amp;"",10,1),"x0123456789")&gt;=2,FALSE)),IF(11&gt;LEN('02_clients_raw'!C28&amp;""),TRUE,IFERROR(FIND(MID('02_clients_raw'!C28&amp;"",11,1),"x0123456789")&gt;=2,FALSE)),IF(12&gt;LEN('02_clients_raw'!C28&amp;""),TRUE,IFERROR(FIND(MID('02_clients_raw'!C28&amp;"",12,1),"x0123456789")&gt;=2,FALSE))))),"ERROR","OK")),"")</x:f>
        <x:v>OK</x:v>
      </x:c>
      <x:c r="G208" s="2" t="str">
        <x:f>IF(COUNTA('02_clients_raw'!A28:F28)&gt;0,"N/A","")</x:f>
        <x:v>N/A</x:v>
      </x:c>
      <x:c r="H208" s="2" t="str">
        <x:f>IF(COUNTA('02_clients_raw'!A28:F28)&gt;0,IF(LEN('02_clients_raw'!E28&amp;"")=0,"SKIP",IF(OR(NOT(ISNUMBER('02_clients_raw'!E28)),'02_clients_raw'!E28&lt;=0,'02_clients_raw'!E28&gt;'09_parameters'!$B$2),"ERROR","OK")),"")</x:f>
        <x:v>OK</x:v>
      </x:c>
      <x:c r="I208" s="2" t="str">
        <x:f>IF(COUNTA('02_clients_raw'!A28:F28)&gt;0,"N/A","")</x:f>
        <x:v>N/A</x:v>
      </x:c>
      <x:c r="J208" s="2" t="n">
        <x:f>COUNTIF(C208:I208,"ERROR")</x:f>
        <x:v>0</x:v>
      </x:c>
      <x:c r="K208" s="2" t="n">
        <x:f>IF(COUNTA('02_clients_raw'!A28:F28)&gt;0,28,"")</x:f>
        <x:v>28</x:v>
      </x:c>
    </x:row>
    <x:row r="209">
      <x:c r="A209" s="2" t="str">
        <x:f>IF(COUNTA('02_clients_raw'!A29:F29)&gt;0,"Client","")</x:f>
        <x:v>Client</x:v>
      </x:c>
      <x:c r="B209" s="2" t="str">
        <x:f>IF(COUNTA('02_clients_raw'!A29:F29)&gt;0,'02_clients_raw'!A29,"")</x:f>
        <x:v>C028</x:v>
      </x:c>
      <x:c r="C209" s="2" t="str">
        <x:f>IF(COUNTA('02_clients_raw'!A29:F29)&gt;0,IF(AND(LEN('02_clients_raw'!A29&amp;"")&gt;0,COUNTIF('02_clients_raw'!$A$2:$A$67,'02_clients_raw'!A29)&gt;1),"ERROR","OK"),"")</x:f>
        <x:v>OK</x:v>
      </x:c>
      <x:c r="D209" s="2" t="str">
        <x:f>IF(COUNTA('02_clients_raw'!A29:F29)&gt;0,IF(OR(LEN('02_clients_raw'!A29&amp;"")=0,LEN('02_clients_raw'!B29&amp;"")=0,LEN('02_clients_raw'!C29&amp;"")=0,LEN('02_clients_raw'!D29&amp;"")=0,LEN('02_clients_raw'!E29&amp;"")=0,LEN('02_clients_raw'!F29&amp;"")=0),"ERROR","OK"),"")</x:f>
        <x:v>OK</x:v>
      </x:c>
      <x:c r="E209" s="2" t="str">
        <x:f>IF(COUNTA('02_clients_raw'!A29:F29)&gt;0,"N/A","")</x:f>
        <x:v>N/A</x:v>
      </x:c>
      <x:c r="F209" s="2" t="str">
        <x:f>IF(COUNTA('02_clients_raw'!A29:F29)&gt;0,IF(LEN('02_clients_raw'!C29&amp;"")=0,"SKIP",IF(OR(AND(LEN('02_clients_raw'!C29&amp;"")&lt;&gt;10,LEN('02_clients_raw'!C29&amp;"")&lt;&gt;12),NOT(AND(IF(1&gt;LEN('02_clients_raw'!C29&amp;""),TRUE,IFERROR(FIND(MID('02_clients_raw'!C29&amp;"",1,1),"x0123456789")&gt;=2,FALSE)),IF(2&gt;LEN('02_clients_raw'!C29&amp;""),TRUE,IFERROR(FIND(MID('02_clients_raw'!C29&amp;"",2,1),"x0123456789")&gt;=2,FALSE)),IF(3&gt;LEN('02_clients_raw'!C29&amp;""),TRUE,IFERROR(FIND(MID('02_clients_raw'!C29&amp;"",3,1),"x0123456789")&gt;=2,FALSE)),IF(4&gt;LEN('02_clients_raw'!C29&amp;""),TRUE,IFERROR(FIND(MID('02_clients_raw'!C29&amp;"",4,1),"x0123456789")&gt;=2,FALSE)),IF(5&gt;LEN('02_clients_raw'!C29&amp;""),TRUE,IFERROR(FIND(MID('02_clients_raw'!C29&amp;"",5,1),"x0123456789")&gt;=2,FALSE)),IF(6&gt;LEN('02_clients_raw'!C29&amp;""),TRUE,IFERROR(FIND(MID('02_clients_raw'!C29&amp;"",6,1),"x0123456789")&gt;=2,FALSE)),IF(7&gt;LEN('02_clients_raw'!C29&amp;""),TRUE,IFERROR(FIND(MID('02_clients_raw'!C29&amp;"",7,1),"x0123456789")&gt;=2,FALSE)),IF(8&gt;LEN('02_clients_raw'!C29&amp;""),TRUE,IFERROR(FIND(MID('02_clients_raw'!C29&amp;"",8,1),"x0123456789")&gt;=2,FALSE)),IF(9&gt;LEN('02_clients_raw'!C29&amp;""),TRUE,IFERROR(FIND(MID('02_clients_raw'!C29&amp;"",9,1),"x0123456789")&gt;=2,FALSE)),IF(10&gt;LEN('02_clients_raw'!C29&amp;""),TRUE,IFERROR(FIND(MID('02_clients_raw'!C29&amp;"",10,1),"x0123456789")&gt;=2,FALSE)),IF(11&gt;LEN('02_clients_raw'!C29&amp;""),TRUE,IFERROR(FIND(MID('02_clients_raw'!C29&amp;"",11,1),"x0123456789")&gt;=2,FALSE)),IF(12&gt;LEN('02_clients_raw'!C29&amp;""),TRUE,IFERROR(FIND(MID('02_clients_raw'!C29&amp;"",12,1),"x0123456789")&gt;=2,FALSE))))),"ERROR","OK")),"")</x:f>
        <x:v>OK</x:v>
      </x:c>
      <x:c r="G209" s="2" t="str">
        <x:f>IF(COUNTA('02_clients_raw'!A29:F29)&gt;0,"N/A","")</x:f>
        <x:v>N/A</x:v>
      </x:c>
      <x:c r="H209" s="2" t="str">
        <x:f>IF(COUNTA('02_clients_raw'!A29:F29)&gt;0,IF(LEN('02_clients_raw'!E29&amp;"")=0,"SKIP",IF(OR(NOT(ISNUMBER('02_clients_raw'!E29)),'02_clients_raw'!E29&lt;=0,'02_clients_raw'!E29&gt;'09_parameters'!$B$2),"ERROR","OK")),"")</x:f>
        <x:v>OK</x:v>
      </x:c>
      <x:c r="I209" s="2" t="str">
        <x:f>IF(COUNTA('02_clients_raw'!A29:F29)&gt;0,"N/A","")</x:f>
        <x:v>N/A</x:v>
      </x:c>
      <x:c r="J209" s="2" t="n">
        <x:f>COUNTIF(C209:I209,"ERROR")</x:f>
        <x:v>0</x:v>
      </x:c>
      <x:c r="K209" s="2" t="n">
        <x:f>IF(COUNTA('02_clients_raw'!A29:F29)&gt;0,29,"")</x:f>
        <x:v>29</x:v>
      </x:c>
    </x:row>
    <x:row r="210">
      <x:c r="A210" s="2" t="str">
        <x:f>IF(COUNTA('02_clients_raw'!A30:F30)&gt;0,"Client","")</x:f>
        <x:v>Client</x:v>
      </x:c>
      <x:c r="B210" s="2" t="str">
        <x:f>IF(COUNTA('02_clients_raw'!A30:F30)&gt;0,'02_clients_raw'!A30,"")</x:f>
        <x:v>C029</x:v>
      </x:c>
      <x:c r="C210" s="2" t="str">
        <x:f>IF(COUNTA('02_clients_raw'!A30:F30)&gt;0,IF(AND(LEN('02_clients_raw'!A30&amp;"")&gt;0,COUNTIF('02_clients_raw'!$A$2:$A$67,'02_clients_raw'!A30)&gt;1),"ERROR","OK"),"")</x:f>
        <x:v>OK</x:v>
      </x:c>
      <x:c r="D210" s="2" t="str">
        <x:f>IF(COUNTA('02_clients_raw'!A30:F30)&gt;0,IF(OR(LEN('02_clients_raw'!A30&amp;"")=0,LEN('02_clients_raw'!B30&amp;"")=0,LEN('02_clients_raw'!C30&amp;"")=0,LEN('02_clients_raw'!D30&amp;"")=0,LEN('02_clients_raw'!E30&amp;"")=0,LEN('02_clients_raw'!F30&amp;"")=0),"ERROR","OK"),"")</x:f>
        <x:v>OK</x:v>
      </x:c>
      <x:c r="E210" s="2" t="str">
        <x:f>IF(COUNTA('02_clients_raw'!A30:F30)&gt;0,"N/A","")</x:f>
        <x:v>N/A</x:v>
      </x:c>
      <x:c r="F210" s="2" t="str">
        <x:f>IF(COUNTA('02_clients_raw'!A30:F30)&gt;0,IF(LEN('02_clients_raw'!C30&amp;"")=0,"SKIP",IF(OR(AND(LEN('02_clients_raw'!C30&amp;"")&lt;&gt;10,LEN('02_clients_raw'!C30&amp;"")&lt;&gt;12),NOT(AND(IF(1&gt;LEN('02_clients_raw'!C30&amp;""),TRUE,IFERROR(FIND(MID('02_clients_raw'!C30&amp;"",1,1),"x0123456789")&gt;=2,FALSE)),IF(2&gt;LEN('02_clients_raw'!C30&amp;""),TRUE,IFERROR(FIND(MID('02_clients_raw'!C30&amp;"",2,1),"x0123456789")&gt;=2,FALSE)),IF(3&gt;LEN('02_clients_raw'!C30&amp;""),TRUE,IFERROR(FIND(MID('02_clients_raw'!C30&amp;"",3,1),"x0123456789")&gt;=2,FALSE)),IF(4&gt;LEN('02_clients_raw'!C30&amp;""),TRUE,IFERROR(FIND(MID('02_clients_raw'!C30&amp;"",4,1),"x0123456789")&gt;=2,FALSE)),IF(5&gt;LEN('02_clients_raw'!C30&amp;""),TRUE,IFERROR(FIND(MID('02_clients_raw'!C30&amp;"",5,1),"x0123456789")&gt;=2,FALSE)),IF(6&gt;LEN('02_clients_raw'!C30&amp;""),TRUE,IFERROR(FIND(MID('02_clients_raw'!C30&amp;"",6,1),"x0123456789")&gt;=2,FALSE)),IF(7&gt;LEN('02_clients_raw'!C30&amp;""),TRUE,IFERROR(FIND(MID('02_clients_raw'!C30&amp;"",7,1),"x0123456789")&gt;=2,FALSE)),IF(8&gt;LEN('02_clients_raw'!C30&amp;""),TRUE,IFERROR(FIND(MID('02_clients_raw'!C30&amp;"",8,1),"x0123456789")&gt;=2,FALSE)),IF(9&gt;LEN('02_clients_raw'!C30&amp;""),TRUE,IFERROR(FIND(MID('02_clients_raw'!C30&amp;"",9,1),"x0123456789")&gt;=2,FALSE)),IF(10&gt;LEN('02_clients_raw'!C30&amp;""),TRUE,IFERROR(FIND(MID('02_clients_raw'!C30&amp;"",10,1),"x0123456789")&gt;=2,FALSE)),IF(11&gt;LEN('02_clients_raw'!C30&amp;""),TRUE,IFERROR(FIND(MID('02_clients_raw'!C30&amp;"",11,1),"x0123456789")&gt;=2,FALSE)),IF(12&gt;LEN('02_clients_raw'!C30&amp;""),TRUE,IFERROR(FIND(MID('02_clients_raw'!C30&amp;"",12,1),"x0123456789")&gt;=2,FALSE))))),"ERROR","OK")),"")</x:f>
        <x:v>OK</x:v>
      </x:c>
      <x:c r="G210" s="2" t="str">
        <x:f>IF(COUNTA('02_clients_raw'!A30:F30)&gt;0,"N/A","")</x:f>
        <x:v>N/A</x:v>
      </x:c>
      <x:c r="H210" s="2" t="str">
        <x:f>IF(COUNTA('02_clients_raw'!A30:F30)&gt;0,IF(LEN('02_clients_raw'!E30&amp;"")=0,"SKIP",IF(OR(NOT(ISNUMBER('02_clients_raw'!E30)),'02_clients_raw'!E30&lt;=0,'02_clients_raw'!E30&gt;'09_parameters'!$B$2),"ERROR","OK")),"")</x:f>
        <x:v>OK</x:v>
      </x:c>
      <x:c r="I210" s="2" t="str">
        <x:f>IF(COUNTA('02_clients_raw'!A30:F30)&gt;0,"N/A","")</x:f>
        <x:v>N/A</x:v>
      </x:c>
      <x:c r="J210" s="2" t="n">
        <x:f>COUNTIF(C210:I210,"ERROR")</x:f>
        <x:v>0</x:v>
      </x:c>
      <x:c r="K210" s="2" t="n">
        <x:f>IF(COUNTA('02_clients_raw'!A30:F30)&gt;0,30,"")</x:f>
        <x:v>30</x:v>
      </x:c>
    </x:row>
    <x:row r="211">
      <x:c r="A211" s="2" t="str">
        <x:f>IF(COUNTA('02_clients_raw'!A31:F31)&gt;0,"Client","")</x:f>
        <x:v>Client</x:v>
      </x:c>
      <x:c r="B211" s="2" t="str">
        <x:f>IF(COUNTA('02_clients_raw'!A31:F31)&gt;0,'02_clients_raw'!A31,"")</x:f>
        <x:v>C030</x:v>
      </x:c>
      <x:c r="C211" s="2" t="str">
        <x:f>IF(COUNTA('02_clients_raw'!A31:F31)&gt;0,IF(AND(LEN('02_clients_raw'!A31&amp;"")&gt;0,COUNTIF('02_clients_raw'!$A$2:$A$67,'02_clients_raw'!A31)&gt;1),"ERROR","OK"),"")</x:f>
        <x:v>OK</x:v>
      </x:c>
      <x:c r="D211" s="2" t="str">
        <x:f>IF(COUNTA('02_clients_raw'!A31:F31)&gt;0,IF(OR(LEN('02_clients_raw'!A31&amp;"")=0,LEN('02_clients_raw'!B31&amp;"")=0,LEN('02_clients_raw'!C31&amp;"")=0,LEN('02_clients_raw'!D31&amp;"")=0,LEN('02_clients_raw'!E31&amp;"")=0,LEN('02_clients_raw'!F31&amp;"")=0),"ERROR","OK"),"")</x:f>
        <x:v>OK</x:v>
      </x:c>
      <x:c r="E211" s="2" t="str">
        <x:f>IF(COUNTA('02_clients_raw'!A31:F31)&gt;0,"N/A","")</x:f>
        <x:v>N/A</x:v>
      </x:c>
      <x:c r="F211" s="2" t="str">
        <x:f>IF(COUNTA('02_clients_raw'!A31:F31)&gt;0,IF(LEN('02_clients_raw'!C31&amp;"")=0,"SKIP",IF(OR(AND(LEN('02_clients_raw'!C31&amp;"")&lt;&gt;10,LEN('02_clients_raw'!C31&amp;"")&lt;&gt;12),NOT(AND(IF(1&gt;LEN('02_clients_raw'!C31&amp;""),TRUE,IFERROR(FIND(MID('02_clients_raw'!C31&amp;"",1,1),"x0123456789")&gt;=2,FALSE)),IF(2&gt;LEN('02_clients_raw'!C31&amp;""),TRUE,IFERROR(FIND(MID('02_clients_raw'!C31&amp;"",2,1),"x0123456789")&gt;=2,FALSE)),IF(3&gt;LEN('02_clients_raw'!C31&amp;""),TRUE,IFERROR(FIND(MID('02_clients_raw'!C31&amp;"",3,1),"x0123456789")&gt;=2,FALSE)),IF(4&gt;LEN('02_clients_raw'!C31&amp;""),TRUE,IFERROR(FIND(MID('02_clients_raw'!C31&amp;"",4,1),"x0123456789")&gt;=2,FALSE)),IF(5&gt;LEN('02_clients_raw'!C31&amp;""),TRUE,IFERROR(FIND(MID('02_clients_raw'!C31&amp;"",5,1),"x0123456789")&gt;=2,FALSE)),IF(6&gt;LEN('02_clients_raw'!C31&amp;""),TRUE,IFERROR(FIND(MID('02_clients_raw'!C31&amp;"",6,1),"x0123456789")&gt;=2,FALSE)),IF(7&gt;LEN('02_clients_raw'!C31&amp;""),TRUE,IFERROR(FIND(MID('02_clients_raw'!C31&amp;"",7,1),"x0123456789")&gt;=2,FALSE)),IF(8&gt;LEN('02_clients_raw'!C31&amp;""),TRUE,IFERROR(FIND(MID('02_clients_raw'!C31&amp;"",8,1),"x0123456789")&gt;=2,FALSE)),IF(9&gt;LEN('02_clients_raw'!C31&amp;""),TRUE,IFERROR(FIND(MID('02_clients_raw'!C31&amp;"",9,1),"x0123456789")&gt;=2,FALSE)),IF(10&gt;LEN('02_clients_raw'!C31&amp;""),TRUE,IFERROR(FIND(MID('02_clients_raw'!C31&amp;"",10,1),"x0123456789")&gt;=2,FALSE)),IF(11&gt;LEN('02_clients_raw'!C31&amp;""),TRUE,IFERROR(FIND(MID('02_clients_raw'!C31&amp;"",11,1),"x0123456789")&gt;=2,FALSE)),IF(12&gt;LEN('02_clients_raw'!C31&amp;""),TRUE,IFERROR(FIND(MID('02_clients_raw'!C31&amp;"",12,1),"x0123456789")&gt;=2,FALSE))))),"ERROR","OK")),"")</x:f>
        <x:v>OK</x:v>
      </x:c>
      <x:c r="G211" s="2" t="str">
        <x:f>IF(COUNTA('02_clients_raw'!A31:F31)&gt;0,"N/A","")</x:f>
        <x:v>N/A</x:v>
      </x:c>
      <x:c r="H211" s="2" t="str">
        <x:f>IF(COUNTA('02_clients_raw'!A31:F31)&gt;0,IF(LEN('02_clients_raw'!E31&amp;"")=0,"SKIP",IF(OR(NOT(ISNUMBER('02_clients_raw'!E31)),'02_clients_raw'!E31&lt;=0,'02_clients_raw'!E31&gt;'09_parameters'!$B$2),"ERROR","OK")),"")</x:f>
        <x:v>OK</x:v>
      </x:c>
      <x:c r="I211" s="2" t="str">
        <x:f>IF(COUNTA('02_clients_raw'!A31:F31)&gt;0,"N/A","")</x:f>
        <x:v>N/A</x:v>
      </x:c>
      <x:c r="J211" s="2" t="n">
        <x:f>COUNTIF(C211:I211,"ERROR")</x:f>
        <x:v>0</x:v>
      </x:c>
      <x:c r="K211" s="2" t="n">
        <x:f>IF(COUNTA('02_clients_raw'!A31:F31)&gt;0,31,"")</x:f>
        <x:v>31</x:v>
      </x:c>
    </x:row>
    <x:row r="212">
      <x:c r="A212" s="2" t="str">
        <x:f>IF(COUNTA('02_clients_raw'!A32:F32)&gt;0,"Client","")</x:f>
        <x:v>Client</x:v>
      </x:c>
      <x:c r="B212" s="2" t="str">
        <x:f>IF(COUNTA('02_clients_raw'!A32:F32)&gt;0,'02_clients_raw'!A32,"")</x:f>
        <x:v>C031</x:v>
      </x:c>
      <x:c r="C212" s="2" t="str">
        <x:f>IF(COUNTA('02_clients_raw'!A32:F32)&gt;0,IF(AND(LEN('02_clients_raw'!A32&amp;"")&gt;0,COUNTIF('02_clients_raw'!$A$2:$A$67,'02_clients_raw'!A32)&gt;1),"ERROR","OK"),"")</x:f>
        <x:v>OK</x:v>
      </x:c>
      <x:c r="D212" s="2" t="str">
        <x:f>IF(COUNTA('02_clients_raw'!A32:F32)&gt;0,IF(OR(LEN('02_clients_raw'!A32&amp;"")=0,LEN('02_clients_raw'!B32&amp;"")=0,LEN('02_clients_raw'!C32&amp;"")=0,LEN('02_clients_raw'!D32&amp;"")=0,LEN('02_clients_raw'!E32&amp;"")=0,LEN('02_clients_raw'!F32&amp;"")=0),"ERROR","OK"),"")</x:f>
        <x:v>OK</x:v>
      </x:c>
      <x:c r="E212" s="2" t="str">
        <x:f>IF(COUNTA('02_clients_raw'!A32:F32)&gt;0,"N/A","")</x:f>
        <x:v>N/A</x:v>
      </x:c>
      <x:c r="F212" s="2" t="str">
        <x:f>IF(COUNTA('02_clients_raw'!A32:F32)&gt;0,IF(LEN('02_clients_raw'!C32&amp;"")=0,"SKIP",IF(OR(AND(LEN('02_clients_raw'!C32&amp;"")&lt;&gt;10,LEN('02_clients_raw'!C32&amp;"")&lt;&gt;12),NOT(AND(IF(1&gt;LEN('02_clients_raw'!C32&amp;""),TRUE,IFERROR(FIND(MID('02_clients_raw'!C32&amp;"",1,1),"x0123456789")&gt;=2,FALSE)),IF(2&gt;LEN('02_clients_raw'!C32&amp;""),TRUE,IFERROR(FIND(MID('02_clients_raw'!C32&amp;"",2,1),"x0123456789")&gt;=2,FALSE)),IF(3&gt;LEN('02_clients_raw'!C32&amp;""),TRUE,IFERROR(FIND(MID('02_clients_raw'!C32&amp;"",3,1),"x0123456789")&gt;=2,FALSE)),IF(4&gt;LEN('02_clients_raw'!C32&amp;""),TRUE,IFERROR(FIND(MID('02_clients_raw'!C32&amp;"",4,1),"x0123456789")&gt;=2,FALSE)),IF(5&gt;LEN('02_clients_raw'!C32&amp;""),TRUE,IFERROR(FIND(MID('02_clients_raw'!C32&amp;"",5,1),"x0123456789")&gt;=2,FALSE)),IF(6&gt;LEN('02_clients_raw'!C32&amp;""),TRUE,IFERROR(FIND(MID('02_clients_raw'!C32&amp;"",6,1),"x0123456789")&gt;=2,FALSE)),IF(7&gt;LEN('02_clients_raw'!C32&amp;""),TRUE,IFERROR(FIND(MID('02_clients_raw'!C32&amp;"",7,1),"x0123456789")&gt;=2,FALSE)),IF(8&gt;LEN('02_clients_raw'!C32&amp;""),TRUE,IFERROR(FIND(MID('02_clients_raw'!C32&amp;"",8,1),"x0123456789")&gt;=2,FALSE)),IF(9&gt;LEN('02_clients_raw'!C32&amp;""),TRUE,IFERROR(FIND(MID('02_clients_raw'!C32&amp;"",9,1),"x0123456789")&gt;=2,FALSE)),IF(10&gt;LEN('02_clients_raw'!C32&amp;""),TRUE,IFERROR(FIND(MID('02_clients_raw'!C32&amp;"",10,1),"x0123456789")&gt;=2,FALSE)),IF(11&gt;LEN('02_clients_raw'!C32&amp;""),TRUE,IFERROR(FIND(MID('02_clients_raw'!C32&amp;"",11,1),"x0123456789")&gt;=2,FALSE)),IF(12&gt;LEN('02_clients_raw'!C32&amp;""),TRUE,IFERROR(FIND(MID('02_clients_raw'!C32&amp;"",12,1),"x0123456789")&gt;=2,FALSE))))),"ERROR","OK")),"")</x:f>
        <x:v>OK</x:v>
      </x:c>
      <x:c r="G212" s="2" t="str">
        <x:f>IF(COUNTA('02_clients_raw'!A32:F32)&gt;0,"N/A","")</x:f>
        <x:v>N/A</x:v>
      </x:c>
      <x:c r="H212" s="2" t="str">
        <x:f>IF(COUNTA('02_clients_raw'!A32:F32)&gt;0,IF(LEN('02_clients_raw'!E32&amp;"")=0,"SKIP",IF(OR(NOT(ISNUMBER('02_clients_raw'!E32)),'02_clients_raw'!E32&lt;=0,'02_clients_raw'!E32&gt;'09_parameters'!$B$2),"ERROR","OK")),"")</x:f>
        <x:v>OK</x:v>
      </x:c>
      <x:c r="I212" s="2" t="str">
        <x:f>IF(COUNTA('02_clients_raw'!A32:F32)&gt;0,"N/A","")</x:f>
        <x:v>N/A</x:v>
      </x:c>
      <x:c r="J212" s="2" t="n">
        <x:f>COUNTIF(C212:I212,"ERROR")</x:f>
        <x:v>0</x:v>
      </x:c>
      <x:c r="K212" s="2" t="n">
        <x:f>IF(COUNTA('02_clients_raw'!A32:F32)&gt;0,32,"")</x:f>
        <x:v>32</x:v>
      </x:c>
    </x:row>
    <x:row r="213">
      <x:c r="A213" s="2" t="str">
        <x:f>IF(COUNTA('02_clients_raw'!A33:F33)&gt;0,"Client","")</x:f>
        <x:v>Client</x:v>
      </x:c>
      <x:c r="B213" s="2" t="str">
        <x:f>IF(COUNTA('02_clients_raw'!A33:F33)&gt;0,'02_clients_raw'!A33,"")</x:f>
        <x:v>C032</x:v>
      </x:c>
      <x:c r="C213" s="2" t="str">
        <x:f>IF(COUNTA('02_clients_raw'!A33:F33)&gt;0,IF(AND(LEN('02_clients_raw'!A33&amp;"")&gt;0,COUNTIF('02_clients_raw'!$A$2:$A$67,'02_clients_raw'!A33)&gt;1),"ERROR","OK"),"")</x:f>
        <x:v>OK</x:v>
      </x:c>
      <x:c r="D213" s="2" t="str">
        <x:f>IF(COUNTA('02_clients_raw'!A33:F33)&gt;0,IF(OR(LEN('02_clients_raw'!A33&amp;"")=0,LEN('02_clients_raw'!B33&amp;"")=0,LEN('02_clients_raw'!C33&amp;"")=0,LEN('02_clients_raw'!D33&amp;"")=0,LEN('02_clients_raw'!E33&amp;"")=0,LEN('02_clients_raw'!F33&amp;"")=0),"ERROR","OK"),"")</x:f>
        <x:v>OK</x:v>
      </x:c>
      <x:c r="E213" s="2" t="str">
        <x:f>IF(COUNTA('02_clients_raw'!A33:F33)&gt;0,"N/A","")</x:f>
        <x:v>N/A</x:v>
      </x:c>
      <x:c r="F213" s="2" t="str">
        <x:f>IF(COUNTA('02_clients_raw'!A33:F33)&gt;0,IF(LEN('02_clients_raw'!C33&amp;"")=0,"SKIP",IF(OR(AND(LEN('02_clients_raw'!C33&amp;"")&lt;&gt;10,LEN('02_clients_raw'!C33&amp;"")&lt;&gt;12),NOT(AND(IF(1&gt;LEN('02_clients_raw'!C33&amp;""),TRUE,IFERROR(FIND(MID('02_clients_raw'!C33&amp;"",1,1),"x0123456789")&gt;=2,FALSE)),IF(2&gt;LEN('02_clients_raw'!C33&amp;""),TRUE,IFERROR(FIND(MID('02_clients_raw'!C33&amp;"",2,1),"x0123456789")&gt;=2,FALSE)),IF(3&gt;LEN('02_clients_raw'!C33&amp;""),TRUE,IFERROR(FIND(MID('02_clients_raw'!C33&amp;"",3,1),"x0123456789")&gt;=2,FALSE)),IF(4&gt;LEN('02_clients_raw'!C33&amp;""),TRUE,IFERROR(FIND(MID('02_clients_raw'!C33&amp;"",4,1),"x0123456789")&gt;=2,FALSE)),IF(5&gt;LEN('02_clients_raw'!C33&amp;""),TRUE,IFERROR(FIND(MID('02_clients_raw'!C33&amp;"",5,1),"x0123456789")&gt;=2,FALSE)),IF(6&gt;LEN('02_clients_raw'!C33&amp;""),TRUE,IFERROR(FIND(MID('02_clients_raw'!C33&amp;"",6,1),"x0123456789")&gt;=2,FALSE)),IF(7&gt;LEN('02_clients_raw'!C33&amp;""),TRUE,IFERROR(FIND(MID('02_clients_raw'!C33&amp;"",7,1),"x0123456789")&gt;=2,FALSE)),IF(8&gt;LEN('02_clients_raw'!C33&amp;""),TRUE,IFERROR(FIND(MID('02_clients_raw'!C33&amp;"",8,1),"x0123456789")&gt;=2,FALSE)),IF(9&gt;LEN('02_clients_raw'!C33&amp;""),TRUE,IFERROR(FIND(MID('02_clients_raw'!C33&amp;"",9,1),"x0123456789")&gt;=2,FALSE)),IF(10&gt;LEN('02_clients_raw'!C33&amp;""),TRUE,IFERROR(FIND(MID('02_clients_raw'!C33&amp;"",10,1),"x0123456789")&gt;=2,FALSE)),IF(11&gt;LEN('02_clients_raw'!C33&amp;""),TRUE,IFERROR(FIND(MID('02_clients_raw'!C33&amp;"",11,1),"x0123456789")&gt;=2,FALSE)),IF(12&gt;LEN('02_clients_raw'!C33&amp;""),TRUE,IFERROR(FIND(MID('02_clients_raw'!C33&amp;"",12,1),"x0123456789")&gt;=2,FALSE))))),"ERROR","OK")),"")</x:f>
        <x:v>OK</x:v>
      </x:c>
      <x:c r="G213" s="2" t="str">
        <x:f>IF(COUNTA('02_clients_raw'!A33:F33)&gt;0,"N/A","")</x:f>
        <x:v>N/A</x:v>
      </x:c>
      <x:c r="H213" s="2" t="str">
        <x:f>IF(COUNTA('02_clients_raw'!A33:F33)&gt;0,IF(LEN('02_clients_raw'!E33&amp;"")=0,"SKIP",IF(OR(NOT(ISNUMBER('02_clients_raw'!E33)),'02_clients_raw'!E33&lt;=0,'02_clients_raw'!E33&gt;'09_parameters'!$B$2),"ERROR","OK")),"")</x:f>
        <x:v>OK</x:v>
      </x:c>
      <x:c r="I213" s="2" t="str">
        <x:f>IF(COUNTA('02_clients_raw'!A33:F33)&gt;0,"N/A","")</x:f>
        <x:v>N/A</x:v>
      </x:c>
      <x:c r="J213" s="2" t="n">
        <x:f>COUNTIF(C213:I213,"ERROR")</x:f>
        <x:v>0</x:v>
      </x:c>
      <x:c r="K213" s="2" t="n">
        <x:f>IF(COUNTA('02_clients_raw'!A33:F33)&gt;0,33,"")</x:f>
        <x:v>33</x:v>
      </x:c>
    </x:row>
    <x:row r="214">
      <x:c r="A214" s="2" t="str">
        <x:f>IF(COUNTA('02_clients_raw'!A34:F34)&gt;0,"Client","")</x:f>
        <x:v>Client</x:v>
      </x:c>
      <x:c r="B214" s="2" t="str">
        <x:f>IF(COUNTA('02_clients_raw'!A34:F34)&gt;0,'02_clients_raw'!A34,"")</x:f>
        <x:v>C033</x:v>
      </x:c>
      <x:c r="C214" s="2" t="str">
        <x:f>IF(COUNTA('02_clients_raw'!A34:F34)&gt;0,IF(AND(LEN('02_clients_raw'!A34&amp;"")&gt;0,COUNTIF('02_clients_raw'!$A$2:$A$67,'02_clients_raw'!A34)&gt;1),"ERROR","OK"),"")</x:f>
        <x:v>OK</x:v>
      </x:c>
      <x:c r="D214" s="2" t="str">
        <x:f>IF(COUNTA('02_clients_raw'!A34:F34)&gt;0,IF(OR(LEN('02_clients_raw'!A34&amp;"")=0,LEN('02_clients_raw'!B34&amp;"")=0,LEN('02_clients_raw'!C34&amp;"")=0,LEN('02_clients_raw'!D34&amp;"")=0,LEN('02_clients_raw'!E34&amp;"")=0,LEN('02_clients_raw'!F34&amp;"")=0),"ERROR","OK"),"")</x:f>
        <x:v>OK</x:v>
      </x:c>
      <x:c r="E214" s="2" t="str">
        <x:f>IF(COUNTA('02_clients_raw'!A34:F34)&gt;0,"N/A","")</x:f>
        <x:v>N/A</x:v>
      </x:c>
      <x:c r="F214" s="2" t="str">
        <x:f>IF(COUNTA('02_clients_raw'!A34:F34)&gt;0,IF(LEN('02_clients_raw'!C34&amp;"")=0,"SKIP",IF(OR(AND(LEN('02_clients_raw'!C34&amp;"")&lt;&gt;10,LEN('02_clients_raw'!C34&amp;"")&lt;&gt;12),NOT(AND(IF(1&gt;LEN('02_clients_raw'!C34&amp;""),TRUE,IFERROR(FIND(MID('02_clients_raw'!C34&amp;"",1,1),"x0123456789")&gt;=2,FALSE)),IF(2&gt;LEN('02_clients_raw'!C34&amp;""),TRUE,IFERROR(FIND(MID('02_clients_raw'!C34&amp;"",2,1),"x0123456789")&gt;=2,FALSE)),IF(3&gt;LEN('02_clients_raw'!C34&amp;""),TRUE,IFERROR(FIND(MID('02_clients_raw'!C34&amp;"",3,1),"x0123456789")&gt;=2,FALSE)),IF(4&gt;LEN('02_clients_raw'!C34&amp;""),TRUE,IFERROR(FIND(MID('02_clients_raw'!C34&amp;"",4,1),"x0123456789")&gt;=2,FALSE)),IF(5&gt;LEN('02_clients_raw'!C34&amp;""),TRUE,IFERROR(FIND(MID('02_clients_raw'!C34&amp;"",5,1),"x0123456789")&gt;=2,FALSE)),IF(6&gt;LEN('02_clients_raw'!C34&amp;""),TRUE,IFERROR(FIND(MID('02_clients_raw'!C34&amp;"",6,1),"x0123456789")&gt;=2,FALSE)),IF(7&gt;LEN('02_clients_raw'!C34&amp;""),TRUE,IFERROR(FIND(MID('02_clients_raw'!C34&amp;"",7,1),"x0123456789")&gt;=2,FALSE)),IF(8&gt;LEN('02_clients_raw'!C34&amp;""),TRUE,IFERROR(FIND(MID('02_clients_raw'!C34&amp;"",8,1),"x0123456789")&gt;=2,FALSE)),IF(9&gt;LEN('02_clients_raw'!C34&amp;""),TRUE,IFERROR(FIND(MID('02_clients_raw'!C34&amp;"",9,1),"x0123456789")&gt;=2,FALSE)),IF(10&gt;LEN('02_clients_raw'!C34&amp;""),TRUE,IFERROR(FIND(MID('02_clients_raw'!C34&amp;"",10,1),"x0123456789")&gt;=2,FALSE)),IF(11&gt;LEN('02_clients_raw'!C34&amp;""),TRUE,IFERROR(FIND(MID('02_clients_raw'!C34&amp;"",11,1),"x0123456789")&gt;=2,FALSE)),IF(12&gt;LEN('02_clients_raw'!C34&amp;""),TRUE,IFERROR(FIND(MID('02_clients_raw'!C34&amp;"",12,1),"x0123456789")&gt;=2,FALSE))))),"ERROR","OK")),"")</x:f>
        <x:v>OK</x:v>
      </x:c>
      <x:c r="G214" s="2" t="str">
        <x:f>IF(COUNTA('02_clients_raw'!A34:F34)&gt;0,"N/A","")</x:f>
        <x:v>N/A</x:v>
      </x:c>
      <x:c r="H214" s="2" t="str">
        <x:f>IF(COUNTA('02_clients_raw'!A34:F34)&gt;0,IF(LEN('02_clients_raw'!E34&amp;"")=0,"SKIP",IF(OR(NOT(ISNUMBER('02_clients_raw'!E34)),'02_clients_raw'!E34&lt;=0,'02_clients_raw'!E34&gt;'09_parameters'!$B$2),"ERROR","OK")),"")</x:f>
        <x:v>OK</x:v>
      </x:c>
      <x:c r="I214" s="2" t="str">
        <x:f>IF(COUNTA('02_clients_raw'!A34:F34)&gt;0,"N/A","")</x:f>
        <x:v>N/A</x:v>
      </x:c>
      <x:c r="J214" s="2" t="n">
        <x:f>COUNTIF(C214:I214,"ERROR")</x:f>
        <x:v>0</x:v>
      </x:c>
      <x:c r="K214" s="2" t="n">
        <x:f>IF(COUNTA('02_clients_raw'!A34:F34)&gt;0,34,"")</x:f>
        <x:v>34</x:v>
      </x:c>
    </x:row>
    <x:row r="215">
      <x:c r="A215" s="2" t="str">
        <x:f>IF(COUNTA('02_clients_raw'!A35:F35)&gt;0,"Client","")</x:f>
        <x:v>Client</x:v>
      </x:c>
      <x:c r="B215" s="2" t="str">
        <x:f>IF(COUNTA('02_clients_raw'!A35:F35)&gt;0,'02_clients_raw'!A35,"")</x:f>
        <x:v>C034</x:v>
      </x:c>
      <x:c r="C215" s="2" t="str">
        <x:f>IF(COUNTA('02_clients_raw'!A35:F35)&gt;0,IF(AND(LEN('02_clients_raw'!A35&amp;"")&gt;0,COUNTIF('02_clients_raw'!$A$2:$A$67,'02_clients_raw'!A35)&gt;1),"ERROR","OK"),"")</x:f>
        <x:v>OK</x:v>
      </x:c>
      <x:c r="D215" s="2" t="str">
        <x:f>IF(COUNTA('02_clients_raw'!A35:F35)&gt;0,IF(OR(LEN('02_clients_raw'!A35&amp;"")=0,LEN('02_clients_raw'!B35&amp;"")=0,LEN('02_clients_raw'!C35&amp;"")=0,LEN('02_clients_raw'!D35&amp;"")=0,LEN('02_clients_raw'!E35&amp;"")=0,LEN('02_clients_raw'!F35&amp;"")=0),"ERROR","OK"),"")</x:f>
        <x:v>OK</x:v>
      </x:c>
      <x:c r="E215" s="2" t="str">
        <x:f>IF(COUNTA('02_clients_raw'!A35:F35)&gt;0,"N/A","")</x:f>
        <x:v>N/A</x:v>
      </x:c>
      <x:c r="F215" s="2" t="str">
        <x:f>IF(COUNTA('02_clients_raw'!A35:F35)&gt;0,IF(LEN('02_clients_raw'!C35&amp;"")=0,"SKIP",IF(OR(AND(LEN('02_clients_raw'!C35&amp;"")&lt;&gt;10,LEN('02_clients_raw'!C35&amp;"")&lt;&gt;12),NOT(AND(IF(1&gt;LEN('02_clients_raw'!C35&amp;""),TRUE,IFERROR(FIND(MID('02_clients_raw'!C35&amp;"",1,1),"x0123456789")&gt;=2,FALSE)),IF(2&gt;LEN('02_clients_raw'!C35&amp;""),TRUE,IFERROR(FIND(MID('02_clients_raw'!C35&amp;"",2,1),"x0123456789")&gt;=2,FALSE)),IF(3&gt;LEN('02_clients_raw'!C35&amp;""),TRUE,IFERROR(FIND(MID('02_clients_raw'!C35&amp;"",3,1),"x0123456789")&gt;=2,FALSE)),IF(4&gt;LEN('02_clients_raw'!C35&amp;""),TRUE,IFERROR(FIND(MID('02_clients_raw'!C35&amp;"",4,1),"x0123456789")&gt;=2,FALSE)),IF(5&gt;LEN('02_clients_raw'!C35&amp;""),TRUE,IFERROR(FIND(MID('02_clients_raw'!C35&amp;"",5,1),"x0123456789")&gt;=2,FALSE)),IF(6&gt;LEN('02_clients_raw'!C35&amp;""),TRUE,IFERROR(FIND(MID('02_clients_raw'!C35&amp;"",6,1),"x0123456789")&gt;=2,FALSE)),IF(7&gt;LEN('02_clients_raw'!C35&amp;""),TRUE,IFERROR(FIND(MID('02_clients_raw'!C35&amp;"",7,1),"x0123456789")&gt;=2,FALSE)),IF(8&gt;LEN('02_clients_raw'!C35&amp;""),TRUE,IFERROR(FIND(MID('02_clients_raw'!C35&amp;"",8,1),"x0123456789")&gt;=2,FALSE)),IF(9&gt;LEN('02_clients_raw'!C35&amp;""),TRUE,IFERROR(FIND(MID('02_clients_raw'!C35&amp;"",9,1),"x0123456789")&gt;=2,FALSE)),IF(10&gt;LEN('02_clients_raw'!C35&amp;""),TRUE,IFERROR(FIND(MID('02_clients_raw'!C35&amp;"",10,1),"x0123456789")&gt;=2,FALSE)),IF(11&gt;LEN('02_clients_raw'!C35&amp;""),TRUE,IFERROR(FIND(MID('02_clients_raw'!C35&amp;"",11,1),"x0123456789")&gt;=2,FALSE)),IF(12&gt;LEN('02_clients_raw'!C35&amp;""),TRUE,IFERROR(FIND(MID('02_clients_raw'!C35&amp;"",12,1),"x0123456789")&gt;=2,FALSE))))),"ERROR","OK")),"")</x:f>
        <x:v>OK</x:v>
      </x:c>
      <x:c r="G215" s="2" t="str">
        <x:f>IF(COUNTA('02_clients_raw'!A35:F35)&gt;0,"N/A","")</x:f>
        <x:v>N/A</x:v>
      </x:c>
      <x:c r="H215" s="2" t="str">
        <x:f>IF(COUNTA('02_clients_raw'!A35:F35)&gt;0,IF(LEN('02_clients_raw'!E35&amp;"")=0,"SKIP",IF(OR(NOT(ISNUMBER('02_clients_raw'!E35)),'02_clients_raw'!E35&lt;=0,'02_clients_raw'!E35&gt;'09_parameters'!$B$2),"ERROR","OK")),"")</x:f>
        <x:v>OK</x:v>
      </x:c>
      <x:c r="I215" s="2" t="str">
        <x:f>IF(COUNTA('02_clients_raw'!A35:F35)&gt;0,"N/A","")</x:f>
        <x:v>N/A</x:v>
      </x:c>
      <x:c r="J215" s="2" t="n">
        <x:f>COUNTIF(C215:I215,"ERROR")</x:f>
        <x:v>0</x:v>
      </x:c>
      <x:c r="K215" s="2" t="n">
        <x:f>IF(COUNTA('02_clients_raw'!A35:F35)&gt;0,35,"")</x:f>
        <x:v>35</x:v>
      </x:c>
    </x:row>
    <x:row r="216">
      <x:c r="A216" s="2" t="str">
        <x:f>IF(COUNTA('02_clients_raw'!A36:F36)&gt;0,"Client","")</x:f>
        <x:v>Client</x:v>
      </x:c>
      <x:c r="B216" s="2" t="str">
        <x:f>IF(COUNTA('02_clients_raw'!A36:F36)&gt;0,'02_clients_raw'!A36,"")</x:f>
        <x:v>C035</x:v>
      </x:c>
      <x:c r="C216" s="2" t="str">
        <x:f>IF(COUNTA('02_clients_raw'!A36:F36)&gt;0,IF(AND(LEN('02_clients_raw'!A36&amp;"")&gt;0,COUNTIF('02_clients_raw'!$A$2:$A$67,'02_clients_raw'!A36)&gt;1),"ERROR","OK"),"")</x:f>
        <x:v>OK</x:v>
      </x:c>
      <x:c r="D216" s="2" t="str">
        <x:f>IF(COUNTA('02_clients_raw'!A36:F36)&gt;0,IF(OR(LEN('02_clients_raw'!A36&amp;"")=0,LEN('02_clients_raw'!B36&amp;"")=0,LEN('02_clients_raw'!C36&amp;"")=0,LEN('02_clients_raw'!D36&amp;"")=0,LEN('02_clients_raw'!E36&amp;"")=0,LEN('02_clients_raw'!F36&amp;"")=0),"ERROR","OK"),"")</x:f>
        <x:v>OK</x:v>
      </x:c>
      <x:c r="E216" s="2" t="str">
        <x:f>IF(COUNTA('02_clients_raw'!A36:F36)&gt;0,"N/A","")</x:f>
        <x:v>N/A</x:v>
      </x:c>
      <x:c r="F216" s="2" t="str">
        <x:f>IF(COUNTA('02_clients_raw'!A36:F36)&gt;0,IF(LEN('02_clients_raw'!C36&amp;"")=0,"SKIP",IF(OR(AND(LEN('02_clients_raw'!C36&amp;"")&lt;&gt;10,LEN('02_clients_raw'!C36&amp;"")&lt;&gt;12),NOT(AND(IF(1&gt;LEN('02_clients_raw'!C36&amp;""),TRUE,IFERROR(FIND(MID('02_clients_raw'!C36&amp;"",1,1),"x0123456789")&gt;=2,FALSE)),IF(2&gt;LEN('02_clients_raw'!C36&amp;""),TRUE,IFERROR(FIND(MID('02_clients_raw'!C36&amp;"",2,1),"x0123456789")&gt;=2,FALSE)),IF(3&gt;LEN('02_clients_raw'!C36&amp;""),TRUE,IFERROR(FIND(MID('02_clients_raw'!C36&amp;"",3,1),"x0123456789")&gt;=2,FALSE)),IF(4&gt;LEN('02_clients_raw'!C36&amp;""),TRUE,IFERROR(FIND(MID('02_clients_raw'!C36&amp;"",4,1),"x0123456789")&gt;=2,FALSE)),IF(5&gt;LEN('02_clients_raw'!C36&amp;""),TRUE,IFERROR(FIND(MID('02_clients_raw'!C36&amp;"",5,1),"x0123456789")&gt;=2,FALSE)),IF(6&gt;LEN('02_clients_raw'!C36&amp;""),TRUE,IFERROR(FIND(MID('02_clients_raw'!C36&amp;"",6,1),"x0123456789")&gt;=2,FALSE)),IF(7&gt;LEN('02_clients_raw'!C36&amp;""),TRUE,IFERROR(FIND(MID('02_clients_raw'!C36&amp;"",7,1),"x0123456789")&gt;=2,FALSE)),IF(8&gt;LEN('02_clients_raw'!C36&amp;""),TRUE,IFERROR(FIND(MID('02_clients_raw'!C36&amp;"",8,1),"x0123456789")&gt;=2,FALSE)),IF(9&gt;LEN('02_clients_raw'!C36&amp;""),TRUE,IFERROR(FIND(MID('02_clients_raw'!C36&amp;"",9,1),"x0123456789")&gt;=2,FALSE)),IF(10&gt;LEN('02_clients_raw'!C36&amp;""),TRUE,IFERROR(FIND(MID('02_clients_raw'!C36&amp;"",10,1),"x0123456789")&gt;=2,FALSE)),IF(11&gt;LEN('02_clients_raw'!C36&amp;""),TRUE,IFERROR(FIND(MID('02_clients_raw'!C36&amp;"",11,1),"x0123456789")&gt;=2,FALSE)),IF(12&gt;LEN('02_clients_raw'!C36&amp;""),TRUE,IFERROR(FIND(MID('02_clients_raw'!C36&amp;"",12,1),"x0123456789")&gt;=2,FALSE))))),"ERROR","OK")),"")</x:f>
        <x:v>OK</x:v>
      </x:c>
      <x:c r="G216" s="2" t="str">
        <x:f>IF(COUNTA('02_clients_raw'!A36:F36)&gt;0,"N/A","")</x:f>
        <x:v>N/A</x:v>
      </x:c>
      <x:c r="H216" s="2" t="str">
        <x:f>IF(COUNTA('02_clients_raw'!A36:F36)&gt;0,IF(LEN('02_clients_raw'!E36&amp;"")=0,"SKIP",IF(OR(NOT(ISNUMBER('02_clients_raw'!E36)),'02_clients_raw'!E36&lt;=0,'02_clients_raw'!E36&gt;'09_parameters'!$B$2),"ERROR","OK")),"")</x:f>
        <x:v>OK</x:v>
      </x:c>
      <x:c r="I216" s="2" t="str">
        <x:f>IF(COUNTA('02_clients_raw'!A36:F36)&gt;0,"N/A","")</x:f>
        <x:v>N/A</x:v>
      </x:c>
      <x:c r="J216" s="2" t="n">
        <x:f>COUNTIF(C216:I216,"ERROR")</x:f>
        <x:v>0</x:v>
      </x:c>
      <x:c r="K216" s="2" t="n">
        <x:f>IF(COUNTA('02_clients_raw'!A36:F36)&gt;0,36,"")</x:f>
        <x:v>36</x:v>
      </x:c>
    </x:row>
    <x:row r="217">
      <x:c r="A217" s="2" t="str">
        <x:f>IF(COUNTA('02_clients_raw'!A37:F37)&gt;0,"Client","")</x:f>
        <x:v>Client</x:v>
      </x:c>
      <x:c r="B217" s="2" t="str">
        <x:f>IF(COUNTA('02_clients_raw'!A37:F37)&gt;0,'02_clients_raw'!A37,"")</x:f>
        <x:v>C036</x:v>
      </x:c>
      <x:c r="C217" s="2" t="str">
        <x:f>IF(COUNTA('02_clients_raw'!A37:F37)&gt;0,IF(AND(LEN('02_clients_raw'!A37&amp;"")&gt;0,COUNTIF('02_clients_raw'!$A$2:$A$67,'02_clients_raw'!A37)&gt;1),"ERROR","OK"),"")</x:f>
        <x:v>OK</x:v>
      </x:c>
      <x:c r="D217" s="2" t="str">
        <x:f>IF(COUNTA('02_clients_raw'!A37:F37)&gt;0,IF(OR(LEN('02_clients_raw'!A37&amp;"")=0,LEN('02_clients_raw'!B37&amp;"")=0,LEN('02_clients_raw'!C37&amp;"")=0,LEN('02_clients_raw'!D37&amp;"")=0,LEN('02_clients_raw'!E37&amp;"")=0,LEN('02_clients_raw'!F37&amp;"")=0),"ERROR","OK"),"")</x:f>
        <x:v>OK</x:v>
      </x:c>
      <x:c r="E217" s="2" t="str">
        <x:f>IF(COUNTA('02_clients_raw'!A37:F37)&gt;0,"N/A","")</x:f>
        <x:v>N/A</x:v>
      </x:c>
      <x:c r="F217" s="2" t="str">
        <x:f>IF(COUNTA('02_clients_raw'!A37:F37)&gt;0,IF(LEN('02_clients_raw'!C37&amp;"")=0,"SKIP",IF(OR(AND(LEN('02_clients_raw'!C37&amp;"")&lt;&gt;10,LEN('02_clients_raw'!C37&amp;"")&lt;&gt;12),NOT(AND(IF(1&gt;LEN('02_clients_raw'!C37&amp;""),TRUE,IFERROR(FIND(MID('02_clients_raw'!C37&amp;"",1,1),"x0123456789")&gt;=2,FALSE)),IF(2&gt;LEN('02_clients_raw'!C37&amp;""),TRUE,IFERROR(FIND(MID('02_clients_raw'!C37&amp;"",2,1),"x0123456789")&gt;=2,FALSE)),IF(3&gt;LEN('02_clients_raw'!C37&amp;""),TRUE,IFERROR(FIND(MID('02_clients_raw'!C37&amp;"",3,1),"x0123456789")&gt;=2,FALSE)),IF(4&gt;LEN('02_clients_raw'!C37&amp;""),TRUE,IFERROR(FIND(MID('02_clients_raw'!C37&amp;"",4,1),"x0123456789")&gt;=2,FALSE)),IF(5&gt;LEN('02_clients_raw'!C37&amp;""),TRUE,IFERROR(FIND(MID('02_clients_raw'!C37&amp;"",5,1),"x0123456789")&gt;=2,FALSE)),IF(6&gt;LEN('02_clients_raw'!C37&amp;""),TRUE,IFERROR(FIND(MID('02_clients_raw'!C37&amp;"",6,1),"x0123456789")&gt;=2,FALSE)),IF(7&gt;LEN('02_clients_raw'!C37&amp;""),TRUE,IFERROR(FIND(MID('02_clients_raw'!C37&amp;"",7,1),"x0123456789")&gt;=2,FALSE)),IF(8&gt;LEN('02_clients_raw'!C37&amp;""),TRUE,IFERROR(FIND(MID('02_clients_raw'!C37&amp;"",8,1),"x0123456789")&gt;=2,FALSE)),IF(9&gt;LEN('02_clients_raw'!C37&amp;""),TRUE,IFERROR(FIND(MID('02_clients_raw'!C37&amp;"",9,1),"x0123456789")&gt;=2,FALSE)),IF(10&gt;LEN('02_clients_raw'!C37&amp;""),TRUE,IFERROR(FIND(MID('02_clients_raw'!C37&amp;"",10,1),"x0123456789")&gt;=2,FALSE)),IF(11&gt;LEN('02_clients_raw'!C37&amp;""),TRUE,IFERROR(FIND(MID('02_clients_raw'!C37&amp;"",11,1),"x0123456789")&gt;=2,FALSE)),IF(12&gt;LEN('02_clients_raw'!C37&amp;""),TRUE,IFERROR(FIND(MID('02_clients_raw'!C37&amp;"",12,1),"x0123456789")&gt;=2,FALSE))))),"ERROR","OK")),"")</x:f>
        <x:v>OK</x:v>
      </x:c>
      <x:c r="G217" s="2" t="str">
        <x:f>IF(COUNTA('02_clients_raw'!A37:F37)&gt;0,"N/A","")</x:f>
        <x:v>N/A</x:v>
      </x:c>
      <x:c r="H217" s="2" t="str">
        <x:f>IF(COUNTA('02_clients_raw'!A37:F37)&gt;0,IF(LEN('02_clients_raw'!E37&amp;"")=0,"SKIP",IF(OR(NOT(ISNUMBER('02_clients_raw'!E37)),'02_clients_raw'!E37&lt;=0,'02_clients_raw'!E37&gt;'09_parameters'!$B$2),"ERROR","OK")),"")</x:f>
        <x:v>OK</x:v>
      </x:c>
      <x:c r="I217" s="2" t="str">
        <x:f>IF(COUNTA('02_clients_raw'!A37:F37)&gt;0,"N/A","")</x:f>
        <x:v>N/A</x:v>
      </x:c>
      <x:c r="J217" s="2" t="n">
        <x:f>COUNTIF(C217:I217,"ERROR")</x:f>
        <x:v>0</x:v>
      </x:c>
      <x:c r="K217" s="2" t="n">
        <x:f>IF(COUNTA('02_clients_raw'!A37:F37)&gt;0,37,"")</x:f>
        <x:v>37</x:v>
      </x:c>
    </x:row>
    <x:row r="218">
      <x:c r="A218" s="2" t="str">
        <x:f>IF(COUNTA('02_clients_raw'!A38:F38)&gt;0,"Client","")</x:f>
        <x:v>Client</x:v>
      </x:c>
      <x:c r="B218" s="2" t="str">
        <x:f>IF(COUNTA('02_clients_raw'!A38:F38)&gt;0,'02_clients_raw'!A38,"")</x:f>
        <x:v>C037</x:v>
      </x:c>
      <x:c r="C218" s="2" t="str">
        <x:f>IF(COUNTA('02_clients_raw'!A38:F38)&gt;0,IF(AND(LEN('02_clients_raw'!A38&amp;"")&gt;0,COUNTIF('02_clients_raw'!$A$2:$A$67,'02_clients_raw'!A38)&gt;1),"ERROR","OK"),"")</x:f>
        <x:v>OK</x:v>
      </x:c>
      <x:c r="D218" s="2" t="str">
        <x:f>IF(COUNTA('02_clients_raw'!A38:F38)&gt;0,IF(OR(LEN('02_clients_raw'!A38&amp;"")=0,LEN('02_clients_raw'!B38&amp;"")=0,LEN('02_clients_raw'!C38&amp;"")=0,LEN('02_clients_raw'!D38&amp;"")=0,LEN('02_clients_raw'!E38&amp;"")=0,LEN('02_clients_raw'!F38&amp;"")=0),"ERROR","OK"),"")</x:f>
        <x:v>OK</x:v>
      </x:c>
      <x:c r="E218" s="2" t="str">
        <x:f>IF(COUNTA('02_clients_raw'!A38:F38)&gt;0,"N/A","")</x:f>
        <x:v>N/A</x:v>
      </x:c>
      <x:c r="F218" s="2" t="str">
        <x:f>IF(COUNTA('02_clients_raw'!A38:F38)&gt;0,IF(LEN('02_clients_raw'!C38&amp;"")=0,"SKIP",IF(OR(AND(LEN('02_clients_raw'!C38&amp;"")&lt;&gt;10,LEN('02_clients_raw'!C38&amp;"")&lt;&gt;12),NOT(AND(IF(1&gt;LEN('02_clients_raw'!C38&amp;""),TRUE,IFERROR(FIND(MID('02_clients_raw'!C38&amp;"",1,1),"x0123456789")&gt;=2,FALSE)),IF(2&gt;LEN('02_clients_raw'!C38&amp;""),TRUE,IFERROR(FIND(MID('02_clients_raw'!C38&amp;"",2,1),"x0123456789")&gt;=2,FALSE)),IF(3&gt;LEN('02_clients_raw'!C38&amp;""),TRUE,IFERROR(FIND(MID('02_clients_raw'!C38&amp;"",3,1),"x0123456789")&gt;=2,FALSE)),IF(4&gt;LEN('02_clients_raw'!C38&amp;""),TRUE,IFERROR(FIND(MID('02_clients_raw'!C38&amp;"",4,1),"x0123456789")&gt;=2,FALSE)),IF(5&gt;LEN('02_clients_raw'!C38&amp;""),TRUE,IFERROR(FIND(MID('02_clients_raw'!C38&amp;"",5,1),"x0123456789")&gt;=2,FALSE)),IF(6&gt;LEN('02_clients_raw'!C38&amp;""),TRUE,IFERROR(FIND(MID('02_clients_raw'!C38&amp;"",6,1),"x0123456789")&gt;=2,FALSE)),IF(7&gt;LEN('02_clients_raw'!C38&amp;""),TRUE,IFERROR(FIND(MID('02_clients_raw'!C38&amp;"",7,1),"x0123456789")&gt;=2,FALSE)),IF(8&gt;LEN('02_clients_raw'!C38&amp;""),TRUE,IFERROR(FIND(MID('02_clients_raw'!C38&amp;"",8,1),"x0123456789")&gt;=2,FALSE)),IF(9&gt;LEN('02_clients_raw'!C38&amp;""),TRUE,IFERROR(FIND(MID('02_clients_raw'!C38&amp;"",9,1),"x0123456789")&gt;=2,FALSE)),IF(10&gt;LEN('02_clients_raw'!C38&amp;""),TRUE,IFERROR(FIND(MID('02_clients_raw'!C38&amp;"",10,1),"x0123456789")&gt;=2,FALSE)),IF(11&gt;LEN('02_clients_raw'!C38&amp;""),TRUE,IFERROR(FIND(MID('02_clients_raw'!C38&amp;"",11,1),"x0123456789")&gt;=2,FALSE)),IF(12&gt;LEN('02_clients_raw'!C38&amp;""),TRUE,IFERROR(FIND(MID('02_clients_raw'!C38&amp;"",12,1),"x0123456789")&gt;=2,FALSE))))),"ERROR","OK")),"")</x:f>
        <x:v>OK</x:v>
      </x:c>
      <x:c r="G218" s="2" t="str">
        <x:f>IF(COUNTA('02_clients_raw'!A38:F38)&gt;0,"N/A","")</x:f>
        <x:v>N/A</x:v>
      </x:c>
      <x:c r="H218" s="2" t="str">
        <x:f>IF(COUNTA('02_clients_raw'!A38:F38)&gt;0,IF(LEN('02_clients_raw'!E38&amp;"")=0,"SKIP",IF(OR(NOT(ISNUMBER('02_clients_raw'!E38)),'02_clients_raw'!E38&lt;=0,'02_clients_raw'!E38&gt;'09_parameters'!$B$2),"ERROR","OK")),"")</x:f>
        <x:v>OK</x:v>
      </x:c>
      <x:c r="I218" s="2" t="str">
        <x:f>IF(COUNTA('02_clients_raw'!A38:F38)&gt;0,"N/A","")</x:f>
        <x:v>N/A</x:v>
      </x:c>
      <x:c r="J218" s="2" t="n">
        <x:f>COUNTIF(C218:I218,"ERROR")</x:f>
        <x:v>0</x:v>
      </x:c>
      <x:c r="K218" s="2" t="n">
        <x:f>IF(COUNTA('02_clients_raw'!A38:F38)&gt;0,38,"")</x:f>
        <x:v>38</x:v>
      </x:c>
    </x:row>
    <x:row r="219">
      <x:c r="A219" s="2" t="str">
        <x:f>IF(COUNTA('02_clients_raw'!A39:F39)&gt;0,"Client","")</x:f>
        <x:v>Client</x:v>
      </x:c>
      <x:c r="B219" s="2" t="str">
        <x:f>IF(COUNTA('02_clients_raw'!A39:F39)&gt;0,'02_clients_raw'!A39,"")</x:f>
        <x:v>C038</x:v>
      </x:c>
      <x:c r="C219" s="2" t="str">
        <x:f>IF(COUNTA('02_clients_raw'!A39:F39)&gt;0,IF(AND(LEN('02_clients_raw'!A39&amp;"")&gt;0,COUNTIF('02_clients_raw'!$A$2:$A$67,'02_clients_raw'!A39)&gt;1),"ERROR","OK"),"")</x:f>
        <x:v>OK</x:v>
      </x:c>
      <x:c r="D219" s="2" t="str">
        <x:f>IF(COUNTA('02_clients_raw'!A39:F39)&gt;0,IF(OR(LEN('02_clients_raw'!A39&amp;"")=0,LEN('02_clients_raw'!B39&amp;"")=0,LEN('02_clients_raw'!C39&amp;"")=0,LEN('02_clients_raw'!D39&amp;"")=0,LEN('02_clients_raw'!E39&amp;"")=0,LEN('02_clients_raw'!F39&amp;"")=0),"ERROR","OK"),"")</x:f>
        <x:v>OK</x:v>
      </x:c>
      <x:c r="E219" s="2" t="str">
        <x:f>IF(COUNTA('02_clients_raw'!A39:F39)&gt;0,"N/A","")</x:f>
        <x:v>N/A</x:v>
      </x:c>
      <x:c r="F219" s="2" t="str">
        <x:f>IF(COUNTA('02_clients_raw'!A39:F39)&gt;0,IF(LEN('02_clients_raw'!C39&amp;"")=0,"SKIP",IF(OR(AND(LEN('02_clients_raw'!C39&amp;"")&lt;&gt;10,LEN('02_clients_raw'!C39&amp;"")&lt;&gt;12),NOT(AND(IF(1&gt;LEN('02_clients_raw'!C39&amp;""),TRUE,IFERROR(FIND(MID('02_clients_raw'!C39&amp;"",1,1),"x0123456789")&gt;=2,FALSE)),IF(2&gt;LEN('02_clients_raw'!C39&amp;""),TRUE,IFERROR(FIND(MID('02_clients_raw'!C39&amp;"",2,1),"x0123456789")&gt;=2,FALSE)),IF(3&gt;LEN('02_clients_raw'!C39&amp;""),TRUE,IFERROR(FIND(MID('02_clients_raw'!C39&amp;"",3,1),"x0123456789")&gt;=2,FALSE)),IF(4&gt;LEN('02_clients_raw'!C39&amp;""),TRUE,IFERROR(FIND(MID('02_clients_raw'!C39&amp;"",4,1),"x0123456789")&gt;=2,FALSE)),IF(5&gt;LEN('02_clients_raw'!C39&amp;""),TRUE,IFERROR(FIND(MID('02_clients_raw'!C39&amp;"",5,1),"x0123456789")&gt;=2,FALSE)),IF(6&gt;LEN('02_clients_raw'!C39&amp;""),TRUE,IFERROR(FIND(MID('02_clients_raw'!C39&amp;"",6,1),"x0123456789")&gt;=2,FALSE)),IF(7&gt;LEN('02_clients_raw'!C39&amp;""),TRUE,IFERROR(FIND(MID('02_clients_raw'!C39&amp;"",7,1),"x0123456789")&gt;=2,FALSE)),IF(8&gt;LEN('02_clients_raw'!C39&amp;""),TRUE,IFERROR(FIND(MID('02_clients_raw'!C39&amp;"",8,1),"x0123456789")&gt;=2,FALSE)),IF(9&gt;LEN('02_clients_raw'!C39&amp;""),TRUE,IFERROR(FIND(MID('02_clients_raw'!C39&amp;"",9,1),"x0123456789")&gt;=2,FALSE)),IF(10&gt;LEN('02_clients_raw'!C39&amp;""),TRUE,IFERROR(FIND(MID('02_clients_raw'!C39&amp;"",10,1),"x0123456789")&gt;=2,FALSE)),IF(11&gt;LEN('02_clients_raw'!C39&amp;""),TRUE,IFERROR(FIND(MID('02_clients_raw'!C39&amp;"",11,1),"x0123456789")&gt;=2,FALSE)),IF(12&gt;LEN('02_clients_raw'!C39&amp;""),TRUE,IFERROR(FIND(MID('02_clients_raw'!C39&amp;"",12,1),"x0123456789")&gt;=2,FALSE))))),"ERROR","OK")),"")</x:f>
        <x:v>OK</x:v>
      </x:c>
      <x:c r="G219" s="2" t="str">
        <x:f>IF(COUNTA('02_clients_raw'!A39:F39)&gt;0,"N/A","")</x:f>
        <x:v>N/A</x:v>
      </x:c>
      <x:c r="H219" s="2" t="str">
        <x:f>IF(COUNTA('02_clients_raw'!A39:F39)&gt;0,IF(LEN('02_clients_raw'!E39&amp;"")=0,"SKIP",IF(OR(NOT(ISNUMBER('02_clients_raw'!E39)),'02_clients_raw'!E39&lt;=0,'02_clients_raw'!E39&gt;'09_parameters'!$B$2),"ERROR","OK")),"")</x:f>
        <x:v>OK</x:v>
      </x:c>
      <x:c r="I219" s="2" t="str">
        <x:f>IF(COUNTA('02_clients_raw'!A39:F39)&gt;0,"N/A","")</x:f>
        <x:v>N/A</x:v>
      </x:c>
      <x:c r="J219" s="2" t="n">
        <x:f>COUNTIF(C219:I219,"ERROR")</x:f>
        <x:v>0</x:v>
      </x:c>
      <x:c r="K219" s="2" t="n">
        <x:f>IF(COUNTA('02_clients_raw'!A39:F39)&gt;0,39,"")</x:f>
        <x:v>39</x:v>
      </x:c>
    </x:row>
    <x:row r="220">
      <x:c r="A220" s="2" t="str">
        <x:f>IF(COUNTA('02_clients_raw'!A40:F40)&gt;0,"Client","")</x:f>
        <x:v>Client</x:v>
      </x:c>
      <x:c r="B220" s="2" t="str">
        <x:f>IF(COUNTA('02_clients_raw'!A40:F40)&gt;0,'02_clients_raw'!A40,"")</x:f>
        <x:v>C039</x:v>
      </x:c>
      <x:c r="C220" s="2" t="str">
        <x:f>IF(COUNTA('02_clients_raw'!A40:F40)&gt;0,IF(AND(LEN('02_clients_raw'!A40&amp;"")&gt;0,COUNTIF('02_clients_raw'!$A$2:$A$67,'02_clients_raw'!A40)&gt;1),"ERROR","OK"),"")</x:f>
        <x:v>OK</x:v>
      </x:c>
      <x:c r="D220" s="2" t="str">
        <x:f>IF(COUNTA('02_clients_raw'!A40:F40)&gt;0,IF(OR(LEN('02_clients_raw'!A40&amp;"")=0,LEN('02_clients_raw'!B40&amp;"")=0,LEN('02_clients_raw'!C40&amp;"")=0,LEN('02_clients_raw'!D40&amp;"")=0,LEN('02_clients_raw'!E40&amp;"")=0,LEN('02_clients_raw'!F40&amp;"")=0),"ERROR","OK"),"")</x:f>
        <x:v>OK</x:v>
      </x:c>
      <x:c r="E220" s="2" t="str">
        <x:f>IF(COUNTA('02_clients_raw'!A40:F40)&gt;0,"N/A","")</x:f>
        <x:v>N/A</x:v>
      </x:c>
      <x:c r="F220" s="2" t="str">
        <x:f>IF(COUNTA('02_clients_raw'!A40:F40)&gt;0,IF(LEN('02_clients_raw'!C40&amp;"")=0,"SKIP",IF(OR(AND(LEN('02_clients_raw'!C40&amp;"")&lt;&gt;10,LEN('02_clients_raw'!C40&amp;"")&lt;&gt;12),NOT(AND(IF(1&gt;LEN('02_clients_raw'!C40&amp;""),TRUE,IFERROR(FIND(MID('02_clients_raw'!C40&amp;"",1,1),"x0123456789")&gt;=2,FALSE)),IF(2&gt;LEN('02_clients_raw'!C40&amp;""),TRUE,IFERROR(FIND(MID('02_clients_raw'!C40&amp;"",2,1),"x0123456789")&gt;=2,FALSE)),IF(3&gt;LEN('02_clients_raw'!C40&amp;""),TRUE,IFERROR(FIND(MID('02_clients_raw'!C40&amp;"",3,1),"x0123456789")&gt;=2,FALSE)),IF(4&gt;LEN('02_clients_raw'!C40&amp;""),TRUE,IFERROR(FIND(MID('02_clients_raw'!C40&amp;"",4,1),"x0123456789")&gt;=2,FALSE)),IF(5&gt;LEN('02_clients_raw'!C40&amp;""),TRUE,IFERROR(FIND(MID('02_clients_raw'!C40&amp;"",5,1),"x0123456789")&gt;=2,FALSE)),IF(6&gt;LEN('02_clients_raw'!C40&amp;""),TRUE,IFERROR(FIND(MID('02_clients_raw'!C40&amp;"",6,1),"x0123456789")&gt;=2,FALSE)),IF(7&gt;LEN('02_clients_raw'!C40&amp;""),TRUE,IFERROR(FIND(MID('02_clients_raw'!C40&amp;"",7,1),"x0123456789")&gt;=2,FALSE)),IF(8&gt;LEN('02_clients_raw'!C40&amp;""),TRUE,IFERROR(FIND(MID('02_clients_raw'!C40&amp;"",8,1),"x0123456789")&gt;=2,FALSE)),IF(9&gt;LEN('02_clients_raw'!C40&amp;""),TRUE,IFERROR(FIND(MID('02_clients_raw'!C40&amp;"",9,1),"x0123456789")&gt;=2,FALSE)),IF(10&gt;LEN('02_clients_raw'!C40&amp;""),TRUE,IFERROR(FIND(MID('02_clients_raw'!C40&amp;"",10,1),"x0123456789")&gt;=2,FALSE)),IF(11&gt;LEN('02_clients_raw'!C40&amp;""),TRUE,IFERROR(FIND(MID('02_clients_raw'!C40&amp;"",11,1),"x0123456789")&gt;=2,FALSE)),IF(12&gt;LEN('02_clients_raw'!C40&amp;""),TRUE,IFERROR(FIND(MID('02_clients_raw'!C40&amp;"",12,1),"x0123456789")&gt;=2,FALSE))))),"ERROR","OK")),"")</x:f>
        <x:v>OK</x:v>
      </x:c>
      <x:c r="G220" s="2" t="str">
        <x:f>IF(COUNTA('02_clients_raw'!A40:F40)&gt;0,"N/A","")</x:f>
        <x:v>N/A</x:v>
      </x:c>
      <x:c r="H220" s="2" t="str">
        <x:f>IF(COUNTA('02_clients_raw'!A40:F40)&gt;0,IF(LEN('02_clients_raw'!E40&amp;"")=0,"SKIP",IF(OR(NOT(ISNUMBER('02_clients_raw'!E40)),'02_clients_raw'!E40&lt;=0,'02_clients_raw'!E40&gt;'09_parameters'!$B$2),"ERROR","OK")),"")</x:f>
        <x:v>OK</x:v>
      </x:c>
      <x:c r="I220" s="2" t="str">
        <x:f>IF(COUNTA('02_clients_raw'!A40:F40)&gt;0,"N/A","")</x:f>
        <x:v>N/A</x:v>
      </x:c>
      <x:c r="J220" s="2" t="n">
        <x:f>COUNTIF(C220:I220,"ERROR")</x:f>
        <x:v>0</x:v>
      </x:c>
      <x:c r="K220" s="2" t="n">
        <x:f>IF(COUNTA('02_clients_raw'!A40:F40)&gt;0,40,"")</x:f>
        <x:v>40</x:v>
      </x:c>
    </x:row>
    <x:row r="221">
      <x:c r="A221" s="2" t="str">
        <x:f>IF(COUNTA('02_clients_raw'!A41:F41)&gt;0,"Client","")</x:f>
        <x:v>Client</x:v>
      </x:c>
      <x:c r="B221" s="2" t="str">
        <x:f>IF(COUNTA('02_clients_raw'!A41:F41)&gt;0,'02_clients_raw'!A41,"")</x:f>
        <x:v>C040</x:v>
      </x:c>
      <x:c r="C221" s="2" t="str">
        <x:f>IF(COUNTA('02_clients_raw'!A41:F41)&gt;0,IF(AND(LEN('02_clients_raw'!A41&amp;"")&gt;0,COUNTIF('02_clients_raw'!$A$2:$A$67,'02_clients_raw'!A41)&gt;1),"ERROR","OK"),"")</x:f>
        <x:v>OK</x:v>
      </x:c>
      <x:c r="D221" s="2" t="str">
        <x:f>IF(COUNTA('02_clients_raw'!A41:F41)&gt;0,IF(OR(LEN('02_clients_raw'!A41&amp;"")=0,LEN('02_clients_raw'!B41&amp;"")=0,LEN('02_clients_raw'!C41&amp;"")=0,LEN('02_clients_raw'!D41&amp;"")=0,LEN('02_clients_raw'!E41&amp;"")=0,LEN('02_clients_raw'!F41&amp;"")=0),"ERROR","OK"),"")</x:f>
        <x:v>OK</x:v>
      </x:c>
      <x:c r="E221" s="2" t="str">
        <x:f>IF(COUNTA('02_clients_raw'!A41:F41)&gt;0,"N/A","")</x:f>
        <x:v>N/A</x:v>
      </x:c>
      <x:c r="F221" s="2" t="str">
        <x:f>IF(COUNTA('02_clients_raw'!A41:F41)&gt;0,IF(LEN('02_clients_raw'!C41&amp;"")=0,"SKIP",IF(OR(AND(LEN('02_clients_raw'!C41&amp;"")&lt;&gt;10,LEN('02_clients_raw'!C41&amp;"")&lt;&gt;12),NOT(AND(IF(1&gt;LEN('02_clients_raw'!C41&amp;""),TRUE,IFERROR(FIND(MID('02_clients_raw'!C41&amp;"",1,1),"x0123456789")&gt;=2,FALSE)),IF(2&gt;LEN('02_clients_raw'!C41&amp;""),TRUE,IFERROR(FIND(MID('02_clients_raw'!C41&amp;"",2,1),"x0123456789")&gt;=2,FALSE)),IF(3&gt;LEN('02_clients_raw'!C41&amp;""),TRUE,IFERROR(FIND(MID('02_clients_raw'!C41&amp;"",3,1),"x0123456789")&gt;=2,FALSE)),IF(4&gt;LEN('02_clients_raw'!C41&amp;""),TRUE,IFERROR(FIND(MID('02_clients_raw'!C41&amp;"",4,1),"x0123456789")&gt;=2,FALSE)),IF(5&gt;LEN('02_clients_raw'!C41&amp;""),TRUE,IFERROR(FIND(MID('02_clients_raw'!C41&amp;"",5,1),"x0123456789")&gt;=2,FALSE)),IF(6&gt;LEN('02_clients_raw'!C41&amp;""),TRUE,IFERROR(FIND(MID('02_clients_raw'!C41&amp;"",6,1),"x0123456789")&gt;=2,FALSE)),IF(7&gt;LEN('02_clients_raw'!C41&amp;""),TRUE,IFERROR(FIND(MID('02_clients_raw'!C41&amp;"",7,1),"x0123456789")&gt;=2,FALSE)),IF(8&gt;LEN('02_clients_raw'!C41&amp;""),TRUE,IFERROR(FIND(MID('02_clients_raw'!C41&amp;"",8,1),"x0123456789")&gt;=2,FALSE)),IF(9&gt;LEN('02_clients_raw'!C41&amp;""),TRUE,IFERROR(FIND(MID('02_clients_raw'!C41&amp;"",9,1),"x0123456789")&gt;=2,FALSE)),IF(10&gt;LEN('02_clients_raw'!C41&amp;""),TRUE,IFERROR(FIND(MID('02_clients_raw'!C41&amp;"",10,1),"x0123456789")&gt;=2,FALSE)),IF(11&gt;LEN('02_clients_raw'!C41&amp;""),TRUE,IFERROR(FIND(MID('02_clients_raw'!C41&amp;"",11,1),"x0123456789")&gt;=2,FALSE)),IF(12&gt;LEN('02_clients_raw'!C41&amp;""),TRUE,IFERROR(FIND(MID('02_clients_raw'!C41&amp;"",12,1),"x0123456789")&gt;=2,FALSE))))),"ERROR","OK")),"")</x:f>
        <x:v>OK</x:v>
      </x:c>
      <x:c r="G221" s="2" t="str">
        <x:f>IF(COUNTA('02_clients_raw'!A41:F41)&gt;0,"N/A","")</x:f>
        <x:v>N/A</x:v>
      </x:c>
      <x:c r="H221" s="2" t="str">
        <x:f>IF(COUNTA('02_clients_raw'!A41:F41)&gt;0,IF(LEN('02_clients_raw'!E41&amp;"")=0,"SKIP",IF(OR(NOT(ISNUMBER('02_clients_raw'!E41)),'02_clients_raw'!E41&lt;=0,'02_clients_raw'!E41&gt;'09_parameters'!$B$2),"ERROR","OK")),"")</x:f>
        <x:v>OK</x:v>
      </x:c>
      <x:c r="I221" s="2" t="str">
        <x:f>IF(COUNTA('02_clients_raw'!A41:F41)&gt;0,"N/A","")</x:f>
        <x:v>N/A</x:v>
      </x:c>
      <x:c r="J221" s="2" t="n">
        <x:f>COUNTIF(C221:I221,"ERROR")</x:f>
        <x:v>0</x:v>
      </x:c>
      <x:c r="K221" s="2" t="n">
        <x:f>IF(COUNTA('02_clients_raw'!A41:F41)&gt;0,41,"")</x:f>
        <x:v>41</x:v>
      </x:c>
    </x:row>
    <x:row r="222">
      <x:c r="A222" s="2" t="str">
        <x:f>IF(COUNTA('02_clients_raw'!A42:F42)&gt;0,"Client","")</x:f>
        <x:v>Client</x:v>
      </x:c>
      <x:c r="B222" s="2" t="str">
        <x:f>IF(COUNTA('02_clients_raw'!A42:F42)&gt;0,'02_clients_raw'!A42,"")</x:f>
        <x:v>C041</x:v>
      </x:c>
      <x:c r="C222" s="2" t="str">
        <x:f>IF(COUNTA('02_clients_raw'!A42:F42)&gt;0,IF(AND(LEN('02_clients_raw'!A42&amp;"")&gt;0,COUNTIF('02_clients_raw'!$A$2:$A$67,'02_clients_raw'!A42)&gt;1),"ERROR","OK"),"")</x:f>
        <x:v>OK</x:v>
      </x:c>
      <x:c r="D222" s="2" t="str">
        <x:f>IF(COUNTA('02_clients_raw'!A42:F42)&gt;0,IF(OR(LEN('02_clients_raw'!A42&amp;"")=0,LEN('02_clients_raw'!B42&amp;"")=0,LEN('02_clients_raw'!C42&amp;"")=0,LEN('02_clients_raw'!D42&amp;"")=0,LEN('02_clients_raw'!E42&amp;"")=0,LEN('02_clients_raw'!F42&amp;"")=0),"ERROR","OK"),"")</x:f>
        <x:v>OK</x:v>
      </x:c>
      <x:c r="E222" s="2" t="str">
        <x:f>IF(COUNTA('02_clients_raw'!A42:F42)&gt;0,"N/A","")</x:f>
        <x:v>N/A</x:v>
      </x:c>
      <x:c r="F222" s="2" t="str">
        <x:f>IF(COUNTA('02_clients_raw'!A42:F42)&gt;0,IF(LEN('02_clients_raw'!C42&amp;"")=0,"SKIP",IF(OR(AND(LEN('02_clients_raw'!C42&amp;"")&lt;&gt;10,LEN('02_clients_raw'!C42&amp;"")&lt;&gt;12),NOT(AND(IF(1&gt;LEN('02_clients_raw'!C42&amp;""),TRUE,IFERROR(FIND(MID('02_clients_raw'!C42&amp;"",1,1),"x0123456789")&gt;=2,FALSE)),IF(2&gt;LEN('02_clients_raw'!C42&amp;""),TRUE,IFERROR(FIND(MID('02_clients_raw'!C42&amp;"",2,1),"x0123456789")&gt;=2,FALSE)),IF(3&gt;LEN('02_clients_raw'!C42&amp;""),TRUE,IFERROR(FIND(MID('02_clients_raw'!C42&amp;"",3,1),"x0123456789")&gt;=2,FALSE)),IF(4&gt;LEN('02_clients_raw'!C42&amp;""),TRUE,IFERROR(FIND(MID('02_clients_raw'!C42&amp;"",4,1),"x0123456789")&gt;=2,FALSE)),IF(5&gt;LEN('02_clients_raw'!C42&amp;""),TRUE,IFERROR(FIND(MID('02_clients_raw'!C42&amp;"",5,1),"x0123456789")&gt;=2,FALSE)),IF(6&gt;LEN('02_clients_raw'!C42&amp;""),TRUE,IFERROR(FIND(MID('02_clients_raw'!C42&amp;"",6,1),"x0123456789")&gt;=2,FALSE)),IF(7&gt;LEN('02_clients_raw'!C42&amp;""),TRUE,IFERROR(FIND(MID('02_clients_raw'!C42&amp;"",7,1),"x0123456789")&gt;=2,FALSE)),IF(8&gt;LEN('02_clients_raw'!C42&amp;""),TRUE,IFERROR(FIND(MID('02_clients_raw'!C42&amp;"",8,1),"x0123456789")&gt;=2,FALSE)),IF(9&gt;LEN('02_clients_raw'!C42&amp;""),TRUE,IFERROR(FIND(MID('02_clients_raw'!C42&amp;"",9,1),"x0123456789")&gt;=2,FALSE)),IF(10&gt;LEN('02_clients_raw'!C42&amp;""),TRUE,IFERROR(FIND(MID('02_clients_raw'!C42&amp;"",10,1),"x0123456789")&gt;=2,FALSE)),IF(11&gt;LEN('02_clients_raw'!C42&amp;""),TRUE,IFERROR(FIND(MID('02_clients_raw'!C42&amp;"",11,1),"x0123456789")&gt;=2,FALSE)),IF(12&gt;LEN('02_clients_raw'!C42&amp;""),TRUE,IFERROR(FIND(MID('02_clients_raw'!C42&amp;"",12,1),"x0123456789")&gt;=2,FALSE))))),"ERROR","OK")),"")</x:f>
        <x:v>OK</x:v>
      </x:c>
      <x:c r="G222" s="2" t="str">
        <x:f>IF(COUNTA('02_clients_raw'!A42:F42)&gt;0,"N/A","")</x:f>
        <x:v>N/A</x:v>
      </x:c>
      <x:c r="H222" s="2" t="str">
        <x:f>IF(COUNTA('02_clients_raw'!A42:F42)&gt;0,IF(LEN('02_clients_raw'!E42&amp;"")=0,"SKIP",IF(OR(NOT(ISNUMBER('02_clients_raw'!E42)),'02_clients_raw'!E42&lt;=0,'02_clients_raw'!E42&gt;'09_parameters'!$B$2),"ERROR","OK")),"")</x:f>
        <x:v>OK</x:v>
      </x:c>
      <x:c r="I222" s="2" t="str">
        <x:f>IF(COUNTA('02_clients_raw'!A42:F42)&gt;0,"N/A","")</x:f>
        <x:v>N/A</x:v>
      </x:c>
      <x:c r="J222" s="2" t="n">
        <x:f>COUNTIF(C222:I222,"ERROR")</x:f>
        <x:v>0</x:v>
      </x:c>
      <x:c r="K222" s="2" t="n">
        <x:f>IF(COUNTA('02_clients_raw'!A42:F42)&gt;0,42,"")</x:f>
        <x:v>42</x:v>
      </x:c>
    </x:row>
    <x:row r="223">
      <x:c r="A223" s="2" t="str">
        <x:f>IF(COUNTA('02_clients_raw'!A43:F43)&gt;0,"Client","")</x:f>
        <x:v>Client</x:v>
      </x:c>
      <x:c r="B223" s="2" t="str">
        <x:f>IF(COUNTA('02_clients_raw'!A43:F43)&gt;0,'02_clients_raw'!A43,"")</x:f>
        <x:v>C042</x:v>
      </x:c>
      <x:c r="C223" s="2" t="str">
        <x:f>IF(COUNTA('02_clients_raw'!A43:F43)&gt;0,IF(AND(LEN('02_clients_raw'!A43&amp;"")&gt;0,COUNTIF('02_clients_raw'!$A$2:$A$67,'02_clients_raw'!A43)&gt;1),"ERROR","OK"),"")</x:f>
        <x:v>OK</x:v>
      </x:c>
      <x:c r="D223" s="2" t="str">
        <x:f>IF(COUNTA('02_clients_raw'!A43:F43)&gt;0,IF(OR(LEN('02_clients_raw'!A43&amp;"")=0,LEN('02_clients_raw'!B43&amp;"")=0,LEN('02_clients_raw'!C43&amp;"")=0,LEN('02_clients_raw'!D43&amp;"")=0,LEN('02_clients_raw'!E43&amp;"")=0,LEN('02_clients_raw'!F43&amp;"")=0),"ERROR","OK"),"")</x:f>
        <x:v>OK</x:v>
      </x:c>
      <x:c r="E223" s="2" t="str">
        <x:f>IF(COUNTA('02_clients_raw'!A43:F43)&gt;0,"N/A","")</x:f>
        <x:v>N/A</x:v>
      </x:c>
      <x:c r="F223" s="2" t="str">
        <x:f>IF(COUNTA('02_clients_raw'!A43:F43)&gt;0,IF(LEN('02_clients_raw'!C43&amp;"")=0,"SKIP",IF(OR(AND(LEN('02_clients_raw'!C43&amp;"")&lt;&gt;10,LEN('02_clients_raw'!C43&amp;"")&lt;&gt;12),NOT(AND(IF(1&gt;LEN('02_clients_raw'!C43&amp;""),TRUE,IFERROR(FIND(MID('02_clients_raw'!C43&amp;"",1,1),"x0123456789")&gt;=2,FALSE)),IF(2&gt;LEN('02_clients_raw'!C43&amp;""),TRUE,IFERROR(FIND(MID('02_clients_raw'!C43&amp;"",2,1),"x0123456789")&gt;=2,FALSE)),IF(3&gt;LEN('02_clients_raw'!C43&amp;""),TRUE,IFERROR(FIND(MID('02_clients_raw'!C43&amp;"",3,1),"x0123456789")&gt;=2,FALSE)),IF(4&gt;LEN('02_clients_raw'!C43&amp;""),TRUE,IFERROR(FIND(MID('02_clients_raw'!C43&amp;"",4,1),"x0123456789")&gt;=2,FALSE)),IF(5&gt;LEN('02_clients_raw'!C43&amp;""),TRUE,IFERROR(FIND(MID('02_clients_raw'!C43&amp;"",5,1),"x0123456789")&gt;=2,FALSE)),IF(6&gt;LEN('02_clients_raw'!C43&amp;""),TRUE,IFERROR(FIND(MID('02_clients_raw'!C43&amp;"",6,1),"x0123456789")&gt;=2,FALSE)),IF(7&gt;LEN('02_clients_raw'!C43&amp;""),TRUE,IFERROR(FIND(MID('02_clients_raw'!C43&amp;"",7,1),"x0123456789")&gt;=2,FALSE)),IF(8&gt;LEN('02_clients_raw'!C43&amp;""),TRUE,IFERROR(FIND(MID('02_clients_raw'!C43&amp;"",8,1),"x0123456789")&gt;=2,FALSE)),IF(9&gt;LEN('02_clients_raw'!C43&amp;""),TRUE,IFERROR(FIND(MID('02_clients_raw'!C43&amp;"",9,1),"x0123456789")&gt;=2,FALSE)),IF(10&gt;LEN('02_clients_raw'!C43&amp;""),TRUE,IFERROR(FIND(MID('02_clients_raw'!C43&amp;"",10,1),"x0123456789")&gt;=2,FALSE)),IF(11&gt;LEN('02_clients_raw'!C43&amp;""),TRUE,IFERROR(FIND(MID('02_clients_raw'!C43&amp;"",11,1),"x0123456789")&gt;=2,FALSE)),IF(12&gt;LEN('02_clients_raw'!C43&amp;""),TRUE,IFERROR(FIND(MID('02_clients_raw'!C43&amp;"",12,1),"x0123456789")&gt;=2,FALSE))))),"ERROR","OK")),"")</x:f>
        <x:v>OK</x:v>
      </x:c>
      <x:c r="G223" s="2" t="str">
        <x:f>IF(COUNTA('02_clients_raw'!A43:F43)&gt;0,"N/A","")</x:f>
        <x:v>N/A</x:v>
      </x:c>
      <x:c r="H223" s="2" t="str">
        <x:f>IF(COUNTA('02_clients_raw'!A43:F43)&gt;0,IF(LEN('02_clients_raw'!E43&amp;"")=0,"SKIP",IF(OR(NOT(ISNUMBER('02_clients_raw'!E43)),'02_clients_raw'!E43&lt;=0,'02_clients_raw'!E43&gt;'09_parameters'!$B$2),"ERROR","OK")),"")</x:f>
        <x:v>OK</x:v>
      </x:c>
      <x:c r="I223" s="2" t="str">
        <x:f>IF(COUNTA('02_clients_raw'!A43:F43)&gt;0,"N/A","")</x:f>
        <x:v>N/A</x:v>
      </x:c>
      <x:c r="J223" s="2" t="n">
        <x:f>COUNTIF(C223:I223,"ERROR")</x:f>
        <x:v>0</x:v>
      </x:c>
      <x:c r="K223" s="2" t="n">
        <x:f>IF(COUNTA('02_clients_raw'!A43:F43)&gt;0,43,"")</x:f>
        <x:v>43</x:v>
      </x:c>
    </x:row>
    <x:row r="224">
      <x:c r="A224" s="2" t="str">
        <x:f>IF(COUNTA('02_clients_raw'!A44:F44)&gt;0,"Client","")</x:f>
        <x:v>Client</x:v>
      </x:c>
      <x:c r="B224" s="2" t="str">
        <x:f>IF(COUNTA('02_clients_raw'!A44:F44)&gt;0,'02_clients_raw'!A44,"")</x:f>
        <x:v>C043</x:v>
      </x:c>
      <x:c r="C224" s="2" t="str">
        <x:f>IF(COUNTA('02_clients_raw'!A44:F44)&gt;0,IF(AND(LEN('02_clients_raw'!A44&amp;"")&gt;0,COUNTIF('02_clients_raw'!$A$2:$A$67,'02_clients_raw'!A44)&gt;1),"ERROR","OK"),"")</x:f>
        <x:v>OK</x:v>
      </x:c>
      <x:c r="D224" s="2" t="str">
        <x:f>IF(COUNTA('02_clients_raw'!A44:F44)&gt;0,IF(OR(LEN('02_clients_raw'!A44&amp;"")=0,LEN('02_clients_raw'!B44&amp;"")=0,LEN('02_clients_raw'!C44&amp;"")=0,LEN('02_clients_raw'!D44&amp;"")=0,LEN('02_clients_raw'!E44&amp;"")=0,LEN('02_clients_raw'!F44&amp;"")=0),"ERROR","OK"),"")</x:f>
        <x:v>OK</x:v>
      </x:c>
      <x:c r="E224" s="2" t="str">
        <x:f>IF(COUNTA('02_clients_raw'!A44:F44)&gt;0,"N/A","")</x:f>
        <x:v>N/A</x:v>
      </x:c>
      <x:c r="F224" s="2" t="str">
        <x:f>IF(COUNTA('02_clients_raw'!A44:F44)&gt;0,IF(LEN('02_clients_raw'!C44&amp;"")=0,"SKIP",IF(OR(AND(LEN('02_clients_raw'!C44&amp;"")&lt;&gt;10,LEN('02_clients_raw'!C44&amp;"")&lt;&gt;12),NOT(AND(IF(1&gt;LEN('02_clients_raw'!C44&amp;""),TRUE,IFERROR(FIND(MID('02_clients_raw'!C44&amp;"",1,1),"x0123456789")&gt;=2,FALSE)),IF(2&gt;LEN('02_clients_raw'!C44&amp;""),TRUE,IFERROR(FIND(MID('02_clients_raw'!C44&amp;"",2,1),"x0123456789")&gt;=2,FALSE)),IF(3&gt;LEN('02_clients_raw'!C44&amp;""),TRUE,IFERROR(FIND(MID('02_clients_raw'!C44&amp;"",3,1),"x0123456789")&gt;=2,FALSE)),IF(4&gt;LEN('02_clients_raw'!C44&amp;""),TRUE,IFERROR(FIND(MID('02_clients_raw'!C44&amp;"",4,1),"x0123456789")&gt;=2,FALSE)),IF(5&gt;LEN('02_clients_raw'!C44&amp;""),TRUE,IFERROR(FIND(MID('02_clients_raw'!C44&amp;"",5,1),"x0123456789")&gt;=2,FALSE)),IF(6&gt;LEN('02_clients_raw'!C44&amp;""),TRUE,IFERROR(FIND(MID('02_clients_raw'!C44&amp;"",6,1),"x0123456789")&gt;=2,FALSE)),IF(7&gt;LEN('02_clients_raw'!C44&amp;""),TRUE,IFERROR(FIND(MID('02_clients_raw'!C44&amp;"",7,1),"x0123456789")&gt;=2,FALSE)),IF(8&gt;LEN('02_clients_raw'!C44&amp;""),TRUE,IFERROR(FIND(MID('02_clients_raw'!C44&amp;"",8,1),"x0123456789")&gt;=2,FALSE)),IF(9&gt;LEN('02_clients_raw'!C44&amp;""),TRUE,IFERROR(FIND(MID('02_clients_raw'!C44&amp;"",9,1),"x0123456789")&gt;=2,FALSE)),IF(10&gt;LEN('02_clients_raw'!C44&amp;""),TRUE,IFERROR(FIND(MID('02_clients_raw'!C44&amp;"",10,1),"x0123456789")&gt;=2,FALSE)),IF(11&gt;LEN('02_clients_raw'!C44&amp;""),TRUE,IFERROR(FIND(MID('02_clients_raw'!C44&amp;"",11,1),"x0123456789")&gt;=2,FALSE)),IF(12&gt;LEN('02_clients_raw'!C44&amp;""),TRUE,IFERROR(FIND(MID('02_clients_raw'!C44&amp;"",12,1),"x0123456789")&gt;=2,FALSE))))),"ERROR","OK")),"")</x:f>
        <x:v>OK</x:v>
      </x:c>
      <x:c r="G224" s="2" t="str">
        <x:f>IF(COUNTA('02_clients_raw'!A44:F44)&gt;0,"N/A","")</x:f>
        <x:v>N/A</x:v>
      </x:c>
      <x:c r="H224" s="2" t="str">
        <x:f>IF(COUNTA('02_clients_raw'!A44:F44)&gt;0,IF(LEN('02_clients_raw'!E44&amp;"")=0,"SKIP",IF(OR(NOT(ISNUMBER('02_clients_raw'!E44)),'02_clients_raw'!E44&lt;=0,'02_clients_raw'!E44&gt;'09_parameters'!$B$2),"ERROR","OK")),"")</x:f>
        <x:v>OK</x:v>
      </x:c>
      <x:c r="I224" s="2" t="str">
        <x:f>IF(COUNTA('02_clients_raw'!A44:F44)&gt;0,"N/A","")</x:f>
        <x:v>N/A</x:v>
      </x:c>
      <x:c r="J224" s="2" t="n">
        <x:f>COUNTIF(C224:I224,"ERROR")</x:f>
        <x:v>0</x:v>
      </x:c>
      <x:c r="K224" s="2" t="n">
        <x:f>IF(COUNTA('02_clients_raw'!A44:F44)&gt;0,44,"")</x:f>
        <x:v>44</x:v>
      </x:c>
    </x:row>
    <x:row r="225">
      <x:c r="A225" s="2" t="str">
        <x:f>IF(COUNTA('02_clients_raw'!A45:F45)&gt;0,"Client","")</x:f>
        <x:v>Client</x:v>
      </x:c>
      <x:c r="B225" s="2" t="str">
        <x:f>IF(COUNTA('02_clients_raw'!A45:F45)&gt;0,'02_clients_raw'!A45,"")</x:f>
        <x:v>C044</x:v>
      </x:c>
      <x:c r="C225" s="2" t="str">
        <x:f>IF(COUNTA('02_clients_raw'!A45:F45)&gt;0,IF(AND(LEN('02_clients_raw'!A45&amp;"")&gt;0,COUNTIF('02_clients_raw'!$A$2:$A$67,'02_clients_raw'!A45)&gt;1),"ERROR","OK"),"")</x:f>
        <x:v>OK</x:v>
      </x:c>
      <x:c r="D225" s="2" t="str">
        <x:f>IF(COUNTA('02_clients_raw'!A45:F45)&gt;0,IF(OR(LEN('02_clients_raw'!A45&amp;"")=0,LEN('02_clients_raw'!B45&amp;"")=0,LEN('02_clients_raw'!C45&amp;"")=0,LEN('02_clients_raw'!D45&amp;"")=0,LEN('02_clients_raw'!E45&amp;"")=0,LEN('02_clients_raw'!F45&amp;"")=0),"ERROR","OK"),"")</x:f>
        <x:v>OK</x:v>
      </x:c>
      <x:c r="E225" s="2" t="str">
        <x:f>IF(COUNTA('02_clients_raw'!A45:F45)&gt;0,"N/A","")</x:f>
        <x:v>N/A</x:v>
      </x:c>
      <x:c r="F225" s="2" t="str">
        <x:f>IF(COUNTA('02_clients_raw'!A45:F45)&gt;0,IF(LEN('02_clients_raw'!C45&amp;"")=0,"SKIP",IF(OR(AND(LEN('02_clients_raw'!C45&amp;"")&lt;&gt;10,LEN('02_clients_raw'!C45&amp;"")&lt;&gt;12),NOT(AND(IF(1&gt;LEN('02_clients_raw'!C45&amp;""),TRUE,IFERROR(FIND(MID('02_clients_raw'!C45&amp;"",1,1),"x0123456789")&gt;=2,FALSE)),IF(2&gt;LEN('02_clients_raw'!C45&amp;""),TRUE,IFERROR(FIND(MID('02_clients_raw'!C45&amp;"",2,1),"x0123456789")&gt;=2,FALSE)),IF(3&gt;LEN('02_clients_raw'!C45&amp;""),TRUE,IFERROR(FIND(MID('02_clients_raw'!C45&amp;"",3,1),"x0123456789")&gt;=2,FALSE)),IF(4&gt;LEN('02_clients_raw'!C45&amp;""),TRUE,IFERROR(FIND(MID('02_clients_raw'!C45&amp;"",4,1),"x0123456789")&gt;=2,FALSE)),IF(5&gt;LEN('02_clients_raw'!C45&amp;""),TRUE,IFERROR(FIND(MID('02_clients_raw'!C45&amp;"",5,1),"x0123456789")&gt;=2,FALSE)),IF(6&gt;LEN('02_clients_raw'!C45&amp;""),TRUE,IFERROR(FIND(MID('02_clients_raw'!C45&amp;"",6,1),"x0123456789")&gt;=2,FALSE)),IF(7&gt;LEN('02_clients_raw'!C45&amp;""),TRUE,IFERROR(FIND(MID('02_clients_raw'!C45&amp;"",7,1),"x0123456789")&gt;=2,FALSE)),IF(8&gt;LEN('02_clients_raw'!C45&amp;""),TRUE,IFERROR(FIND(MID('02_clients_raw'!C45&amp;"",8,1),"x0123456789")&gt;=2,FALSE)),IF(9&gt;LEN('02_clients_raw'!C45&amp;""),TRUE,IFERROR(FIND(MID('02_clients_raw'!C45&amp;"",9,1),"x0123456789")&gt;=2,FALSE)),IF(10&gt;LEN('02_clients_raw'!C45&amp;""),TRUE,IFERROR(FIND(MID('02_clients_raw'!C45&amp;"",10,1),"x0123456789")&gt;=2,FALSE)),IF(11&gt;LEN('02_clients_raw'!C45&amp;""),TRUE,IFERROR(FIND(MID('02_clients_raw'!C45&amp;"",11,1),"x0123456789")&gt;=2,FALSE)),IF(12&gt;LEN('02_clients_raw'!C45&amp;""),TRUE,IFERROR(FIND(MID('02_clients_raw'!C45&amp;"",12,1),"x0123456789")&gt;=2,FALSE))))),"ERROR","OK")),"")</x:f>
        <x:v>OK</x:v>
      </x:c>
      <x:c r="G225" s="2" t="str">
        <x:f>IF(COUNTA('02_clients_raw'!A45:F45)&gt;0,"N/A","")</x:f>
        <x:v>N/A</x:v>
      </x:c>
      <x:c r="H225" s="2" t="str">
        <x:f>IF(COUNTA('02_clients_raw'!A45:F45)&gt;0,IF(LEN('02_clients_raw'!E45&amp;"")=0,"SKIP",IF(OR(NOT(ISNUMBER('02_clients_raw'!E45)),'02_clients_raw'!E45&lt;=0,'02_clients_raw'!E45&gt;'09_parameters'!$B$2),"ERROR","OK")),"")</x:f>
        <x:v>OK</x:v>
      </x:c>
      <x:c r="I225" s="2" t="str">
        <x:f>IF(COUNTA('02_clients_raw'!A45:F45)&gt;0,"N/A","")</x:f>
        <x:v>N/A</x:v>
      </x:c>
      <x:c r="J225" s="2" t="n">
        <x:f>COUNTIF(C225:I225,"ERROR")</x:f>
        <x:v>0</x:v>
      </x:c>
      <x:c r="K225" s="2" t="n">
        <x:f>IF(COUNTA('02_clients_raw'!A45:F45)&gt;0,45,"")</x:f>
        <x:v>45</x:v>
      </x:c>
    </x:row>
    <x:row r="226">
      <x:c r="A226" s="2" t="str">
        <x:f>IF(COUNTA('02_clients_raw'!A46:F46)&gt;0,"Client","")</x:f>
        <x:v>Client</x:v>
      </x:c>
      <x:c r="B226" s="2" t="str">
        <x:f>IF(COUNTA('02_clients_raw'!A46:F46)&gt;0,'02_clients_raw'!A46,"")</x:f>
        <x:v>C045</x:v>
      </x:c>
      <x:c r="C226" s="2" t="str">
        <x:f>IF(COUNTA('02_clients_raw'!A46:F46)&gt;0,IF(AND(LEN('02_clients_raw'!A46&amp;"")&gt;0,COUNTIF('02_clients_raw'!$A$2:$A$67,'02_clients_raw'!A46)&gt;1),"ERROR","OK"),"")</x:f>
        <x:v>OK</x:v>
      </x:c>
      <x:c r="D226" s="2" t="str">
        <x:f>IF(COUNTA('02_clients_raw'!A46:F46)&gt;0,IF(OR(LEN('02_clients_raw'!A46&amp;"")=0,LEN('02_clients_raw'!B46&amp;"")=0,LEN('02_clients_raw'!C46&amp;"")=0,LEN('02_clients_raw'!D46&amp;"")=0,LEN('02_clients_raw'!E46&amp;"")=0,LEN('02_clients_raw'!F46&amp;"")=0),"ERROR","OK"),"")</x:f>
        <x:v>OK</x:v>
      </x:c>
      <x:c r="E226" s="2" t="str">
        <x:f>IF(COUNTA('02_clients_raw'!A46:F46)&gt;0,"N/A","")</x:f>
        <x:v>N/A</x:v>
      </x:c>
      <x:c r="F226" s="2" t="str">
        <x:f>IF(COUNTA('02_clients_raw'!A46:F46)&gt;0,IF(LEN('02_clients_raw'!C46&amp;"")=0,"SKIP",IF(OR(AND(LEN('02_clients_raw'!C46&amp;"")&lt;&gt;10,LEN('02_clients_raw'!C46&amp;"")&lt;&gt;12),NOT(AND(IF(1&gt;LEN('02_clients_raw'!C46&amp;""),TRUE,IFERROR(FIND(MID('02_clients_raw'!C46&amp;"",1,1),"x0123456789")&gt;=2,FALSE)),IF(2&gt;LEN('02_clients_raw'!C46&amp;""),TRUE,IFERROR(FIND(MID('02_clients_raw'!C46&amp;"",2,1),"x0123456789")&gt;=2,FALSE)),IF(3&gt;LEN('02_clients_raw'!C46&amp;""),TRUE,IFERROR(FIND(MID('02_clients_raw'!C46&amp;"",3,1),"x0123456789")&gt;=2,FALSE)),IF(4&gt;LEN('02_clients_raw'!C46&amp;""),TRUE,IFERROR(FIND(MID('02_clients_raw'!C46&amp;"",4,1),"x0123456789")&gt;=2,FALSE)),IF(5&gt;LEN('02_clients_raw'!C46&amp;""),TRUE,IFERROR(FIND(MID('02_clients_raw'!C46&amp;"",5,1),"x0123456789")&gt;=2,FALSE)),IF(6&gt;LEN('02_clients_raw'!C46&amp;""),TRUE,IFERROR(FIND(MID('02_clients_raw'!C46&amp;"",6,1),"x0123456789")&gt;=2,FALSE)),IF(7&gt;LEN('02_clients_raw'!C46&amp;""),TRUE,IFERROR(FIND(MID('02_clients_raw'!C46&amp;"",7,1),"x0123456789")&gt;=2,FALSE)),IF(8&gt;LEN('02_clients_raw'!C46&amp;""),TRUE,IFERROR(FIND(MID('02_clients_raw'!C46&amp;"",8,1),"x0123456789")&gt;=2,FALSE)),IF(9&gt;LEN('02_clients_raw'!C46&amp;""),TRUE,IFERROR(FIND(MID('02_clients_raw'!C46&amp;"",9,1),"x0123456789")&gt;=2,FALSE)),IF(10&gt;LEN('02_clients_raw'!C46&amp;""),TRUE,IFERROR(FIND(MID('02_clients_raw'!C46&amp;"",10,1),"x0123456789")&gt;=2,FALSE)),IF(11&gt;LEN('02_clients_raw'!C46&amp;""),TRUE,IFERROR(FIND(MID('02_clients_raw'!C46&amp;"",11,1),"x0123456789")&gt;=2,FALSE)),IF(12&gt;LEN('02_clients_raw'!C46&amp;""),TRUE,IFERROR(FIND(MID('02_clients_raw'!C46&amp;"",12,1),"x0123456789")&gt;=2,FALSE))))),"ERROR","OK")),"")</x:f>
        <x:v>OK</x:v>
      </x:c>
      <x:c r="G226" s="2" t="str">
        <x:f>IF(COUNTA('02_clients_raw'!A46:F46)&gt;0,"N/A","")</x:f>
        <x:v>N/A</x:v>
      </x:c>
      <x:c r="H226" s="2" t="str">
        <x:f>IF(COUNTA('02_clients_raw'!A46:F46)&gt;0,IF(LEN('02_clients_raw'!E46&amp;"")=0,"SKIP",IF(OR(NOT(ISNUMBER('02_clients_raw'!E46)),'02_clients_raw'!E46&lt;=0,'02_clients_raw'!E46&gt;'09_parameters'!$B$2),"ERROR","OK")),"")</x:f>
        <x:v>OK</x:v>
      </x:c>
      <x:c r="I226" s="2" t="str">
        <x:f>IF(COUNTA('02_clients_raw'!A46:F46)&gt;0,"N/A","")</x:f>
        <x:v>N/A</x:v>
      </x:c>
      <x:c r="J226" s="2" t="n">
        <x:f>COUNTIF(C226:I226,"ERROR")</x:f>
        <x:v>0</x:v>
      </x:c>
      <x:c r="K226" s="2" t="n">
        <x:f>IF(COUNTA('02_clients_raw'!A46:F46)&gt;0,46,"")</x:f>
        <x:v>46</x:v>
      </x:c>
    </x:row>
    <x:row r="227">
      <x:c r="A227" s="2" t="str">
        <x:f>IF(COUNTA('02_clients_raw'!A47:F47)&gt;0,"Client","")</x:f>
        <x:v>Client</x:v>
      </x:c>
      <x:c r="B227" s="2" t="str">
        <x:f>IF(COUNTA('02_clients_raw'!A47:F47)&gt;0,'02_clients_raw'!A47,"")</x:f>
        <x:v>C009</x:v>
      </x:c>
      <x:c r="C227" s="2" t="str">
        <x:f>IF(COUNTA('02_clients_raw'!A47:F47)&gt;0,IF(AND(LEN('02_clients_raw'!A47&amp;"")&gt;0,COUNTIF('02_clients_raw'!$A$2:$A$67,'02_clients_raw'!A47)&gt;1),"ERROR","OK"),"")</x:f>
        <x:v>ERROR</x:v>
      </x:c>
      <x:c r="D227" s="2" t="str">
        <x:f>IF(COUNTA('02_clients_raw'!A47:F47)&gt;0,IF(OR(LEN('02_clients_raw'!A47&amp;"")=0,LEN('02_clients_raw'!B47&amp;"")=0,LEN('02_clients_raw'!C47&amp;"")=0,LEN('02_clients_raw'!D47&amp;"")=0,LEN('02_clients_raw'!E47&amp;"")=0,LEN('02_clients_raw'!F47&amp;"")=0),"ERROR","OK"),"")</x:f>
        <x:v>OK</x:v>
      </x:c>
      <x:c r="E227" s="2" t="str">
        <x:f>IF(COUNTA('02_clients_raw'!A47:F47)&gt;0,"N/A","")</x:f>
        <x:v>N/A</x:v>
      </x:c>
      <x:c r="F227" s="2" t="str">
        <x:f>IF(COUNTA('02_clients_raw'!A47:F47)&gt;0,IF(LEN('02_clients_raw'!C47&amp;"")=0,"SKIP",IF(OR(AND(LEN('02_clients_raw'!C47&amp;"")&lt;&gt;10,LEN('02_clients_raw'!C47&amp;"")&lt;&gt;12),NOT(AND(IF(1&gt;LEN('02_clients_raw'!C47&amp;""),TRUE,IFERROR(FIND(MID('02_clients_raw'!C47&amp;"",1,1),"x0123456789")&gt;=2,FALSE)),IF(2&gt;LEN('02_clients_raw'!C47&amp;""),TRUE,IFERROR(FIND(MID('02_clients_raw'!C47&amp;"",2,1),"x0123456789")&gt;=2,FALSE)),IF(3&gt;LEN('02_clients_raw'!C47&amp;""),TRUE,IFERROR(FIND(MID('02_clients_raw'!C47&amp;"",3,1),"x0123456789")&gt;=2,FALSE)),IF(4&gt;LEN('02_clients_raw'!C47&amp;""),TRUE,IFERROR(FIND(MID('02_clients_raw'!C47&amp;"",4,1),"x0123456789")&gt;=2,FALSE)),IF(5&gt;LEN('02_clients_raw'!C47&amp;""),TRUE,IFERROR(FIND(MID('02_clients_raw'!C47&amp;"",5,1),"x0123456789")&gt;=2,FALSE)),IF(6&gt;LEN('02_clients_raw'!C47&amp;""),TRUE,IFERROR(FIND(MID('02_clients_raw'!C47&amp;"",6,1),"x0123456789")&gt;=2,FALSE)),IF(7&gt;LEN('02_clients_raw'!C47&amp;""),TRUE,IFERROR(FIND(MID('02_clients_raw'!C47&amp;"",7,1),"x0123456789")&gt;=2,FALSE)),IF(8&gt;LEN('02_clients_raw'!C47&amp;""),TRUE,IFERROR(FIND(MID('02_clients_raw'!C47&amp;"",8,1),"x0123456789")&gt;=2,FALSE)),IF(9&gt;LEN('02_clients_raw'!C47&amp;""),TRUE,IFERROR(FIND(MID('02_clients_raw'!C47&amp;"",9,1),"x0123456789")&gt;=2,FALSE)),IF(10&gt;LEN('02_clients_raw'!C47&amp;""),TRUE,IFERROR(FIND(MID('02_clients_raw'!C47&amp;"",10,1),"x0123456789")&gt;=2,FALSE)),IF(11&gt;LEN('02_clients_raw'!C47&amp;""),TRUE,IFERROR(FIND(MID('02_clients_raw'!C47&amp;"",11,1),"x0123456789")&gt;=2,FALSE)),IF(12&gt;LEN('02_clients_raw'!C47&amp;""),TRUE,IFERROR(FIND(MID('02_clients_raw'!C47&amp;"",12,1),"x0123456789")&gt;=2,FALSE))))),"ERROR","OK")),"")</x:f>
        <x:v>OK</x:v>
      </x:c>
      <x:c r="G227" s="2" t="str">
        <x:f>IF(COUNTA('02_clients_raw'!A47:F47)&gt;0,"N/A","")</x:f>
        <x:v>N/A</x:v>
      </x:c>
      <x:c r="H227" s="2" t="str">
        <x:f>IF(COUNTA('02_clients_raw'!A47:F47)&gt;0,IF(LEN('02_clients_raw'!E47&amp;"")=0,"SKIP",IF(OR(NOT(ISNUMBER('02_clients_raw'!E47)),'02_clients_raw'!E47&lt;=0,'02_clients_raw'!E47&gt;'09_parameters'!$B$2),"ERROR","OK")),"")</x:f>
        <x:v>OK</x:v>
      </x:c>
      <x:c r="I227" s="2" t="str">
        <x:f>IF(COUNTA('02_clients_raw'!A47:F47)&gt;0,"N/A","")</x:f>
        <x:v>N/A</x:v>
      </x:c>
      <x:c r="J227" s="2" t="n">
        <x:f>COUNTIF(C227:I227,"ERROR")</x:f>
        <x:v>1</x:v>
      </x:c>
      <x:c r="K227" s="2" t="n">
        <x:f>IF(COUNTA('02_clients_raw'!A47:F47)&gt;0,47,"")</x:f>
        <x:v>47</x:v>
      </x:c>
    </x:row>
    <x:row r="228">
      <x:c r="A228" s="2" t="str">
        <x:f>IF(COUNTA('02_clients_raw'!A48:F48)&gt;0,"Client","")</x:f>
      </x:c>
      <x:c r="B228" s="2" t="str">
        <x:f>IF(COUNTA('02_clients_raw'!A48:F48)&gt;0,'02_clients_raw'!A48,"")</x:f>
      </x:c>
      <x:c r="C228" s="2" t="str">
        <x:f>IF(COUNTA('02_clients_raw'!A48:F48)&gt;0,IF(AND(LEN('02_clients_raw'!A48&amp;"")&gt;0,COUNTIF('02_clients_raw'!$A$2:$A$67,'02_clients_raw'!A48)&gt;1),"ERROR","OK"),"")</x:f>
      </x:c>
      <x:c r="D228" s="2" t="str">
        <x:f>IF(COUNTA('02_clients_raw'!A48:F48)&gt;0,IF(OR(LEN('02_clients_raw'!A48&amp;"")=0,LEN('02_clients_raw'!B48&amp;"")=0,LEN('02_clients_raw'!C48&amp;"")=0,LEN('02_clients_raw'!D48&amp;"")=0,LEN('02_clients_raw'!E48&amp;"")=0,LEN('02_clients_raw'!F48&amp;"")=0),"ERROR","OK"),"")</x:f>
      </x:c>
      <x:c r="E228" s="2" t="str">
        <x:f>IF(COUNTA('02_clients_raw'!A48:F48)&gt;0,"N/A","")</x:f>
      </x:c>
      <x:c r="F228" s="2" t="str">
        <x:f>IF(COUNTA('02_clients_raw'!A48:F48)&gt;0,IF(LEN('02_clients_raw'!C48&amp;"")=0,"SKIP",IF(OR(AND(LEN('02_clients_raw'!C48&amp;"")&lt;&gt;10,LEN('02_clients_raw'!C48&amp;"")&lt;&gt;12),NOT(AND(IF(1&gt;LEN('02_clients_raw'!C48&amp;""),TRUE,IFERROR(FIND(MID('02_clients_raw'!C48&amp;"",1,1),"x0123456789")&gt;=2,FALSE)),IF(2&gt;LEN('02_clients_raw'!C48&amp;""),TRUE,IFERROR(FIND(MID('02_clients_raw'!C48&amp;"",2,1),"x0123456789")&gt;=2,FALSE)),IF(3&gt;LEN('02_clients_raw'!C48&amp;""),TRUE,IFERROR(FIND(MID('02_clients_raw'!C48&amp;"",3,1),"x0123456789")&gt;=2,FALSE)),IF(4&gt;LEN('02_clients_raw'!C48&amp;""),TRUE,IFERROR(FIND(MID('02_clients_raw'!C48&amp;"",4,1),"x0123456789")&gt;=2,FALSE)),IF(5&gt;LEN('02_clients_raw'!C48&amp;""),TRUE,IFERROR(FIND(MID('02_clients_raw'!C48&amp;"",5,1),"x0123456789")&gt;=2,FALSE)),IF(6&gt;LEN('02_clients_raw'!C48&amp;""),TRUE,IFERROR(FIND(MID('02_clients_raw'!C48&amp;"",6,1),"x0123456789")&gt;=2,FALSE)),IF(7&gt;LEN('02_clients_raw'!C48&amp;""),TRUE,IFERROR(FIND(MID('02_clients_raw'!C48&amp;"",7,1),"x0123456789")&gt;=2,FALSE)),IF(8&gt;LEN('02_clients_raw'!C48&amp;""),TRUE,IFERROR(FIND(MID('02_clients_raw'!C48&amp;"",8,1),"x0123456789")&gt;=2,FALSE)),IF(9&gt;LEN('02_clients_raw'!C48&amp;""),TRUE,IFERROR(FIND(MID('02_clients_raw'!C48&amp;"",9,1),"x0123456789")&gt;=2,FALSE)),IF(10&gt;LEN('02_clients_raw'!C48&amp;""),TRUE,IFERROR(FIND(MID('02_clients_raw'!C48&amp;"",10,1),"x0123456789")&gt;=2,FALSE)),IF(11&gt;LEN('02_clients_raw'!C48&amp;""),TRUE,IFERROR(FIND(MID('02_clients_raw'!C48&amp;"",11,1),"x0123456789")&gt;=2,FALSE)),IF(12&gt;LEN('02_clients_raw'!C48&amp;""),TRUE,IFERROR(FIND(MID('02_clients_raw'!C48&amp;"",12,1),"x0123456789")&gt;=2,FALSE))))),"ERROR","OK")),"")</x:f>
      </x:c>
      <x:c r="G228" s="2" t="str">
        <x:f>IF(COUNTA('02_clients_raw'!A48:F48)&gt;0,"N/A","")</x:f>
      </x:c>
      <x:c r="H228" s="2" t="str">
        <x:f>IF(COUNTA('02_clients_raw'!A48:F48)&gt;0,IF(LEN('02_clients_raw'!E48&amp;"")=0,"SKIP",IF(OR(NOT(ISNUMBER('02_clients_raw'!E48)),'02_clients_raw'!E48&lt;=0,'02_clients_raw'!E48&gt;'09_parameters'!$B$2),"ERROR","OK")),"")</x:f>
      </x:c>
      <x:c r="I228" s="2" t="str">
        <x:f>IF(COUNTA('02_clients_raw'!A48:F48)&gt;0,"N/A","")</x:f>
      </x:c>
      <x:c r="J228" s="2" t="n">
        <x:f>COUNTIF(C228:I228,"ERROR")</x:f>
        <x:v>0</x:v>
      </x:c>
      <x:c r="K228" s="2" t="str">
        <x:f>IF(COUNTA('02_clients_raw'!A48:F48)&gt;0,48,"")</x:f>
      </x:c>
    </x:row>
    <x:row r="229">
      <x:c r="A229" s="2" t="str">
        <x:f>IF(COUNTA('02_clients_raw'!A49:F49)&gt;0,"Client","")</x:f>
      </x:c>
      <x:c r="B229" s="2" t="str">
        <x:f>IF(COUNTA('02_clients_raw'!A49:F49)&gt;0,'02_clients_raw'!A49,"")</x:f>
      </x:c>
      <x:c r="C229" s="2" t="str">
        <x:f>IF(COUNTA('02_clients_raw'!A49:F49)&gt;0,IF(AND(LEN('02_clients_raw'!A49&amp;"")&gt;0,COUNTIF('02_clients_raw'!$A$2:$A$67,'02_clients_raw'!A49)&gt;1),"ERROR","OK"),"")</x:f>
      </x:c>
      <x:c r="D229" s="2" t="str">
        <x:f>IF(COUNTA('02_clients_raw'!A49:F49)&gt;0,IF(OR(LEN('02_clients_raw'!A49&amp;"")=0,LEN('02_clients_raw'!B49&amp;"")=0,LEN('02_clients_raw'!C49&amp;"")=0,LEN('02_clients_raw'!D49&amp;"")=0,LEN('02_clients_raw'!E49&amp;"")=0,LEN('02_clients_raw'!F49&amp;"")=0),"ERROR","OK"),"")</x:f>
      </x:c>
      <x:c r="E229" s="2" t="str">
        <x:f>IF(COUNTA('02_clients_raw'!A49:F49)&gt;0,"N/A","")</x:f>
      </x:c>
      <x:c r="F229" s="2" t="str">
        <x:f>IF(COUNTA('02_clients_raw'!A49:F49)&gt;0,IF(LEN('02_clients_raw'!C49&amp;"")=0,"SKIP",IF(OR(AND(LEN('02_clients_raw'!C49&amp;"")&lt;&gt;10,LEN('02_clients_raw'!C49&amp;"")&lt;&gt;12),NOT(AND(IF(1&gt;LEN('02_clients_raw'!C49&amp;""),TRUE,IFERROR(FIND(MID('02_clients_raw'!C49&amp;"",1,1),"x0123456789")&gt;=2,FALSE)),IF(2&gt;LEN('02_clients_raw'!C49&amp;""),TRUE,IFERROR(FIND(MID('02_clients_raw'!C49&amp;"",2,1),"x0123456789")&gt;=2,FALSE)),IF(3&gt;LEN('02_clients_raw'!C49&amp;""),TRUE,IFERROR(FIND(MID('02_clients_raw'!C49&amp;"",3,1),"x0123456789")&gt;=2,FALSE)),IF(4&gt;LEN('02_clients_raw'!C49&amp;""),TRUE,IFERROR(FIND(MID('02_clients_raw'!C49&amp;"",4,1),"x0123456789")&gt;=2,FALSE)),IF(5&gt;LEN('02_clients_raw'!C49&amp;""),TRUE,IFERROR(FIND(MID('02_clients_raw'!C49&amp;"",5,1),"x0123456789")&gt;=2,FALSE)),IF(6&gt;LEN('02_clients_raw'!C49&amp;""),TRUE,IFERROR(FIND(MID('02_clients_raw'!C49&amp;"",6,1),"x0123456789")&gt;=2,FALSE)),IF(7&gt;LEN('02_clients_raw'!C49&amp;""),TRUE,IFERROR(FIND(MID('02_clients_raw'!C49&amp;"",7,1),"x0123456789")&gt;=2,FALSE)),IF(8&gt;LEN('02_clients_raw'!C49&amp;""),TRUE,IFERROR(FIND(MID('02_clients_raw'!C49&amp;"",8,1),"x0123456789")&gt;=2,FALSE)),IF(9&gt;LEN('02_clients_raw'!C49&amp;""),TRUE,IFERROR(FIND(MID('02_clients_raw'!C49&amp;"",9,1),"x0123456789")&gt;=2,FALSE)),IF(10&gt;LEN('02_clients_raw'!C49&amp;""),TRUE,IFERROR(FIND(MID('02_clients_raw'!C49&amp;"",10,1),"x0123456789")&gt;=2,FALSE)),IF(11&gt;LEN('02_clients_raw'!C49&amp;""),TRUE,IFERROR(FIND(MID('02_clients_raw'!C49&amp;"",11,1),"x0123456789")&gt;=2,FALSE)),IF(12&gt;LEN('02_clients_raw'!C49&amp;""),TRUE,IFERROR(FIND(MID('02_clients_raw'!C49&amp;"",12,1),"x0123456789")&gt;=2,FALSE))))),"ERROR","OK")),"")</x:f>
      </x:c>
      <x:c r="G229" s="2" t="str">
        <x:f>IF(COUNTA('02_clients_raw'!A49:F49)&gt;0,"N/A","")</x:f>
      </x:c>
      <x:c r="H229" s="2" t="str">
        <x:f>IF(COUNTA('02_clients_raw'!A49:F49)&gt;0,IF(LEN('02_clients_raw'!E49&amp;"")=0,"SKIP",IF(OR(NOT(ISNUMBER('02_clients_raw'!E49)),'02_clients_raw'!E49&lt;=0,'02_clients_raw'!E49&gt;'09_parameters'!$B$2),"ERROR","OK")),"")</x:f>
      </x:c>
      <x:c r="I229" s="2" t="str">
        <x:f>IF(COUNTA('02_clients_raw'!A49:F49)&gt;0,"N/A","")</x:f>
      </x:c>
      <x:c r="J229" s="2" t="n">
        <x:f>COUNTIF(C229:I229,"ERROR")</x:f>
        <x:v>0</x:v>
      </x:c>
      <x:c r="K229" s="2" t="str">
        <x:f>IF(COUNTA('02_clients_raw'!A49:F49)&gt;0,49,"")</x:f>
      </x:c>
    </x:row>
    <x:row r="230">
      <x:c r="A230" s="2" t="str">
        <x:f>IF(COUNTA('02_clients_raw'!A50:F50)&gt;0,"Client","")</x:f>
      </x:c>
      <x:c r="B230" s="2" t="str">
        <x:f>IF(COUNTA('02_clients_raw'!A50:F50)&gt;0,'02_clients_raw'!A50,"")</x:f>
      </x:c>
      <x:c r="C230" s="2" t="str">
        <x:f>IF(COUNTA('02_clients_raw'!A50:F50)&gt;0,IF(AND(LEN('02_clients_raw'!A50&amp;"")&gt;0,COUNTIF('02_clients_raw'!$A$2:$A$67,'02_clients_raw'!A50)&gt;1),"ERROR","OK"),"")</x:f>
      </x:c>
      <x:c r="D230" s="2" t="str">
        <x:f>IF(COUNTA('02_clients_raw'!A50:F50)&gt;0,IF(OR(LEN('02_clients_raw'!A50&amp;"")=0,LEN('02_clients_raw'!B50&amp;"")=0,LEN('02_clients_raw'!C50&amp;"")=0,LEN('02_clients_raw'!D50&amp;"")=0,LEN('02_clients_raw'!E50&amp;"")=0,LEN('02_clients_raw'!F50&amp;"")=0),"ERROR","OK"),"")</x:f>
      </x:c>
      <x:c r="E230" s="2" t="str">
        <x:f>IF(COUNTA('02_clients_raw'!A50:F50)&gt;0,"N/A","")</x:f>
      </x:c>
      <x:c r="F230" s="2" t="str">
        <x:f>IF(COUNTA('02_clients_raw'!A50:F50)&gt;0,IF(LEN('02_clients_raw'!C50&amp;"")=0,"SKIP",IF(OR(AND(LEN('02_clients_raw'!C50&amp;"")&lt;&gt;10,LEN('02_clients_raw'!C50&amp;"")&lt;&gt;12),NOT(AND(IF(1&gt;LEN('02_clients_raw'!C50&amp;""),TRUE,IFERROR(FIND(MID('02_clients_raw'!C50&amp;"",1,1),"x0123456789")&gt;=2,FALSE)),IF(2&gt;LEN('02_clients_raw'!C50&amp;""),TRUE,IFERROR(FIND(MID('02_clients_raw'!C50&amp;"",2,1),"x0123456789")&gt;=2,FALSE)),IF(3&gt;LEN('02_clients_raw'!C50&amp;""),TRUE,IFERROR(FIND(MID('02_clients_raw'!C50&amp;"",3,1),"x0123456789")&gt;=2,FALSE)),IF(4&gt;LEN('02_clients_raw'!C50&amp;""),TRUE,IFERROR(FIND(MID('02_clients_raw'!C50&amp;"",4,1),"x0123456789")&gt;=2,FALSE)),IF(5&gt;LEN('02_clients_raw'!C50&amp;""),TRUE,IFERROR(FIND(MID('02_clients_raw'!C50&amp;"",5,1),"x0123456789")&gt;=2,FALSE)),IF(6&gt;LEN('02_clients_raw'!C50&amp;""),TRUE,IFERROR(FIND(MID('02_clients_raw'!C50&amp;"",6,1),"x0123456789")&gt;=2,FALSE)),IF(7&gt;LEN('02_clients_raw'!C50&amp;""),TRUE,IFERROR(FIND(MID('02_clients_raw'!C50&amp;"",7,1),"x0123456789")&gt;=2,FALSE)),IF(8&gt;LEN('02_clients_raw'!C50&amp;""),TRUE,IFERROR(FIND(MID('02_clients_raw'!C50&amp;"",8,1),"x0123456789")&gt;=2,FALSE)),IF(9&gt;LEN('02_clients_raw'!C50&amp;""),TRUE,IFERROR(FIND(MID('02_clients_raw'!C50&amp;"",9,1),"x0123456789")&gt;=2,FALSE)),IF(10&gt;LEN('02_clients_raw'!C50&amp;""),TRUE,IFERROR(FIND(MID('02_clients_raw'!C50&amp;"",10,1),"x0123456789")&gt;=2,FALSE)),IF(11&gt;LEN('02_clients_raw'!C50&amp;""),TRUE,IFERROR(FIND(MID('02_clients_raw'!C50&amp;"",11,1),"x0123456789")&gt;=2,FALSE)),IF(12&gt;LEN('02_clients_raw'!C50&amp;""),TRUE,IFERROR(FIND(MID('02_clients_raw'!C50&amp;"",12,1),"x0123456789")&gt;=2,FALSE))))),"ERROR","OK")),"")</x:f>
      </x:c>
      <x:c r="G230" s="2" t="str">
        <x:f>IF(COUNTA('02_clients_raw'!A50:F50)&gt;0,"N/A","")</x:f>
      </x:c>
      <x:c r="H230" s="2" t="str">
        <x:f>IF(COUNTA('02_clients_raw'!A50:F50)&gt;0,IF(LEN('02_clients_raw'!E50&amp;"")=0,"SKIP",IF(OR(NOT(ISNUMBER('02_clients_raw'!E50)),'02_clients_raw'!E50&lt;=0,'02_clients_raw'!E50&gt;'09_parameters'!$B$2),"ERROR","OK")),"")</x:f>
      </x:c>
      <x:c r="I230" s="2" t="str">
        <x:f>IF(COUNTA('02_clients_raw'!A50:F50)&gt;0,"N/A","")</x:f>
      </x:c>
      <x:c r="J230" s="2" t="n">
        <x:f>COUNTIF(C230:I230,"ERROR")</x:f>
        <x:v>0</x:v>
      </x:c>
      <x:c r="K230" s="2" t="str">
        <x:f>IF(COUNTA('02_clients_raw'!A50:F50)&gt;0,50,"")</x:f>
      </x:c>
    </x:row>
    <x:row r="231">
      <x:c r="A231" s="2" t="str">
        <x:f>IF(COUNTA('02_clients_raw'!A51:F51)&gt;0,"Client","")</x:f>
      </x:c>
      <x:c r="B231" s="2" t="str">
        <x:f>IF(COUNTA('02_clients_raw'!A51:F51)&gt;0,'02_clients_raw'!A51,"")</x:f>
      </x:c>
      <x:c r="C231" s="2" t="str">
        <x:f>IF(COUNTA('02_clients_raw'!A51:F51)&gt;0,IF(AND(LEN('02_clients_raw'!A51&amp;"")&gt;0,COUNTIF('02_clients_raw'!$A$2:$A$67,'02_clients_raw'!A51)&gt;1),"ERROR","OK"),"")</x:f>
      </x:c>
      <x:c r="D231" s="2" t="str">
        <x:f>IF(COUNTA('02_clients_raw'!A51:F51)&gt;0,IF(OR(LEN('02_clients_raw'!A51&amp;"")=0,LEN('02_clients_raw'!B51&amp;"")=0,LEN('02_clients_raw'!C51&amp;"")=0,LEN('02_clients_raw'!D51&amp;"")=0,LEN('02_clients_raw'!E51&amp;"")=0,LEN('02_clients_raw'!F51&amp;"")=0),"ERROR","OK"),"")</x:f>
      </x:c>
      <x:c r="E231" s="2" t="str">
        <x:f>IF(COUNTA('02_clients_raw'!A51:F51)&gt;0,"N/A","")</x:f>
      </x:c>
      <x:c r="F231" s="2" t="str">
        <x:f>IF(COUNTA('02_clients_raw'!A51:F51)&gt;0,IF(LEN('02_clients_raw'!C51&amp;"")=0,"SKIP",IF(OR(AND(LEN('02_clients_raw'!C51&amp;"")&lt;&gt;10,LEN('02_clients_raw'!C51&amp;"")&lt;&gt;12),NOT(AND(IF(1&gt;LEN('02_clients_raw'!C51&amp;""),TRUE,IFERROR(FIND(MID('02_clients_raw'!C51&amp;"",1,1),"x0123456789")&gt;=2,FALSE)),IF(2&gt;LEN('02_clients_raw'!C51&amp;""),TRUE,IFERROR(FIND(MID('02_clients_raw'!C51&amp;"",2,1),"x0123456789")&gt;=2,FALSE)),IF(3&gt;LEN('02_clients_raw'!C51&amp;""),TRUE,IFERROR(FIND(MID('02_clients_raw'!C51&amp;"",3,1),"x0123456789")&gt;=2,FALSE)),IF(4&gt;LEN('02_clients_raw'!C51&amp;""),TRUE,IFERROR(FIND(MID('02_clients_raw'!C51&amp;"",4,1),"x0123456789")&gt;=2,FALSE)),IF(5&gt;LEN('02_clients_raw'!C51&amp;""),TRUE,IFERROR(FIND(MID('02_clients_raw'!C51&amp;"",5,1),"x0123456789")&gt;=2,FALSE)),IF(6&gt;LEN('02_clients_raw'!C51&amp;""),TRUE,IFERROR(FIND(MID('02_clients_raw'!C51&amp;"",6,1),"x0123456789")&gt;=2,FALSE)),IF(7&gt;LEN('02_clients_raw'!C51&amp;""),TRUE,IFERROR(FIND(MID('02_clients_raw'!C51&amp;"",7,1),"x0123456789")&gt;=2,FALSE)),IF(8&gt;LEN('02_clients_raw'!C51&amp;""),TRUE,IFERROR(FIND(MID('02_clients_raw'!C51&amp;"",8,1),"x0123456789")&gt;=2,FALSE)),IF(9&gt;LEN('02_clients_raw'!C51&amp;""),TRUE,IFERROR(FIND(MID('02_clients_raw'!C51&amp;"",9,1),"x0123456789")&gt;=2,FALSE)),IF(10&gt;LEN('02_clients_raw'!C51&amp;""),TRUE,IFERROR(FIND(MID('02_clients_raw'!C51&amp;"",10,1),"x0123456789")&gt;=2,FALSE)),IF(11&gt;LEN('02_clients_raw'!C51&amp;""),TRUE,IFERROR(FIND(MID('02_clients_raw'!C51&amp;"",11,1),"x0123456789")&gt;=2,FALSE)),IF(12&gt;LEN('02_clients_raw'!C51&amp;""),TRUE,IFERROR(FIND(MID('02_clients_raw'!C51&amp;"",12,1),"x0123456789")&gt;=2,FALSE))))),"ERROR","OK")),"")</x:f>
      </x:c>
      <x:c r="G231" s="2" t="str">
        <x:f>IF(COUNTA('02_clients_raw'!A51:F51)&gt;0,"N/A","")</x:f>
      </x:c>
      <x:c r="H231" s="2" t="str">
        <x:f>IF(COUNTA('02_clients_raw'!A51:F51)&gt;0,IF(LEN('02_clients_raw'!E51&amp;"")=0,"SKIP",IF(OR(NOT(ISNUMBER('02_clients_raw'!E51)),'02_clients_raw'!E51&lt;=0,'02_clients_raw'!E51&gt;'09_parameters'!$B$2),"ERROR","OK")),"")</x:f>
      </x:c>
      <x:c r="I231" s="2" t="str">
        <x:f>IF(COUNTA('02_clients_raw'!A51:F51)&gt;0,"N/A","")</x:f>
      </x:c>
      <x:c r="J231" s="2" t="n">
        <x:f>COUNTIF(C231:I231,"ERROR")</x:f>
        <x:v>0</x:v>
      </x:c>
      <x:c r="K231" s="2" t="str">
        <x:f>IF(COUNTA('02_clients_raw'!A51:F51)&gt;0,51,"")</x:f>
      </x:c>
    </x:row>
    <x:row r="232">
      <x:c r="A232" s="2" t="str">
        <x:f>IF(COUNTA('02_clients_raw'!A52:F52)&gt;0,"Client","")</x:f>
      </x:c>
      <x:c r="B232" s="2" t="str">
        <x:f>IF(COUNTA('02_clients_raw'!A52:F52)&gt;0,'02_clients_raw'!A52,"")</x:f>
      </x:c>
      <x:c r="C232" s="2" t="str">
        <x:f>IF(COUNTA('02_clients_raw'!A52:F52)&gt;0,IF(AND(LEN('02_clients_raw'!A52&amp;"")&gt;0,COUNTIF('02_clients_raw'!$A$2:$A$67,'02_clients_raw'!A52)&gt;1),"ERROR","OK"),"")</x:f>
      </x:c>
      <x:c r="D232" s="2" t="str">
        <x:f>IF(COUNTA('02_clients_raw'!A52:F52)&gt;0,IF(OR(LEN('02_clients_raw'!A52&amp;"")=0,LEN('02_clients_raw'!B52&amp;"")=0,LEN('02_clients_raw'!C52&amp;"")=0,LEN('02_clients_raw'!D52&amp;"")=0,LEN('02_clients_raw'!E52&amp;"")=0,LEN('02_clients_raw'!F52&amp;"")=0),"ERROR","OK"),"")</x:f>
      </x:c>
      <x:c r="E232" s="2" t="str">
        <x:f>IF(COUNTA('02_clients_raw'!A52:F52)&gt;0,"N/A","")</x:f>
      </x:c>
      <x:c r="F232" s="2" t="str">
        <x:f>IF(COUNTA('02_clients_raw'!A52:F52)&gt;0,IF(LEN('02_clients_raw'!C52&amp;"")=0,"SKIP",IF(OR(AND(LEN('02_clients_raw'!C52&amp;"")&lt;&gt;10,LEN('02_clients_raw'!C52&amp;"")&lt;&gt;12),NOT(AND(IF(1&gt;LEN('02_clients_raw'!C52&amp;""),TRUE,IFERROR(FIND(MID('02_clients_raw'!C52&amp;"",1,1),"x0123456789")&gt;=2,FALSE)),IF(2&gt;LEN('02_clients_raw'!C52&amp;""),TRUE,IFERROR(FIND(MID('02_clients_raw'!C52&amp;"",2,1),"x0123456789")&gt;=2,FALSE)),IF(3&gt;LEN('02_clients_raw'!C52&amp;""),TRUE,IFERROR(FIND(MID('02_clients_raw'!C52&amp;"",3,1),"x0123456789")&gt;=2,FALSE)),IF(4&gt;LEN('02_clients_raw'!C52&amp;""),TRUE,IFERROR(FIND(MID('02_clients_raw'!C52&amp;"",4,1),"x0123456789")&gt;=2,FALSE)),IF(5&gt;LEN('02_clients_raw'!C52&amp;""),TRUE,IFERROR(FIND(MID('02_clients_raw'!C52&amp;"",5,1),"x0123456789")&gt;=2,FALSE)),IF(6&gt;LEN('02_clients_raw'!C52&amp;""),TRUE,IFERROR(FIND(MID('02_clients_raw'!C52&amp;"",6,1),"x0123456789")&gt;=2,FALSE)),IF(7&gt;LEN('02_clients_raw'!C52&amp;""),TRUE,IFERROR(FIND(MID('02_clients_raw'!C52&amp;"",7,1),"x0123456789")&gt;=2,FALSE)),IF(8&gt;LEN('02_clients_raw'!C52&amp;""),TRUE,IFERROR(FIND(MID('02_clients_raw'!C52&amp;"",8,1),"x0123456789")&gt;=2,FALSE)),IF(9&gt;LEN('02_clients_raw'!C52&amp;""),TRUE,IFERROR(FIND(MID('02_clients_raw'!C52&amp;"",9,1),"x0123456789")&gt;=2,FALSE)),IF(10&gt;LEN('02_clients_raw'!C52&amp;""),TRUE,IFERROR(FIND(MID('02_clients_raw'!C52&amp;"",10,1),"x0123456789")&gt;=2,FALSE)),IF(11&gt;LEN('02_clients_raw'!C52&amp;""),TRUE,IFERROR(FIND(MID('02_clients_raw'!C52&amp;"",11,1),"x0123456789")&gt;=2,FALSE)),IF(12&gt;LEN('02_clients_raw'!C52&amp;""),TRUE,IFERROR(FIND(MID('02_clients_raw'!C52&amp;"",12,1),"x0123456789")&gt;=2,FALSE))))),"ERROR","OK")),"")</x:f>
      </x:c>
      <x:c r="G232" s="2" t="str">
        <x:f>IF(COUNTA('02_clients_raw'!A52:F52)&gt;0,"N/A","")</x:f>
      </x:c>
      <x:c r="H232" s="2" t="str">
        <x:f>IF(COUNTA('02_clients_raw'!A52:F52)&gt;0,IF(LEN('02_clients_raw'!E52&amp;"")=0,"SKIP",IF(OR(NOT(ISNUMBER('02_clients_raw'!E52)),'02_clients_raw'!E52&lt;=0,'02_clients_raw'!E52&gt;'09_parameters'!$B$2),"ERROR","OK")),"")</x:f>
      </x:c>
      <x:c r="I232" s="2" t="str">
        <x:f>IF(COUNTA('02_clients_raw'!A52:F52)&gt;0,"N/A","")</x:f>
      </x:c>
      <x:c r="J232" s="2" t="n">
        <x:f>COUNTIF(C232:I232,"ERROR")</x:f>
        <x:v>0</x:v>
      </x:c>
      <x:c r="K232" s="2" t="str">
        <x:f>IF(COUNTA('02_clients_raw'!A52:F52)&gt;0,52,"")</x:f>
      </x:c>
    </x:row>
    <x:row r="233">
      <x:c r="A233" s="2" t="str">
        <x:f>IF(COUNTA('02_clients_raw'!A53:F53)&gt;0,"Client","")</x:f>
      </x:c>
      <x:c r="B233" s="2" t="str">
        <x:f>IF(COUNTA('02_clients_raw'!A53:F53)&gt;0,'02_clients_raw'!A53,"")</x:f>
      </x:c>
      <x:c r="C233" s="2" t="str">
        <x:f>IF(COUNTA('02_clients_raw'!A53:F53)&gt;0,IF(AND(LEN('02_clients_raw'!A53&amp;"")&gt;0,COUNTIF('02_clients_raw'!$A$2:$A$67,'02_clients_raw'!A53)&gt;1),"ERROR","OK"),"")</x:f>
      </x:c>
      <x:c r="D233" s="2" t="str">
        <x:f>IF(COUNTA('02_clients_raw'!A53:F53)&gt;0,IF(OR(LEN('02_clients_raw'!A53&amp;"")=0,LEN('02_clients_raw'!B53&amp;"")=0,LEN('02_clients_raw'!C53&amp;"")=0,LEN('02_clients_raw'!D53&amp;"")=0,LEN('02_clients_raw'!E53&amp;"")=0,LEN('02_clients_raw'!F53&amp;"")=0),"ERROR","OK"),"")</x:f>
      </x:c>
      <x:c r="E233" s="2" t="str">
        <x:f>IF(COUNTA('02_clients_raw'!A53:F53)&gt;0,"N/A","")</x:f>
      </x:c>
      <x:c r="F233" s="2" t="str">
        <x:f>IF(COUNTA('02_clients_raw'!A53:F53)&gt;0,IF(LEN('02_clients_raw'!C53&amp;"")=0,"SKIP",IF(OR(AND(LEN('02_clients_raw'!C53&amp;"")&lt;&gt;10,LEN('02_clients_raw'!C53&amp;"")&lt;&gt;12),NOT(AND(IF(1&gt;LEN('02_clients_raw'!C53&amp;""),TRUE,IFERROR(FIND(MID('02_clients_raw'!C53&amp;"",1,1),"x0123456789")&gt;=2,FALSE)),IF(2&gt;LEN('02_clients_raw'!C53&amp;""),TRUE,IFERROR(FIND(MID('02_clients_raw'!C53&amp;"",2,1),"x0123456789")&gt;=2,FALSE)),IF(3&gt;LEN('02_clients_raw'!C53&amp;""),TRUE,IFERROR(FIND(MID('02_clients_raw'!C53&amp;"",3,1),"x0123456789")&gt;=2,FALSE)),IF(4&gt;LEN('02_clients_raw'!C53&amp;""),TRUE,IFERROR(FIND(MID('02_clients_raw'!C53&amp;"",4,1),"x0123456789")&gt;=2,FALSE)),IF(5&gt;LEN('02_clients_raw'!C53&amp;""),TRUE,IFERROR(FIND(MID('02_clients_raw'!C53&amp;"",5,1),"x0123456789")&gt;=2,FALSE)),IF(6&gt;LEN('02_clients_raw'!C53&amp;""),TRUE,IFERROR(FIND(MID('02_clients_raw'!C53&amp;"",6,1),"x0123456789")&gt;=2,FALSE)),IF(7&gt;LEN('02_clients_raw'!C53&amp;""),TRUE,IFERROR(FIND(MID('02_clients_raw'!C53&amp;"",7,1),"x0123456789")&gt;=2,FALSE)),IF(8&gt;LEN('02_clients_raw'!C53&amp;""),TRUE,IFERROR(FIND(MID('02_clients_raw'!C53&amp;"",8,1),"x0123456789")&gt;=2,FALSE)),IF(9&gt;LEN('02_clients_raw'!C53&amp;""),TRUE,IFERROR(FIND(MID('02_clients_raw'!C53&amp;"",9,1),"x0123456789")&gt;=2,FALSE)),IF(10&gt;LEN('02_clients_raw'!C53&amp;""),TRUE,IFERROR(FIND(MID('02_clients_raw'!C53&amp;"",10,1),"x0123456789")&gt;=2,FALSE)),IF(11&gt;LEN('02_clients_raw'!C53&amp;""),TRUE,IFERROR(FIND(MID('02_clients_raw'!C53&amp;"",11,1),"x0123456789")&gt;=2,FALSE)),IF(12&gt;LEN('02_clients_raw'!C53&amp;""),TRUE,IFERROR(FIND(MID('02_clients_raw'!C53&amp;"",12,1),"x0123456789")&gt;=2,FALSE))))),"ERROR","OK")),"")</x:f>
      </x:c>
      <x:c r="G233" s="2" t="str">
        <x:f>IF(COUNTA('02_clients_raw'!A53:F53)&gt;0,"N/A","")</x:f>
      </x:c>
      <x:c r="H233" s="2" t="str">
        <x:f>IF(COUNTA('02_clients_raw'!A53:F53)&gt;0,IF(LEN('02_clients_raw'!E53&amp;"")=0,"SKIP",IF(OR(NOT(ISNUMBER('02_clients_raw'!E53)),'02_clients_raw'!E53&lt;=0,'02_clients_raw'!E53&gt;'09_parameters'!$B$2),"ERROR","OK")),"")</x:f>
      </x:c>
      <x:c r="I233" s="2" t="str">
        <x:f>IF(COUNTA('02_clients_raw'!A53:F53)&gt;0,"N/A","")</x:f>
      </x:c>
      <x:c r="J233" s="2" t="n">
        <x:f>COUNTIF(C233:I233,"ERROR")</x:f>
        <x:v>0</x:v>
      </x:c>
      <x:c r="K233" s="2" t="str">
        <x:f>IF(COUNTA('02_clients_raw'!A53:F53)&gt;0,53,"")</x:f>
      </x:c>
    </x:row>
    <x:row r="234">
      <x:c r="A234" s="2" t="str">
        <x:f>IF(COUNTA('02_clients_raw'!A54:F54)&gt;0,"Client","")</x:f>
      </x:c>
      <x:c r="B234" s="2" t="str">
        <x:f>IF(COUNTA('02_clients_raw'!A54:F54)&gt;0,'02_clients_raw'!A54,"")</x:f>
      </x:c>
      <x:c r="C234" s="2" t="str">
        <x:f>IF(COUNTA('02_clients_raw'!A54:F54)&gt;0,IF(AND(LEN('02_clients_raw'!A54&amp;"")&gt;0,COUNTIF('02_clients_raw'!$A$2:$A$67,'02_clients_raw'!A54)&gt;1),"ERROR","OK"),"")</x:f>
      </x:c>
      <x:c r="D234" s="2" t="str">
        <x:f>IF(COUNTA('02_clients_raw'!A54:F54)&gt;0,IF(OR(LEN('02_clients_raw'!A54&amp;"")=0,LEN('02_clients_raw'!B54&amp;"")=0,LEN('02_clients_raw'!C54&amp;"")=0,LEN('02_clients_raw'!D54&amp;"")=0,LEN('02_clients_raw'!E54&amp;"")=0,LEN('02_clients_raw'!F54&amp;"")=0),"ERROR","OK"),"")</x:f>
      </x:c>
      <x:c r="E234" s="2" t="str">
        <x:f>IF(COUNTA('02_clients_raw'!A54:F54)&gt;0,"N/A","")</x:f>
      </x:c>
      <x:c r="F234" s="2" t="str">
        <x:f>IF(COUNTA('02_clients_raw'!A54:F54)&gt;0,IF(LEN('02_clients_raw'!C54&amp;"")=0,"SKIP",IF(OR(AND(LEN('02_clients_raw'!C54&amp;"")&lt;&gt;10,LEN('02_clients_raw'!C54&amp;"")&lt;&gt;12),NOT(AND(IF(1&gt;LEN('02_clients_raw'!C54&amp;""),TRUE,IFERROR(FIND(MID('02_clients_raw'!C54&amp;"",1,1),"x0123456789")&gt;=2,FALSE)),IF(2&gt;LEN('02_clients_raw'!C54&amp;""),TRUE,IFERROR(FIND(MID('02_clients_raw'!C54&amp;"",2,1),"x0123456789")&gt;=2,FALSE)),IF(3&gt;LEN('02_clients_raw'!C54&amp;""),TRUE,IFERROR(FIND(MID('02_clients_raw'!C54&amp;"",3,1),"x0123456789")&gt;=2,FALSE)),IF(4&gt;LEN('02_clients_raw'!C54&amp;""),TRUE,IFERROR(FIND(MID('02_clients_raw'!C54&amp;"",4,1),"x0123456789")&gt;=2,FALSE)),IF(5&gt;LEN('02_clients_raw'!C54&amp;""),TRUE,IFERROR(FIND(MID('02_clients_raw'!C54&amp;"",5,1),"x0123456789")&gt;=2,FALSE)),IF(6&gt;LEN('02_clients_raw'!C54&amp;""),TRUE,IFERROR(FIND(MID('02_clients_raw'!C54&amp;"",6,1),"x0123456789")&gt;=2,FALSE)),IF(7&gt;LEN('02_clients_raw'!C54&amp;""),TRUE,IFERROR(FIND(MID('02_clients_raw'!C54&amp;"",7,1),"x0123456789")&gt;=2,FALSE)),IF(8&gt;LEN('02_clients_raw'!C54&amp;""),TRUE,IFERROR(FIND(MID('02_clients_raw'!C54&amp;"",8,1),"x0123456789")&gt;=2,FALSE)),IF(9&gt;LEN('02_clients_raw'!C54&amp;""),TRUE,IFERROR(FIND(MID('02_clients_raw'!C54&amp;"",9,1),"x0123456789")&gt;=2,FALSE)),IF(10&gt;LEN('02_clients_raw'!C54&amp;""),TRUE,IFERROR(FIND(MID('02_clients_raw'!C54&amp;"",10,1),"x0123456789")&gt;=2,FALSE)),IF(11&gt;LEN('02_clients_raw'!C54&amp;""),TRUE,IFERROR(FIND(MID('02_clients_raw'!C54&amp;"",11,1),"x0123456789")&gt;=2,FALSE)),IF(12&gt;LEN('02_clients_raw'!C54&amp;""),TRUE,IFERROR(FIND(MID('02_clients_raw'!C54&amp;"",12,1),"x0123456789")&gt;=2,FALSE))))),"ERROR","OK")),"")</x:f>
      </x:c>
      <x:c r="G234" s="2" t="str">
        <x:f>IF(COUNTA('02_clients_raw'!A54:F54)&gt;0,"N/A","")</x:f>
      </x:c>
      <x:c r="H234" s="2" t="str">
        <x:f>IF(COUNTA('02_clients_raw'!A54:F54)&gt;0,IF(LEN('02_clients_raw'!E54&amp;"")=0,"SKIP",IF(OR(NOT(ISNUMBER('02_clients_raw'!E54)),'02_clients_raw'!E54&lt;=0,'02_clients_raw'!E54&gt;'09_parameters'!$B$2),"ERROR","OK")),"")</x:f>
      </x:c>
      <x:c r="I234" s="2" t="str">
        <x:f>IF(COUNTA('02_clients_raw'!A54:F54)&gt;0,"N/A","")</x:f>
      </x:c>
      <x:c r="J234" s="2" t="n">
        <x:f>COUNTIF(C234:I234,"ERROR")</x:f>
        <x:v>0</x:v>
      </x:c>
      <x:c r="K234" s="2" t="str">
        <x:f>IF(COUNTA('02_clients_raw'!A54:F54)&gt;0,54,"")</x:f>
      </x:c>
    </x:row>
    <x:row r="235">
      <x:c r="A235" s="2" t="str">
        <x:f>IF(COUNTA('02_clients_raw'!A55:F55)&gt;0,"Client","")</x:f>
      </x:c>
      <x:c r="B235" s="2" t="str">
        <x:f>IF(COUNTA('02_clients_raw'!A55:F55)&gt;0,'02_clients_raw'!A55,"")</x:f>
      </x:c>
      <x:c r="C235" s="2" t="str">
        <x:f>IF(COUNTA('02_clients_raw'!A55:F55)&gt;0,IF(AND(LEN('02_clients_raw'!A55&amp;"")&gt;0,COUNTIF('02_clients_raw'!$A$2:$A$67,'02_clients_raw'!A55)&gt;1),"ERROR","OK"),"")</x:f>
      </x:c>
      <x:c r="D235" s="2" t="str">
        <x:f>IF(COUNTA('02_clients_raw'!A55:F55)&gt;0,IF(OR(LEN('02_clients_raw'!A55&amp;"")=0,LEN('02_clients_raw'!B55&amp;"")=0,LEN('02_clients_raw'!C55&amp;"")=0,LEN('02_clients_raw'!D55&amp;"")=0,LEN('02_clients_raw'!E55&amp;"")=0,LEN('02_clients_raw'!F55&amp;"")=0),"ERROR","OK"),"")</x:f>
      </x:c>
      <x:c r="E235" s="2" t="str">
        <x:f>IF(COUNTA('02_clients_raw'!A55:F55)&gt;0,"N/A","")</x:f>
      </x:c>
      <x:c r="F235" s="2" t="str">
        <x:f>IF(COUNTA('02_clients_raw'!A55:F55)&gt;0,IF(LEN('02_clients_raw'!C55&amp;"")=0,"SKIP",IF(OR(AND(LEN('02_clients_raw'!C55&amp;"")&lt;&gt;10,LEN('02_clients_raw'!C55&amp;"")&lt;&gt;12),NOT(AND(IF(1&gt;LEN('02_clients_raw'!C55&amp;""),TRUE,IFERROR(FIND(MID('02_clients_raw'!C55&amp;"",1,1),"x0123456789")&gt;=2,FALSE)),IF(2&gt;LEN('02_clients_raw'!C55&amp;""),TRUE,IFERROR(FIND(MID('02_clients_raw'!C55&amp;"",2,1),"x0123456789")&gt;=2,FALSE)),IF(3&gt;LEN('02_clients_raw'!C55&amp;""),TRUE,IFERROR(FIND(MID('02_clients_raw'!C55&amp;"",3,1),"x0123456789")&gt;=2,FALSE)),IF(4&gt;LEN('02_clients_raw'!C55&amp;""),TRUE,IFERROR(FIND(MID('02_clients_raw'!C55&amp;"",4,1),"x0123456789")&gt;=2,FALSE)),IF(5&gt;LEN('02_clients_raw'!C55&amp;""),TRUE,IFERROR(FIND(MID('02_clients_raw'!C55&amp;"",5,1),"x0123456789")&gt;=2,FALSE)),IF(6&gt;LEN('02_clients_raw'!C55&amp;""),TRUE,IFERROR(FIND(MID('02_clients_raw'!C55&amp;"",6,1),"x0123456789")&gt;=2,FALSE)),IF(7&gt;LEN('02_clients_raw'!C55&amp;""),TRUE,IFERROR(FIND(MID('02_clients_raw'!C55&amp;"",7,1),"x0123456789")&gt;=2,FALSE)),IF(8&gt;LEN('02_clients_raw'!C55&amp;""),TRUE,IFERROR(FIND(MID('02_clients_raw'!C55&amp;"",8,1),"x0123456789")&gt;=2,FALSE)),IF(9&gt;LEN('02_clients_raw'!C55&amp;""),TRUE,IFERROR(FIND(MID('02_clients_raw'!C55&amp;"",9,1),"x0123456789")&gt;=2,FALSE)),IF(10&gt;LEN('02_clients_raw'!C55&amp;""),TRUE,IFERROR(FIND(MID('02_clients_raw'!C55&amp;"",10,1),"x0123456789")&gt;=2,FALSE)),IF(11&gt;LEN('02_clients_raw'!C55&amp;""),TRUE,IFERROR(FIND(MID('02_clients_raw'!C55&amp;"",11,1),"x0123456789")&gt;=2,FALSE)),IF(12&gt;LEN('02_clients_raw'!C55&amp;""),TRUE,IFERROR(FIND(MID('02_clients_raw'!C55&amp;"",12,1),"x0123456789")&gt;=2,FALSE))))),"ERROR","OK")),"")</x:f>
      </x:c>
      <x:c r="G235" s="2" t="str">
        <x:f>IF(COUNTA('02_clients_raw'!A55:F55)&gt;0,"N/A","")</x:f>
      </x:c>
      <x:c r="H235" s="2" t="str">
        <x:f>IF(COUNTA('02_clients_raw'!A55:F55)&gt;0,IF(LEN('02_clients_raw'!E55&amp;"")=0,"SKIP",IF(OR(NOT(ISNUMBER('02_clients_raw'!E55)),'02_clients_raw'!E55&lt;=0,'02_clients_raw'!E55&gt;'09_parameters'!$B$2),"ERROR","OK")),"")</x:f>
      </x:c>
      <x:c r="I235" s="2" t="str">
        <x:f>IF(COUNTA('02_clients_raw'!A55:F55)&gt;0,"N/A","")</x:f>
      </x:c>
      <x:c r="J235" s="2" t="n">
        <x:f>COUNTIF(C235:I235,"ERROR")</x:f>
        <x:v>0</x:v>
      </x:c>
      <x:c r="K235" s="2" t="str">
        <x:f>IF(COUNTA('02_clients_raw'!A55:F55)&gt;0,55,"")</x:f>
      </x:c>
    </x:row>
    <x:row r="236">
      <x:c r="A236" s="2" t="str">
        <x:f>IF(COUNTA('02_clients_raw'!A56:F56)&gt;0,"Client","")</x:f>
      </x:c>
      <x:c r="B236" s="2" t="str">
        <x:f>IF(COUNTA('02_clients_raw'!A56:F56)&gt;0,'02_clients_raw'!A56,"")</x:f>
      </x:c>
      <x:c r="C236" s="2" t="str">
        <x:f>IF(COUNTA('02_clients_raw'!A56:F56)&gt;0,IF(AND(LEN('02_clients_raw'!A56&amp;"")&gt;0,COUNTIF('02_clients_raw'!$A$2:$A$67,'02_clients_raw'!A56)&gt;1),"ERROR","OK"),"")</x:f>
      </x:c>
      <x:c r="D236" s="2" t="str">
        <x:f>IF(COUNTA('02_clients_raw'!A56:F56)&gt;0,IF(OR(LEN('02_clients_raw'!A56&amp;"")=0,LEN('02_clients_raw'!B56&amp;"")=0,LEN('02_clients_raw'!C56&amp;"")=0,LEN('02_clients_raw'!D56&amp;"")=0,LEN('02_clients_raw'!E56&amp;"")=0,LEN('02_clients_raw'!F56&amp;"")=0),"ERROR","OK"),"")</x:f>
      </x:c>
      <x:c r="E236" s="2" t="str">
        <x:f>IF(COUNTA('02_clients_raw'!A56:F56)&gt;0,"N/A","")</x:f>
      </x:c>
      <x:c r="F236" s="2" t="str">
        <x:f>IF(COUNTA('02_clients_raw'!A56:F56)&gt;0,IF(LEN('02_clients_raw'!C56&amp;"")=0,"SKIP",IF(OR(AND(LEN('02_clients_raw'!C56&amp;"")&lt;&gt;10,LEN('02_clients_raw'!C56&amp;"")&lt;&gt;12),NOT(AND(IF(1&gt;LEN('02_clients_raw'!C56&amp;""),TRUE,IFERROR(FIND(MID('02_clients_raw'!C56&amp;"",1,1),"x0123456789")&gt;=2,FALSE)),IF(2&gt;LEN('02_clients_raw'!C56&amp;""),TRUE,IFERROR(FIND(MID('02_clients_raw'!C56&amp;"",2,1),"x0123456789")&gt;=2,FALSE)),IF(3&gt;LEN('02_clients_raw'!C56&amp;""),TRUE,IFERROR(FIND(MID('02_clients_raw'!C56&amp;"",3,1),"x0123456789")&gt;=2,FALSE)),IF(4&gt;LEN('02_clients_raw'!C56&amp;""),TRUE,IFERROR(FIND(MID('02_clients_raw'!C56&amp;"",4,1),"x0123456789")&gt;=2,FALSE)),IF(5&gt;LEN('02_clients_raw'!C56&amp;""),TRUE,IFERROR(FIND(MID('02_clients_raw'!C56&amp;"",5,1),"x0123456789")&gt;=2,FALSE)),IF(6&gt;LEN('02_clients_raw'!C56&amp;""),TRUE,IFERROR(FIND(MID('02_clients_raw'!C56&amp;"",6,1),"x0123456789")&gt;=2,FALSE)),IF(7&gt;LEN('02_clients_raw'!C56&amp;""),TRUE,IFERROR(FIND(MID('02_clients_raw'!C56&amp;"",7,1),"x0123456789")&gt;=2,FALSE)),IF(8&gt;LEN('02_clients_raw'!C56&amp;""),TRUE,IFERROR(FIND(MID('02_clients_raw'!C56&amp;"",8,1),"x0123456789")&gt;=2,FALSE)),IF(9&gt;LEN('02_clients_raw'!C56&amp;""),TRUE,IFERROR(FIND(MID('02_clients_raw'!C56&amp;"",9,1),"x0123456789")&gt;=2,FALSE)),IF(10&gt;LEN('02_clients_raw'!C56&amp;""),TRUE,IFERROR(FIND(MID('02_clients_raw'!C56&amp;"",10,1),"x0123456789")&gt;=2,FALSE)),IF(11&gt;LEN('02_clients_raw'!C56&amp;""),TRUE,IFERROR(FIND(MID('02_clients_raw'!C56&amp;"",11,1),"x0123456789")&gt;=2,FALSE)),IF(12&gt;LEN('02_clients_raw'!C56&amp;""),TRUE,IFERROR(FIND(MID('02_clients_raw'!C56&amp;"",12,1),"x0123456789")&gt;=2,FALSE))))),"ERROR","OK")),"")</x:f>
      </x:c>
      <x:c r="G236" s="2" t="str">
        <x:f>IF(COUNTA('02_clients_raw'!A56:F56)&gt;0,"N/A","")</x:f>
      </x:c>
      <x:c r="H236" s="2" t="str">
        <x:f>IF(COUNTA('02_clients_raw'!A56:F56)&gt;0,IF(LEN('02_clients_raw'!E56&amp;"")=0,"SKIP",IF(OR(NOT(ISNUMBER('02_clients_raw'!E56)),'02_clients_raw'!E56&lt;=0,'02_clients_raw'!E56&gt;'09_parameters'!$B$2),"ERROR","OK")),"")</x:f>
      </x:c>
      <x:c r="I236" s="2" t="str">
        <x:f>IF(COUNTA('02_clients_raw'!A56:F56)&gt;0,"N/A","")</x:f>
      </x:c>
      <x:c r="J236" s="2" t="n">
        <x:f>COUNTIF(C236:I236,"ERROR")</x:f>
        <x:v>0</x:v>
      </x:c>
      <x:c r="K236" s="2" t="str">
        <x:f>IF(COUNTA('02_clients_raw'!A56:F56)&gt;0,56,"")</x:f>
      </x:c>
    </x:row>
    <x:row r="237">
      <x:c r="A237" s="2" t="str">
        <x:f>IF(COUNTA('02_clients_raw'!A57:F57)&gt;0,"Client","")</x:f>
      </x:c>
      <x:c r="B237" s="2" t="str">
        <x:f>IF(COUNTA('02_clients_raw'!A57:F57)&gt;0,'02_clients_raw'!A57,"")</x:f>
      </x:c>
      <x:c r="C237" s="2" t="str">
        <x:f>IF(COUNTA('02_clients_raw'!A57:F57)&gt;0,IF(AND(LEN('02_clients_raw'!A57&amp;"")&gt;0,COUNTIF('02_clients_raw'!$A$2:$A$67,'02_clients_raw'!A57)&gt;1),"ERROR","OK"),"")</x:f>
      </x:c>
      <x:c r="D237" s="2" t="str">
        <x:f>IF(COUNTA('02_clients_raw'!A57:F57)&gt;0,IF(OR(LEN('02_clients_raw'!A57&amp;"")=0,LEN('02_clients_raw'!B57&amp;"")=0,LEN('02_clients_raw'!C57&amp;"")=0,LEN('02_clients_raw'!D57&amp;"")=0,LEN('02_clients_raw'!E57&amp;"")=0,LEN('02_clients_raw'!F57&amp;"")=0),"ERROR","OK"),"")</x:f>
      </x:c>
      <x:c r="E237" s="2" t="str">
        <x:f>IF(COUNTA('02_clients_raw'!A57:F57)&gt;0,"N/A","")</x:f>
      </x:c>
      <x:c r="F237" s="2" t="str">
        <x:f>IF(COUNTA('02_clients_raw'!A57:F57)&gt;0,IF(LEN('02_clients_raw'!C57&amp;"")=0,"SKIP",IF(OR(AND(LEN('02_clients_raw'!C57&amp;"")&lt;&gt;10,LEN('02_clients_raw'!C57&amp;"")&lt;&gt;12),NOT(AND(IF(1&gt;LEN('02_clients_raw'!C57&amp;""),TRUE,IFERROR(FIND(MID('02_clients_raw'!C57&amp;"",1,1),"x0123456789")&gt;=2,FALSE)),IF(2&gt;LEN('02_clients_raw'!C57&amp;""),TRUE,IFERROR(FIND(MID('02_clients_raw'!C57&amp;"",2,1),"x0123456789")&gt;=2,FALSE)),IF(3&gt;LEN('02_clients_raw'!C57&amp;""),TRUE,IFERROR(FIND(MID('02_clients_raw'!C57&amp;"",3,1),"x0123456789")&gt;=2,FALSE)),IF(4&gt;LEN('02_clients_raw'!C57&amp;""),TRUE,IFERROR(FIND(MID('02_clients_raw'!C57&amp;"",4,1),"x0123456789")&gt;=2,FALSE)),IF(5&gt;LEN('02_clients_raw'!C57&amp;""),TRUE,IFERROR(FIND(MID('02_clients_raw'!C57&amp;"",5,1),"x0123456789")&gt;=2,FALSE)),IF(6&gt;LEN('02_clients_raw'!C57&amp;""),TRUE,IFERROR(FIND(MID('02_clients_raw'!C57&amp;"",6,1),"x0123456789")&gt;=2,FALSE)),IF(7&gt;LEN('02_clients_raw'!C57&amp;""),TRUE,IFERROR(FIND(MID('02_clients_raw'!C57&amp;"",7,1),"x0123456789")&gt;=2,FALSE)),IF(8&gt;LEN('02_clients_raw'!C57&amp;""),TRUE,IFERROR(FIND(MID('02_clients_raw'!C57&amp;"",8,1),"x0123456789")&gt;=2,FALSE)),IF(9&gt;LEN('02_clients_raw'!C57&amp;""),TRUE,IFERROR(FIND(MID('02_clients_raw'!C57&amp;"",9,1),"x0123456789")&gt;=2,FALSE)),IF(10&gt;LEN('02_clients_raw'!C57&amp;""),TRUE,IFERROR(FIND(MID('02_clients_raw'!C57&amp;"",10,1),"x0123456789")&gt;=2,FALSE)),IF(11&gt;LEN('02_clients_raw'!C57&amp;""),TRUE,IFERROR(FIND(MID('02_clients_raw'!C57&amp;"",11,1),"x0123456789")&gt;=2,FALSE)),IF(12&gt;LEN('02_clients_raw'!C57&amp;""),TRUE,IFERROR(FIND(MID('02_clients_raw'!C57&amp;"",12,1),"x0123456789")&gt;=2,FALSE))))),"ERROR","OK")),"")</x:f>
      </x:c>
      <x:c r="G237" s="2" t="str">
        <x:f>IF(COUNTA('02_clients_raw'!A57:F57)&gt;0,"N/A","")</x:f>
      </x:c>
      <x:c r="H237" s="2" t="str">
        <x:f>IF(COUNTA('02_clients_raw'!A57:F57)&gt;0,IF(LEN('02_clients_raw'!E57&amp;"")=0,"SKIP",IF(OR(NOT(ISNUMBER('02_clients_raw'!E57)),'02_clients_raw'!E57&lt;=0,'02_clients_raw'!E57&gt;'09_parameters'!$B$2),"ERROR","OK")),"")</x:f>
      </x:c>
      <x:c r="I237" s="2" t="str">
        <x:f>IF(COUNTA('02_clients_raw'!A57:F57)&gt;0,"N/A","")</x:f>
      </x:c>
      <x:c r="J237" s="2" t="n">
        <x:f>COUNTIF(C237:I237,"ERROR")</x:f>
        <x:v>0</x:v>
      </x:c>
      <x:c r="K237" s="2" t="str">
        <x:f>IF(COUNTA('02_clients_raw'!A57:F57)&gt;0,57,"")</x:f>
      </x:c>
    </x:row>
    <x:row r="238">
      <x:c r="A238" s="2" t="str">
        <x:f>IF(COUNTA('02_clients_raw'!A58:F58)&gt;0,"Client","")</x:f>
      </x:c>
      <x:c r="B238" s="2" t="str">
        <x:f>IF(COUNTA('02_clients_raw'!A58:F58)&gt;0,'02_clients_raw'!A58,"")</x:f>
      </x:c>
      <x:c r="C238" s="2" t="str">
        <x:f>IF(COUNTA('02_clients_raw'!A58:F58)&gt;0,IF(AND(LEN('02_clients_raw'!A58&amp;"")&gt;0,COUNTIF('02_clients_raw'!$A$2:$A$67,'02_clients_raw'!A58)&gt;1),"ERROR","OK"),"")</x:f>
      </x:c>
      <x:c r="D238" s="2" t="str">
        <x:f>IF(COUNTA('02_clients_raw'!A58:F58)&gt;0,IF(OR(LEN('02_clients_raw'!A58&amp;"")=0,LEN('02_clients_raw'!B58&amp;"")=0,LEN('02_clients_raw'!C58&amp;"")=0,LEN('02_clients_raw'!D58&amp;"")=0,LEN('02_clients_raw'!E58&amp;"")=0,LEN('02_clients_raw'!F58&amp;"")=0),"ERROR","OK"),"")</x:f>
      </x:c>
      <x:c r="E238" s="2" t="str">
        <x:f>IF(COUNTA('02_clients_raw'!A58:F58)&gt;0,"N/A","")</x:f>
      </x:c>
      <x:c r="F238" s="2" t="str">
        <x:f>IF(COUNTA('02_clients_raw'!A58:F58)&gt;0,IF(LEN('02_clients_raw'!C58&amp;"")=0,"SKIP",IF(OR(AND(LEN('02_clients_raw'!C58&amp;"")&lt;&gt;10,LEN('02_clients_raw'!C58&amp;"")&lt;&gt;12),NOT(AND(IF(1&gt;LEN('02_clients_raw'!C58&amp;""),TRUE,IFERROR(FIND(MID('02_clients_raw'!C58&amp;"",1,1),"x0123456789")&gt;=2,FALSE)),IF(2&gt;LEN('02_clients_raw'!C58&amp;""),TRUE,IFERROR(FIND(MID('02_clients_raw'!C58&amp;"",2,1),"x0123456789")&gt;=2,FALSE)),IF(3&gt;LEN('02_clients_raw'!C58&amp;""),TRUE,IFERROR(FIND(MID('02_clients_raw'!C58&amp;"",3,1),"x0123456789")&gt;=2,FALSE)),IF(4&gt;LEN('02_clients_raw'!C58&amp;""),TRUE,IFERROR(FIND(MID('02_clients_raw'!C58&amp;"",4,1),"x0123456789")&gt;=2,FALSE)),IF(5&gt;LEN('02_clients_raw'!C58&amp;""),TRUE,IFERROR(FIND(MID('02_clients_raw'!C58&amp;"",5,1),"x0123456789")&gt;=2,FALSE)),IF(6&gt;LEN('02_clients_raw'!C58&amp;""),TRUE,IFERROR(FIND(MID('02_clients_raw'!C58&amp;"",6,1),"x0123456789")&gt;=2,FALSE)),IF(7&gt;LEN('02_clients_raw'!C58&amp;""),TRUE,IFERROR(FIND(MID('02_clients_raw'!C58&amp;"",7,1),"x0123456789")&gt;=2,FALSE)),IF(8&gt;LEN('02_clients_raw'!C58&amp;""),TRUE,IFERROR(FIND(MID('02_clients_raw'!C58&amp;"",8,1),"x0123456789")&gt;=2,FALSE)),IF(9&gt;LEN('02_clients_raw'!C58&amp;""),TRUE,IFERROR(FIND(MID('02_clients_raw'!C58&amp;"",9,1),"x0123456789")&gt;=2,FALSE)),IF(10&gt;LEN('02_clients_raw'!C58&amp;""),TRUE,IFERROR(FIND(MID('02_clients_raw'!C58&amp;"",10,1),"x0123456789")&gt;=2,FALSE)),IF(11&gt;LEN('02_clients_raw'!C58&amp;""),TRUE,IFERROR(FIND(MID('02_clients_raw'!C58&amp;"",11,1),"x0123456789")&gt;=2,FALSE)),IF(12&gt;LEN('02_clients_raw'!C58&amp;""),TRUE,IFERROR(FIND(MID('02_clients_raw'!C58&amp;"",12,1),"x0123456789")&gt;=2,FALSE))))),"ERROR","OK")),"")</x:f>
      </x:c>
      <x:c r="G238" s="2" t="str">
        <x:f>IF(COUNTA('02_clients_raw'!A58:F58)&gt;0,"N/A","")</x:f>
      </x:c>
      <x:c r="H238" s="2" t="str">
        <x:f>IF(COUNTA('02_clients_raw'!A58:F58)&gt;0,IF(LEN('02_clients_raw'!E58&amp;"")=0,"SKIP",IF(OR(NOT(ISNUMBER('02_clients_raw'!E58)),'02_clients_raw'!E58&lt;=0,'02_clients_raw'!E58&gt;'09_parameters'!$B$2),"ERROR","OK")),"")</x:f>
      </x:c>
      <x:c r="I238" s="2" t="str">
        <x:f>IF(COUNTA('02_clients_raw'!A58:F58)&gt;0,"N/A","")</x:f>
      </x:c>
      <x:c r="J238" s="2" t="n">
        <x:f>COUNTIF(C238:I238,"ERROR")</x:f>
        <x:v>0</x:v>
      </x:c>
      <x:c r="K238" s="2" t="str">
        <x:f>IF(COUNTA('02_clients_raw'!A58:F58)&gt;0,58,"")</x:f>
      </x:c>
    </x:row>
    <x:row r="239">
      <x:c r="A239" s="2" t="str">
        <x:f>IF(COUNTA('02_clients_raw'!A59:F59)&gt;0,"Client","")</x:f>
      </x:c>
      <x:c r="B239" s="2" t="str">
        <x:f>IF(COUNTA('02_clients_raw'!A59:F59)&gt;0,'02_clients_raw'!A59,"")</x:f>
      </x:c>
      <x:c r="C239" s="2" t="str">
        <x:f>IF(COUNTA('02_clients_raw'!A59:F59)&gt;0,IF(AND(LEN('02_clients_raw'!A59&amp;"")&gt;0,COUNTIF('02_clients_raw'!$A$2:$A$67,'02_clients_raw'!A59)&gt;1),"ERROR","OK"),"")</x:f>
      </x:c>
      <x:c r="D239" s="2" t="str">
        <x:f>IF(COUNTA('02_clients_raw'!A59:F59)&gt;0,IF(OR(LEN('02_clients_raw'!A59&amp;"")=0,LEN('02_clients_raw'!B59&amp;"")=0,LEN('02_clients_raw'!C59&amp;"")=0,LEN('02_clients_raw'!D59&amp;"")=0,LEN('02_clients_raw'!E59&amp;"")=0,LEN('02_clients_raw'!F59&amp;"")=0),"ERROR","OK"),"")</x:f>
      </x:c>
      <x:c r="E239" s="2" t="str">
        <x:f>IF(COUNTA('02_clients_raw'!A59:F59)&gt;0,"N/A","")</x:f>
      </x:c>
      <x:c r="F239" s="2" t="str">
        <x:f>IF(COUNTA('02_clients_raw'!A59:F59)&gt;0,IF(LEN('02_clients_raw'!C59&amp;"")=0,"SKIP",IF(OR(AND(LEN('02_clients_raw'!C59&amp;"")&lt;&gt;10,LEN('02_clients_raw'!C59&amp;"")&lt;&gt;12),NOT(AND(IF(1&gt;LEN('02_clients_raw'!C59&amp;""),TRUE,IFERROR(FIND(MID('02_clients_raw'!C59&amp;"",1,1),"x0123456789")&gt;=2,FALSE)),IF(2&gt;LEN('02_clients_raw'!C59&amp;""),TRUE,IFERROR(FIND(MID('02_clients_raw'!C59&amp;"",2,1),"x0123456789")&gt;=2,FALSE)),IF(3&gt;LEN('02_clients_raw'!C59&amp;""),TRUE,IFERROR(FIND(MID('02_clients_raw'!C59&amp;"",3,1),"x0123456789")&gt;=2,FALSE)),IF(4&gt;LEN('02_clients_raw'!C59&amp;""),TRUE,IFERROR(FIND(MID('02_clients_raw'!C59&amp;"",4,1),"x0123456789")&gt;=2,FALSE)),IF(5&gt;LEN('02_clients_raw'!C59&amp;""),TRUE,IFERROR(FIND(MID('02_clients_raw'!C59&amp;"",5,1),"x0123456789")&gt;=2,FALSE)),IF(6&gt;LEN('02_clients_raw'!C59&amp;""),TRUE,IFERROR(FIND(MID('02_clients_raw'!C59&amp;"",6,1),"x0123456789")&gt;=2,FALSE)),IF(7&gt;LEN('02_clients_raw'!C59&amp;""),TRUE,IFERROR(FIND(MID('02_clients_raw'!C59&amp;"",7,1),"x0123456789")&gt;=2,FALSE)),IF(8&gt;LEN('02_clients_raw'!C59&amp;""),TRUE,IFERROR(FIND(MID('02_clients_raw'!C59&amp;"",8,1),"x0123456789")&gt;=2,FALSE)),IF(9&gt;LEN('02_clients_raw'!C59&amp;""),TRUE,IFERROR(FIND(MID('02_clients_raw'!C59&amp;"",9,1),"x0123456789")&gt;=2,FALSE)),IF(10&gt;LEN('02_clients_raw'!C59&amp;""),TRUE,IFERROR(FIND(MID('02_clients_raw'!C59&amp;"",10,1),"x0123456789")&gt;=2,FALSE)),IF(11&gt;LEN('02_clients_raw'!C59&amp;""),TRUE,IFERROR(FIND(MID('02_clients_raw'!C59&amp;"",11,1),"x0123456789")&gt;=2,FALSE)),IF(12&gt;LEN('02_clients_raw'!C59&amp;""),TRUE,IFERROR(FIND(MID('02_clients_raw'!C59&amp;"",12,1),"x0123456789")&gt;=2,FALSE))))),"ERROR","OK")),"")</x:f>
      </x:c>
      <x:c r="G239" s="2" t="str">
        <x:f>IF(COUNTA('02_clients_raw'!A59:F59)&gt;0,"N/A","")</x:f>
      </x:c>
      <x:c r="H239" s="2" t="str">
        <x:f>IF(COUNTA('02_clients_raw'!A59:F59)&gt;0,IF(LEN('02_clients_raw'!E59&amp;"")=0,"SKIP",IF(OR(NOT(ISNUMBER('02_clients_raw'!E59)),'02_clients_raw'!E59&lt;=0,'02_clients_raw'!E59&gt;'09_parameters'!$B$2),"ERROR","OK")),"")</x:f>
      </x:c>
      <x:c r="I239" s="2" t="str">
        <x:f>IF(COUNTA('02_clients_raw'!A59:F59)&gt;0,"N/A","")</x:f>
      </x:c>
      <x:c r="J239" s="2" t="n">
        <x:f>COUNTIF(C239:I239,"ERROR")</x:f>
        <x:v>0</x:v>
      </x:c>
      <x:c r="K239" s="2" t="str">
        <x:f>IF(COUNTA('02_clients_raw'!A59:F59)&gt;0,59,"")</x:f>
      </x:c>
    </x:row>
    <x:row r="240">
      <x:c r="A240" s="2" t="str">
        <x:f>IF(COUNTA('02_clients_raw'!A60:F60)&gt;0,"Client","")</x:f>
      </x:c>
      <x:c r="B240" s="2" t="str">
        <x:f>IF(COUNTA('02_clients_raw'!A60:F60)&gt;0,'02_clients_raw'!A60,"")</x:f>
      </x:c>
      <x:c r="C240" s="2" t="str">
        <x:f>IF(COUNTA('02_clients_raw'!A60:F60)&gt;0,IF(AND(LEN('02_clients_raw'!A60&amp;"")&gt;0,COUNTIF('02_clients_raw'!$A$2:$A$67,'02_clients_raw'!A60)&gt;1),"ERROR","OK"),"")</x:f>
      </x:c>
      <x:c r="D240" s="2" t="str">
        <x:f>IF(COUNTA('02_clients_raw'!A60:F60)&gt;0,IF(OR(LEN('02_clients_raw'!A60&amp;"")=0,LEN('02_clients_raw'!B60&amp;"")=0,LEN('02_clients_raw'!C60&amp;"")=0,LEN('02_clients_raw'!D60&amp;"")=0,LEN('02_clients_raw'!E60&amp;"")=0,LEN('02_clients_raw'!F60&amp;"")=0),"ERROR","OK"),"")</x:f>
      </x:c>
      <x:c r="E240" s="2" t="str">
        <x:f>IF(COUNTA('02_clients_raw'!A60:F60)&gt;0,"N/A","")</x:f>
      </x:c>
      <x:c r="F240" s="2" t="str">
        <x:f>IF(COUNTA('02_clients_raw'!A60:F60)&gt;0,IF(LEN('02_clients_raw'!C60&amp;"")=0,"SKIP",IF(OR(AND(LEN('02_clients_raw'!C60&amp;"")&lt;&gt;10,LEN('02_clients_raw'!C60&amp;"")&lt;&gt;12),NOT(AND(IF(1&gt;LEN('02_clients_raw'!C60&amp;""),TRUE,IFERROR(FIND(MID('02_clients_raw'!C60&amp;"",1,1),"x0123456789")&gt;=2,FALSE)),IF(2&gt;LEN('02_clients_raw'!C60&amp;""),TRUE,IFERROR(FIND(MID('02_clients_raw'!C60&amp;"",2,1),"x0123456789")&gt;=2,FALSE)),IF(3&gt;LEN('02_clients_raw'!C60&amp;""),TRUE,IFERROR(FIND(MID('02_clients_raw'!C60&amp;"",3,1),"x0123456789")&gt;=2,FALSE)),IF(4&gt;LEN('02_clients_raw'!C60&amp;""),TRUE,IFERROR(FIND(MID('02_clients_raw'!C60&amp;"",4,1),"x0123456789")&gt;=2,FALSE)),IF(5&gt;LEN('02_clients_raw'!C60&amp;""),TRUE,IFERROR(FIND(MID('02_clients_raw'!C60&amp;"",5,1),"x0123456789")&gt;=2,FALSE)),IF(6&gt;LEN('02_clients_raw'!C60&amp;""),TRUE,IFERROR(FIND(MID('02_clients_raw'!C60&amp;"",6,1),"x0123456789")&gt;=2,FALSE)),IF(7&gt;LEN('02_clients_raw'!C60&amp;""),TRUE,IFERROR(FIND(MID('02_clients_raw'!C60&amp;"",7,1),"x0123456789")&gt;=2,FALSE)),IF(8&gt;LEN('02_clients_raw'!C60&amp;""),TRUE,IFERROR(FIND(MID('02_clients_raw'!C60&amp;"",8,1),"x0123456789")&gt;=2,FALSE)),IF(9&gt;LEN('02_clients_raw'!C60&amp;""),TRUE,IFERROR(FIND(MID('02_clients_raw'!C60&amp;"",9,1),"x0123456789")&gt;=2,FALSE)),IF(10&gt;LEN('02_clients_raw'!C60&amp;""),TRUE,IFERROR(FIND(MID('02_clients_raw'!C60&amp;"",10,1),"x0123456789")&gt;=2,FALSE)),IF(11&gt;LEN('02_clients_raw'!C60&amp;""),TRUE,IFERROR(FIND(MID('02_clients_raw'!C60&amp;"",11,1),"x0123456789")&gt;=2,FALSE)),IF(12&gt;LEN('02_clients_raw'!C60&amp;""),TRUE,IFERROR(FIND(MID('02_clients_raw'!C60&amp;"",12,1),"x0123456789")&gt;=2,FALSE))))),"ERROR","OK")),"")</x:f>
      </x:c>
      <x:c r="G240" s="2" t="str">
        <x:f>IF(COUNTA('02_clients_raw'!A60:F60)&gt;0,"N/A","")</x:f>
      </x:c>
      <x:c r="H240" s="2" t="str">
        <x:f>IF(COUNTA('02_clients_raw'!A60:F60)&gt;0,IF(LEN('02_clients_raw'!E60&amp;"")=0,"SKIP",IF(OR(NOT(ISNUMBER('02_clients_raw'!E60)),'02_clients_raw'!E60&lt;=0,'02_clients_raw'!E60&gt;'09_parameters'!$B$2),"ERROR","OK")),"")</x:f>
      </x:c>
      <x:c r="I240" s="2" t="str">
        <x:f>IF(COUNTA('02_clients_raw'!A60:F60)&gt;0,"N/A","")</x:f>
      </x:c>
      <x:c r="J240" s="2" t="n">
        <x:f>COUNTIF(C240:I240,"ERROR")</x:f>
        <x:v>0</x:v>
      </x:c>
      <x:c r="K240" s="2" t="str">
        <x:f>IF(COUNTA('02_clients_raw'!A60:F60)&gt;0,60,"")</x:f>
      </x:c>
    </x:row>
    <x:row r="241">
      <x:c r="A241" s="2" t="str">
        <x:f>IF(COUNTA('02_clients_raw'!A61:F61)&gt;0,"Client","")</x:f>
      </x:c>
      <x:c r="B241" s="2" t="str">
        <x:f>IF(COUNTA('02_clients_raw'!A61:F61)&gt;0,'02_clients_raw'!A61,"")</x:f>
      </x:c>
      <x:c r="C241" s="2" t="str">
        <x:f>IF(COUNTA('02_clients_raw'!A61:F61)&gt;0,IF(AND(LEN('02_clients_raw'!A61&amp;"")&gt;0,COUNTIF('02_clients_raw'!$A$2:$A$67,'02_clients_raw'!A61)&gt;1),"ERROR","OK"),"")</x:f>
      </x:c>
      <x:c r="D241" s="2" t="str">
        <x:f>IF(COUNTA('02_clients_raw'!A61:F61)&gt;0,IF(OR(LEN('02_clients_raw'!A61&amp;"")=0,LEN('02_clients_raw'!B61&amp;"")=0,LEN('02_clients_raw'!C61&amp;"")=0,LEN('02_clients_raw'!D61&amp;"")=0,LEN('02_clients_raw'!E61&amp;"")=0,LEN('02_clients_raw'!F61&amp;"")=0),"ERROR","OK"),"")</x:f>
      </x:c>
      <x:c r="E241" s="2" t="str">
        <x:f>IF(COUNTA('02_clients_raw'!A61:F61)&gt;0,"N/A","")</x:f>
      </x:c>
      <x:c r="F241" s="2" t="str">
        <x:f>IF(COUNTA('02_clients_raw'!A61:F61)&gt;0,IF(LEN('02_clients_raw'!C61&amp;"")=0,"SKIP",IF(OR(AND(LEN('02_clients_raw'!C61&amp;"")&lt;&gt;10,LEN('02_clients_raw'!C61&amp;"")&lt;&gt;12),NOT(AND(IF(1&gt;LEN('02_clients_raw'!C61&amp;""),TRUE,IFERROR(FIND(MID('02_clients_raw'!C61&amp;"",1,1),"x0123456789")&gt;=2,FALSE)),IF(2&gt;LEN('02_clients_raw'!C61&amp;""),TRUE,IFERROR(FIND(MID('02_clients_raw'!C61&amp;"",2,1),"x0123456789")&gt;=2,FALSE)),IF(3&gt;LEN('02_clients_raw'!C61&amp;""),TRUE,IFERROR(FIND(MID('02_clients_raw'!C61&amp;"",3,1),"x0123456789")&gt;=2,FALSE)),IF(4&gt;LEN('02_clients_raw'!C61&amp;""),TRUE,IFERROR(FIND(MID('02_clients_raw'!C61&amp;"",4,1),"x0123456789")&gt;=2,FALSE)),IF(5&gt;LEN('02_clients_raw'!C61&amp;""),TRUE,IFERROR(FIND(MID('02_clients_raw'!C61&amp;"",5,1),"x0123456789")&gt;=2,FALSE)),IF(6&gt;LEN('02_clients_raw'!C61&amp;""),TRUE,IFERROR(FIND(MID('02_clients_raw'!C61&amp;"",6,1),"x0123456789")&gt;=2,FALSE)),IF(7&gt;LEN('02_clients_raw'!C61&amp;""),TRUE,IFERROR(FIND(MID('02_clients_raw'!C61&amp;"",7,1),"x0123456789")&gt;=2,FALSE)),IF(8&gt;LEN('02_clients_raw'!C61&amp;""),TRUE,IFERROR(FIND(MID('02_clients_raw'!C61&amp;"",8,1),"x0123456789")&gt;=2,FALSE)),IF(9&gt;LEN('02_clients_raw'!C61&amp;""),TRUE,IFERROR(FIND(MID('02_clients_raw'!C61&amp;"",9,1),"x0123456789")&gt;=2,FALSE)),IF(10&gt;LEN('02_clients_raw'!C61&amp;""),TRUE,IFERROR(FIND(MID('02_clients_raw'!C61&amp;"",10,1),"x0123456789")&gt;=2,FALSE)),IF(11&gt;LEN('02_clients_raw'!C61&amp;""),TRUE,IFERROR(FIND(MID('02_clients_raw'!C61&amp;"",11,1),"x0123456789")&gt;=2,FALSE)),IF(12&gt;LEN('02_clients_raw'!C61&amp;""),TRUE,IFERROR(FIND(MID('02_clients_raw'!C61&amp;"",12,1),"x0123456789")&gt;=2,FALSE))))),"ERROR","OK")),"")</x:f>
      </x:c>
      <x:c r="G241" s="2" t="str">
        <x:f>IF(COUNTA('02_clients_raw'!A61:F61)&gt;0,"N/A","")</x:f>
      </x:c>
      <x:c r="H241" s="2" t="str">
        <x:f>IF(COUNTA('02_clients_raw'!A61:F61)&gt;0,IF(LEN('02_clients_raw'!E61&amp;"")=0,"SKIP",IF(OR(NOT(ISNUMBER('02_clients_raw'!E61)),'02_clients_raw'!E61&lt;=0,'02_clients_raw'!E61&gt;'09_parameters'!$B$2),"ERROR","OK")),"")</x:f>
      </x:c>
      <x:c r="I241" s="2" t="str">
        <x:f>IF(COUNTA('02_clients_raw'!A61:F61)&gt;0,"N/A","")</x:f>
      </x:c>
      <x:c r="J241" s="2" t="n">
        <x:f>COUNTIF(C241:I241,"ERROR")</x:f>
        <x:v>0</x:v>
      </x:c>
      <x:c r="K241" s="2" t="str">
        <x:f>IF(COUNTA('02_clients_raw'!A61:F61)&gt;0,61,"")</x:f>
      </x:c>
    </x:row>
    <x:row r="242">
      <x:c r="A242" s="2" t="str">
        <x:f>IF(COUNTA('02_clients_raw'!A62:F62)&gt;0,"Client","")</x:f>
      </x:c>
      <x:c r="B242" s="2" t="str">
        <x:f>IF(COUNTA('02_clients_raw'!A62:F62)&gt;0,'02_clients_raw'!A62,"")</x:f>
      </x:c>
      <x:c r="C242" s="2" t="str">
        <x:f>IF(COUNTA('02_clients_raw'!A62:F62)&gt;0,IF(AND(LEN('02_clients_raw'!A62&amp;"")&gt;0,COUNTIF('02_clients_raw'!$A$2:$A$67,'02_clients_raw'!A62)&gt;1),"ERROR","OK"),"")</x:f>
      </x:c>
      <x:c r="D242" s="2" t="str">
        <x:f>IF(COUNTA('02_clients_raw'!A62:F62)&gt;0,IF(OR(LEN('02_clients_raw'!A62&amp;"")=0,LEN('02_clients_raw'!B62&amp;"")=0,LEN('02_clients_raw'!C62&amp;"")=0,LEN('02_clients_raw'!D62&amp;"")=0,LEN('02_clients_raw'!E62&amp;"")=0,LEN('02_clients_raw'!F62&amp;"")=0),"ERROR","OK"),"")</x:f>
      </x:c>
      <x:c r="E242" s="2" t="str">
        <x:f>IF(COUNTA('02_clients_raw'!A62:F62)&gt;0,"N/A","")</x:f>
      </x:c>
      <x:c r="F242" s="2" t="str">
        <x:f>IF(COUNTA('02_clients_raw'!A62:F62)&gt;0,IF(LEN('02_clients_raw'!C62&amp;"")=0,"SKIP",IF(OR(AND(LEN('02_clients_raw'!C62&amp;"")&lt;&gt;10,LEN('02_clients_raw'!C62&amp;"")&lt;&gt;12),NOT(AND(IF(1&gt;LEN('02_clients_raw'!C62&amp;""),TRUE,IFERROR(FIND(MID('02_clients_raw'!C62&amp;"",1,1),"x0123456789")&gt;=2,FALSE)),IF(2&gt;LEN('02_clients_raw'!C62&amp;""),TRUE,IFERROR(FIND(MID('02_clients_raw'!C62&amp;"",2,1),"x0123456789")&gt;=2,FALSE)),IF(3&gt;LEN('02_clients_raw'!C62&amp;""),TRUE,IFERROR(FIND(MID('02_clients_raw'!C62&amp;"",3,1),"x0123456789")&gt;=2,FALSE)),IF(4&gt;LEN('02_clients_raw'!C62&amp;""),TRUE,IFERROR(FIND(MID('02_clients_raw'!C62&amp;"",4,1),"x0123456789")&gt;=2,FALSE)),IF(5&gt;LEN('02_clients_raw'!C62&amp;""),TRUE,IFERROR(FIND(MID('02_clients_raw'!C62&amp;"",5,1),"x0123456789")&gt;=2,FALSE)),IF(6&gt;LEN('02_clients_raw'!C62&amp;""),TRUE,IFERROR(FIND(MID('02_clients_raw'!C62&amp;"",6,1),"x0123456789")&gt;=2,FALSE)),IF(7&gt;LEN('02_clients_raw'!C62&amp;""),TRUE,IFERROR(FIND(MID('02_clients_raw'!C62&amp;"",7,1),"x0123456789")&gt;=2,FALSE)),IF(8&gt;LEN('02_clients_raw'!C62&amp;""),TRUE,IFERROR(FIND(MID('02_clients_raw'!C62&amp;"",8,1),"x0123456789")&gt;=2,FALSE)),IF(9&gt;LEN('02_clients_raw'!C62&amp;""),TRUE,IFERROR(FIND(MID('02_clients_raw'!C62&amp;"",9,1),"x0123456789")&gt;=2,FALSE)),IF(10&gt;LEN('02_clients_raw'!C62&amp;""),TRUE,IFERROR(FIND(MID('02_clients_raw'!C62&amp;"",10,1),"x0123456789")&gt;=2,FALSE)),IF(11&gt;LEN('02_clients_raw'!C62&amp;""),TRUE,IFERROR(FIND(MID('02_clients_raw'!C62&amp;"",11,1),"x0123456789")&gt;=2,FALSE)),IF(12&gt;LEN('02_clients_raw'!C62&amp;""),TRUE,IFERROR(FIND(MID('02_clients_raw'!C62&amp;"",12,1),"x0123456789")&gt;=2,FALSE))))),"ERROR","OK")),"")</x:f>
      </x:c>
      <x:c r="G242" s="2" t="str">
        <x:f>IF(COUNTA('02_clients_raw'!A62:F62)&gt;0,"N/A","")</x:f>
      </x:c>
      <x:c r="H242" s="2" t="str">
        <x:f>IF(COUNTA('02_clients_raw'!A62:F62)&gt;0,IF(LEN('02_clients_raw'!E62&amp;"")=0,"SKIP",IF(OR(NOT(ISNUMBER('02_clients_raw'!E62)),'02_clients_raw'!E62&lt;=0,'02_clients_raw'!E62&gt;'09_parameters'!$B$2),"ERROR","OK")),"")</x:f>
      </x:c>
      <x:c r="I242" s="2" t="str">
        <x:f>IF(COUNTA('02_clients_raw'!A62:F62)&gt;0,"N/A","")</x:f>
      </x:c>
      <x:c r="J242" s="2" t="n">
        <x:f>COUNTIF(C242:I242,"ERROR")</x:f>
        <x:v>0</x:v>
      </x:c>
      <x:c r="K242" s="2" t="str">
        <x:f>IF(COUNTA('02_clients_raw'!A62:F62)&gt;0,62,"")</x:f>
      </x:c>
    </x:row>
    <x:row r="243">
      <x:c r="A243" s="2" t="str">
        <x:f>IF(COUNTA('02_clients_raw'!A63:F63)&gt;0,"Client","")</x:f>
      </x:c>
      <x:c r="B243" s="2" t="str">
        <x:f>IF(COUNTA('02_clients_raw'!A63:F63)&gt;0,'02_clients_raw'!A63,"")</x:f>
      </x:c>
      <x:c r="C243" s="2" t="str">
        <x:f>IF(COUNTA('02_clients_raw'!A63:F63)&gt;0,IF(AND(LEN('02_clients_raw'!A63&amp;"")&gt;0,COUNTIF('02_clients_raw'!$A$2:$A$67,'02_clients_raw'!A63)&gt;1),"ERROR","OK"),"")</x:f>
      </x:c>
      <x:c r="D243" s="2" t="str">
        <x:f>IF(COUNTA('02_clients_raw'!A63:F63)&gt;0,IF(OR(LEN('02_clients_raw'!A63&amp;"")=0,LEN('02_clients_raw'!B63&amp;"")=0,LEN('02_clients_raw'!C63&amp;"")=0,LEN('02_clients_raw'!D63&amp;"")=0,LEN('02_clients_raw'!E63&amp;"")=0,LEN('02_clients_raw'!F63&amp;"")=0),"ERROR","OK"),"")</x:f>
      </x:c>
      <x:c r="E243" s="2" t="str">
        <x:f>IF(COUNTA('02_clients_raw'!A63:F63)&gt;0,"N/A","")</x:f>
      </x:c>
      <x:c r="F243" s="2" t="str">
        <x:f>IF(COUNTA('02_clients_raw'!A63:F63)&gt;0,IF(LEN('02_clients_raw'!C63&amp;"")=0,"SKIP",IF(OR(AND(LEN('02_clients_raw'!C63&amp;"")&lt;&gt;10,LEN('02_clients_raw'!C63&amp;"")&lt;&gt;12),NOT(AND(IF(1&gt;LEN('02_clients_raw'!C63&amp;""),TRUE,IFERROR(FIND(MID('02_clients_raw'!C63&amp;"",1,1),"x0123456789")&gt;=2,FALSE)),IF(2&gt;LEN('02_clients_raw'!C63&amp;""),TRUE,IFERROR(FIND(MID('02_clients_raw'!C63&amp;"",2,1),"x0123456789")&gt;=2,FALSE)),IF(3&gt;LEN('02_clients_raw'!C63&amp;""),TRUE,IFERROR(FIND(MID('02_clients_raw'!C63&amp;"",3,1),"x0123456789")&gt;=2,FALSE)),IF(4&gt;LEN('02_clients_raw'!C63&amp;""),TRUE,IFERROR(FIND(MID('02_clients_raw'!C63&amp;"",4,1),"x0123456789")&gt;=2,FALSE)),IF(5&gt;LEN('02_clients_raw'!C63&amp;""),TRUE,IFERROR(FIND(MID('02_clients_raw'!C63&amp;"",5,1),"x0123456789")&gt;=2,FALSE)),IF(6&gt;LEN('02_clients_raw'!C63&amp;""),TRUE,IFERROR(FIND(MID('02_clients_raw'!C63&amp;"",6,1),"x0123456789")&gt;=2,FALSE)),IF(7&gt;LEN('02_clients_raw'!C63&amp;""),TRUE,IFERROR(FIND(MID('02_clients_raw'!C63&amp;"",7,1),"x0123456789")&gt;=2,FALSE)),IF(8&gt;LEN('02_clients_raw'!C63&amp;""),TRUE,IFERROR(FIND(MID('02_clients_raw'!C63&amp;"",8,1),"x0123456789")&gt;=2,FALSE)),IF(9&gt;LEN('02_clients_raw'!C63&amp;""),TRUE,IFERROR(FIND(MID('02_clients_raw'!C63&amp;"",9,1),"x0123456789")&gt;=2,FALSE)),IF(10&gt;LEN('02_clients_raw'!C63&amp;""),TRUE,IFERROR(FIND(MID('02_clients_raw'!C63&amp;"",10,1),"x0123456789")&gt;=2,FALSE)),IF(11&gt;LEN('02_clients_raw'!C63&amp;""),TRUE,IFERROR(FIND(MID('02_clients_raw'!C63&amp;"",11,1),"x0123456789")&gt;=2,FALSE)),IF(12&gt;LEN('02_clients_raw'!C63&amp;""),TRUE,IFERROR(FIND(MID('02_clients_raw'!C63&amp;"",12,1),"x0123456789")&gt;=2,FALSE))))),"ERROR","OK")),"")</x:f>
      </x:c>
      <x:c r="G243" s="2" t="str">
        <x:f>IF(COUNTA('02_clients_raw'!A63:F63)&gt;0,"N/A","")</x:f>
      </x:c>
      <x:c r="H243" s="2" t="str">
        <x:f>IF(COUNTA('02_clients_raw'!A63:F63)&gt;0,IF(LEN('02_clients_raw'!E63&amp;"")=0,"SKIP",IF(OR(NOT(ISNUMBER('02_clients_raw'!E63)),'02_clients_raw'!E63&lt;=0,'02_clients_raw'!E63&gt;'09_parameters'!$B$2),"ERROR","OK")),"")</x:f>
      </x:c>
      <x:c r="I243" s="2" t="str">
        <x:f>IF(COUNTA('02_clients_raw'!A63:F63)&gt;0,"N/A","")</x:f>
      </x:c>
      <x:c r="J243" s="2" t="n">
        <x:f>COUNTIF(C243:I243,"ERROR")</x:f>
        <x:v>0</x:v>
      </x:c>
      <x:c r="K243" s="2" t="str">
        <x:f>IF(COUNTA('02_clients_raw'!A63:F63)&gt;0,63,"")</x:f>
      </x:c>
    </x:row>
    <x:row r="244">
      <x:c r="A244" s="2" t="str">
        <x:f>IF(COUNTA('02_clients_raw'!A64:F64)&gt;0,"Client","")</x:f>
      </x:c>
      <x:c r="B244" s="2" t="str">
        <x:f>IF(COUNTA('02_clients_raw'!A64:F64)&gt;0,'02_clients_raw'!A64,"")</x:f>
      </x:c>
      <x:c r="C244" s="2" t="str">
        <x:f>IF(COUNTA('02_clients_raw'!A64:F64)&gt;0,IF(AND(LEN('02_clients_raw'!A64&amp;"")&gt;0,COUNTIF('02_clients_raw'!$A$2:$A$67,'02_clients_raw'!A64)&gt;1),"ERROR","OK"),"")</x:f>
      </x:c>
      <x:c r="D244" s="2" t="str">
        <x:f>IF(COUNTA('02_clients_raw'!A64:F64)&gt;0,IF(OR(LEN('02_clients_raw'!A64&amp;"")=0,LEN('02_clients_raw'!B64&amp;"")=0,LEN('02_clients_raw'!C64&amp;"")=0,LEN('02_clients_raw'!D64&amp;"")=0,LEN('02_clients_raw'!E64&amp;"")=0,LEN('02_clients_raw'!F64&amp;"")=0),"ERROR","OK"),"")</x:f>
      </x:c>
      <x:c r="E244" s="2" t="str">
        <x:f>IF(COUNTA('02_clients_raw'!A64:F64)&gt;0,"N/A","")</x:f>
      </x:c>
      <x:c r="F244" s="2" t="str">
        <x:f>IF(COUNTA('02_clients_raw'!A64:F64)&gt;0,IF(LEN('02_clients_raw'!C64&amp;"")=0,"SKIP",IF(OR(AND(LEN('02_clients_raw'!C64&amp;"")&lt;&gt;10,LEN('02_clients_raw'!C64&amp;"")&lt;&gt;12),NOT(AND(IF(1&gt;LEN('02_clients_raw'!C64&amp;""),TRUE,IFERROR(FIND(MID('02_clients_raw'!C64&amp;"",1,1),"x0123456789")&gt;=2,FALSE)),IF(2&gt;LEN('02_clients_raw'!C64&amp;""),TRUE,IFERROR(FIND(MID('02_clients_raw'!C64&amp;"",2,1),"x0123456789")&gt;=2,FALSE)),IF(3&gt;LEN('02_clients_raw'!C64&amp;""),TRUE,IFERROR(FIND(MID('02_clients_raw'!C64&amp;"",3,1),"x0123456789")&gt;=2,FALSE)),IF(4&gt;LEN('02_clients_raw'!C64&amp;""),TRUE,IFERROR(FIND(MID('02_clients_raw'!C64&amp;"",4,1),"x0123456789")&gt;=2,FALSE)),IF(5&gt;LEN('02_clients_raw'!C64&amp;""),TRUE,IFERROR(FIND(MID('02_clients_raw'!C64&amp;"",5,1),"x0123456789")&gt;=2,FALSE)),IF(6&gt;LEN('02_clients_raw'!C64&amp;""),TRUE,IFERROR(FIND(MID('02_clients_raw'!C64&amp;"",6,1),"x0123456789")&gt;=2,FALSE)),IF(7&gt;LEN('02_clients_raw'!C64&amp;""),TRUE,IFERROR(FIND(MID('02_clients_raw'!C64&amp;"",7,1),"x0123456789")&gt;=2,FALSE)),IF(8&gt;LEN('02_clients_raw'!C64&amp;""),TRUE,IFERROR(FIND(MID('02_clients_raw'!C64&amp;"",8,1),"x0123456789")&gt;=2,FALSE)),IF(9&gt;LEN('02_clients_raw'!C64&amp;""),TRUE,IFERROR(FIND(MID('02_clients_raw'!C64&amp;"",9,1),"x0123456789")&gt;=2,FALSE)),IF(10&gt;LEN('02_clients_raw'!C64&amp;""),TRUE,IFERROR(FIND(MID('02_clients_raw'!C64&amp;"",10,1),"x0123456789")&gt;=2,FALSE)),IF(11&gt;LEN('02_clients_raw'!C64&amp;""),TRUE,IFERROR(FIND(MID('02_clients_raw'!C64&amp;"",11,1),"x0123456789")&gt;=2,FALSE)),IF(12&gt;LEN('02_clients_raw'!C64&amp;""),TRUE,IFERROR(FIND(MID('02_clients_raw'!C64&amp;"",12,1),"x0123456789")&gt;=2,FALSE))))),"ERROR","OK")),"")</x:f>
      </x:c>
      <x:c r="G244" s="2" t="str">
        <x:f>IF(COUNTA('02_clients_raw'!A64:F64)&gt;0,"N/A","")</x:f>
      </x:c>
      <x:c r="H244" s="2" t="str">
        <x:f>IF(COUNTA('02_clients_raw'!A64:F64)&gt;0,IF(LEN('02_clients_raw'!E64&amp;"")=0,"SKIP",IF(OR(NOT(ISNUMBER('02_clients_raw'!E64)),'02_clients_raw'!E64&lt;=0,'02_clients_raw'!E64&gt;'09_parameters'!$B$2),"ERROR","OK")),"")</x:f>
      </x:c>
      <x:c r="I244" s="2" t="str">
        <x:f>IF(COUNTA('02_clients_raw'!A64:F64)&gt;0,"N/A","")</x:f>
      </x:c>
      <x:c r="J244" s="2" t="n">
        <x:f>COUNTIF(C244:I244,"ERROR")</x:f>
        <x:v>0</x:v>
      </x:c>
      <x:c r="K244" s="2" t="str">
        <x:f>IF(COUNTA('02_clients_raw'!A64:F64)&gt;0,64,"")</x:f>
      </x:c>
    </x:row>
    <x:row r="245">
      <x:c r="A245" s="2" t="str">
        <x:f>IF(COUNTA('02_clients_raw'!A65:F65)&gt;0,"Client","")</x:f>
      </x:c>
      <x:c r="B245" s="2" t="str">
        <x:f>IF(COUNTA('02_clients_raw'!A65:F65)&gt;0,'02_clients_raw'!A65,"")</x:f>
      </x:c>
      <x:c r="C245" s="2" t="str">
        <x:f>IF(COUNTA('02_clients_raw'!A65:F65)&gt;0,IF(AND(LEN('02_clients_raw'!A65&amp;"")&gt;0,COUNTIF('02_clients_raw'!$A$2:$A$67,'02_clients_raw'!A65)&gt;1),"ERROR","OK"),"")</x:f>
      </x:c>
      <x:c r="D245" s="2" t="str">
        <x:f>IF(COUNTA('02_clients_raw'!A65:F65)&gt;0,IF(OR(LEN('02_clients_raw'!A65&amp;"")=0,LEN('02_clients_raw'!B65&amp;"")=0,LEN('02_clients_raw'!C65&amp;"")=0,LEN('02_clients_raw'!D65&amp;"")=0,LEN('02_clients_raw'!E65&amp;"")=0,LEN('02_clients_raw'!F65&amp;"")=0),"ERROR","OK"),"")</x:f>
      </x:c>
      <x:c r="E245" s="2" t="str">
        <x:f>IF(COUNTA('02_clients_raw'!A65:F65)&gt;0,"N/A","")</x:f>
      </x:c>
      <x:c r="F245" s="2" t="str">
        <x:f>IF(COUNTA('02_clients_raw'!A65:F65)&gt;0,IF(LEN('02_clients_raw'!C65&amp;"")=0,"SKIP",IF(OR(AND(LEN('02_clients_raw'!C65&amp;"")&lt;&gt;10,LEN('02_clients_raw'!C65&amp;"")&lt;&gt;12),NOT(AND(IF(1&gt;LEN('02_clients_raw'!C65&amp;""),TRUE,IFERROR(FIND(MID('02_clients_raw'!C65&amp;"",1,1),"x0123456789")&gt;=2,FALSE)),IF(2&gt;LEN('02_clients_raw'!C65&amp;""),TRUE,IFERROR(FIND(MID('02_clients_raw'!C65&amp;"",2,1),"x0123456789")&gt;=2,FALSE)),IF(3&gt;LEN('02_clients_raw'!C65&amp;""),TRUE,IFERROR(FIND(MID('02_clients_raw'!C65&amp;"",3,1),"x0123456789")&gt;=2,FALSE)),IF(4&gt;LEN('02_clients_raw'!C65&amp;""),TRUE,IFERROR(FIND(MID('02_clients_raw'!C65&amp;"",4,1),"x0123456789")&gt;=2,FALSE)),IF(5&gt;LEN('02_clients_raw'!C65&amp;""),TRUE,IFERROR(FIND(MID('02_clients_raw'!C65&amp;"",5,1),"x0123456789")&gt;=2,FALSE)),IF(6&gt;LEN('02_clients_raw'!C65&amp;""),TRUE,IFERROR(FIND(MID('02_clients_raw'!C65&amp;"",6,1),"x0123456789")&gt;=2,FALSE)),IF(7&gt;LEN('02_clients_raw'!C65&amp;""),TRUE,IFERROR(FIND(MID('02_clients_raw'!C65&amp;"",7,1),"x0123456789")&gt;=2,FALSE)),IF(8&gt;LEN('02_clients_raw'!C65&amp;""),TRUE,IFERROR(FIND(MID('02_clients_raw'!C65&amp;"",8,1),"x0123456789")&gt;=2,FALSE)),IF(9&gt;LEN('02_clients_raw'!C65&amp;""),TRUE,IFERROR(FIND(MID('02_clients_raw'!C65&amp;"",9,1),"x0123456789")&gt;=2,FALSE)),IF(10&gt;LEN('02_clients_raw'!C65&amp;""),TRUE,IFERROR(FIND(MID('02_clients_raw'!C65&amp;"",10,1),"x0123456789")&gt;=2,FALSE)),IF(11&gt;LEN('02_clients_raw'!C65&amp;""),TRUE,IFERROR(FIND(MID('02_clients_raw'!C65&amp;"",11,1),"x0123456789")&gt;=2,FALSE)),IF(12&gt;LEN('02_clients_raw'!C65&amp;""),TRUE,IFERROR(FIND(MID('02_clients_raw'!C65&amp;"",12,1),"x0123456789")&gt;=2,FALSE))))),"ERROR","OK")),"")</x:f>
      </x:c>
      <x:c r="G245" s="2" t="str">
        <x:f>IF(COUNTA('02_clients_raw'!A65:F65)&gt;0,"N/A","")</x:f>
      </x:c>
      <x:c r="H245" s="2" t="str">
        <x:f>IF(COUNTA('02_clients_raw'!A65:F65)&gt;0,IF(LEN('02_clients_raw'!E65&amp;"")=0,"SKIP",IF(OR(NOT(ISNUMBER('02_clients_raw'!E65)),'02_clients_raw'!E65&lt;=0,'02_clients_raw'!E65&gt;'09_parameters'!$B$2),"ERROR","OK")),"")</x:f>
      </x:c>
      <x:c r="I245" s="2" t="str">
        <x:f>IF(COUNTA('02_clients_raw'!A65:F65)&gt;0,"N/A","")</x:f>
      </x:c>
      <x:c r="J245" s="2" t="n">
        <x:f>COUNTIF(C245:I245,"ERROR")</x:f>
        <x:v>0</x:v>
      </x:c>
      <x:c r="K245" s="2" t="str">
        <x:f>IF(COUNTA('02_clients_raw'!A65:F65)&gt;0,65,"")</x:f>
      </x:c>
    </x:row>
    <x:row r="246">
      <x:c r="A246" s="2" t="str">
        <x:f>IF(COUNTA('02_clients_raw'!A66:F66)&gt;0,"Client","")</x:f>
      </x:c>
      <x:c r="B246" s="2" t="str">
        <x:f>IF(COUNTA('02_clients_raw'!A66:F66)&gt;0,'02_clients_raw'!A66,"")</x:f>
      </x:c>
      <x:c r="C246" s="2" t="str">
        <x:f>IF(COUNTA('02_clients_raw'!A66:F66)&gt;0,IF(AND(LEN('02_clients_raw'!A66&amp;"")&gt;0,COUNTIF('02_clients_raw'!$A$2:$A$67,'02_clients_raw'!A66)&gt;1),"ERROR","OK"),"")</x:f>
      </x:c>
      <x:c r="D246" s="2" t="str">
        <x:f>IF(COUNTA('02_clients_raw'!A66:F66)&gt;0,IF(OR(LEN('02_clients_raw'!A66&amp;"")=0,LEN('02_clients_raw'!B66&amp;"")=0,LEN('02_clients_raw'!C66&amp;"")=0,LEN('02_clients_raw'!D66&amp;"")=0,LEN('02_clients_raw'!E66&amp;"")=0,LEN('02_clients_raw'!F66&amp;"")=0),"ERROR","OK"),"")</x:f>
      </x:c>
      <x:c r="E246" s="2" t="str">
        <x:f>IF(COUNTA('02_clients_raw'!A66:F66)&gt;0,"N/A","")</x:f>
      </x:c>
      <x:c r="F246" s="2" t="str">
        <x:f>IF(COUNTA('02_clients_raw'!A66:F66)&gt;0,IF(LEN('02_clients_raw'!C66&amp;"")=0,"SKIP",IF(OR(AND(LEN('02_clients_raw'!C66&amp;"")&lt;&gt;10,LEN('02_clients_raw'!C66&amp;"")&lt;&gt;12),NOT(AND(IF(1&gt;LEN('02_clients_raw'!C66&amp;""),TRUE,IFERROR(FIND(MID('02_clients_raw'!C66&amp;"",1,1),"x0123456789")&gt;=2,FALSE)),IF(2&gt;LEN('02_clients_raw'!C66&amp;""),TRUE,IFERROR(FIND(MID('02_clients_raw'!C66&amp;"",2,1),"x0123456789")&gt;=2,FALSE)),IF(3&gt;LEN('02_clients_raw'!C66&amp;""),TRUE,IFERROR(FIND(MID('02_clients_raw'!C66&amp;"",3,1),"x0123456789")&gt;=2,FALSE)),IF(4&gt;LEN('02_clients_raw'!C66&amp;""),TRUE,IFERROR(FIND(MID('02_clients_raw'!C66&amp;"",4,1),"x0123456789")&gt;=2,FALSE)),IF(5&gt;LEN('02_clients_raw'!C66&amp;""),TRUE,IFERROR(FIND(MID('02_clients_raw'!C66&amp;"",5,1),"x0123456789")&gt;=2,FALSE)),IF(6&gt;LEN('02_clients_raw'!C66&amp;""),TRUE,IFERROR(FIND(MID('02_clients_raw'!C66&amp;"",6,1),"x0123456789")&gt;=2,FALSE)),IF(7&gt;LEN('02_clients_raw'!C66&amp;""),TRUE,IFERROR(FIND(MID('02_clients_raw'!C66&amp;"",7,1),"x0123456789")&gt;=2,FALSE)),IF(8&gt;LEN('02_clients_raw'!C66&amp;""),TRUE,IFERROR(FIND(MID('02_clients_raw'!C66&amp;"",8,1),"x0123456789")&gt;=2,FALSE)),IF(9&gt;LEN('02_clients_raw'!C66&amp;""),TRUE,IFERROR(FIND(MID('02_clients_raw'!C66&amp;"",9,1),"x0123456789")&gt;=2,FALSE)),IF(10&gt;LEN('02_clients_raw'!C66&amp;""),TRUE,IFERROR(FIND(MID('02_clients_raw'!C66&amp;"",10,1),"x0123456789")&gt;=2,FALSE)),IF(11&gt;LEN('02_clients_raw'!C66&amp;""),TRUE,IFERROR(FIND(MID('02_clients_raw'!C66&amp;"",11,1),"x0123456789")&gt;=2,FALSE)),IF(12&gt;LEN('02_clients_raw'!C66&amp;""),TRUE,IFERROR(FIND(MID('02_clients_raw'!C66&amp;"",12,1),"x0123456789")&gt;=2,FALSE))))),"ERROR","OK")),"")</x:f>
      </x:c>
      <x:c r="G246" s="2" t="str">
        <x:f>IF(COUNTA('02_clients_raw'!A66:F66)&gt;0,"N/A","")</x:f>
      </x:c>
      <x:c r="H246" s="2" t="str">
        <x:f>IF(COUNTA('02_clients_raw'!A66:F66)&gt;0,IF(LEN('02_clients_raw'!E66&amp;"")=0,"SKIP",IF(OR(NOT(ISNUMBER('02_clients_raw'!E66)),'02_clients_raw'!E66&lt;=0,'02_clients_raw'!E66&gt;'09_parameters'!$B$2),"ERROR","OK")),"")</x:f>
      </x:c>
      <x:c r="I246" s="2" t="str">
        <x:f>IF(COUNTA('02_clients_raw'!A66:F66)&gt;0,"N/A","")</x:f>
      </x:c>
      <x:c r="J246" s="2" t="n">
        <x:f>COUNTIF(C246:I246,"ERROR")</x:f>
        <x:v>0</x:v>
      </x:c>
      <x:c r="K246" s="2" t="str">
        <x:f>IF(COUNTA('02_clients_raw'!A66:F66)&gt;0,66,"")</x:f>
      </x:c>
    </x:row>
    <x:row r="247">
      <x:c r="A247" s="2" t="str">
        <x:f>IF(COUNTA('02_clients_raw'!A67:F67)&gt;0,"Client","")</x:f>
      </x:c>
      <x:c r="B247" s="2" t="str">
        <x:f>IF(COUNTA('02_clients_raw'!A67:F67)&gt;0,'02_clients_raw'!A67,"")</x:f>
      </x:c>
      <x:c r="C247" s="2" t="str">
        <x:f>IF(COUNTA('02_clients_raw'!A67:F67)&gt;0,IF(AND(LEN('02_clients_raw'!A67&amp;"")&gt;0,COUNTIF('02_clients_raw'!$A$2:$A$67,'02_clients_raw'!A67)&gt;1),"ERROR","OK"),"")</x:f>
      </x:c>
      <x:c r="D247" s="2" t="str">
        <x:f>IF(COUNTA('02_clients_raw'!A67:F67)&gt;0,IF(OR(LEN('02_clients_raw'!A67&amp;"")=0,LEN('02_clients_raw'!B67&amp;"")=0,LEN('02_clients_raw'!C67&amp;"")=0,LEN('02_clients_raw'!D67&amp;"")=0,LEN('02_clients_raw'!E67&amp;"")=0,LEN('02_clients_raw'!F67&amp;"")=0),"ERROR","OK"),"")</x:f>
      </x:c>
      <x:c r="E247" s="2" t="str">
        <x:f>IF(COUNTA('02_clients_raw'!A67:F67)&gt;0,"N/A","")</x:f>
      </x:c>
      <x:c r="F247" s="2" t="str">
        <x:f>IF(COUNTA('02_clients_raw'!A67:F67)&gt;0,IF(LEN('02_clients_raw'!C67&amp;"")=0,"SKIP",IF(OR(AND(LEN('02_clients_raw'!C67&amp;"")&lt;&gt;10,LEN('02_clients_raw'!C67&amp;"")&lt;&gt;12),NOT(AND(IF(1&gt;LEN('02_clients_raw'!C67&amp;""),TRUE,IFERROR(FIND(MID('02_clients_raw'!C67&amp;"",1,1),"x0123456789")&gt;=2,FALSE)),IF(2&gt;LEN('02_clients_raw'!C67&amp;""),TRUE,IFERROR(FIND(MID('02_clients_raw'!C67&amp;"",2,1),"x0123456789")&gt;=2,FALSE)),IF(3&gt;LEN('02_clients_raw'!C67&amp;""),TRUE,IFERROR(FIND(MID('02_clients_raw'!C67&amp;"",3,1),"x0123456789")&gt;=2,FALSE)),IF(4&gt;LEN('02_clients_raw'!C67&amp;""),TRUE,IFERROR(FIND(MID('02_clients_raw'!C67&amp;"",4,1),"x0123456789")&gt;=2,FALSE)),IF(5&gt;LEN('02_clients_raw'!C67&amp;""),TRUE,IFERROR(FIND(MID('02_clients_raw'!C67&amp;"",5,1),"x0123456789")&gt;=2,FALSE)),IF(6&gt;LEN('02_clients_raw'!C67&amp;""),TRUE,IFERROR(FIND(MID('02_clients_raw'!C67&amp;"",6,1),"x0123456789")&gt;=2,FALSE)),IF(7&gt;LEN('02_clients_raw'!C67&amp;""),TRUE,IFERROR(FIND(MID('02_clients_raw'!C67&amp;"",7,1),"x0123456789")&gt;=2,FALSE)),IF(8&gt;LEN('02_clients_raw'!C67&amp;""),TRUE,IFERROR(FIND(MID('02_clients_raw'!C67&amp;"",8,1),"x0123456789")&gt;=2,FALSE)),IF(9&gt;LEN('02_clients_raw'!C67&amp;""),TRUE,IFERROR(FIND(MID('02_clients_raw'!C67&amp;"",9,1),"x0123456789")&gt;=2,FALSE)),IF(10&gt;LEN('02_clients_raw'!C67&amp;""),TRUE,IFERROR(FIND(MID('02_clients_raw'!C67&amp;"",10,1),"x0123456789")&gt;=2,FALSE)),IF(11&gt;LEN('02_clients_raw'!C67&amp;""),TRUE,IFERROR(FIND(MID('02_clients_raw'!C67&amp;"",11,1),"x0123456789")&gt;=2,FALSE)),IF(12&gt;LEN('02_clients_raw'!C67&amp;""),TRUE,IFERROR(FIND(MID('02_clients_raw'!C67&amp;"",12,1),"x0123456789")&gt;=2,FALSE))))),"ERROR","OK")),"")</x:f>
      </x:c>
      <x:c r="G247" s="2" t="str">
        <x:f>IF(COUNTA('02_clients_raw'!A67:F67)&gt;0,"N/A","")</x:f>
      </x:c>
      <x:c r="H247" s="2" t="str">
        <x:f>IF(COUNTA('02_clients_raw'!A67:F67)&gt;0,IF(LEN('02_clients_raw'!E67&amp;"")=0,"SKIP",IF(OR(NOT(ISNUMBER('02_clients_raw'!E67)),'02_clients_raw'!E67&lt;=0,'02_clients_raw'!E67&gt;'09_parameters'!$B$2),"ERROR","OK")),"")</x:f>
      </x:c>
      <x:c r="I247" s="2" t="str">
        <x:f>IF(COUNTA('02_clients_raw'!A67:F67)&gt;0,"N/A","")</x:f>
      </x:c>
      <x:c r="J247" s="2" t="n">
        <x:f>COUNTIF(C247:I247,"ERROR")</x:f>
        <x:v>0</x:v>
      </x:c>
      <x:c r="K247" s="2" t="str">
        <x:f>IF(COUNTA('02_clients_raw'!A67:F67)&gt;0,67,"")</x:f>
      </x:c>
    </x:row>
    <x:row r="248">
      <x:c r="A248" s="2" t="str">
        <x:f>IF(COUNTA('03_payments_raw'!A2:E2)&gt;0,"Payment","")</x:f>
        <x:v>Payment</x:v>
      </x:c>
      <x:c r="B248" s="2" t="str">
        <x:f>IF(COUNTA('03_payments_raw'!A2:E2)&gt;0,'03_payments_raw'!A2,"")</x:f>
        <x:v>P001</x:v>
      </x:c>
      <x:c r="C248" s="2" t="str">
        <x:f>IF(COUNTA('03_payments_raw'!A2:E2)&gt;0,IF(AND(LEN('03_payments_raw'!A2&amp;"")&gt;0,COUNTIF('03_payments_raw'!$A$2:$A$141,'03_payments_raw'!A2)&gt;1),"ERROR","OK"),"")</x:f>
        <x:v>OK</x:v>
      </x:c>
      <x:c r="D248" s="2" t="str">
        <x:f>IF(COUNTA('03_payments_raw'!A2:E2)&gt;0,IF(OR(LEN('03_payments_raw'!A2&amp;"")=0,LEN('03_payments_raw'!B2&amp;"")=0,LEN('03_payments_raw'!C2&amp;"")=0,LEN('03_payments_raw'!D2&amp;"")=0,LEN('03_payments_raw'!E2&amp;"")=0),"ERROR","OK"),"")</x:f>
        <x:v>OK</x:v>
      </x:c>
      <x:c r="E248" s="2" t="str">
        <x:f>IF(COUNTA('03_payments_raw'!A2:E2)&gt;0,IF(LEN('03_payments_raw'!B2&amp;"")=0,"SKIP",IF(COUNTIF('01_orders_raw'!$A$2:$A$181,'03_payments_raw'!B2)&lt;&gt;1,"ERROR","OK")),"")</x:f>
        <x:v>OK</x:v>
      </x:c>
      <x:c r="F248" s="2" t="str">
        <x:f>IF(COUNTA('03_payments_raw'!A2:E2)&gt;0,IF(OR(COUNTIF('01_orders_raw'!$A$2:$A$181,'03_payments_raw'!B2)&lt;&gt;1,LEN('03_payments_raw'!D2&amp;"")=0),"SKIP",IF(OR(NOT(ISNUMBER('03_payments_raw'!D2)),'03_payments_raw'!D2&lt;0,'03_payments_raw'!D2&gt;INDEX('01_orders_raw'!$I$2:$I$181,MATCH('03_payments_raw'!B2,'01_orders_raw'!$A$2:$A$181,0))+'09_parameters'!$B$3),"ERROR","OK")),"")</x:f>
        <x:v>OK</x:v>
      </x:c>
      <x:c r="G248" s="2" t="str">
        <x:f>IF(COUNTA('03_payments_raw'!A2:E2)&gt;0,"N/A","")</x:f>
        <x:v>N/A</x:v>
      </x:c>
      <x:c r="H248" s="2" t="str">
        <x:f>IF(COUNTA('03_payments_raw'!A2:E2)&gt;0,IF(LEN('03_payments_raw'!C2&amp;"")=0,"SKIP",IF(IF(OR(NOT(ISNUMBER('03_payments_raw'!C2)),'03_payments_raw'!C2&lt;=0,'03_payments_raw'!C2&gt;'09_parameters'!$B$2),"ERROR","OK")="ERROR","ERROR",IF(COUNTIF('01_orders_raw'!$A$2:$A$181,'03_payments_raw'!B2)&lt;&gt;1,"SKIP",IF('03_payments_raw'!C2&lt;INDEX('01_orders_raw'!$B$2:$B$181,MATCH('03_payments_raw'!B2,'01_orders_raw'!$A$2:$A$181,0)),"ERROR","OK")))),"")</x:f>
        <x:v>OK</x:v>
      </x:c>
      <x:c r="I248" s="2" t="str">
        <x:f>IF(COUNTA('03_payments_raw'!A2:E2)&gt;0,IF(LEN('03_payments_raw'!E2&amp;"")=0,"SKIP",IF(AND('03_payments_raw'!E2&lt;&gt;"Оплачено",'03_payments_raw'!E2&lt;&gt;"Частично оплачено",'03_payments_raw'!E2&lt;&gt;"Не оплачено"),"ERROR","OK")),"")</x:f>
        <x:v>OK</x:v>
      </x:c>
      <x:c r="J248" s="2" t="n">
        <x:f>COUNTIF(C248:I248,"ERROR")</x:f>
        <x:v>0</x:v>
      </x:c>
      <x:c r="K248" s="2" t="n">
        <x:f>IF(COUNTA('03_payments_raw'!A2:E2)&gt;0,2,"")</x:f>
        <x:v>2</x:v>
      </x:c>
    </x:row>
    <x:row r="249">
      <x:c r="A249" s="2" t="str">
        <x:f>IF(COUNTA('03_payments_raw'!A3:E3)&gt;0,"Payment","")</x:f>
        <x:v>Payment</x:v>
      </x:c>
      <x:c r="B249" s="2" t="str">
        <x:f>IF(COUNTA('03_payments_raw'!A3:E3)&gt;0,'03_payments_raw'!A3,"")</x:f>
        <x:v>P002</x:v>
      </x:c>
      <x:c r="C249" s="2" t="str">
        <x:f>IF(COUNTA('03_payments_raw'!A3:E3)&gt;0,IF(AND(LEN('03_payments_raw'!A3&amp;"")&gt;0,COUNTIF('03_payments_raw'!$A$2:$A$141,'03_payments_raw'!A3)&gt;1),"ERROR","OK"),"")</x:f>
        <x:v>OK</x:v>
      </x:c>
      <x:c r="D249" s="2" t="str">
        <x:f>IF(COUNTA('03_payments_raw'!A3:E3)&gt;0,IF(OR(LEN('03_payments_raw'!A3&amp;"")=0,LEN('03_payments_raw'!B3&amp;"")=0,LEN('03_payments_raw'!C3&amp;"")=0,LEN('03_payments_raw'!D3&amp;"")=0,LEN('03_payments_raw'!E3&amp;"")=0),"ERROR","OK"),"")</x:f>
        <x:v>OK</x:v>
      </x:c>
      <x:c r="E249" s="2" t="str">
        <x:f>IF(COUNTA('03_payments_raw'!A3:E3)&gt;0,IF(LEN('03_payments_raw'!B3&amp;"")=0,"SKIP",IF(COUNTIF('01_orders_raw'!$A$2:$A$181,'03_payments_raw'!B3)&lt;&gt;1,"ERROR","OK")),"")</x:f>
        <x:v>OK</x:v>
      </x:c>
      <x:c r="F249" s="2" t="str">
        <x:f>IF(COUNTA('03_payments_raw'!A3:E3)&gt;0,IF(OR(COUNTIF('01_orders_raw'!$A$2:$A$181,'03_payments_raw'!B3)&lt;&gt;1,LEN('03_payments_raw'!D3&amp;"")=0),"SKIP",IF(OR(NOT(ISNUMBER('03_payments_raw'!D3)),'03_payments_raw'!D3&lt;0,'03_payments_raw'!D3&gt;INDEX('01_orders_raw'!$I$2:$I$181,MATCH('03_payments_raw'!B3,'01_orders_raw'!$A$2:$A$181,0))+'09_parameters'!$B$3),"ERROR","OK")),"")</x:f>
        <x:v>OK</x:v>
      </x:c>
      <x:c r="G249" s="2" t="str">
        <x:f>IF(COUNTA('03_payments_raw'!A3:E3)&gt;0,"N/A","")</x:f>
        <x:v>N/A</x:v>
      </x:c>
      <x:c r="H249" s="2" t="str">
        <x:f>IF(COUNTA('03_payments_raw'!A3:E3)&gt;0,IF(LEN('03_payments_raw'!C3&amp;"")=0,"SKIP",IF(IF(OR(NOT(ISNUMBER('03_payments_raw'!C3)),'03_payments_raw'!C3&lt;=0,'03_payments_raw'!C3&gt;'09_parameters'!$B$2),"ERROR","OK")="ERROR","ERROR",IF(COUNTIF('01_orders_raw'!$A$2:$A$181,'03_payments_raw'!B3)&lt;&gt;1,"SKIP",IF('03_payments_raw'!C3&lt;INDEX('01_orders_raw'!$B$2:$B$181,MATCH('03_payments_raw'!B3,'01_orders_raw'!$A$2:$A$181,0)),"ERROR","OK")))),"")</x:f>
        <x:v>OK</x:v>
      </x:c>
      <x:c r="I249" s="2" t="str">
        <x:f>IF(COUNTA('03_payments_raw'!A3:E3)&gt;0,IF(LEN('03_payments_raw'!E3&amp;"")=0,"SKIP",IF(AND('03_payments_raw'!E3&lt;&gt;"Оплачено",'03_payments_raw'!E3&lt;&gt;"Частично оплачено",'03_payments_raw'!E3&lt;&gt;"Не оплачено"),"ERROR","OK")),"")</x:f>
        <x:v>OK</x:v>
      </x:c>
      <x:c r="J249" s="2" t="n">
        <x:f>COUNTIF(C249:I249,"ERROR")</x:f>
        <x:v>0</x:v>
      </x:c>
      <x:c r="K249" s="2" t="n">
        <x:f>IF(COUNTA('03_payments_raw'!A3:E3)&gt;0,3,"")</x:f>
        <x:v>3</x:v>
      </x:c>
    </x:row>
    <x:row r="250">
      <x:c r="A250" s="2" t="str">
        <x:f>IF(COUNTA('03_payments_raw'!A4:E4)&gt;0,"Payment","")</x:f>
        <x:v>Payment</x:v>
      </x:c>
      <x:c r="B250" s="2" t="str">
        <x:f>IF(COUNTA('03_payments_raw'!A4:E4)&gt;0,'03_payments_raw'!A4,"")</x:f>
        <x:v>P003</x:v>
      </x:c>
      <x:c r="C250" s="2" t="str">
        <x:f>IF(COUNTA('03_payments_raw'!A4:E4)&gt;0,IF(AND(LEN('03_payments_raw'!A4&amp;"")&gt;0,COUNTIF('03_payments_raw'!$A$2:$A$141,'03_payments_raw'!A4)&gt;1),"ERROR","OK"),"")</x:f>
        <x:v>OK</x:v>
      </x:c>
      <x:c r="D250" s="2" t="str">
        <x:f>IF(COUNTA('03_payments_raw'!A4:E4)&gt;0,IF(OR(LEN('03_payments_raw'!A4&amp;"")=0,LEN('03_payments_raw'!B4&amp;"")=0,LEN('03_payments_raw'!C4&amp;"")=0,LEN('03_payments_raw'!D4&amp;"")=0,LEN('03_payments_raw'!E4&amp;"")=0),"ERROR","OK"),"")</x:f>
        <x:v>OK</x:v>
      </x:c>
      <x:c r="E250" s="2" t="str">
        <x:f>IF(COUNTA('03_payments_raw'!A4:E4)&gt;0,IF(LEN('03_payments_raw'!B4&amp;"")=0,"SKIP",IF(COUNTIF('01_orders_raw'!$A$2:$A$181,'03_payments_raw'!B4)&lt;&gt;1,"ERROR","OK")),"")</x:f>
        <x:v>OK</x:v>
      </x:c>
      <x:c r="F250" s="2" t="str">
        <x:f>IF(COUNTA('03_payments_raw'!A4:E4)&gt;0,IF(OR(COUNTIF('01_orders_raw'!$A$2:$A$181,'03_payments_raw'!B4)&lt;&gt;1,LEN('03_payments_raw'!D4&amp;"")=0),"SKIP",IF(OR(NOT(ISNUMBER('03_payments_raw'!D4)),'03_payments_raw'!D4&lt;0,'03_payments_raw'!D4&gt;INDEX('01_orders_raw'!$I$2:$I$181,MATCH('03_payments_raw'!B4,'01_orders_raw'!$A$2:$A$181,0))+'09_parameters'!$B$3),"ERROR","OK")),"")</x:f>
        <x:v>OK</x:v>
      </x:c>
      <x:c r="G250" s="2" t="str">
        <x:f>IF(COUNTA('03_payments_raw'!A4:E4)&gt;0,"N/A","")</x:f>
        <x:v>N/A</x:v>
      </x:c>
      <x:c r="H250" s="2" t="str">
        <x:f>IF(COUNTA('03_payments_raw'!A4:E4)&gt;0,IF(LEN('03_payments_raw'!C4&amp;"")=0,"SKIP",IF(IF(OR(NOT(ISNUMBER('03_payments_raw'!C4)),'03_payments_raw'!C4&lt;=0,'03_payments_raw'!C4&gt;'09_parameters'!$B$2),"ERROR","OK")="ERROR","ERROR",IF(COUNTIF('01_orders_raw'!$A$2:$A$181,'03_payments_raw'!B4)&lt;&gt;1,"SKIP",IF('03_payments_raw'!C4&lt;INDEX('01_orders_raw'!$B$2:$B$181,MATCH('03_payments_raw'!B4,'01_orders_raw'!$A$2:$A$181,0)),"ERROR","OK")))),"")</x:f>
        <x:v>OK</x:v>
      </x:c>
      <x:c r="I250" s="2" t="str">
        <x:f>IF(COUNTA('03_payments_raw'!A4:E4)&gt;0,IF(LEN('03_payments_raw'!E4&amp;"")=0,"SKIP",IF(AND('03_payments_raw'!E4&lt;&gt;"Оплачено",'03_payments_raw'!E4&lt;&gt;"Частично оплачено",'03_payments_raw'!E4&lt;&gt;"Не оплачено"),"ERROR","OK")),"")</x:f>
        <x:v>OK</x:v>
      </x:c>
      <x:c r="J250" s="2" t="n">
        <x:f>COUNTIF(C250:I250,"ERROR")</x:f>
        <x:v>0</x:v>
      </x:c>
      <x:c r="K250" s="2" t="n">
        <x:f>IF(COUNTA('03_payments_raw'!A4:E4)&gt;0,4,"")</x:f>
        <x:v>4</x:v>
      </x:c>
    </x:row>
    <x:row r="251">
      <x:c r="A251" s="2" t="str">
        <x:f>IF(COUNTA('03_payments_raw'!A5:E5)&gt;0,"Payment","")</x:f>
        <x:v>Payment</x:v>
      </x:c>
      <x:c r="B251" s="2" t="str">
        <x:f>IF(COUNTA('03_payments_raw'!A5:E5)&gt;0,'03_payments_raw'!A5,"")</x:f>
        <x:v>P004</x:v>
      </x:c>
      <x:c r="C251" s="2" t="str">
        <x:f>IF(COUNTA('03_payments_raw'!A5:E5)&gt;0,IF(AND(LEN('03_payments_raw'!A5&amp;"")&gt;0,COUNTIF('03_payments_raw'!$A$2:$A$141,'03_payments_raw'!A5)&gt;1),"ERROR","OK"),"")</x:f>
        <x:v>OK</x:v>
      </x:c>
      <x:c r="D251" s="2" t="str">
        <x:f>IF(COUNTA('03_payments_raw'!A5:E5)&gt;0,IF(OR(LEN('03_payments_raw'!A5&amp;"")=0,LEN('03_payments_raw'!B5&amp;"")=0,LEN('03_payments_raw'!C5&amp;"")=0,LEN('03_payments_raw'!D5&amp;"")=0,LEN('03_payments_raw'!E5&amp;"")=0),"ERROR","OK"),"")</x:f>
        <x:v>OK</x:v>
      </x:c>
      <x:c r="E251" s="2" t="str">
        <x:f>IF(COUNTA('03_payments_raw'!A5:E5)&gt;0,IF(LEN('03_payments_raw'!B5&amp;"")=0,"SKIP",IF(COUNTIF('01_orders_raw'!$A$2:$A$181,'03_payments_raw'!B5)&lt;&gt;1,"ERROR","OK")),"")</x:f>
        <x:v>OK</x:v>
      </x:c>
      <x:c r="F251" s="2" t="str">
        <x:f>IF(COUNTA('03_payments_raw'!A5:E5)&gt;0,IF(OR(COUNTIF('01_orders_raw'!$A$2:$A$181,'03_payments_raw'!B5)&lt;&gt;1,LEN('03_payments_raw'!D5&amp;"")=0),"SKIP",IF(OR(NOT(ISNUMBER('03_payments_raw'!D5)),'03_payments_raw'!D5&lt;0,'03_payments_raw'!D5&gt;INDEX('01_orders_raw'!$I$2:$I$181,MATCH('03_payments_raw'!B5,'01_orders_raw'!$A$2:$A$181,0))+'09_parameters'!$B$3),"ERROR","OK")),"")</x:f>
        <x:v>OK</x:v>
      </x:c>
      <x:c r="G251" s="2" t="str">
        <x:f>IF(COUNTA('03_payments_raw'!A5:E5)&gt;0,"N/A","")</x:f>
        <x:v>N/A</x:v>
      </x:c>
      <x:c r="H251" s="2" t="str">
        <x:f>IF(COUNTA('03_payments_raw'!A5:E5)&gt;0,IF(LEN('03_payments_raw'!C5&amp;"")=0,"SKIP",IF(IF(OR(NOT(ISNUMBER('03_payments_raw'!C5)),'03_payments_raw'!C5&lt;=0,'03_payments_raw'!C5&gt;'09_parameters'!$B$2),"ERROR","OK")="ERROR","ERROR",IF(COUNTIF('01_orders_raw'!$A$2:$A$181,'03_payments_raw'!B5)&lt;&gt;1,"SKIP",IF('03_payments_raw'!C5&lt;INDEX('01_orders_raw'!$B$2:$B$181,MATCH('03_payments_raw'!B5,'01_orders_raw'!$A$2:$A$181,0)),"ERROR","OK")))),"")</x:f>
        <x:v>OK</x:v>
      </x:c>
      <x:c r="I251" s="2" t="str">
        <x:f>IF(COUNTA('03_payments_raw'!A5:E5)&gt;0,IF(LEN('03_payments_raw'!E5&amp;"")=0,"SKIP",IF(AND('03_payments_raw'!E5&lt;&gt;"Оплачено",'03_payments_raw'!E5&lt;&gt;"Частично оплачено",'03_payments_raw'!E5&lt;&gt;"Не оплачено"),"ERROR","OK")),"")</x:f>
        <x:v>OK</x:v>
      </x:c>
      <x:c r="J251" s="2" t="n">
        <x:f>COUNTIF(C251:I251,"ERROR")</x:f>
        <x:v>0</x:v>
      </x:c>
      <x:c r="K251" s="2" t="n">
        <x:f>IF(COUNTA('03_payments_raw'!A5:E5)&gt;0,5,"")</x:f>
        <x:v>5</x:v>
      </x:c>
    </x:row>
    <x:row r="252">
      <x:c r="A252" s="2" t="str">
        <x:f>IF(COUNTA('03_payments_raw'!A6:E6)&gt;0,"Payment","")</x:f>
        <x:v>Payment</x:v>
      </x:c>
      <x:c r="B252" s="2" t="str">
        <x:f>IF(COUNTA('03_payments_raw'!A6:E6)&gt;0,'03_payments_raw'!A6,"")</x:f>
        <x:v>P005</x:v>
      </x:c>
      <x:c r="C252" s="2" t="str">
        <x:f>IF(COUNTA('03_payments_raw'!A6:E6)&gt;0,IF(AND(LEN('03_payments_raw'!A6&amp;"")&gt;0,COUNTIF('03_payments_raw'!$A$2:$A$141,'03_payments_raw'!A6)&gt;1),"ERROR","OK"),"")</x:f>
        <x:v>OK</x:v>
      </x:c>
      <x:c r="D252" s="2" t="str">
        <x:f>IF(COUNTA('03_payments_raw'!A6:E6)&gt;0,IF(OR(LEN('03_payments_raw'!A6&amp;"")=0,LEN('03_payments_raw'!B6&amp;"")=0,LEN('03_payments_raw'!C6&amp;"")=0,LEN('03_payments_raw'!D6&amp;"")=0,LEN('03_payments_raw'!E6&amp;"")=0),"ERROR","OK"),"")</x:f>
        <x:v>OK</x:v>
      </x:c>
      <x:c r="E252" s="2" t="str">
        <x:f>IF(COUNTA('03_payments_raw'!A6:E6)&gt;0,IF(LEN('03_payments_raw'!B6&amp;"")=0,"SKIP",IF(COUNTIF('01_orders_raw'!$A$2:$A$181,'03_payments_raw'!B6)&lt;&gt;1,"ERROR","OK")),"")</x:f>
        <x:v>OK</x:v>
      </x:c>
      <x:c r="F252" s="2" t="str">
        <x:f>IF(COUNTA('03_payments_raw'!A6:E6)&gt;0,IF(OR(COUNTIF('01_orders_raw'!$A$2:$A$181,'03_payments_raw'!B6)&lt;&gt;1,LEN('03_payments_raw'!D6&amp;"")=0),"SKIP",IF(OR(NOT(ISNUMBER('03_payments_raw'!D6)),'03_payments_raw'!D6&lt;0,'03_payments_raw'!D6&gt;INDEX('01_orders_raw'!$I$2:$I$181,MATCH('03_payments_raw'!B6,'01_orders_raw'!$A$2:$A$181,0))+'09_parameters'!$B$3),"ERROR","OK")),"")</x:f>
        <x:v>OK</x:v>
      </x:c>
      <x:c r="G252" s="2" t="str">
        <x:f>IF(COUNTA('03_payments_raw'!A6:E6)&gt;0,"N/A","")</x:f>
        <x:v>N/A</x:v>
      </x:c>
      <x:c r="H252" s="2" t="str">
        <x:f>IF(COUNTA('03_payments_raw'!A6:E6)&gt;0,IF(LEN('03_payments_raw'!C6&amp;"")=0,"SKIP",IF(IF(OR(NOT(ISNUMBER('03_payments_raw'!C6)),'03_payments_raw'!C6&lt;=0,'03_payments_raw'!C6&gt;'09_parameters'!$B$2),"ERROR","OK")="ERROR","ERROR",IF(COUNTIF('01_orders_raw'!$A$2:$A$181,'03_payments_raw'!B6)&lt;&gt;1,"SKIP",IF('03_payments_raw'!C6&lt;INDEX('01_orders_raw'!$B$2:$B$181,MATCH('03_payments_raw'!B6,'01_orders_raw'!$A$2:$A$181,0)),"ERROR","OK")))),"")</x:f>
        <x:v>OK</x:v>
      </x:c>
      <x:c r="I252" s="2" t="str">
        <x:f>IF(COUNTA('03_payments_raw'!A6:E6)&gt;0,IF(LEN('03_payments_raw'!E6&amp;"")=0,"SKIP",IF(AND('03_payments_raw'!E6&lt;&gt;"Оплачено",'03_payments_raw'!E6&lt;&gt;"Частично оплачено",'03_payments_raw'!E6&lt;&gt;"Не оплачено"),"ERROR","OK")),"")</x:f>
        <x:v>OK</x:v>
      </x:c>
      <x:c r="J252" s="2" t="n">
        <x:f>COUNTIF(C252:I252,"ERROR")</x:f>
        <x:v>0</x:v>
      </x:c>
      <x:c r="K252" s="2" t="n">
        <x:f>IF(COUNTA('03_payments_raw'!A6:E6)&gt;0,6,"")</x:f>
        <x:v>6</x:v>
      </x:c>
    </x:row>
    <x:row r="253">
      <x:c r="A253" s="2" t="str">
        <x:f>IF(COUNTA('03_payments_raw'!A7:E7)&gt;0,"Payment","")</x:f>
        <x:v>Payment</x:v>
      </x:c>
      <x:c r="B253" s="2" t="str">
        <x:f>IF(COUNTA('03_payments_raw'!A7:E7)&gt;0,'03_payments_raw'!A7,"")</x:f>
        <x:v>P006</x:v>
      </x:c>
      <x:c r="C253" s="2" t="str">
        <x:f>IF(COUNTA('03_payments_raw'!A7:E7)&gt;0,IF(AND(LEN('03_payments_raw'!A7&amp;"")&gt;0,COUNTIF('03_payments_raw'!$A$2:$A$141,'03_payments_raw'!A7)&gt;1),"ERROR","OK"),"")</x:f>
        <x:v>OK</x:v>
      </x:c>
      <x:c r="D253" s="2" t="str">
        <x:f>IF(COUNTA('03_payments_raw'!A7:E7)&gt;0,IF(OR(LEN('03_payments_raw'!A7&amp;"")=0,LEN('03_payments_raw'!B7&amp;"")=0,LEN('03_payments_raw'!C7&amp;"")=0,LEN('03_payments_raw'!D7&amp;"")=0,LEN('03_payments_raw'!E7&amp;"")=0),"ERROR","OK"),"")</x:f>
        <x:v>OK</x:v>
      </x:c>
      <x:c r="E253" s="2" t="str">
        <x:f>IF(COUNTA('03_payments_raw'!A7:E7)&gt;0,IF(LEN('03_payments_raw'!B7&amp;"")=0,"SKIP",IF(COUNTIF('01_orders_raw'!$A$2:$A$181,'03_payments_raw'!B7)&lt;&gt;1,"ERROR","OK")),"")</x:f>
        <x:v>OK</x:v>
      </x:c>
      <x:c r="F253" s="2" t="str">
        <x:f>IF(COUNTA('03_payments_raw'!A7:E7)&gt;0,IF(OR(COUNTIF('01_orders_raw'!$A$2:$A$181,'03_payments_raw'!B7)&lt;&gt;1,LEN('03_payments_raw'!D7&amp;"")=0),"SKIP",IF(OR(NOT(ISNUMBER('03_payments_raw'!D7)),'03_payments_raw'!D7&lt;0,'03_payments_raw'!D7&gt;INDEX('01_orders_raw'!$I$2:$I$181,MATCH('03_payments_raw'!B7,'01_orders_raw'!$A$2:$A$181,0))+'09_parameters'!$B$3),"ERROR","OK")),"")</x:f>
        <x:v>OK</x:v>
      </x:c>
      <x:c r="G253" s="2" t="str">
        <x:f>IF(COUNTA('03_payments_raw'!A7:E7)&gt;0,"N/A","")</x:f>
        <x:v>N/A</x:v>
      </x:c>
      <x:c r="H253" s="2" t="str">
        <x:f>IF(COUNTA('03_payments_raw'!A7:E7)&gt;0,IF(LEN('03_payments_raw'!C7&amp;"")=0,"SKIP",IF(IF(OR(NOT(ISNUMBER('03_payments_raw'!C7)),'03_payments_raw'!C7&lt;=0,'03_payments_raw'!C7&gt;'09_parameters'!$B$2),"ERROR","OK")="ERROR","ERROR",IF(COUNTIF('01_orders_raw'!$A$2:$A$181,'03_payments_raw'!B7)&lt;&gt;1,"SKIP",IF('03_payments_raw'!C7&lt;INDEX('01_orders_raw'!$B$2:$B$181,MATCH('03_payments_raw'!B7,'01_orders_raw'!$A$2:$A$181,0)),"ERROR","OK")))),"")</x:f>
        <x:v>OK</x:v>
      </x:c>
      <x:c r="I253" s="2" t="str">
        <x:f>IF(COUNTA('03_payments_raw'!A7:E7)&gt;0,IF(LEN('03_payments_raw'!E7&amp;"")=0,"SKIP",IF(AND('03_payments_raw'!E7&lt;&gt;"Оплачено",'03_payments_raw'!E7&lt;&gt;"Частично оплачено",'03_payments_raw'!E7&lt;&gt;"Не оплачено"),"ERROR","OK")),"")</x:f>
        <x:v>OK</x:v>
      </x:c>
      <x:c r="J253" s="2" t="n">
        <x:f>COUNTIF(C253:I253,"ERROR")</x:f>
        <x:v>0</x:v>
      </x:c>
      <x:c r="K253" s="2" t="n">
        <x:f>IF(COUNTA('03_payments_raw'!A7:E7)&gt;0,7,"")</x:f>
        <x:v>7</x:v>
      </x:c>
    </x:row>
    <x:row r="254">
      <x:c r="A254" s="2" t="str">
        <x:f>IF(COUNTA('03_payments_raw'!A8:E8)&gt;0,"Payment","")</x:f>
        <x:v>Payment</x:v>
      </x:c>
      <x:c r="B254" s="2" t="str">
        <x:f>IF(COUNTA('03_payments_raw'!A8:E8)&gt;0,'03_payments_raw'!A8,"")</x:f>
        <x:v>P007</x:v>
      </x:c>
      <x:c r="C254" s="2" t="str">
        <x:f>IF(COUNTA('03_payments_raw'!A8:E8)&gt;0,IF(AND(LEN('03_payments_raw'!A8&amp;"")&gt;0,COUNTIF('03_payments_raw'!$A$2:$A$141,'03_payments_raw'!A8)&gt;1),"ERROR","OK"),"")</x:f>
        <x:v>OK</x:v>
      </x:c>
      <x:c r="D254" s="2" t="str">
        <x:f>IF(COUNTA('03_payments_raw'!A8:E8)&gt;0,IF(OR(LEN('03_payments_raw'!A8&amp;"")=0,LEN('03_payments_raw'!B8&amp;"")=0,LEN('03_payments_raw'!C8&amp;"")=0,LEN('03_payments_raw'!D8&amp;"")=0,LEN('03_payments_raw'!E8&amp;"")=0),"ERROR","OK"),"")</x:f>
        <x:v>OK</x:v>
      </x:c>
      <x:c r="E254" s="2" t="str">
        <x:f>IF(COUNTA('03_payments_raw'!A8:E8)&gt;0,IF(LEN('03_payments_raw'!B8&amp;"")=0,"SKIP",IF(COUNTIF('01_orders_raw'!$A$2:$A$181,'03_payments_raw'!B8)&lt;&gt;1,"ERROR","OK")),"")</x:f>
        <x:v>OK</x:v>
      </x:c>
      <x:c r="F254" s="2" t="str">
        <x:f>IF(COUNTA('03_payments_raw'!A8:E8)&gt;0,IF(OR(COUNTIF('01_orders_raw'!$A$2:$A$181,'03_payments_raw'!B8)&lt;&gt;1,LEN('03_payments_raw'!D8&amp;"")=0),"SKIP",IF(OR(NOT(ISNUMBER('03_payments_raw'!D8)),'03_payments_raw'!D8&lt;0,'03_payments_raw'!D8&gt;INDEX('01_orders_raw'!$I$2:$I$181,MATCH('03_payments_raw'!B8,'01_orders_raw'!$A$2:$A$181,0))+'09_parameters'!$B$3),"ERROR","OK")),"")</x:f>
        <x:v>OK</x:v>
      </x:c>
      <x:c r="G254" s="2" t="str">
        <x:f>IF(COUNTA('03_payments_raw'!A8:E8)&gt;0,"N/A","")</x:f>
        <x:v>N/A</x:v>
      </x:c>
      <x:c r="H254" s="2" t="str">
        <x:f>IF(COUNTA('03_payments_raw'!A8:E8)&gt;0,IF(LEN('03_payments_raw'!C8&amp;"")=0,"SKIP",IF(IF(OR(NOT(ISNUMBER('03_payments_raw'!C8)),'03_payments_raw'!C8&lt;=0,'03_payments_raw'!C8&gt;'09_parameters'!$B$2),"ERROR","OK")="ERROR","ERROR",IF(COUNTIF('01_orders_raw'!$A$2:$A$181,'03_payments_raw'!B8)&lt;&gt;1,"SKIP",IF('03_payments_raw'!C8&lt;INDEX('01_orders_raw'!$B$2:$B$181,MATCH('03_payments_raw'!B8,'01_orders_raw'!$A$2:$A$181,0)),"ERROR","OK")))),"")</x:f>
        <x:v>OK</x:v>
      </x:c>
      <x:c r="I254" s="2" t="str">
        <x:f>IF(COUNTA('03_payments_raw'!A8:E8)&gt;0,IF(LEN('03_payments_raw'!E8&amp;"")=0,"SKIP",IF(AND('03_payments_raw'!E8&lt;&gt;"Оплачено",'03_payments_raw'!E8&lt;&gt;"Частично оплачено",'03_payments_raw'!E8&lt;&gt;"Не оплачено"),"ERROR","OK")),"")</x:f>
        <x:v>OK</x:v>
      </x:c>
      <x:c r="J254" s="2" t="n">
        <x:f>COUNTIF(C254:I254,"ERROR")</x:f>
        <x:v>0</x:v>
      </x:c>
      <x:c r="K254" s="2" t="n">
        <x:f>IF(COUNTA('03_payments_raw'!A8:E8)&gt;0,8,"")</x:f>
        <x:v>8</x:v>
      </x:c>
    </x:row>
    <x:row r="255">
      <x:c r="A255" s="2" t="str">
        <x:f>IF(COUNTA('03_payments_raw'!A9:E9)&gt;0,"Payment","")</x:f>
        <x:v>Payment</x:v>
      </x:c>
      <x:c r="B255" s="2" t="str">
        <x:f>IF(COUNTA('03_payments_raw'!A9:E9)&gt;0,'03_payments_raw'!A9,"")</x:f>
        <x:v>P008</x:v>
      </x:c>
      <x:c r="C255" s="2" t="str">
        <x:f>IF(COUNTA('03_payments_raw'!A9:E9)&gt;0,IF(AND(LEN('03_payments_raw'!A9&amp;"")&gt;0,COUNTIF('03_payments_raw'!$A$2:$A$141,'03_payments_raw'!A9)&gt;1),"ERROR","OK"),"")</x:f>
        <x:v>OK</x:v>
      </x:c>
      <x:c r="D255" s="2" t="str">
        <x:f>IF(COUNTA('03_payments_raw'!A9:E9)&gt;0,IF(OR(LEN('03_payments_raw'!A9&amp;"")=0,LEN('03_payments_raw'!B9&amp;"")=0,LEN('03_payments_raw'!C9&amp;"")=0,LEN('03_payments_raw'!D9&amp;"")=0,LEN('03_payments_raw'!E9&amp;"")=0),"ERROR","OK"),"")</x:f>
        <x:v>OK</x:v>
      </x:c>
      <x:c r="E255" s="2" t="str">
        <x:f>IF(COUNTA('03_payments_raw'!A9:E9)&gt;0,IF(LEN('03_payments_raw'!B9&amp;"")=0,"SKIP",IF(COUNTIF('01_orders_raw'!$A$2:$A$181,'03_payments_raw'!B9)&lt;&gt;1,"ERROR","OK")),"")</x:f>
        <x:v>ERROR</x:v>
      </x:c>
      <x:c r="F255" s="2" t="str">
        <x:f>IF(COUNTA('03_payments_raw'!A9:E9)&gt;0,IF(OR(COUNTIF('01_orders_raw'!$A$2:$A$181,'03_payments_raw'!B9)&lt;&gt;1,LEN('03_payments_raw'!D9&amp;"")=0),"SKIP",IF(OR(NOT(ISNUMBER('03_payments_raw'!D9)),'03_payments_raw'!D9&lt;0,'03_payments_raw'!D9&gt;INDEX('01_orders_raw'!$I$2:$I$181,MATCH('03_payments_raw'!B9,'01_orders_raw'!$A$2:$A$181,0))+'09_parameters'!$B$3),"ERROR","OK")),"")</x:f>
        <x:v>SKIP</x:v>
      </x:c>
      <x:c r="G255" s="2" t="str">
        <x:f>IF(COUNTA('03_payments_raw'!A9:E9)&gt;0,"N/A","")</x:f>
        <x:v>N/A</x:v>
      </x:c>
      <x:c r="H255" s="2" t="str">
        <x:f>IF(COUNTA('03_payments_raw'!A9:E9)&gt;0,IF(LEN('03_payments_raw'!C9&amp;"")=0,"SKIP",IF(IF(OR(NOT(ISNUMBER('03_payments_raw'!C9)),'03_payments_raw'!C9&lt;=0,'03_payments_raw'!C9&gt;'09_parameters'!$B$2),"ERROR","OK")="ERROR","ERROR",IF(COUNTIF('01_orders_raw'!$A$2:$A$181,'03_payments_raw'!B9)&lt;&gt;1,"SKIP",IF('03_payments_raw'!C9&lt;INDEX('01_orders_raw'!$B$2:$B$181,MATCH('03_payments_raw'!B9,'01_orders_raw'!$A$2:$A$181,0)),"ERROR","OK")))),"")</x:f>
        <x:v>SKIP</x:v>
      </x:c>
      <x:c r="I255" s="2" t="str">
        <x:f>IF(COUNTA('03_payments_raw'!A9:E9)&gt;0,IF(LEN('03_payments_raw'!E9&amp;"")=0,"SKIP",IF(AND('03_payments_raw'!E9&lt;&gt;"Оплачено",'03_payments_raw'!E9&lt;&gt;"Частично оплачено",'03_payments_raw'!E9&lt;&gt;"Не оплачено"),"ERROR","OK")),"")</x:f>
        <x:v>OK</x:v>
      </x:c>
      <x:c r="J255" s="2" t="n">
        <x:f>COUNTIF(C255:I255,"ERROR")</x:f>
        <x:v>1</x:v>
      </x:c>
      <x:c r="K255" s="2" t="n">
        <x:f>IF(COUNTA('03_payments_raw'!A9:E9)&gt;0,9,"")</x:f>
        <x:v>9</x:v>
      </x:c>
    </x:row>
    <x:row r="256">
      <x:c r="A256" s="2" t="str">
        <x:f>IF(COUNTA('03_payments_raw'!A10:E10)&gt;0,"Payment","")</x:f>
        <x:v>Payment</x:v>
      </x:c>
      <x:c r="B256" s="2" t="str">
        <x:f>IF(COUNTA('03_payments_raw'!A10:E10)&gt;0,'03_payments_raw'!A10,"")</x:f>
        <x:v>P009</x:v>
      </x:c>
      <x:c r="C256" s="2" t="str">
        <x:f>IF(COUNTA('03_payments_raw'!A10:E10)&gt;0,IF(AND(LEN('03_payments_raw'!A10&amp;"")&gt;0,COUNTIF('03_payments_raw'!$A$2:$A$141,'03_payments_raw'!A10)&gt;1),"ERROR","OK"),"")</x:f>
        <x:v>OK</x:v>
      </x:c>
      <x:c r="D256" s="2" t="str">
        <x:f>IF(COUNTA('03_payments_raw'!A10:E10)&gt;0,IF(OR(LEN('03_payments_raw'!A10&amp;"")=0,LEN('03_payments_raw'!B10&amp;"")=0,LEN('03_payments_raw'!C10&amp;"")=0,LEN('03_payments_raw'!D10&amp;"")=0,LEN('03_payments_raw'!E10&amp;"")=0),"ERROR","OK"),"")</x:f>
        <x:v>OK</x:v>
      </x:c>
      <x:c r="E256" s="2" t="str">
        <x:f>IF(COUNTA('03_payments_raw'!A10:E10)&gt;0,IF(LEN('03_payments_raw'!B10&amp;"")=0,"SKIP",IF(COUNTIF('01_orders_raw'!$A$2:$A$181,'03_payments_raw'!B10)&lt;&gt;1,"ERROR","OK")),"")</x:f>
        <x:v>OK</x:v>
      </x:c>
      <x:c r="F256" s="2" t="str">
        <x:f>IF(COUNTA('03_payments_raw'!A10:E10)&gt;0,IF(OR(COUNTIF('01_orders_raw'!$A$2:$A$181,'03_payments_raw'!B10)&lt;&gt;1,LEN('03_payments_raw'!D10&amp;"")=0),"SKIP",IF(OR(NOT(ISNUMBER('03_payments_raw'!D10)),'03_payments_raw'!D10&lt;0,'03_payments_raw'!D10&gt;INDEX('01_orders_raw'!$I$2:$I$181,MATCH('03_payments_raw'!B10,'01_orders_raw'!$A$2:$A$181,0))+'09_parameters'!$B$3),"ERROR","OK")),"")</x:f>
        <x:v>OK</x:v>
      </x:c>
      <x:c r="G256" s="2" t="str">
        <x:f>IF(COUNTA('03_payments_raw'!A10:E10)&gt;0,"N/A","")</x:f>
        <x:v>N/A</x:v>
      </x:c>
      <x:c r="H256" s="2" t="str">
        <x:f>IF(COUNTA('03_payments_raw'!A10:E10)&gt;0,IF(LEN('03_payments_raw'!C10&amp;"")=0,"SKIP",IF(IF(OR(NOT(ISNUMBER('03_payments_raw'!C10)),'03_payments_raw'!C10&lt;=0,'03_payments_raw'!C10&gt;'09_parameters'!$B$2),"ERROR","OK")="ERROR","ERROR",IF(COUNTIF('01_orders_raw'!$A$2:$A$181,'03_payments_raw'!B10)&lt;&gt;1,"SKIP",IF('03_payments_raw'!C10&lt;INDEX('01_orders_raw'!$B$2:$B$181,MATCH('03_payments_raw'!B10,'01_orders_raw'!$A$2:$A$181,0)),"ERROR","OK")))),"")</x:f>
        <x:v>OK</x:v>
      </x:c>
      <x:c r="I256" s="2" t="str">
        <x:f>IF(COUNTA('03_payments_raw'!A10:E10)&gt;0,IF(LEN('03_payments_raw'!E10&amp;"")=0,"SKIP",IF(AND('03_payments_raw'!E10&lt;&gt;"Оплачено",'03_payments_raw'!E10&lt;&gt;"Частично оплачено",'03_payments_raw'!E10&lt;&gt;"Не оплачено"),"ERROR","OK")),"")</x:f>
        <x:v>OK</x:v>
      </x:c>
      <x:c r="J256" s="2" t="n">
        <x:f>COUNTIF(C256:I256,"ERROR")</x:f>
        <x:v>0</x:v>
      </x:c>
      <x:c r="K256" s="2" t="n">
        <x:f>IF(COUNTA('03_payments_raw'!A10:E10)&gt;0,10,"")</x:f>
        <x:v>10</x:v>
      </x:c>
    </x:row>
    <x:row r="257">
      <x:c r="A257" s="2" t="str">
        <x:f>IF(COUNTA('03_payments_raw'!A11:E11)&gt;0,"Payment","")</x:f>
        <x:v>Payment</x:v>
      </x:c>
      <x:c r="B257" s="2" t="str">
        <x:f>IF(COUNTA('03_payments_raw'!A11:E11)&gt;0,'03_payments_raw'!A11,"")</x:f>
        <x:v>P010</x:v>
      </x:c>
      <x:c r="C257" s="2" t="str">
        <x:f>IF(COUNTA('03_payments_raw'!A11:E11)&gt;0,IF(AND(LEN('03_payments_raw'!A11&amp;"")&gt;0,COUNTIF('03_payments_raw'!$A$2:$A$141,'03_payments_raw'!A11)&gt;1),"ERROR","OK"),"")</x:f>
        <x:v>OK</x:v>
      </x:c>
      <x:c r="D257" s="2" t="str">
        <x:f>IF(COUNTA('03_payments_raw'!A11:E11)&gt;0,IF(OR(LEN('03_payments_raw'!A11&amp;"")=0,LEN('03_payments_raw'!B11&amp;"")=0,LEN('03_payments_raw'!C11&amp;"")=0,LEN('03_payments_raw'!D11&amp;"")=0,LEN('03_payments_raw'!E11&amp;"")=0),"ERROR","OK"),"")</x:f>
        <x:v>OK</x:v>
      </x:c>
      <x:c r="E257" s="2" t="str">
        <x:f>IF(COUNTA('03_payments_raw'!A11:E11)&gt;0,IF(LEN('03_payments_raw'!B11&amp;"")=0,"SKIP",IF(COUNTIF('01_orders_raw'!$A$2:$A$181,'03_payments_raw'!B11)&lt;&gt;1,"ERROR","OK")),"")</x:f>
        <x:v>ERROR</x:v>
      </x:c>
      <x:c r="F257" s="2" t="str">
        <x:f>IF(COUNTA('03_payments_raw'!A11:E11)&gt;0,IF(OR(COUNTIF('01_orders_raw'!$A$2:$A$181,'03_payments_raw'!B11)&lt;&gt;1,LEN('03_payments_raw'!D11&amp;"")=0),"SKIP",IF(OR(NOT(ISNUMBER('03_payments_raw'!D11)),'03_payments_raw'!D11&lt;0,'03_payments_raw'!D11&gt;INDEX('01_orders_raw'!$I$2:$I$181,MATCH('03_payments_raw'!B11,'01_orders_raw'!$A$2:$A$181,0))+'09_parameters'!$B$3),"ERROR","OK")),"")</x:f>
        <x:v>SKIP</x:v>
      </x:c>
      <x:c r="G257" s="2" t="str">
        <x:f>IF(COUNTA('03_payments_raw'!A11:E11)&gt;0,"N/A","")</x:f>
        <x:v>N/A</x:v>
      </x:c>
      <x:c r="H257" s="2" t="str">
        <x:f>IF(COUNTA('03_payments_raw'!A11:E11)&gt;0,IF(LEN('03_payments_raw'!C11&amp;"")=0,"SKIP",IF(IF(OR(NOT(ISNUMBER('03_payments_raw'!C11)),'03_payments_raw'!C11&lt;=0,'03_payments_raw'!C11&gt;'09_parameters'!$B$2),"ERROR","OK")="ERROR","ERROR",IF(COUNTIF('01_orders_raw'!$A$2:$A$181,'03_payments_raw'!B11)&lt;&gt;1,"SKIP",IF('03_payments_raw'!C11&lt;INDEX('01_orders_raw'!$B$2:$B$181,MATCH('03_payments_raw'!B11,'01_orders_raw'!$A$2:$A$181,0)),"ERROR","OK")))),"")</x:f>
        <x:v>SKIP</x:v>
      </x:c>
      <x:c r="I257" s="2" t="str">
        <x:f>IF(COUNTA('03_payments_raw'!A11:E11)&gt;0,IF(LEN('03_payments_raw'!E11&amp;"")=0,"SKIP",IF(AND('03_payments_raw'!E11&lt;&gt;"Оплачено",'03_payments_raw'!E11&lt;&gt;"Частично оплачено",'03_payments_raw'!E11&lt;&gt;"Не оплачено"),"ERROR","OK")),"")</x:f>
        <x:v>OK</x:v>
      </x:c>
      <x:c r="J257" s="2" t="n">
        <x:f>COUNTIF(C257:I257,"ERROR")</x:f>
        <x:v>1</x:v>
      </x:c>
      <x:c r="K257" s="2" t="n">
        <x:f>IF(COUNTA('03_payments_raw'!A11:E11)&gt;0,11,"")</x:f>
        <x:v>11</x:v>
      </x:c>
    </x:row>
    <x:row r="258">
      <x:c r="A258" s="2" t="str">
        <x:f>IF(COUNTA('03_payments_raw'!A12:E12)&gt;0,"Payment","")</x:f>
        <x:v>Payment</x:v>
      </x:c>
      <x:c r="B258" s="2" t="str">
        <x:f>IF(COUNTA('03_payments_raw'!A12:E12)&gt;0,'03_payments_raw'!A12,"")</x:f>
        <x:v>P011</x:v>
      </x:c>
      <x:c r="C258" s="2" t="str">
        <x:f>IF(COUNTA('03_payments_raw'!A12:E12)&gt;0,IF(AND(LEN('03_payments_raw'!A12&amp;"")&gt;0,COUNTIF('03_payments_raw'!$A$2:$A$141,'03_payments_raw'!A12)&gt;1),"ERROR","OK"),"")</x:f>
        <x:v>OK</x:v>
      </x:c>
      <x:c r="D258" s="2" t="str">
        <x:f>IF(COUNTA('03_payments_raw'!A12:E12)&gt;0,IF(OR(LEN('03_payments_raw'!A12&amp;"")=0,LEN('03_payments_raw'!B12&amp;"")=0,LEN('03_payments_raw'!C12&amp;"")=0,LEN('03_payments_raw'!D12&amp;"")=0,LEN('03_payments_raw'!E12&amp;"")=0),"ERROR","OK"),"")</x:f>
        <x:v>OK</x:v>
      </x:c>
      <x:c r="E258" s="2" t="str">
        <x:f>IF(COUNTA('03_payments_raw'!A12:E12)&gt;0,IF(LEN('03_payments_raw'!B12&amp;"")=0,"SKIP",IF(COUNTIF('01_orders_raw'!$A$2:$A$181,'03_payments_raw'!B12)&lt;&gt;1,"ERROR","OK")),"")</x:f>
        <x:v>OK</x:v>
      </x:c>
      <x:c r="F258" s="2" t="str">
        <x:f>IF(COUNTA('03_payments_raw'!A12:E12)&gt;0,IF(OR(COUNTIF('01_orders_raw'!$A$2:$A$181,'03_payments_raw'!B12)&lt;&gt;1,LEN('03_payments_raw'!D12&amp;"")=0),"SKIP",IF(OR(NOT(ISNUMBER('03_payments_raw'!D12)),'03_payments_raw'!D12&lt;0,'03_payments_raw'!D12&gt;INDEX('01_orders_raw'!$I$2:$I$181,MATCH('03_payments_raw'!B12,'01_orders_raw'!$A$2:$A$181,0))+'09_parameters'!$B$3),"ERROR","OK")),"")</x:f>
        <x:v>OK</x:v>
      </x:c>
      <x:c r="G258" s="2" t="str">
        <x:f>IF(COUNTA('03_payments_raw'!A12:E12)&gt;0,"N/A","")</x:f>
        <x:v>N/A</x:v>
      </x:c>
      <x:c r="H258" s="2" t="str">
        <x:f>IF(COUNTA('03_payments_raw'!A12:E12)&gt;0,IF(LEN('03_payments_raw'!C12&amp;"")=0,"SKIP",IF(IF(OR(NOT(ISNUMBER('03_payments_raw'!C12)),'03_payments_raw'!C12&lt;=0,'03_payments_raw'!C12&gt;'09_parameters'!$B$2),"ERROR","OK")="ERROR","ERROR",IF(COUNTIF('01_orders_raw'!$A$2:$A$181,'03_payments_raw'!B12)&lt;&gt;1,"SKIP",IF('03_payments_raw'!C12&lt;INDEX('01_orders_raw'!$B$2:$B$181,MATCH('03_payments_raw'!B12,'01_orders_raw'!$A$2:$A$181,0)),"ERROR","OK")))),"")</x:f>
        <x:v>OK</x:v>
      </x:c>
      <x:c r="I258" s="2" t="str">
        <x:f>IF(COUNTA('03_payments_raw'!A12:E12)&gt;0,IF(LEN('03_payments_raw'!E12&amp;"")=0,"SKIP",IF(AND('03_payments_raw'!E12&lt;&gt;"Оплачено",'03_payments_raw'!E12&lt;&gt;"Частично оплачено",'03_payments_raw'!E12&lt;&gt;"Не оплачено"),"ERROR","OK")),"")</x:f>
        <x:v>OK</x:v>
      </x:c>
      <x:c r="J258" s="2" t="n">
        <x:f>COUNTIF(C258:I258,"ERROR")</x:f>
        <x:v>0</x:v>
      </x:c>
      <x:c r="K258" s="2" t="n">
        <x:f>IF(COUNTA('03_payments_raw'!A12:E12)&gt;0,12,"")</x:f>
        <x:v>12</x:v>
      </x:c>
    </x:row>
    <x:row r="259">
      <x:c r="A259" s="2" t="str">
        <x:f>IF(COUNTA('03_payments_raw'!A13:E13)&gt;0,"Payment","")</x:f>
        <x:v>Payment</x:v>
      </x:c>
      <x:c r="B259" s="2" t="str">
        <x:f>IF(COUNTA('03_payments_raw'!A13:E13)&gt;0,'03_payments_raw'!A13,"")</x:f>
        <x:v>P012</x:v>
      </x:c>
      <x:c r="C259" s="2" t="str">
        <x:f>IF(COUNTA('03_payments_raw'!A13:E13)&gt;0,IF(AND(LEN('03_payments_raw'!A13&amp;"")&gt;0,COUNTIF('03_payments_raw'!$A$2:$A$141,'03_payments_raw'!A13)&gt;1),"ERROR","OK"),"")</x:f>
        <x:v>OK</x:v>
      </x:c>
      <x:c r="D259" s="2" t="str">
        <x:f>IF(COUNTA('03_payments_raw'!A13:E13)&gt;0,IF(OR(LEN('03_payments_raw'!A13&amp;"")=0,LEN('03_payments_raw'!B13&amp;"")=0,LEN('03_payments_raw'!C13&amp;"")=0,LEN('03_payments_raw'!D13&amp;"")=0,LEN('03_payments_raw'!E13&amp;"")=0),"ERROR","OK"),"")</x:f>
        <x:v>OK</x:v>
      </x:c>
      <x:c r="E259" s="2" t="str">
        <x:f>IF(COUNTA('03_payments_raw'!A13:E13)&gt;0,IF(LEN('03_payments_raw'!B13&amp;"")=0,"SKIP",IF(COUNTIF('01_orders_raw'!$A$2:$A$181,'03_payments_raw'!B13)&lt;&gt;1,"ERROR","OK")),"")</x:f>
        <x:v>OK</x:v>
      </x:c>
      <x:c r="F259" s="2" t="str">
        <x:f>IF(COUNTA('03_payments_raw'!A13:E13)&gt;0,IF(OR(COUNTIF('01_orders_raw'!$A$2:$A$181,'03_payments_raw'!B13)&lt;&gt;1,LEN('03_payments_raw'!D13&amp;"")=0),"SKIP",IF(OR(NOT(ISNUMBER('03_payments_raw'!D13)),'03_payments_raw'!D13&lt;0,'03_payments_raw'!D13&gt;INDEX('01_orders_raw'!$I$2:$I$181,MATCH('03_payments_raw'!B13,'01_orders_raw'!$A$2:$A$181,0))+'09_parameters'!$B$3),"ERROR","OK")),"")</x:f>
        <x:v>OK</x:v>
      </x:c>
      <x:c r="G259" s="2" t="str">
        <x:f>IF(COUNTA('03_payments_raw'!A13:E13)&gt;0,"N/A","")</x:f>
        <x:v>N/A</x:v>
      </x:c>
      <x:c r="H259" s="2" t="str">
        <x:f>IF(COUNTA('03_payments_raw'!A13:E13)&gt;0,IF(LEN('03_payments_raw'!C13&amp;"")=0,"SKIP",IF(IF(OR(NOT(ISNUMBER('03_payments_raw'!C13)),'03_payments_raw'!C13&lt;=0,'03_payments_raw'!C13&gt;'09_parameters'!$B$2),"ERROR","OK")="ERROR","ERROR",IF(COUNTIF('01_orders_raw'!$A$2:$A$181,'03_payments_raw'!B13)&lt;&gt;1,"SKIP",IF('03_payments_raw'!C13&lt;INDEX('01_orders_raw'!$B$2:$B$181,MATCH('03_payments_raw'!B13,'01_orders_raw'!$A$2:$A$181,0)),"ERROR","OK")))),"")</x:f>
        <x:v>OK</x:v>
      </x:c>
      <x:c r="I259" s="2" t="str">
        <x:f>IF(COUNTA('03_payments_raw'!A13:E13)&gt;0,IF(LEN('03_payments_raw'!E13&amp;"")=0,"SKIP",IF(AND('03_payments_raw'!E13&lt;&gt;"Оплачено",'03_payments_raw'!E13&lt;&gt;"Частично оплачено",'03_payments_raw'!E13&lt;&gt;"Не оплачено"),"ERROR","OK")),"")</x:f>
        <x:v>OK</x:v>
      </x:c>
      <x:c r="J259" s="2" t="n">
        <x:f>COUNTIF(C259:I259,"ERROR")</x:f>
        <x:v>0</x:v>
      </x:c>
      <x:c r="K259" s="2" t="n">
        <x:f>IF(COUNTA('03_payments_raw'!A13:E13)&gt;0,13,"")</x:f>
        <x:v>13</x:v>
      </x:c>
    </x:row>
    <x:row r="260">
      <x:c r="A260" s="2" t="str">
        <x:f>IF(COUNTA('03_payments_raw'!A14:E14)&gt;0,"Payment","")</x:f>
        <x:v>Payment</x:v>
      </x:c>
      <x:c r="B260" s="2" t="str">
        <x:f>IF(COUNTA('03_payments_raw'!A14:E14)&gt;0,'03_payments_raw'!A14,"")</x:f>
        <x:v>P013</x:v>
      </x:c>
      <x:c r="C260" s="2" t="str">
        <x:f>IF(COUNTA('03_payments_raw'!A14:E14)&gt;0,IF(AND(LEN('03_payments_raw'!A14&amp;"")&gt;0,COUNTIF('03_payments_raw'!$A$2:$A$141,'03_payments_raw'!A14)&gt;1),"ERROR","OK"),"")</x:f>
        <x:v>OK</x:v>
      </x:c>
      <x:c r="D260" s="2" t="str">
        <x:f>IF(COUNTA('03_payments_raw'!A14:E14)&gt;0,IF(OR(LEN('03_payments_raw'!A14&amp;"")=0,LEN('03_payments_raw'!B14&amp;"")=0,LEN('03_payments_raw'!C14&amp;"")=0,LEN('03_payments_raw'!D14&amp;"")=0,LEN('03_payments_raw'!E14&amp;"")=0),"ERROR","OK"),"")</x:f>
        <x:v>OK</x:v>
      </x:c>
      <x:c r="E260" s="2" t="str">
        <x:f>IF(COUNTA('03_payments_raw'!A14:E14)&gt;0,IF(LEN('03_payments_raw'!B14&amp;"")=0,"SKIP",IF(COUNTIF('01_orders_raw'!$A$2:$A$181,'03_payments_raw'!B14)&lt;&gt;1,"ERROR","OK")),"")</x:f>
        <x:v>OK</x:v>
      </x:c>
      <x:c r="F260" s="2" t="str">
        <x:f>IF(COUNTA('03_payments_raw'!A14:E14)&gt;0,IF(OR(COUNTIF('01_orders_raw'!$A$2:$A$181,'03_payments_raw'!B14)&lt;&gt;1,LEN('03_payments_raw'!D14&amp;"")=0),"SKIP",IF(OR(NOT(ISNUMBER('03_payments_raw'!D14)),'03_payments_raw'!D14&lt;0,'03_payments_raw'!D14&gt;INDEX('01_orders_raw'!$I$2:$I$181,MATCH('03_payments_raw'!B14,'01_orders_raw'!$A$2:$A$181,0))+'09_parameters'!$B$3),"ERROR","OK")),"")</x:f>
        <x:v>OK</x:v>
      </x:c>
      <x:c r="G260" s="2" t="str">
        <x:f>IF(COUNTA('03_payments_raw'!A14:E14)&gt;0,"N/A","")</x:f>
        <x:v>N/A</x:v>
      </x:c>
      <x:c r="H260" s="2" t="str">
        <x:f>IF(COUNTA('03_payments_raw'!A14:E14)&gt;0,IF(LEN('03_payments_raw'!C14&amp;"")=0,"SKIP",IF(IF(OR(NOT(ISNUMBER('03_payments_raw'!C14)),'03_payments_raw'!C14&lt;=0,'03_payments_raw'!C14&gt;'09_parameters'!$B$2),"ERROR","OK")="ERROR","ERROR",IF(COUNTIF('01_orders_raw'!$A$2:$A$181,'03_payments_raw'!B14)&lt;&gt;1,"SKIP",IF('03_payments_raw'!C14&lt;INDEX('01_orders_raw'!$B$2:$B$181,MATCH('03_payments_raw'!B14,'01_orders_raw'!$A$2:$A$181,0)),"ERROR","OK")))),"")</x:f>
        <x:v>OK</x:v>
      </x:c>
      <x:c r="I260" s="2" t="str">
        <x:f>IF(COUNTA('03_payments_raw'!A14:E14)&gt;0,IF(LEN('03_payments_raw'!E14&amp;"")=0,"SKIP",IF(AND('03_payments_raw'!E14&lt;&gt;"Оплачено",'03_payments_raw'!E14&lt;&gt;"Частично оплачено",'03_payments_raw'!E14&lt;&gt;"Не оплачено"),"ERROR","OK")),"")</x:f>
        <x:v>OK</x:v>
      </x:c>
      <x:c r="J260" s="2" t="n">
        <x:f>COUNTIF(C260:I260,"ERROR")</x:f>
        <x:v>0</x:v>
      </x:c>
      <x:c r="K260" s="2" t="n">
        <x:f>IF(COUNTA('03_payments_raw'!A14:E14)&gt;0,14,"")</x:f>
        <x:v>14</x:v>
      </x:c>
    </x:row>
    <x:row r="261">
      <x:c r="A261" s="2" t="str">
        <x:f>IF(COUNTA('03_payments_raw'!A15:E15)&gt;0,"Payment","")</x:f>
        <x:v>Payment</x:v>
      </x:c>
      <x:c r="B261" s="2" t="str">
        <x:f>IF(COUNTA('03_payments_raw'!A15:E15)&gt;0,'03_payments_raw'!A15,"")</x:f>
        <x:v>P014</x:v>
      </x:c>
      <x:c r="C261" s="2" t="str">
        <x:f>IF(COUNTA('03_payments_raw'!A15:E15)&gt;0,IF(AND(LEN('03_payments_raw'!A15&amp;"")&gt;0,COUNTIF('03_payments_raw'!$A$2:$A$141,'03_payments_raw'!A15)&gt;1),"ERROR","OK"),"")</x:f>
        <x:v>OK</x:v>
      </x:c>
      <x:c r="D261" s="2" t="str">
        <x:f>IF(COUNTA('03_payments_raw'!A15:E15)&gt;0,IF(OR(LEN('03_payments_raw'!A15&amp;"")=0,LEN('03_payments_raw'!B15&amp;"")=0,LEN('03_payments_raw'!C15&amp;"")=0,LEN('03_payments_raw'!D15&amp;"")=0,LEN('03_payments_raw'!E15&amp;"")=0),"ERROR","OK"),"")</x:f>
        <x:v>OK</x:v>
      </x:c>
      <x:c r="E261" s="2" t="str">
        <x:f>IF(COUNTA('03_payments_raw'!A15:E15)&gt;0,IF(LEN('03_payments_raw'!B15&amp;"")=0,"SKIP",IF(COUNTIF('01_orders_raw'!$A$2:$A$181,'03_payments_raw'!B15)&lt;&gt;1,"ERROR","OK")),"")</x:f>
        <x:v>OK</x:v>
      </x:c>
      <x:c r="F261" s="2" t="str">
        <x:f>IF(COUNTA('03_payments_raw'!A15:E15)&gt;0,IF(OR(COUNTIF('01_orders_raw'!$A$2:$A$181,'03_payments_raw'!B15)&lt;&gt;1,LEN('03_payments_raw'!D15&amp;"")=0),"SKIP",IF(OR(NOT(ISNUMBER('03_payments_raw'!D15)),'03_payments_raw'!D15&lt;0,'03_payments_raw'!D15&gt;INDEX('01_orders_raw'!$I$2:$I$181,MATCH('03_payments_raw'!B15,'01_orders_raw'!$A$2:$A$181,0))+'09_parameters'!$B$3),"ERROR","OK")),"")</x:f>
        <x:v>OK</x:v>
      </x:c>
      <x:c r="G261" s="2" t="str">
        <x:f>IF(COUNTA('03_payments_raw'!A15:E15)&gt;0,"N/A","")</x:f>
        <x:v>N/A</x:v>
      </x:c>
      <x:c r="H261" s="2" t="str">
        <x:f>IF(COUNTA('03_payments_raw'!A15:E15)&gt;0,IF(LEN('03_payments_raw'!C15&amp;"")=0,"SKIP",IF(IF(OR(NOT(ISNUMBER('03_payments_raw'!C15)),'03_payments_raw'!C15&lt;=0,'03_payments_raw'!C15&gt;'09_parameters'!$B$2),"ERROR","OK")="ERROR","ERROR",IF(COUNTIF('01_orders_raw'!$A$2:$A$181,'03_payments_raw'!B15)&lt;&gt;1,"SKIP",IF('03_payments_raw'!C15&lt;INDEX('01_orders_raw'!$B$2:$B$181,MATCH('03_payments_raw'!B15,'01_orders_raw'!$A$2:$A$181,0)),"ERROR","OK")))),"")</x:f>
        <x:v>OK</x:v>
      </x:c>
      <x:c r="I261" s="2" t="str">
        <x:f>IF(COUNTA('03_payments_raw'!A15:E15)&gt;0,IF(LEN('03_payments_raw'!E15&amp;"")=0,"SKIP",IF(AND('03_payments_raw'!E15&lt;&gt;"Оплачено",'03_payments_raw'!E15&lt;&gt;"Частично оплачено",'03_payments_raw'!E15&lt;&gt;"Не оплачено"),"ERROR","OK")),"")</x:f>
        <x:v>OK</x:v>
      </x:c>
      <x:c r="J261" s="2" t="n">
        <x:f>COUNTIF(C261:I261,"ERROR")</x:f>
        <x:v>0</x:v>
      </x:c>
      <x:c r="K261" s="2" t="n">
        <x:f>IF(COUNTA('03_payments_raw'!A15:E15)&gt;0,15,"")</x:f>
        <x:v>15</x:v>
      </x:c>
    </x:row>
    <x:row r="262">
      <x:c r="A262" s="2" t="str">
        <x:f>IF(COUNTA('03_payments_raw'!A16:E16)&gt;0,"Payment","")</x:f>
        <x:v>Payment</x:v>
      </x:c>
      <x:c r="B262" s="2" t="str">
        <x:f>IF(COUNTA('03_payments_raw'!A16:E16)&gt;0,'03_payments_raw'!A16,"")</x:f>
        <x:v>P015</x:v>
      </x:c>
      <x:c r="C262" s="2" t="str">
        <x:f>IF(COUNTA('03_payments_raw'!A16:E16)&gt;0,IF(AND(LEN('03_payments_raw'!A16&amp;"")&gt;0,COUNTIF('03_payments_raw'!$A$2:$A$141,'03_payments_raw'!A16)&gt;1),"ERROR","OK"),"")</x:f>
        <x:v>OK</x:v>
      </x:c>
      <x:c r="D262" s="2" t="str">
        <x:f>IF(COUNTA('03_payments_raw'!A16:E16)&gt;0,IF(OR(LEN('03_payments_raw'!A16&amp;"")=0,LEN('03_payments_raw'!B16&amp;"")=0,LEN('03_payments_raw'!C16&amp;"")=0,LEN('03_payments_raw'!D16&amp;"")=0,LEN('03_payments_raw'!E16&amp;"")=0),"ERROR","OK"),"")</x:f>
        <x:v>OK</x:v>
      </x:c>
      <x:c r="E262" s="2" t="str">
        <x:f>IF(COUNTA('03_payments_raw'!A16:E16)&gt;0,IF(LEN('03_payments_raw'!B16&amp;"")=0,"SKIP",IF(COUNTIF('01_orders_raw'!$A$2:$A$181,'03_payments_raw'!B16)&lt;&gt;1,"ERROR","OK")),"")</x:f>
        <x:v>OK</x:v>
      </x:c>
      <x:c r="F262" s="2" t="str">
        <x:f>IF(COUNTA('03_payments_raw'!A16:E16)&gt;0,IF(OR(COUNTIF('01_orders_raw'!$A$2:$A$181,'03_payments_raw'!B16)&lt;&gt;1,LEN('03_payments_raw'!D16&amp;"")=0),"SKIP",IF(OR(NOT(ISNUMBER('03_payments_raw'!D16)),'03_payments_raw'!D16&lt;0,'03_payments_raw'!D16&gt;INDEX('01_orders_raw'!$I$2:$I$181,MATCH('03_payments_raw'!B16,'01_orders_raw'!$A$2:$A$181,0))+'09_parameters'!$B$3),"ERROR","OK")),"")</x:f>
        <x:v>OK</x:v>
      </x:c>
      <x:c r="G262" s="2" t="str">
        <x:f>IF(COUNTA('03_payments_raw'!A16:E16)&gt;0,"N/A","")</x:f>
        <x:v>N/A</x:v>
      </x:c>
      <x:c r="H262" s="2" t="str">
        <x:f>IF(COUNTA('03_payments_raw'!A16:E16)&gt;0,IF(LEN('03_payments_raw'!C16&amp;"")=0,"SKIP",IF(IF(OR(NOT(ISNUMBER('03_payments_raw'!C16)),'03_payments_raw'!C16&lt;=0,'03_payments_raw'!C16&gt;'09_parameters'!$B$2),"ERROR","OK")="ERROR","ERROR",IF(COUNTIF('01_orders_raw'!$A$2:$A$181,'03_payments_raw'!B16)&lt;&gt;1,"SKIP",IF('03_payments_raw'!C16&lt;INDEX('01_orders_raw'!$B$2:$B$181,MATCH('03_payments_raw'!B16,'01_orders_raw'!$A$2:$A$181,0)),"ERROR","OK")))),"")</x:f>
        <x:v>OK</x:v>
      </x:c>
      <x:c r="I262" s="2" t="str">
        <x:f>IF(COUNTA('03_payments_raw'!A16:E16)&gt;0,IF(LEN('03_payments_raw'!E16&amp;"")=0,"SKIP",IF(AND('03_payments_raw'!E16&lt;&gt;"Оплачено",'03_payments_raw'!E16&lt;&gt;"Частично оплачено",'03_payments_raw'!E16&lt;&gt;"Не оплачено"),"ERROR","OK")),"")</x:f>
        <x:v>OK</x:v>
      </x:c>
      <x:c r="J262" s="2" t="n">
        <x:f>COUNTIF(C262:I262,"ERROR")</x:f>
        <x:v>0</x:v>
      </x:c>
      <x:c r="K262" s="2" t="n">
        <x:f>IF(COUNTA('03_payments_raw'!A16:E16)&gt;0,16,"")</x:f>
        <x:v>16</x:v>
      </x:c>
    </x:row>
    <x:row r="263">
      <x:c r="A263" s="2" t="str">
        <x:f>IF(COUNTA('03_payments_raw'!A17:E17)&gt;0,"Payment","")</x:f>
        <x:v>Payment</x:v>
      </x:c>
      <x:c r="B263" s="2" t="str">
        <x:f>IF(COUNTA('03_payments_raw'!A17:E17)&gt;0,'03_payments_raw'!A17,"")</x:f>
        <x:v>P016</x:v>
      </x:c>
      <x:c r="C263" s="2" t="str">
        <x:f>IF(COUNTA('03_payments_raw'!A17:E17)&gt;0,IF(AND(LEN('03_payments_raw'!A17&amp;"")&gt;0,COUNTIF('03_payments_raw'!$A$2:$A$141,'03_payments_raw'!A17)&gt;1),"ERROR","OK"),"")</x:f>
        <x:v>OK</x:v>
      </x:c>
      <x:c r="D263" s="2" t="str">
        <x:f>IF(COUNTA('03_payments_raw'!A17:E17)&gt;0,IF(OR(LEN('03_payments_raw'!A17&amp;"")=0,LEN('03_payments_raw'!B17&amp;"")=0,LEN('03_payments_raw'!C17&amp;"")=0,LEN('03_payments_raw'!D17&amp;"")=0,LEN('03_payments_raw'!E17&amp;"")=0),"ERROR","OK"),"")</x:f>
        <x:v>OK</x:v>
      </x:c>
      <x:c r="E263" s="2" t="str">
        <x:f>IF(COUNTA('03_payments_raw'!A17:E17)&gt;0,IF(LEN('03_payments_raw'!B17&amp;"")=0,"SKIP",IF(COUNTIF('01_orders_raw'!$A$2:$A$181,'03_payments_raw'!B17)&lt;&gt;1,"ERROR","OK")),"")</x:f>
        <x:v>OK</x:v>
      </x:c>
      <x:c r="F263" s="2" t="str">
        <x:f>IF(COUNTA('03_payments_raw'!A17:E17)&gt;0,IF(OR(COUNTIF('01_orders_raw'!$A$2:$A$181,'03_payments_raw'!B17)&lt;&gt;1,LEN('03_payments_raw'!D17&amp;"")=0),"SKIP",IF(OR(NOT(ISNUMBER('03_payments_raw'!D17)),'03_payments_raw'!D17&lt;0,'03_payments_raw'!D17&gt;INDEX('01_orders_raw'!$I$2:$I$181,MATCH('03_payments_raw'!B17,'01_orders_raw'!$A$2:$A$181,0))+'09_parameters'!$B$3),"ERROR","OK")),"")</x:f>
        <x:v>OK</x:v>
      </x:c>
      <x:c r="G263" s="2" t="str">
        <x:f>IF(COUNTA('03_payments_raw'!A17:E17)&gt;0,"N/A","")</x:f>
        <x:v>N/A</x:v>
      </x:c>
      <x:c r="H263" s="2" t="str">
        <x:f>IF(COUNTA('03_payments_raw'!A17:E17)&gt;0,IF(LEN('03_payments_raw'!C17&amp;"")=0,"SKIP",IF(IF(OR(NOT(ISNUMBER('03_payments_raw'!C17)),'03_payments_raw'!C17&lt;=0,'03_payments_raw'!C17&gt;'09_parameters'!$B$2),"ERROR","OK")="ERROR","ERROR",IF(COUNTIF('01_orders_raw'!$A$2:$A$181,'03_payments_raw'!B17)&lt;&gt;1,"SKIP",IF('03_payments_raw'!C17&lt;INDEX('01_orders_raw'!$B$2:$B$181,MATCH('03_payments_raw'!B17,'01_orders_raw'!$A$2:$A$181,0)),"ERROR","OK")))),"")</x:f>
        <x:v>OK</x:v>
      </x:c>
      <x:c r="I263" s="2" t="str">
        <x:f>IF(COUNTA('03_payments_raw'!A17:E17)&gt;0,IF(LEN('03_payments_raw'!E17&amp;"")=0,"SKIP",IF(AND('03_payments_raw'!E17&lt;&gt;"Оплачено",'03_payments_raw'!E17&lt;&gt;"Частично оплачено",'03_payments_raw'!E17&lt;&gt;"Не оплачено"),"ERROR","OK")),"")</x:f>
        <x:v>OK</x:v>
      </x:c>
      <x:c r="J263" s="2" t="n">
        <x:f>COUNTIF(C263:I263,"ERROR")</x:f>
        <x:v>0</x:v>
      </x:c>
      <x:c r="K263" s="2" t="n">
        <x:f>IF(COUNTA('03_payments_raw'!A17:E17)&gt;0,17,"")</x:f>
        <x:v>17</x:v>
      </x:c>
    </x:row>
    <x:row r="264">
      <x:c r="A264" s="2" t="str">
        <x:f>IF(COUNTA('03_payments_raw'!A18:E18)&gt;0,"Payment","")</x:f>
        <x:v>Payment</x:v>
      </x:c>
      <x:c r="B264" s="2" t="str">
        <x:f>IF(COUNTA('03_payments_raw'!A18:E18)&gt;0,'03_payments_raw'!A18,"")</x:f>
        <x:v>P017</x:v>
      </x:c>
      <x:c r="C264" s="2" t="str">
        <x:f>IF(COUNTA('03_payments_raw'!A18:E18)&gt;0,IF(AND(LEN('03_payments_raw'!A18&amp;"")&gt;0,COUNTIF('03_payments_raw'!$A$2:$A$141,'03_payments_raw'!A18)&gt;1),"ERROR","OK"),"")</x:f>
        <x:v>OK</x:v>
      </x:c>
      <x:c r="D264" s="2" t="str">
        <x:f>IF(COUNTA('03_payments_raw'!A18:E18)&gt;0,IF(OR(LEN('03_payments_raw'!A18&amp;"")=0,LEN('03_payments_raw'!B18&amp;"")=0,LEN('03_payments_raw'!C18&amp;"")=0,LEN('03_payments_raw'!D18&amp;"")=0,LEN('03_payments_raw'!E18&amp;"")=0),"ERROR","OK"),"")</x:f>
        <x:v>OK</x:v>
      </x:c>
      <x:c r="E264" s="2" t="str">
        <x:f>IF(COUNTA('03_payments_raw'!A18:E18)&gt;0,IF(LEN('03_payments_raw'!B18&amp;"")=0,"SKIP",IF(COUNTIF('01_orders_raw'!$A$2:$A$181,'03_payments_raw'!B18)&lt;&gt;1,"ERROR","OK")),"")</x:f>
        <x:v>OK</x:v>
      </x:c>
      <x:c r="F264" s="2" t="str">
        <x:f>IF(COUNTA('03_payments_raw'!A18:E18)&gt;0,IF(OR(COUNTIF('01_orders_raw'!$A$2:$A$181,'03_payments_raw'!B18)&lt;&gt;1,LEN('03_payments_raw'!D18&amp;"")=0),"SKIP",IF(OR(NOT(ISNUMBER('03_payments_raw'!D18)),'03_payments_raw'!D18&lt;0,'03_payments_raw'!D18&gt;INDEX('01_orders_raw'!$I$2:$I$181,MATCH('03_payments_raw'!B18,'01_orders_raw'!$A$2:$A$181,0))+'09_parameters'!$B$3),"ERROR","OK")),"")</x:f>
        <x:v>OK</x:v>
      </x:c>
      <x:c r="G264" s="2" t="str">
        <x:f>IF(COUNTA('03_payments_raw'!A18:E18)&gt;0,"N/A","")</x:f>
        <x:v>N/A</x:v>
      </x:c>
      <x:c r="H264" s="2" t="str">
        <x:f>IF(COUNTA('03_payments_raw'!A18:E18)&gt;0,IF(LEN('03_payments_raw'!C18&amp;"")=0,"SKIP",IF(IF(OR(NOT(ISNUMBER('03_payments_raw'!C18)),'03_payments_raw'!C18&lt;=0,'03_payments_raw'!C18&gt;'09_parameters'!$B$2),"ERROR","OK")="ERROR","ERROR",IF(COUNTIF('01_orders_raw'!$A$2:$A$181,'03_payments_raw'!B18)&lt;&gt;1,"SKIP",IF('03_payments_raw'!C18&lt;INDEX('01_orders_raw'!$B$2:$B$181,MATCH('03_payments_raw'!B18,'01_orders_raw'!$A$2:$A$181,0)),"ERROR","OK")))),"")</x:f>
        <x:v>OK</x:v>
      </x:c>
      <x:c r="I264" s="2" t="str">
        <x:f>IF(COUNTA('03_payments_raw'!A18:E18)&gt;0,IF(LEN('03_payments_raw'!E18&amp;"")=0,"SKIP",IF(AND('03_payments_raw'!E18&lt;&gt;"Оплачено",'03_payments_raw'!E18&lt;&gt;"Частично оплачено",'03_payments_raw'!E18&lt;&gt;"Не оплачено"),"ERROR","OK")),"")</x:f>
        <x:v>OK</x:v>
      </x:c>
      <x:c r="J264" s="2" t="n">
        <x:f>COUNTIF(C264:I264,"ERROR")</x:f>
        <x:v>0</x:v>
      </x:c>
      <x:c r="K264" s="2" t="n">
        <x:f>IF(COUNTA('03_payments_raw'!A18:E18)&gt;0,18,"")</x:f>
        <x:v>18</x:v>
      </x:c>
    </x:row>
    <x:row r="265">
      <x:c r="A265" s="2" t="str">
        <x:f>IF(COUNTA('03_payments_raw'!A19:E19)&gt;0,"Payment","")</x:f>
        <x:v>Payment</x:v>
      </x:c>
      <x:c r="B265" s="2" t="str">
        <x:f>IF(COUNTA('03_payments_raw'!A19:E19)&gt;0,'03_payments_raw'!A19,"")</x:f>
        <x:v>P018</x:v>
      </x:c>
      <x:c r="C265" s="2" t="str">
        <x:f>IF(COUNTA('03_payments_raw'!A19:E19)&gt;0,IF(AND(LEN('03_payments_raw'!A19&amp;"")&gt;0,COUNTIF('03_payments_raw'!$A$2:$A$141,'03_payments_raw'!A19)&gt;1),"ERROR","OK"),"")</x:f>
        <x:v>OK</x:v>
      </x:c>
      <x:c r="D265" s="2" t="str">
        <x:f>IF(COUNTA('03_payments_raw'!A19:E19)&gt;0,IF(OR(LEN('03_payments_raw'!A19&amp;"")=0,LEN('03_payments_raw'!B19&amp;"")=0,LEN('03_payments_raw'!C19&amp;"")=0,LEN('03_payments_raw'!D19&amp;"")=0,LEN('03_payments_raw'!E19&amp;"")=0),"ERROR","OK"),"")</x:f>
        <x:v>OK</x:v>
      </x:c>
      <x:c r="E265" s="2" t="str">
        <x:f>IF(COUNTA('03_payments_raw'!A19:E19)&gt;0,IF(LEN('03_payments_raw'!B19&amp;"")=0,"SKIP",IF(COUNTIF('01_orders_raw'!$A$2:$A$181,'03_payments_raw'!B19)&lt;&gt;1,"ERROR","OK")),"")</x:f>
        <x:v>OK</x:v>
      </x:c>
      <x:c r="F265" s="2" t="str">
        <x:f>IF(COUNTA('03_payments_raw'!A19:E19)&gt;0,IF(OR(COUNTIF('01_orders_raw'!$A$2:$A$181,'03_payments_raw'!B19)&lt;&gt;1,LEN('03_payments_raw'!D19&amp;"")=0),"SKIP",IF(OR(NOT(ISNUMBER('03_payments_raw'!D19)),'03_payments_raw'!D19&lt;0,'03_payments_raw'!D19&gt;INDEX('01_orders_raw'!$I$2:$I$181,MATCH('03_payments_raw'!B19,'01_orders_raw'!$A$2:$A$181,0))+'09_parameters'!$B$3),"ERROR","OK")),"")</x:f>
        <x:v>OK</x:v>
      </x:c>
      <x:c r="G265" s="2" t="str">
        <x:f>IF(COUNTA('03_payments_raw'!A19:E19)&gt;0,"N/A","")</x:f>
        <x:v>N/A</x:v>
      </x:c>
      <x:c r="H265" s="2" t="str">
        <x:f>IF(COUNTA('03_payments_raw'!A19:E19)&gt;0,IF(LEN('03_payments_raw'!C19&amp;"")=0,"SKIP",IF(IF(OR(NOT(ISNUMBER('03_payments_raw'!C19)),'03_payments_raw'!C19&lt;=0,'03_payments_raw'!C19&gt;'09_parameters'!$B$2),"ERROR","OK")="ERROR","ERROR",IF(COUNTIF('01_orders_raw'!$A$2:$A$181,'03_payments_raw'!B19)&lt;&gt;1,"SKIP",IF('03_payments_raw'!C19&lt;INDEX('01_orders_raw'!$B$2:$B$181,MATCH('03_payments_raw'!B19,'01_orders_raw'!$A$2:$A$181,0)),"ERROR","OK")))),"")</x:f>
        <x:v>OK</x:v>
      </x:c>
      <x:c r="I265" s="2" t="str">
        <x:f>IF(COUNTA('03_payments_raw'!A19:E19)&gt;0,IF(LEN('03_payments_raw'!E19&amp;"")=0,"SKIP",IF(AND('03_payments_raw'!E19&lt;&gt;"Оплачено",'03_payments_raw'!E19&lt;&gt;"Частично оплачено",'03_payments_raw'!E19&lt;&gt;"Не оплачено"),"ERROR","OK")),"")</x:f>
        <x:v>OK</x:v>
      </x:c>
      <x:c r="J265" s="2" t="n">
        <x:f>COUNTIF(C265:I265,"ERROR")</x:f>
        <x:v>0</x:v>
      </x:c>
      <x:c r="K265" s="2" t="n">
        <x:f>IF(COUNTA('03_payments_raw'!A19:E19)&gt;0,19,"")</x:f>
        <x:v>19</x:v>
      </x:c>
    </x:row>
    <x:row r="266">
      <x:c r="A266" s="2" t="str">
        <x:f>IF(COUNTA('03_payments_raw'!A20:E20)&gt;0,"Payment","")</x:f>
        <x:v>Payment</x:v>
      </x:c>
      <x:c r="B266" s="2" t="str">
        <x:f>IF(COUNTA('03_payments_raw'!A20:E20)&gt;0,'03_payments_raw'!A20,"")</x:f>
        <x:v>P019</x:v>
      </x:c>
      <x:c r="C266" s="2" t="str">
        <x:f>IF(COUNTA('03_payments_raw'!A20:E20)&gt;0,IF(AND(LEN('03_payments_raw'!A20&amp;"")&gt;0,COUNTIF('03_payments_raw'!$A$2:$A$141,'03_payments_raw'!A20)&gt;1),"ERROR","OK"),"")</x:f>
        <x:v>OK</x:v>
      </x:c>
      <x:c r="D266" s="2" t="str">
        <x:f>IF(COUNTA('03_payments_raw'!A20:E20)&gt;0,IF(OR(LEN('03_payments_raw'!A20&amp;"")=0,LEN('03_payments_raw'!B20&amp;"")=0,LEN('03_payments_raw'!C20&amp;"")=0,LEN('03_payments_raw'!D20&amp;"")=0,LEN('03_payments_raw'!E20&amp;"")=0),"ERROR","OK"),"")</x:f>
        <x:v>OK</x:v>
      </x:c>
      <x:c r="E266" s="2" t="str">
        <x:f>IF(COUNTA('03_payments_raw'!A20:E20)&gt;0,IF(LEN('03_payments_raw'!B20&amp;"")=0,"SKIP",IF(COUNTIF('01_orders_raw'!$A$2:$A$181,'03_payments_raw'!B20)&lt;&gt;1,"ERROR","OK")),"")</x:f>
        <x:v>OK</x:v>
      </x:c>
      <x:c r="F266" s="2" t="str">
        <x:f>IF(COUNTA('03_payments_raw'!A20:E20)&gt;0,IF(OR(COUNTIF('01_orders_raw'!$A$2:$A$181,'03_payments_raw'!B20)&lt;&gt;1,LEN('03_payments_raw'!D20&amp;"")=0),"SKIP",IF(OR(NOT(ISNUMBER('03_payments_raw'!D20)),'03_payments_raw'!D20&lt;0,'03_payments_raw'!D20&gt;INDEX('01_orders_raw'!$I$2:$I$181,MATCH('03_payments_raw'!B20,'01_orders_raw'!$A$2:$A$181,0))+'09_parameters'!$B$3),"ERROR","OK")),"")</x:f>
        <x:v>ERROR</x:v>
      </x:c>
      <x:c r="G266" s="2" t="str">
        <x:f>IF(COUNTA('03_payments_raw'!A20:E20)&gt;0,"N/A","")</x:f>
        <x:v>N/A</x:v>
      </x:c>
      <x:c r="H266" s="2" t="str">
        <x:f>IF(COUNTA('03_payments_raw'!A20:E20)&gt;0,IF(LEN('03_payments_raw'!C20&amp;"")=0,"SKIP",IF(IF(OR(NOT(ISNUMBER('03_payments_raw'!C20)),'03_payments_raw'!C20&lt;=0,'03_payments_raw'!C20&gt;'09_parameters'!$B$2),"ERROR","OK")="ERROR","ERROR",IF(COUNTIF('01_orders_raw'!$A$2:$A$181,'03_payments_raw'!B20)&lt;&gt;1,"SKIP",IF('03_payments_raw'!C20&lt;INDEX('01_orders_raw'!$B$2:$B$181,MATCH('03_payments_raw'!B20,'01_orders_raw'!$A$2:$A$181,0)),"ERROR","OK")))),"")</x:f>
        <x:v>OK</x:v>
      </x:c>
      <x:c r="I266" s="2" t="str">
        <x:f>IF(COUNTA('03_payments_raw'!A20:E20)&gt;0,IF(LEN('03_payments_raw'!E20&amp;"")=0,"SKIP",IF(AND('03_payments_raw'!E20&lt;&gt;"Оплачено",'03_payments_raw'!E20&lt;&gt;"Частично оплачено",'03_payments_raw'!E20&lt;&gt;"Не оплачено"),"ERROR","OK")),"")</x:f>
        <x:v>OK</x:v>
      </x:c>
      <x:c r="J266" s="2" t="n">
        <x:f>COUNTIF(C266:I266,"ERROR")</x:f>
        <x:v>1</x:v>
      </x:c>
      <x:c r="K266" s="2" t="n">
        <x:f>IF(COUNTA('03_payments_raw'!A20:E20)&gt;0,20,"")</x:f>
        <x:v>20</x:v>
      </x:c>
    </x:row>
    <x:row r="267">
      <x:c r="A267" s="2" t="str">
        <x:f>IF(COUNTA('03_payments_raw'!A21:E21)&gt;0,"Payment","")</x:f>
        <x:v>Payment</x:v>
      </x:c>
      <x:c r="B267" s="2" t="str">
        <x:f>IF(COUNTA('03_payments_raw'!A21:E21)&gt;0,'03_payments_raw'!A21,"")</x:f>
        <x:v>P020</x:v>
      </x:c>
      <x:c r="C267" s="2" t="str">
        <x:f>IF(COUNTA('03_payments_raw'!A21:E21)&gt;0,IF(AND(LEN('03_payments_raw'!A21&amp;"")&gt;0,COUNTIF('03_payments_raw'!$A$2:$A$141,'03_payments_raw'!A21)&gt;1),"ERROR","OK"),"")</x:f>
        <x:v>OK</x:v>
      </x:c>
      <x:c r="D267" s="2" t="str">
        <x:f>IF(COUNTA('03_payments_raw'!A21:E21)&gt;0,IF(OR(LEN('03_payments_raw'!A21&amp;"")=0,LEN('03_payments_raw'!B21&amp;"")=0,LEN('03_payments_raw'!C21&amp;"")=0,LEN('03_payments_raw'!D21&amp;"")=0,LEN('03_payments_raw'!E21&amp;"")=0),"ERROR","OK"),"")</x:f>
        <x:v>OK</x:v>
      </x:c>
      <x:c r="E267" s="2" t="str">
        <x:f>IF(COUNTA('03_payments_raw'!A21:E21)&gt;0,IF(LEN('03_payments_raw'!B21&amp;"")=0,"SKIP",IF(COUNTIF('01_orders_raw'!$A$2:$A$181,'03_payments_raw'!B21)&lt;&gt;1,"ERROR","OK")),"")</x:f>
        <x:v>OK</x:v>
      </x:c>
      <x:c r="F267" s="2" t="str">
        <x:f>IF(COUNTA('03_payments_raw'!A21:E21)&gt;0,IF(OR(COUNTIF('01_orders_raw'!$A$2:$A$181,'03_payments_raw'!B21)&lt;&gt;1,LEN('03_payments_raw'!D21&amp;"")=0),"SKIP",IF(OR(NOT(ISNUMBER('03_payments_raw'!D21)),'03_payments_raw'!D21&lt;0,'03_payments_raw'!D21&gt;INDEX('01_orders_raw'!$I$2:$I$181,MATCH('03_payments_raw'!B21,'01_orders_raw'!$A$2:$A$181,0))+'09_parameters'!$B$3),"ERROR","OK")),"")</x:f>
        <x:v>OK</x:v>
      </x:c>
      <x:c r="G267" s="2" t="str">
        <x:f>IF(COUNTA('03_payments_raw'!A21:E21)&gt;0,"N/A","")</x:f>
        <x:v>N/A</x:v>
      </x:c>
      <x:c r="H267" s="2" t="str">
        <x:f>IF(COUNTA('03_payments_raw'!A21:E21)&gt;0,IF(LEN('03_payments_raw'!C21&amp;"")=0,"SKIP",IF(IF(OR(NOT(ISNUMBER('03_payments_raw'!C21)),'03_payments_raw'!C21&lt;=0,'03_payments_raw'!C21&gt;'09_parameters'!$B$2),"ERROR","OK")="ERROR","ERROR",IF(COUNTIF('01_orders_raw'!$A$2:$A$181,'03_payments_raw'!B21)&lt;&gt;1,"SKIP",IF('03_payments_raw'!C21&lt;INDEX('01_orders_raw'!$B$2:$B$181,MATCH('03_payments_raw'!B21,'01_orders_raw'!$A$2:$A$181,0)),"ERROR","OK")))),"")</x:f>
        <x:v>OK</x:v>
      </x:c>
      <x:c r="I267" s="2" t="str">
        <x:f>IF(COUNTA('03_payments_raw'!A21:E21)&gt;0,IF(LEN('03_payments_raw'!E21&amp;"")=0,"SKIP",IF(AND('03_payments_raw'!E21&lt;&gt;"Оплачено",'03_payments_raw'!E21&lt;&gt;"Частично оплачено",'03_payments_raw'!E21&lt;&gt;"Не оплачено"),"ERROR","OK")),"")</x:f>
        <x:v>OK</x:v>
      </x:c>
      <x:c r="J267" s="2" t="n">
        <x:f>COUNTIF(C267:I267,"ERROR")</x:f>
        <x:v>0</x:v>
      </x:c>
      <x:c r="K267" s="2" t="n">
        <x:f>IF(COUNTA('03_payments_raw'!A21:E21)&gt;0,21,"")</x:f>
        <x:v>21</x:v>
      </x:c>
    </x:row>
    <x:row r="268">
      <x:c r="A268" s="2" t="str">
        <x:f>IF(COUNTA('03_payments_raw'!A22:E22)&gt;0,"Payment","")</x:f>
        <x:v>Payment</x:v>
      </x:c>
      <x:c r="B268" s="2" t="str">
        <x:f>IF(COUNTA('03_payments_raw'!A22:E22)&gt;0,'03_payments_raw'!A22,"")</x:f>
        <x:v>P021</x:v>
      </x:c>
      <x:c r="C268" s="2" t="str">
        <x:f>IF(COUNTA('03_payments_raw'!A22:E22)&gt;0,IF(AND(LEN('03_payments_raw'!A22&amp;"")&gt;0,COUNTIF('03_payments_raw'!$A$2:$A$141,'03_payments_raw'!A22)&gt;1),"ERROR","OK"),"")</x:f>
        <x:v>OK</x:v>
      </x:c>
      <x:c r="D268" s="2" t="str">
        <x:f>IF(COUNTA('03_payments_raw'!A22:E22)&gt;0,IF(OR(LEN('03_payments_raw'!A22&amp;"")=0,LEN('03_payments_raw'!B22&amp;"")=0,LEN('03_payments_raw'!C22&amp;"")=0,LEN('03_payments_raw'!D22&amp;"")=0,LEN('03_payments_raw'!E22&amp;"")=0),"ERROR","OK"),"")</x:f>
        <x:v>OK</x:v>
      </x:c>
      <x:c r="E268" s="2" t="str">
        <x:f>IF(COUNTA('03_payments_raw'!A22:E22)&gt;0,IF(LEN('03_payments_raw'!B22&amp;"")=0,"SKIP",IF(COUNTIF('01_orders_raw'!$A$2:$A$181,'03_payments_raw'!B22)&lt;&gt;1,"ERROR","OK")),"")</x:f>
        <x:v>OK</x:v>
      </x:c>
      <x:c r="F268" s="2" t="str">
        <x:f>IF(COUNTA('03_payments_raw'!A22:E22)&gt;0,IF(OR(COUNTIF('01_orders_raw'!$A$2:$A$181,'03_payments_raw'!B22)&lt;&gt;1,LEN('03_payments_raw'!D22&amp;"")=0),"SKIP",IF(OR(NOT(ISNUMBER('03_payments_raw'!D22)),'03_payments_raw'!D22&lt;0,'03_payments_raw'!D22&gt;INDEX('01_orders_raw'!$I$2:$I$181,MATCH('03_payments_raw'!B22,'01_orders_raw'!$A$2:$A$181,0))+'09_parameters'!$B$3),"ERROR","OK")),"")</x:f>
        <x:v>OK</x:v>
      </x:c>
      <x:c r="G268" s="2" t="str">
        <x:f>IF(COUNTA('03_payments_raw'!A22:E22)&gt;0,"N/A","")</x:f>
        <x:v>N/A</x:v>
      </x:c>
      <x:c r="H268" s="2" t="str">
        <x:f>IF(COUNTA('03_payments_raw'!A22:E22)&gt;0,IF(LEN('03_payments_raw'!C22&amp;"")=0,"SKIP",IF(IF(OR(NOT(ISNUMBER('03_payments_raw'!C22)),'03_payments_raw'!C22&lt;=0,'03_payments_raw'!C22&gt;'09_parameters'!$B$2),"ERROR","OK")="ERROR","ERROR",IF(COUNTIF('01_orders_raw'!$A$2:$A$181,'03_payments_raw'!B22)&lt;&gt;1,"SKIP",IF('03_payments_raw'!C22&lt;INDEX('01_orders_raw'!$B$2:$B$181,MATCH('03_payments_raw'!B22,'01_orders_raw'!$A$2:$A$181,0)),"ERROR","OK")))),"")</x:f>
        <x:v>OK</x:v>
      </x:c>
      <x:c r="I268" s="2" t="str">
        <x:f>IF(COUNTA('03_payments_raw'!A22:E22)&gt;0,IF(LEN('03_payments_raw'!E22&amp;"")=0,"SKIP",IF(AND('03_payments_raw'!E22&lt;&gt;"Оплачено",'03_payments_raw'!E22&lt;&gt;"Частично оплачено",'03_payments_raw'!E22&lt;&gt;"Не оплачено"),"ERROR","OK")),"")</x:f>
        <x:v>OK</x:v>
      </x:c>
      <x:c r="J268" s="2" t="n">
        <x:f>COUNTIF(C268:I268,"ERROR")</x:f>
        <x:v>0</x:v>
      </x:c>
      <x:c r="K268" s="2" t="n">
        <x:f>IF(COUNTA('03_payments_raw'!A22:E22)&gt;0,22,"")</x:f>
        <x:v>22</x:v>
      </x:c>
    </x:row>
    <x:row r="269">
      <x:c r="A269" s="2" t="str">
        <x:f>IF(COUNTA('03_payments_raw'!A23:E23)&gt;0,"Payment","")</x:f>
        <x:v>Payment</x:v>
      </x:c>
      <x:c r="B269" s="2" t="str">
        <x:f>IF(COUNTA('03_payments_raw'!A23:E23)&gt;0,'03_payments_raw'!A23,"")</x:f>
        <x:v>P022</x:v>
      </x:c>
      <x:c r="C269" s="2" t="str">
        <x:f>IF(COUNTA('03_payments_raw'!A23:E23)&gt;0,IF(AND(LEN('03_payments_raw'!A23&amp;"")&gt;0,COUNTIF('03_payments_raw'!$A$2:$A$141,'03_payments_raw'!A23)&gt;1),"ERROR","OK"),"")</x:f>
        <x:v>OK</x:v>
      </x:c>
      <x:c r="D269" s="2" t="str">
        <x:f>IF(COUNTA('03_payments_raw'!A23:E23)&gt;0,IF(OR(LEN('03_payments_raw'!A23&amp;"")=0,LEN('03_payments_raw'!B23&amp;"")=0,LEN('03_payments_raw'!C23&amp;"")=0,LEN('03_payments_raw'!D23&amp;"")=0,LEN('03_payments_raw'!E23&amp;"")=0),"ERROR","OK"),"")</x:f>
        <x:v>OK</x:v>
      </x:c>
      <x:c r="E269" s="2" t="str">
        <x:f>IF(COUNTA('03_payments_raw'!A23:E23)&gt;0,IF(LEN('03_payments_raw'!B23&amp;"")=0,"SKIP",IF(COUNTIF('01_orders_raw'!$A$2:$A$181,'03_payments_raw'!B23)&lt;&gt;1,"ERROR","OK")),"")</x:f>
        <x:v>OK</x:v>
      </x:c>
      <x:c r="F269" s="2" t="str">
        <x:f>IF(COUNTA('03_payments_raw'!A23:E23)&gt;0,IF(OR(COUNTIF('01_orders_raw'!$A$2:$A$181,'03_payments_raw'!B23)&lt;&gt;1,LEN('03_payments_raw'!D23&amp;"")=0),"SKIP",IF(OR(NOT(ISNUMBER('03_payments_raw'!D23)),'03_payments_raw'!D23&lt;0,'03_payments_raw'!D23&gt;INDEX('01_orders_raw'!$I$2:$I$181,MATCH('03_payments_raw'!B23,'01_orders_raw'!$A$2:$A$181,0))+'09_parameters'!$B$3),"ERROR","OK")),"")</x:f>
        <x:v>OK</x:v>
      </x:c>
      <x:c r="G269" s="2" t="str">
        <x:f>IF(COUNTA('03_payments_raw'!A23:E23)&gt;0,"N/A","")</x:f>
        <x:v>N/A</x:v>
      </x:c>
      <x:c r="H269" s="2" t="str">
        <x:f>IF(COUNTA('03_payments_raw'!A23:E23)&gt;0,IF(LEN('03_payments_raw'!C23&amp;"")=0,"SKIP",IF(IF(OR(NOT(ISNUMBER('03_payments_raw'!C23)),'03_payments_raw'!C23&lt;=0,'03_payments_raw'!C23&gt;'09_parameters'!$B$2),"ERROR","OK")="ERROR","ERROR",IF(COUNTIF('01_orders_raw'!$A$2:$A$181,'03_payments_raw'!B23)&lt;&gt;1,"SKIP",IF('03_payments_raw'!C23&lt;INDEX('01_orders_raw'!$B$2:$B$181,MATCH('03_payments_raw'!B23,'01_orders_raw'!$A$2:$A$181,0)),"ERROR","OK")))),"")</x:f>
        <x:v>OK</x:v>
      </x:c>
      <x:c r="I269" s="2" t="str">
        <x:f>IF(COUNTA('03_payments_raw'!A23:E23)&gt;0,IF(LEN('03_payments_raw'!E23&amp;"")=0,"SKIP",IF(AND('03_payments_raw'!E23&lt;&gt;"Оплачено",'03_payments_raw'!E23&lt;&gt;"Частично оплачено",'03_payments_raw'!E23&lt;&gt;"Не оплачено"),"ERROR","OK")),"")</x:f>
        <x:v>OK</x:v>
      </x:c>
      <x:c r="J269" s="2" t="n">
        <x:f>COUNTIF(C269:I269,"ERROR")</x:f>
        <x:v>0</x:v>
      </x:c>
      <x:c r="K269" s="2" t="n">
        <x:f>IF(COUNTA('03_payments_raw'!A23:E23)&gt;0,23,"")</x:f>
        <x:v>23</x:v>
      </x:c>
    </x:row>
    <x:row r="270">
      <x:c r="A270" s="2" t="str">
        <x:f>IF(COUNTA('03_payments_raw'!A24:E24)&gt;0,"Payment","")</x:f>
        <x:v>Payment</x:v>
      </x:c>
      <x:c r="B270" s="2" t="str">
        <x:f>IF(COUNTA('03_payments_raw'!A24:E24)&gt;0,'03_payments_raw'!A24,"")</x:f>
        <x:v>P023</x:v>
      </x:c>
      <x:c r="C270" s="2" t="str">
        <x:f>IF(COUNTA('03_payments_raw'!A24:E24)&gt;0,IF(AND(LEN('03_payments_raw'!A24&amp;"")&gt;0,COUNTIF('03_payments_raw'!$A$2:$A$141,'03_payments_raw'!A24)&gt;1),"ERROR","OK"),"")</x:f>
        <x:v>OK</x:v>
      </x:c>
      <x:c r="D270" s="2" t="str">
        <x:f>IF(COUNTA('03_payments_raw'!A24:E24)&gt;0,IF(OR(LEN('03_payments_raw'!A24&amp;"")=0,LEN('03_payments_raw'!B24&amp;"")=0,LEN('03_payments_raw'!C24&amp;"")=0,LEN('03_payments_raw'!D24&amp;"")=0,LEN('03_payments_raw'!E24&amp;"")=0),"ERROR","OK"),"")</x:f>
        <x:v>OK</x:v>
      </x:c>
      <x:c r="E270" s="2" t="str">
        <x:f>IF(COUNTA('03_payments_raw'!A24:E24)&gt;0,IF(LEN('03_payments_raw'!B24&amp;"")=0,"SKIP",IF(COUNTIF('01_orders_raw'!$A$2:$A$181,'03_payments_raw'!B24)&lt;&gt;1,"ERROR","OK")),"")</x:f>
        <x:v>OK</x:v>
      </x:c>
      <x:c r="F270" s="2" t="str">
        <x:f>IF(COUNTA('03_payments_raw'!A24:E24)&gt;0,IF(OR(COUNTIF('01_orders_raw'!$A$2:$A$181,'03_payments_raw'!B24)&lt;&gt;1,LEN('03_payments_raw'!D24&amp;"")=0),"SKIP",IF(OR(NOT(ISNUMBER('03_payments_raw'!D24)),'03_payments_raw'!D24&lt;0,'03_payments_raw'!D24&gt;INDEX('01_orders_raw'!$I$2:$I$181,MATCH('03_payments_raw'!B24,'01_orders_raw'!$A$2:$A$181,0))+'09_parameters'!$B$3),"ERROR","OK")),"")</x:f>
        <x:v>OK</x:v>
      </x:c>
      <x:c r="G270" s="2" t="str">
        <x:f>IF(COUNTA('03_payments_raw'!A24:E24)&gt;0,"N/A","")</x:f>
        <x:v>N/A</x:v>
      </x:c>
      <x:c r="H270" s="2" t="str">
        <x:f>IF(COUNTA('03_payments_raw'!A24:E24)&gt;0,IF(LEN('03_payments_raw'!C24&amp;"")=0,"SKIP",IF(IF(OR(NOT(ISNUMBER('03_payments_raw'!C24)),'03_payments_raw'!C24&lt;=0,'03_payments_raw'!C24&gt;'09_parameters'!$B$2),"ERROR","OK")="ERROR","ERROR",IF(COUNTIF('01_orders_raw'!$A$2:$A$181,'03_payments_raw'!B24)&lt;&gt;1,"SKIP",IF('03_payments_raw'!C24&lt;INDEX('01_orders_raw'!$B$2:$B$181,MATCH('03_payments_raw'!B24,'01_orders_raw'!$A$2:$A$181,0)),"ERROR","OK")))),"")</x:f>
        <x:v>OK</x:v>
      </x:c>
      <x:c r="I270" s="2" t="str">
        <x:f>IF(COUNTA('03_payments_raw'!A24:E24)&gt;0,IF(LEN('03_payments_raw'!E24&amp;"")=0,"SKIP",IF(AND('03_payments_raw'!E24&lt;&gt;"Оплачено",'03_payments_raw'!E24&lt;&gt;"Частично оплачено",'03_payments_raw'!E24&lt;&gt;"Не оплачено"),"ERROR","OK")),"")</x:f>
        <x:v>OK</x:v>
      </x:c>
      <x:c r="J270" s="2" t="n">
        <x:f>COUNTIF(C270:I270,"ERROR")</x:f>
        <x:v>0</x:v>
      </x:c>
      <x:c r="K270" s="2" t="n">
        <x:f>IF(COUNTA('03_payments_raw'!A24:E24)&gt;0,24,"")</x:f>
        <x:v>24</x:v>
      </x:c>
    </x:row>
    <x:row r="271">
      <x:c r="A271" s="2" t="str">
        <x:f>IF(COUNTA('03_payments_raw'!A25:E25)&gt;0,"Payment","")</x:f>
        <x:v>Payment</x:v>
      </x:c>
      <x:c r="B271" s="2" t="str">
        <x:f>IF(COUNTA('03_payments_raw'!A25:E25)&gt;0,'03_payments_raw'!A25,"")</x:f>
        <x:v>P024</x:v>
      </x:c>
      <x:c r="C271" s="2" t="str">
        <x:f>IF(COUNTA('03_payments_raw'!A25:E25)&gt;0,IF(AND(LEN('03_payments_raw'!A25&amp;"")&gt;0,COUNTIF('03_payments_raw'!$A$2:$A$141,'03_payments_raw'!A25)&gt;1),"ERROR","OK"),"")</x:f>
        <x:v>OK</x:v>
      </x:c>
      <x:c r="D271" s="2" t="str">
        <x:f>IF(COUNTA('03_payments_raw'!A25:E25)&gt;0,IF(OR(LEN('03_payments_raw'!A25&amp;"")=0,LEN('03_payments_raw'!B25&amp;"")=0,LEN('03_payments_raw'!C25&amp;"")=0,LEN('03_payments_raw'!D25&amp;"")=0,LEN('03_payments_raw'!E25&amp;"")=0),"ERROR","OK"),"")</x:f>
        <x:v>OK</x:v>
      </x:c>
      <x:c r="E271" s="2" t="str">
        <x:f>IF(COUNTA('03_payments_raw'!A25:E25)&gt;0,IF(LEN('03_payments_raw'!B25&amp;"")=0,"SKIP",IF(COUNTIF('01_orders_raw'!$A$2:$A$181,'03_payments_raw'!B25)&lt;&gt;1,"ERROR","OK")),"")</x:f>
        <x:v>OK</x:v>
      </x:c>
      <x:c r="F271" s="2" t="str">
        <x:f>IF(COUNTA('03_payments_raw'!A25:E25)&gt;0,IF(OR(COUNTIF('01_orders_raw'!$A$2:$A$181,'03_payments_raw'!B25)&lt;&gt;1,LEN('03_payments_raw'!D25&amp;"")=0),"SKIP",IF(OR(NOT(ISNUMBER('03_payments_raw'!D25)),'03_payments_raw'!D25&lt;0,'03_payments_raw'!D25&gt;INDEX('01_orders_raw'!$I$2:$I$181,MATCH('03_payments_raw'!B25,'01_orders_raw'!$A$2:$A$181,0))+'09_parameters'!$B$3),"ERROR","OK")),"")</x:f>
        <x:v>OK</x:v>
      </x:c>
      <x:c r="G271" s="2" t="str">
        <x:f>IF(COUNTA('03_payments_raw'!A25:E25)&gt;0,"N/A","")</x:f>
        <x:v>N/A</x:v>
      </x:c>
      <x:c r="H271" s="2" t="str">
        <x:f>IF(COUNTA('03_payments_raw'!A25:E25)&gt;0,IF(LEN('03_payments_raw'!C25&amp;"")=0,"SKIP",IF(IF(OR(NOT(ISNUMBER('03_payments_raw'!C25)),'03_payments_raw'!C25&lt;=0,'03_payments_raw'!C25&gt;'09_parameters'!$B$2),"ERROR","OK")="ERROR","ERROR",IF(COUNTIF('01_orders_raw'!$A$2:$A$181,'03_payments_raw'!B25)&lt;&gt;1,"SKIP",IF('03_payments_raw'!C25&lt;INDEX('01_orders_raw'!$B$2:$B$181,MATCH('03_payments_raw'!B25,'01_orders_raw'!$A$2:$A$181,0)),"ERROR","OK")))),"")</x:f>
        <x:v>OK</x:v>
      </x:c>
      <x:c r="I271" s="2" t="str">
        <x:f>IF(COUNTA('03_payments_raw'!A25:E25)&gt;0,IF(LEN('03_payments_raw'!E25&amp;"")=0,"SKIP",IF(AND('03_payments_raw'!E25&lt;&gt;"Оплачено",'03_payments_raw'!E25&lt;&gt;"Частично оплачено",'03_payments_raw'!E25&lt;&gt;"Не оплачено"),"ERROR","OK")),"")</x:f>
        <x:v>OK</x:v>
      </x:c>
      <x:c r="J271" s="2" t="n">
        <x:f>COUNTIF(C271:I271,"ERROR")</x:f>
        <x:v>0</x:v>
      </x:c>
      <x:c r="K271" s="2" t="n">
        <x:f>IF(COUNTA('03_payments_raw'!A25:E25)&gt;0,25,"")</x:f>
        <x:v>25</x:v>
      </x:c>
    </x:row>
    <x:row r="272">
      <x:c r="A272" s="2" t="str">
        <x:f>IF(COUNTA('03_payments_raw'!A26:E26)&gt;0,"Payment","")</x:f>
        <x:v>Payment</x:v>
      </x:c>
      <x:c r="B272" s="2" t="str">
        <x:f>IF(COUNTA('03_payments_raw'!A26:E26)&gt;0,'03_payments_raw'!A26,"")</x:f>
        <x:v>P025</x:v>
      </x:c>
      <x:c r="C272" s="2" t="str">
        <x:f>IF(COUNTA('03_payments_raw'!A26:E26)&gt;0,IF(AND(LEN('03_payments_raw'!A26&amp;"")&gt;0,COUNTIF('03_payments_raw'!$A$2:$A$141,'03_payments_raw'!A26)&gt;1),"ERROR","OK"),"")</x:f>
        <x:v>OK</x:v>
      </x:c>
      <x:c r="D272" s="2" t="str">
        <x:f>IF(COUNTA('03_payments_raw'!A26:E26)&gt;0,IF(OR(LEN('03_payments_raw'!A26&amp;"")=0,LEN('03_payments_raw'!B26&amp;"")=0,LEN('03_payments_raw'!C26&amp;"")=0,LEN('03_payments_raw'!D26&amp;"")=0,LEN('03_payments_raw'!E26&amp;"")=0),"ERROR","OK"),"")</x:f>
        <x:v>OK</x:v>
      </x:c>
      <x:c r="E272" s="2" t="str">
        <x:f>IF(COUNTA('03_payments_raw'!A26:E26)&gt;0,IF(LEN('03_payments_raw'!B26&amp;"")=0,"SKIP",IF(COUNTIF('01_orders_raw'!$A$2:$A$181,'03_payments_raw'!B26)&lt;&gt;1,"ERROR","OK")),"")</x:f>
        <x:v>OK</x:v>
      </x:c>
      <x:c r="F272" s="2" t="str">
        <x:f>IF(COUNTA('03_payments_raw'!A26:E26)&gt;0,IF(OR(COUNTIF('01_orders_raw'!$A$2:$A$181,'03_payments_raw'!B26)&lt;&gt;1,LEN('03_payments_raw'!D26&amp;"")=0),"SKIP",IF(OR(NOT(ISNUMBER('03_payments_raw'!D26)),'03_payments_raw'!D26&lt;0,'03_payments_raw'!D26&gt;INDEX('01_orders_raw'!$I$2:$I$181,MATCH('03_payments_raw'!B26,'01_orders_raw'!$A$2:$A$181,0))+'09_parameters'!$B$3),"ERROR","OK")),"")</x:f>
        <x:v>OK</x:v>
      </x:c>
      <x:c r="G272" s="2" t="str">
        <x:f>IF(COUNTA('03_payments_raw'!A26:E26)&gt;0,"N/A","")</x:f>
        <x:v>N/A</x:v>
      </x:c>
      <x:c r="H272" s="2" t="str">
        <x:f>IF(COUNTA('03_payments_raw'!A26:E26)&gt;0,IF(LEN('03_payments_raw'!C26&amp;"")=0,"SKIP",IF(IF(OR(NOT(ISNUMBER('03_payments_raw'!C26)),'03_payments_raw'!C26&lt;=0,'03_payments_raw'!C26&gt;'09_parameters'!$B$2),"ERROR","OK")="ERROR","ERROR",IF(COUNTIF('01_orders_raw'!$A$2:$A$181,'03_payments_raw'!B26)&lt;&gt;1,"SKIP",IF('03_payments_raw'!C26&lt;INDEX('01_orders_raw'!$B$2:$B$181,MATCH('03_payments_raw'!B26,'01_orders_raw'!$A$2:$A$181,0)),"ERROR","OK")))),"")</x:f>
        <x:v>OK</x:v>
      </x:c>
      <x:c r="I272" s="2" t="str">
        <x:f>IF(COUNTA('03_payments_raw'!A26:E26)&gt;0,IF(LEN('03_payments_raw'!E26&amp;"")=0,"SKIP",IF(AND('03_payments_raw'!E26&lt;&gt;"Оплачено",'03_payments_raw'!E26&lt;&gt;"Частично оплачено",'03_payments_raw'!E26&lt;&gt;"Не оплачено"),"ERROR","OK")),"")</x:f>
        <x:v>OK</x:v>
      </x:c>
      <x:c r="J272" s="2" t="n">
        <x:f>COUNTIF(C272:I272,"ERROR")</x:f>
        <x:v>0</x:v>
      </x:c>
      <x:c r="K272" s="2" t="n">
        <x:f>IF(COUNTA('03_payments_raw'!A26:E26)&gt;0,26,"")</x:f>
        <x:v>26</x:v>
      </x:c>
    </x:row>
    <x:row r="273">
      <x:c r="A273" s="2" t="str">
        <x:f>IF(COUNTA('03_payments_raw'!A27:E27)&gt;0,"Payment","")</x:f>
        <x:v>Payment</x:v>
      </x:c>
      <x:c r="B273" s="2" t="str">
        <x:f>IF(COUNTA('03_payments_raw'!A27:E27)&gt;0,'03_payments_raw'!A27,"")</x:f>
        <x:v>P026</x:v>
      </x:c>
      <x:c r="C273" s="2" t="str">
        <x:f>IF(COUNTA('03_payments_raw'!A27:E27)&gt;0,IF(AND(LEN('03_payments_raw'!A27&amp;"")&gt;0,COUNTIF('03_payments_raw'!$A$2:$A$141,'03_payments_raw'!A27)&gt;1),"ERROR","OK"),"")</x:f>
        <x:v>OK</x:v>
      </x:c>
      <x:c r="D273" s="2" t="str">
        <x:f>IF(COUNTA('03_payments_raw'!A27:E27)&gt;0,IF(OR(LEN('03_payments_raw'!A27&amp;"")=0,LEN('03_payments_raw'!B27&amp;"")=0,LEN('03_payments_raw'!C27&amp;"")=0,LEN('03_payments_raw'!D27&amp;"")=0,LEN('03_payments_raw'!E27&amp;"")=0),"ERROR","OK"),"")</x:f>
        <x:v>OK</x:v>
      </x:c>
      <x:c r="E273" s="2" t="str">
        <x:f>IF(COUNTA('03_payments_raw'!A27:E27)&gt;0,IF(LEN('03_payments_raw'!B27&amp;"")=0,"SKIP",IF(COUNTIF('01_orders_raw'!$A$2:$A$181,'03_payments_raw'!B27)&lt;&gt;1,"ERROR","OK")),"")</x:f>
        <x:v>OK</x:v>
      </x:c>
      <x:c r="F273" s="2" t="str">
        <x:f>IF(COUNTA('03_payments_raw'!A27:E27)&gt;0,IF(OR(COUNTIF('01_orders_raw'!$A$2:$A$181,'03_payments_raw'!B27)&lt;&gt;1,LEN('03_payments_raw'!D27&amp;"")=0),"SKIP",IF(OR(NOT(ISNUMBER('03_payments_raw'!D27)),'03_payments_raw'!D27&lt;0,'03_payments_raw'!D27&gt;INDEX('01_orders_raw'!$I$2:$I$181,MATCH('03_payments_raw'!B27,'01_orders_raw'!$A$2:$A$181,0))+'09_parameters'!$B$3),"ERROR","OK")),"")</x:f>
        <x:v>OK</x:v>
      </x:c>
      <x:c r="G273" s="2" t="str">
        <x:f>IF(COUNTA('03_payments_raw'!A27:E27)&gt;0,"N/A","")</x:f>
        <x:v>N/A</x:v>
      </x:c>
      <x:c r="H273" s="2" t="str">
        <x:f>IF(COUNTA('03_payments_raw'!A27:E27)&gt;0,IF(LEN('03_payments_raw'!C27&amp;"")=0,"SKIP",IF(IF(OR(NOT(ISNUMBER('03_payments_raw'!C27)),'03_payments_raw'!C27&lt;=0,'03_payments_raw'!C27&gt;'09_parameters'!$B$2),"ERROR","OK")="ERROR","ERROR",IF(COUNTIF('01_orders_raw'!$A$2:$A$181,'03_payments_raw'!B27)&lt;&gt;1,"SKIP",IF('03_payments_raw'!C27&lt;INDEX('01_orders_raw'!$B$2:$B$181,MATCH('03_payments_raw'!B27,'01_orders_raw'!$A$2:$A$181,0)),"ERROR","OK")))),"")</x:f>
        <x:v>OK</x:v>
      </x:c>
      <x:c r="I273" s="2" t="str">
        <x:f>IF(COUNTA('03_payments_raw'!A27:E27)&gt;0,IF(LEN('03_payments_raw'!E27&amp;"")=0,"SKIP",IF(AND('03_payments_raw'!E27&lt;&gt;"Оплачено",'03_payments_raw'!E27&lt;&gt;"Частично оплачено",'03_payments_raw'!E27&lt;&gt;"Не оплачено"),"ERROR","OK")),"")</x:f>
        <x:v>OK</x:v>
      </x:c>
      <x:c r="J273" s="2" t="n">
        <x:f>COUNTIF(C273:I273,"ERROR")</x:f>
        <x:v>0</x:v>
      </x:c>
      <x:c r="K273" s="2" t="n">
        <x:f>IF(COUNTA('03_payments_raw'!A27:E27)&gt;0,27,"")</x:f>
        <x:v>27</x:v>
      </x:c>
    </x:row>
    <x:row r="274">
      <x:c r="A274" s="2" t="str">
        <x:f>IF(COUNTA('03_payments_raw'!A28:E28)&gt;0,"Payment","")</x:f>
        <x:v>Payment</x:v>
      </x:c>
      <x:c r="B274" s="2" t="str">
        <x:f>IF(COUNTA('03_payments_raw'!A28:E28)&gt;0,'03_payments_raw'!A28,"")</x:f>
        <x:v>P027</x:v>
      </x:c>
      <x:c r="C274" s="2" t="str">
        <x:f>IF(COUNTA('03_payments_raw'!A28:E28)&gt;0,IF(AND(LEN('03_payments_raw'!A28&amp;"")&gt;0,COUNTIF('03_payments_raw'!$A$2:$A$141,'03_payments_raw'!A28)&gt;1),"ERROR","OK"),"")</x:f>
        <x:v>OK</x:v>
      </x:c>
      <x:c r="D274" s="2" t="str">
        <x:f>IF(COUNTA('03_payments_raw'!A28:E28)&gt;0,IF(OR(LEN('03_payments_raw'!A28&amp;"")=0,LEN('03_payments_raw'!B28&amp;"")=0,LEN('03_payments_raw'!C28&amp;"")=0,LEN('03_payments_raw'!D28&amp;"")=0,LEN('03_payments_raw'!E28&amp;"")=0),"ERROR","OK"),"")</x:f>
        <x:v>ERROR</x:v>
      </x:c>
      <x:c r="E274" s="2" t="str">
        <x:f>IF(COUNTA('03_payments_raw'!A28:E28)&gt;0,IF(LEN('03_payments_raw'!B28&amp;"")=0,"SKIP",IF(COUNTIF('01_orders_raw'!$A$2:$A$181,'03_payments_raw'!B28)&lt;&gt;1,"ERROR","OK")),"")</x:f>
        <x:v>OK</x:v>
      </x:c>
      <x:c r="F274" s="2" t="str">
        <x:f>IF(COUNTA('03_payments_raw'!A28:E28)&gt;0,IF(OR(COUNTIF('01_orders_raw'!$A$2:$A$181,'03_payments_raw'!B28)&lt;&gt;1,LEN('03_payments_raw'!D28&amp;"")=0),"SKIP",IF(OR(NOT(ISNUMBER('03_payments_raw'!D28)),'03_payments_raw'!D28&lt;0,'03_payments_raw'!D28&gt;INDEX('01_orders_raw'!$I$2:$I$181,MATCH('03_payments_raw'!B28,'01_orders_raw'!$A$2:$A$181,0))+'09_parameters'!$B$3),"ERROR","OK")),"")</x:f>
        <x:v>OK</x:v>
      </x:c>
      <x:c r="G274" s="2" t="str">
        <x:f>IF(COUNTA('03_payments_raw'!A28:E28)&gt;0,"N/A","")</x:f>
        <x:v>N/A</x:v>
      </x:c>
      <x:c r="H274" s="2" t="str">
        <x:f>IF(COUNTA('03_payments_raw'!A28:E28)&gt;0,IF(LEN('03_payments_raw'!C28&amp;"")=0,"SKIP",IF(IF(OR(NOT(ISNUMBER('03_payments_raw'!C28)),'03_payments_raw'!C28&lt;=0,'03_payments_raw'!C28&gt;'09_parameters'!$B$2),"ERROR","OK")="ERROR","ERROR",IF(COUNTIF('01_orders_raw'!$A$2:$A$181,'03_payments_raw'!B28)&lt;&gt;1,"SKIP",IF('03_payments_raw'!C28&lt;INDEX('01_orders_raw'!$B$2:$B$181,MATCH('03_payments_raw'!B28,'01_orders_raw'!$A$2:$A$181,0)),"ERROR","OK")))),"")</x:f>
        <x:v>OK</x:v>
      </x:c>
      <x:c r="I274" s="2" t="str">
        <x:f>IF(COUNTA('03_payments_raw'!A28:E28)&gt;0,IF(LEN('03_payments_raw'!E28&amp;"")=0,"SKIP",IF(AND('03_payments_raw'!E28&lt;&gt;"Оплачено",'03_payments_raw'!E28&lt;&gt;"Частично оплачено",'03_payments_raw'!E28&lt;&gt;"Не оплачено"),"ERROR","OK")),"")</x:f>
        <x:v>SKIP</x:v>
      </x:c>
      <x:c r="J274" s="2" t="n">
        <x:f>COUNTIF(C274:I274,"ERROR")</x:f>
        <x:v>1</x:v>
      </x:c>
      <x:c r="K274" s="2" t="n">
        <x:f>IF(COUNTA('03_payments_raw'!A28:E28)&gt;0,28,"")</x:f>
        <x:v>28</x:v>
      </x:c>
    </x:row>
    <x:row r="275">
      <x:c r="A275" s="2" t="str">
        <x:f>IF(COUNTA('03_payments_raw'!A29:E29)&gt;0,"Payment","")</x:f>
        <x:v>Payment</x:v>
      </x:c>
      <x:c r="B275" s="2" t="str">
        <x:f>IF(COUNTA('03_payments_raw'!A29:E29)&gt;0,'03_payments_raw'!A29,"")</x:f>
        <x:v>P028</x:v>
      </x:c>
      <x:c r="C275" s="2" t="str">
        <x:f>IF(COUNTA('03_payments_raw'!A29:E29)&gt;0,IF(AND(LEN('03_payments_raw'!A29&amp;"")&gt;0,COUNTIF('03_payments_raw'!$A$2:$A$141,'03_payments_raw'!A29)&gt;1),"ERROR","OK"),"")</x:f>
        <x:v>OK</x:v>
      </x:c>
      <x:c r="D275" s="2" t="str">
        <x:f>IF(COUNTA('03_payments_raw'!A29:E29)&gt;0,IF(OR(LEN('03_payments_raw'!A29&amp;"")=0,LEN('03_payments_raw'!B29&amp;"")=0,LEN('03_payments_raw'!C29&amp;"")=0,LEN('03_payments_raw'!D29&amp;"")=0,LEN('03_payments_raw'!E29&amp;"")=0),"ERROR","OK"),"")</x:f>
        <x:v>OK</x:v>
      </x:c>
      <x:c r="E275" s="2" t="str">
        <x:f>IF(COUNTA('03_payments_raw'!A29:E29)&gt;0,IF(LEN('03_payments_raw'!B29&amp;"")=0,"SKIP",IF(COUNTIF('01_orders_raw'!$A$2:$A$181,'03_payments_raw'!B29)&lt;&gt;1,"ERROR","OK")),"")</x:f>
        <x:v>OK</x:v>
      </x:c>
      <x:c r="F275" s="2" t="str">
        <x:f>IF(COUNTA('03_payments_raw'!A29:E29)&gt;0,IF(OR(COUNTIF('01_orders_raw'!$A$2:$A$181,'03_payments_raw'!B29)&lt;&gt;1,LEN('03_payments_raw'!D29&amp;"")=0),"SKIP",IF(OR(NOT(ISNUMBER('03_payments_raw'!D29)),'03_payments_raw'!D29&lt;0,'03_payments_raw'!D29&gt;INDEX('01_orders_raw'!$I$2:$I$181,MATCH('03_payments_raw'!B29,'01_orders_raw'!$A$2:$A$181,0))+'09_parameters'!$B$3),"ERROR","OK")),"")</x:f>
        <x:v>OK</x:v>
      </x:c>
      <x:c r="G275" s="2" t="str">
        <x:f>IF(COUNTA('03_payments_raw'!A29:E29)&gt;0,"N/A","")</x:f>
        <x:v>N/A</x:v>
      </x:c>
      <x:c r="H275" s="2" t="str">
        <x:f>IF(COUNTA('03_payments_raw'!A29:E29)&gt;0,IF(LEN('03_payments_raw'!C29&amp;"")=0,"SKIP",IF(IF(OR(NOT(ISNUMBER('03_payments_raw'!C29)),'03_payments_raw'!C29&lt;=0,'03_payments_raw'!C29&gt;'09_parameters'!$B$2),"ERROR","OK")="ERROR","ERROR",IF(COUNTIF('01_orders_raw'!$A$2:$A$181,'03_payments_raw'!B29)&lt;&gt;1,"SKIP",IF('03_payments_raw'!C29&lt;INDEX('01_orders_raw'!$B$2:$B$181,MATCH('03_payments_raw'!B29,'01_orders_raw'!$A$2:$A$181,0)),"ERROR","OK")))),"")</x:f>
        <x:v>OK</x:v>
      </x:c>
      <x:c r="I275" s="2" t="str">
        <x:f>IF(COUNTA('03_payments_raw'!A29:E29)&gt;0,IF(LEN('03_payments_raw'!E29&amp;"")=0,"SKIP",IF(AND('03_payments_raw'!E29&lt;&gt;"Оплачено",'03_payments_raw'!E29&lt;&gt;"Частично оплачено",'03_payments_raw'!E29&lt;&gt;"Не оплачено"),"ERROR","OK")),"")</x:f>
        <x:v>OK</x:v>
      </x:c>
      <x:c r="J275" s="2" t="n">
        <x:f>COUNTIF(C275:I275,"ERROR")</x:f>
        <x:v>0</x:v>
      </x:c>
      <x:c r="K275" s="2" t="n">
        <x:f>IF(COUNTA('03_payments_raw'!A29:E29)&gt;0,29,"")</x:f>
        <x:v>29</x:v>
      </x:c>
    </x:row>
    <x:row r="276">
      <x:c r="A276" s="2" t="str">
        <x:f>IF(COUNTA('03_payments_raw'!A30:E30)&gt;0,"Payment","")</x:f>
        <x:v>Payment</x:v>
      </x:c>
      <x:c r="B276" s="2" t="str">
        <x:f>IF(COUNTA('03_payments_raw'!A30:E30)&gt;0,'03_payments_raw'!A30,"")</x:f>
        <x:v>P029</x:v>
      </x:c>
      <x:c r="C276" s="2" t="str">
        <x:f>IF(COUNTA('03_payments_raw'!A30:E30)&gt;0,IF(AND(LEN('03_payments_raw'!A30&amp;"")&gt;0,COUNTIF('03_payments_raw'!$A$2:$A$141,'03_payments_raw'!A30)&gt;1),"ERROR","OK"),"")</x:f>
        <x:v>OK</x:v>
      </x:c>
      <x:c r="D276" s="2" t="str">
        <x:f>IF(COUNTA('03_payments_raw'!A30:E30)&gt;0,IF(OR(LEN('03_payments_raw'!A30&amp;"")=0,LEN('03_payments_raw'!B30&amp;"")=0,LEN('03_payments_raw'!C30&amp;"")=0,LEN('03_payments_raw'!D30&amp;"")=0,LEN('03_payments_raw'!E30&amp;"")=0),"ERROR","OK"),"")</x:f>
        <x:v>OK</x:v>
      </x:c>
      <x:c r="E276" s="2" t="str">
        <x:f>IF(COUNTA('03_payments_raw'!A30:E30)&gt;0,IF(LEN('03_payments_raw'!B30&amp;"")=0,"SKIP",IF(COUNTIF('01_orders_raw'!$A$2:$A$181,'03_payments_raw'!B30)&lt;&gt;1,"ERROR","OK")),"")</x:f>
        <x:v>OK</x:v>
      </x:c>
      <x:c r="F276" s="2" t="str">
        <x:f>IF(COUNTA('03_payments_raw'!A30:E30)&gt;0,IF(OR(COUNTIF('01_orders_raw'!$A$2:$A$181,'03_payments_raw'!B30)&lt;&gt;1,LEN('03_payments_raw'!D30&amp;"")=0),"SKIP",IF(OR(NOT(ISNUMBER('03_payments_raw'!D30)),'03_payments_raw'!D30&lt;0,'03_payments_raw'!D30&gt;INDEX('01_orders_raw'!$I$2:$I$181,MATCH('03_payments_raw'!B30,'01_orders_raw'!$A$2:$A$181,0))+'09_parameters'!$B$3),"ERROR","OK")),"")</x:f>
        <x:v>OK</x:v>
      </x:c>
      <x:c r="G276" s="2" t="str">
        <x:f>IF(COUNTA('03_payments_raw'!A30:E30)&gt;0,"N/A","")</x:f>
        <x:v>N/A</x:v>
      </x:c>
      <x:c r="H276" s="2" t="str">
        <x:f>IF(COUNTA('03_payments_raw'!A30:E30)&gt;0,IF(LEN('03_payments_raw'!C30&amp;"")=0,"SKIP",IF(IF(OR(NOT(ISNUMBER('03_payments_raw'!C30)),'03_payments_raw'!C30&lt;=0,'03_payments_raw'!C30&gt;'09_parameters'!$B$2),"ERROR","OK")="ERROR","ERROR",IF(COUNTIF('01_orders_raw'!$A$2:$A$181,'03_payments_raw'!B30)&lt;&gt;1,"SKIP",IF('03_payments_raw'!C30&lt;INDEX('01_orders_raw'!$B$2:$B$181,MATCH('03_payments_raw'!B30,'01_orders_raw'!$A$2:$A$181,0)),"ERROR","OK")))),"")</x:f>
        <x:v>OK</x:v>
      </x:c>
      <x:c r="I276" s="2" t="str">
        <x:f>IF(COUNTA('03_payments_raw'!A30:E30)&gt;0,IF(LEN('03_payments_raw'!E30&amp;"")=0,"SKIP",IF(AND('03_payments_raw'!E30&lt;&gt;"Оплачено",'03_payments_raw'!E30&lt;&gt;"Частично оплачено",'03_payments_raw'!E30&lt;&gt;"Не оплачено"),"ERROR","OK")),"")</x:f>
        <x:v>OK</x:v>
      </x:c>
      <x:c r="J276" s="2" t="n">
        <x:f>COUNTIF(C276:I276,"ERROR")</x:f>
        <x:v>0</x:v>
      </x:c>
      <x:c r="K276" s="2" t="n">
        <x:f>IF(COUNTA('03_payments_raw'!A30:E30)&gt;0,30,"")</x:f>
        <x:v>30</x:v>
      </x:c>
    </x:row>
    <x:row r="277">
      <x:c r="A277" s="2" t="str">
        <x:f>IF(COUNTA('03_payments_raw'!A31:E31)&gt;0,"Payment","")</x:f>
        <x:v>Payment</x:v>
      </x:c>
      <x:c r="B277" s="2" t="str">
        <x:f>IF(COUNTA('03_payments_raw'!A31:E31)&gt;0,'03_payments_raw'!A31,"")</x:f>
        <x:v>P030</x:v>
      </x:c>
      <x:c r="C277" s="2" t="str">
        <x:f>IF(COUNTA('03_payments_raw'!A31:E31)&gt;0,IF(AND(LEN('03_payments_raw'!A31&amp;"")&gt;0,COUNTIF('03_payments_raw'!$A$2:$A$141,'03_payments_raw'!A31)&gt;1),"ERROR","OK"),"")</x:f>
        <x:v>OK</x:v>
      </x:c>
      <x:c r="D277" s="2" t="str">
        <x:f>IF(COUNTA('03_payments_raw'!A31:E31)&gt;0,IF(OR(LEN('03_payments_raw'!A31&amp;"")=0,LEN('03_payments_raw'!B31&amp;"")=0,LEN('03_payments_raw'!C31&amp;"")=0,LEN('03_payments_raw'!D31&amp;"")=0,LEN('03_payments_raw'!E31&amp;"")=0),"ERROR","OK"),"")</x:f>
        <x:v>OK</x:v>
      </x:c>
      <x:c r="E277" s="2" t="str">
        <x:f>IF(COUNTA('03_payments_raw'!A31:E31)&gt;0,IF(LEN('03_payments_raw'!B31&amp;"")=0,"SKIP",IF(COUNTIF('01_orders_raw'!$A$2:$A$181,'03_payments_raw'!B31)&lt;&gt;1,"ERROR","OK")),"")</x:f>
        <x:v>OK</x:v>
      </x:c>
      <x:c r="F277" s="2" t="str">
        <x:f>IF(COUNTA('03_payments_raw'!A31:E31)&gt;0,IF(OR(COUNTIF('01_orders_raw'!$A$2:$A$181,'03_payments_raw'!B31)&lt;&gt;1,LEN('03_payments_raw'!D31&amp;"")=0),"SKIP",IF(OR(NOT(ISNUMBER('03_payments_raw'!D31)),'03_payments_raw'!D31&lt;0,'03_payments_raw'!D31&gt;INDEX('01_orders_raw'!$I$2:$I$181,MATCH('03_payments_raw'!B31,'01_orders_raw'!$A$2:$A$181,0))+'09_parameters'!$B$3),"ERROR","OK")),"")</x:f>
        <x:v>OK</x:v>
      </x:c>
      <x:c r="G277" s="2" t="str">
        <x:f>IF(COUNTA('03_payments_raw'!A31:E31)&gt;0,"N/A","")</x:f>
        <x:v>N/A</x:v>
      </x:c>
      <x:c r="H277" s="2" t="str">
        <x:f>IF(COUNTA('03_payments_raw'!A31:E31)&gt;0,IF(LEN('03_payments_raw'!C31&amp;"")=0,"SKIP",IF(IF(OR(NOT(ISNUMBER('03_payments_raw'!C31)),'03_payments_raw'!C31&lt;=0,'03_payments_raw'!C31&gt;'09_parameters'!$B$2),"ERROR","OK")="ERROR","ERROR",IF(COUNTIF('01_orders_raw'!$A$2:$A$181,'03_payments_raw'!B31)&lt;&gt;1,"SKIP",IF('03_payments_raw'!C31&lt;INDEX('01_orders_raw'!$B$2:$B$181,MATCH('03_payments_raw'!B31,'01_orders_raw'!$A$2:$A$181,0)),"ERROR","OK")))),"")</x:f>
        <x:v>OK</x:v>
      </x:c>
      <x:c r="I277" s="2" t="str">
        <x:f>IF(COUNTA('03_payments_raw'!A31:E31)&gt;0,IF(LEN('03_payments_raw'!E31&amp;"")=0,"SKIP",IF(AND('03_payments_raw'!E31&lt;&gt;"Оплачено",'03_payments_raw'!E31&lt;&gt;"Частично оплачено",'03_payments_raw'!E31&lt;&gt;"Не оплачено"),"ERROR","OK")),"")</x:f>
        <x:v>OK</x:v>
      </x:c>
      <x:c r="J277" s="2" t="n">
        <x:f>COUNTIF(C277:I277,"ERROR")</x:f>
        <x:v>0</x:v>
      </x:c>
      <x:c r="K277" s="2" t="n">
        <x:f>IF(COUNTA('03_payments_raw'!A31:E31)&gt;0,31,"")</x:f>
        <x:v>31</x:v>
      </x:c>
    </x:row>
    <x:row r="278">
      <x:c r="A278" s="2" t="str">
        <x:f>IF(COUNTA('03_payments_raw'!A32:E32)&gt;0,"Payment","")</x:f>
        <x:v>Payment</x:v>
      </x:c>
      <x:c r="B278" s="2" t="str">
        <x:f>IF(COUNTA('03_payments_raw'!A32:E32)&gt;0,'03_payments_raw'!A32,"")</x:f>
        <x:v>P031</x:v>
      </x:c>
      <x:c r="C278" s="2" t="str">
        <x:f>IF(COUNTA('03_payments_raw'!A32:E32)&gt;0,IF(AND(LEN('03_payments_raw'!A32&amp;"")&gt;0,COUNTIF('03_payments_raw'!$A$2:$A$141,'03_payments_raw'!A32)&gt;1),"ERROR","OK"),"")</x:f>
        <x:v>OK</x:v>
      </x:c>
      <x:c r="D278" s="2" t="str">
        <x:f>IF(COUNTA('03_payments_raw'!A32:E32)&gt;0,IF(OR(LEN('03_payments_raw'!A32&amp;"")=0,LEN('03_payments_raw'!B32&amp;"")=0,LEN('03_payments_raw'!C32&amp;"")=0,LEN('03_payments_raw'!D32&amp;"")=0,LEN('03_payments_raw'!E32&amp;"")=0),"ERROR","OK"),"")</x:f>
        <x:v>OK</x:v>
      </x:c>
      <x:c r="E278" s="2" t="str">
        <x:f>IF(COUNTA('03_payments_raw'!A32:E32)&gt;0,IF(LEN('03_payments_raw'!B32&amp;"")=0,"SKIP",IF(COUNTIF('01_orders_raw'!$A$2:$A$181,'03_payments_raw'!B32)&lt;&gt;1,"ERROR","OK")),"")</x:f>
        <x:v>OK</x:v>
      </x:c>
      <x:c r="F278" s="2" t="str">
        <x:f>IF(COUNTA('03_payments_raw'!A32:E32)&gt;0,IF(OR(COUNTIF('01_orders_raw'!$A$2:$A$181,'03_payments_raw'!B32)&lt;&gt;1,LEN('03_payments_raw'!D32&amp;"")=0),"SKIP",IF(OR(NOT(ISNUMBER('03_payments_raw'!D32)),'03_payments_raw'!D32&lt;0,'03_payments_raw'!D32&gt;INDEX('01_orders_raw'!$I$2:$I$181,MATCH('03_payments_raw'!B32,'01_orders_raw'!$A$2:$A$181,0))+'09_parameters'!$B$3),"ERROR","OK")),"")</x:f>
        <x:v>OK</x:v>
      </x:c>
      <x:c r="G278" s="2" t="str">
        <x:f>IF(COUNTA('03_payments_raw'!A32:E32)&gt;0,"N/A","")</x:f>
        <x:v>N/A</x:v>
      </x:c>
      <x:c r="H278" s="2" t="str">
        <x:f>IF(COUNTA('03_payments_raw'!A32:E32)&gt;0,IF(LEN('03_payments_raw'!C32&amp;"")=0,"SKIP",IF(IF(OR(NOT(ISNUMBER('03_payments_raw'!C32)),'03_payments_raw'!C32&lt;=0,'03_payments_raw'!C32&gt;'09_parameters'!$B$2),"ERROR","OK")="ERROR","ERROR",IF(COUNTIF('01_orders_raw'!$A$2:$A$181,'03_payments_raw'!B32)&lt;&gt;1,"SKIP",IF('03_payments_raw'!C32&lt;INDEX('01_orders_raw'!$B$2:$B$181,MATCH('03_payments_raw'!B32,'01_orders_raw'!$A$2:$A$181,0)),"ERROR","OK")))),"")</x:f>
        <x:v>OK</x:v>
      </x:c>
      <x:c r="I278" s="2" t="str">
        <x:f>IF(COUNTA('03_payments_raw'!A32:E32)&gt;0,IF(LEN('03_payments_raw'!E32&amp;"")=0,"SKIP",IF(AND('03_payments_raw'!E32&lt;&gt;"Оплачено",'03_payments_raw'!E32&lt;&gt;"Частично оплачено",'03_payments_raw'!E32&lt;&gt;"Не оплачено"),"ERROR","OK")),"")</x:f>
        <x:v>OK</x:v>
      </x:c>
      <x:c r="J278" s="2" t="n">
        <x:f>COUNTIF(C278:I278,"ERROR")</x:f>
        <x:v>0</x:v>
      </x:c>
      <x:c r="K278" s="2" t="n">
        <x:f>IF(COUNTA('03_payments_raw'!A32:E32)&gt;0,32,"")</x:f>
        <x:v>32</x:v>
      </x:c>
    </x:row>
    <x:row r="279">
      <x:c r="A279" s="2" t="str">
        <x:f>IF(COUNTA('03_payments_raw'!A33:E33)&gt;0,"Payment","")</x:f>
        <x:v>Payment</x:v>
      </x:c>
      <x:c r="B279" s="2" t="str">
        <x:f>IF(COUNTA('03_payments_raw'!A33:E33)&gt;0,'03_payments_raw'!A33,"")</x:f>
        <x:v>P032</x:v>
      </x:c>
      <x:c r="C279" s="2" t="str">
        <x:f>IF(COUNTA('03_payments_raw'!A33:E33)&gt;0,IF(AND(LEN('03_payments_raw'!A33&amp;"")&gt;0,COUNTIF('03_payments_raw'!$A$2:$A$141,'03_payments_raw'!A33)&gt;1),"ERROR","OK"),"")</x:f>
        <x:v>OK</x:v>
      </x:c>
      <x:c r="D279" s="2" t="str">
        <x:f>IF(COUNTA('03_payments_raw'!A33:E33)&gt;0,IF(OR(LEN('03_payments_raw'!A33&amp;"")=0,LEN('03_payments_raw'!B33&amp;"")=0,LEN('03_payments_raw'!C33&amp;"")=0,LEN('03_payments_raw'!D33&amp;"")=0,LEN('03_payments_raw'!E33&amp;"")=0),"ERROR","OK"),"")</x:f>
        <x:v>OK</x:v>
      </x:c>
      <x:c r="E279" s="2" t="str">
        <x:f>IF(COUNTA('03_payments_raw'!A33:E33)&gt;0,IF(LEN('03_payments_raw'!B33&amp;"")=0,"SKIP",IF(COUNTIF('01_orders_raw'!$A$2:$A$181,'03_payments_raw'!B33)&lt;&gt;1,"ERROR","OK")),"")</x:f>
        <x:v>OK</x:v>
      </x:c>
      <x:c r="F279" s="2" t="str">
        <x:f>IF(COUNTA('03_payments_raw'!A33:E33)&gt;0,IF(OR(COUNTIF('01_orders_raw'!$A$2:$A$181,'03_payments_raw'!B33)&lt;&gt;1,LEN('03_payments_raw'!D33&amp;"")=0),"SKIP",IF(OR(NOT(ISNUMBER('03_payments_raw'!D33)),'03_payments_raw'!D33&lt;0,'03_payments_raw'!D33&gt;INDEX('01_orders_raw'!$I$2:$I$181,MATCH('03_payments_raw'!B33,'01_orders_raw'!$A$2:$A$181,0))+'09_parameters'!$B$3),"ERROR","OK")),"")</x:f>
        <x:v>OK</x:v>
      </x:c>
      <x:c r="G279" s="2" t="str">
        <x:f>IF(COUNTA('03_payments_raw'!A33:E33)&gt;0,"N/A","")</x:f>
        <x:v>N/A</x:v>
      </x:c>
      <x:c r="H279" s="2" t="str">
        <x:f>IF(COUNTA('03_payments_raw'!A33:E33)&gt;0,IF(LEN('03_payments_raw'!C33&amp;"")=0,"SKIP",IF(IF(OR(NOT(ISNUMBER('03_payments_raw'!C33)),'03_payments_raw'!C33&lt;=0,'03_payments_raw'!C33&gt;'09_parameters'!$B$2),"ERROR","OK")="ERROR","ERROR",IF(COUNTIF('01_orders_raw'!$A$2:$A$181,'03_payments_raw'!B33)&lt;&gt;1,"SKIP",IF('03_payments_raw'!C33&lt;INDEX('01_orders_raw'!$B$2:$B$181,MATCH('03_payments_raw'!B33,'01_orders_raw'!$A$2:$A$181,0)),"ERROR","OK")))),"")</x:f>
        <x:v>OK</x:v>
      </x:c>
      <x:c r="I279" s="2" t="str">
        <x:f>IF(COUNTA('03_payments_raw'!A33:E33)&gt;0,IF(LEN('03_payments_raw'!E33&amp;"")=0,"SKIP",IF(AND('03_payments_raw'!E33&lt;&gt;"Оплачено",'03_payments_raw'!E33&lt;&gt;"Частично оплачено",'03_payments_raw'!E33&lt;&gt;"Не оплачено"),"ERROR","OK")),"")</x:f>
        <x:v>OK</x:v>
      </x:c>
      <x:c r="J279" s="2" t="n">
        <x:f>COUNTIF(C279:I279,"ERROR")</x:f>
        <x:v>0</x:v>
      </x:c>
      <x:c r="K279" s="2" t="n">
        <x:f>IF(COUNTA('03_payments_raw'!A33:E33)&gt;0,33,"")</x:f>
        <x:v>33</x:v>
      </x:c>
    </x:row>
    <x:row r="280">
      <x:c r="A280" s="2" t="str">
        <x:f>IF(COUNTA('03_payments_raw'!A34:E34)&gt;0,"Payment","")</x:f>
        <x:v>Payment</x:v>
      </x:c>
      <x:c r="B280" s="2" t="str">
        <x:f>IF(COUNTA('03_payments_raw'!A34:E34)&gt;0,'03_payments_raw'!A34,"")</x:f>
        <x:v>P033</x:v>
      </x:c>
      <x:c r="C280" s="2" t="str">
        <x:f>IF(COUNTA('03_payments_raw'!A34:E34)&gt;0,IF(AND(LEN('03_payments_raw'!A34&amp;"")&gt;0,COUNTIF('03_payments_raw'!$A$2:$A$141,'03_payments_raw'!A34)&gt;1),"ERROR","OK"),"")</x:f>
        <x:v>OK</x:v>
      </x:c>
      <x:c r="D280" s="2" t="str">
        <x:f>IF(COUNTA('03_payments_raw'!A34:E34)&gt;0,IF(OR(LEN('03_payments_raw'!A34&amp;"")=0,LEN('03_payments_raw'!B34&amp;"")=0,LEN('03_payments_raw'!C34&amp;"")=0,LEN('03_payments_raw'!D34&amp;"")=0,LEN('03_payments_raw'!E34&amp;"")=0),"ERROR","OK"),"")</x:f>
        <x:v>OK</x:v>
      </x:c>
      <x:c r="E280" s="2" t="str">
        <x:f>IF(COUNTA('03_payments_raw'!A34:E34)&gt;0,IF(LEN('03_payments_raw'!B34&amp;"")=0,"SKIP",IF(COUNTIF('01_orders_raw'!$A$2:$A$181,'03_payments_raw'!B34)&lt;&gt;1,"ERROR","OK")),"")</x:f>
        <x:v>OK</x:v>
      </x:c>
      <x:c r="F280" s="2" t="str">
        <x:f>IF(COUNTA('03_payments_raw'!A34:E34)&gt;0,IF(OR(COUNTIF('01_orders_raw'!$A$2:$A$181,'03_payments_raw'!B34)&lt;&gt;1,LEN('03_payments_raw'!D34&amp;"")=0),"SKIP",IF(OR(NOT(ISNUMBER('03_payments_raw'!D34)),'03_payments_raw'!D34&lt;0,'03_payments_raw'!D34&gt;INDEX('01_orders_raw'!$I$2:$I$181,MATCH('03_payments_raw'!B34,'01_orders_raw'!$A$2:$A$181,0))+'09_parameters'!$B$3),"ERROR","OK")),"")</x:f>
        <x:v>OK</x:v>
      </x:c>
      <x:c r="G280" s="2" t="str">
        <x:f>IF(COUNTA('03_payments_raw'!A34:E34)&gt;0,"N/A","")</x:f>
        <x:v>N/A</x:v>
      </x:c>
      <x:c r="H280" s="2" t="str">
        <x:f>IF(COUNTA('03_payments_raw'!A34:E34)&gt;0,IF(LEN('03_payments_raw'!C34&amp;"")=0,"SKIP",IF(IF(OR(NOT(ISNUMBER('03_payments_raw'!C34)),'03_payments_raw'!C34&lt;=0,'03_payments_raw'!C34&gt;'09_parameters'!$B$2),"ERROR","OK")="ERROR","ERROR",IF(COUNTIF('01_orders_raw'!$A$2:$A$181,'03_payments_raw'!B34)&lt;&gt;1,"SKIP",IF('03_payments_raw'!C34&lt;INDEX('01_orders_raw'!$B$2:$B$181,MATCH('03_payments_raw'!B34,'01_orders_raw'!$A$2:$A$181,0)),"ERROR","OK")))),"")</x:f>
        <x:v>OK</x:v>
      </x:c>
      <x:c r="I280" s="2" t="str">
        <x:f>IF(COUNTA('03_payments_raw'!A34:E34)&gt;0,IF(LEN('03_payments_raw'!E34&amp;"")=0,"SKIP",IF(AND('03_payments_raw'!E34&lt;&gt;"Оплачено",'03_payments_raw'!E34&lt;&gt;"Частично оплачено",'03_payments_raw'!E34&lt;&gt;"Не оплачено"),"ERROR","OK")),"")</x:f>
        <x:v>OK</x:v>
      </x:c>
      <x:c r="J280" s="2" t="n">
        <x:f>COUNTIF(C280:I280,"ERROR")</x:f>
        <x:v>0</x:v>
      </x:c>
      <x:c r="K280" s="2" t="n">
        <x:f>IF(COUNTA('03_payments_raw'!A34:E34)&gt;0,34,"")</x:f>
        <x:v>34</x:v>
      </x:c>
    </x:row>
    <x:row r="281">
      <x:c r="A281" s="2" t="str">
        <x:f>IF(COUNTA('03_payments_raw'!A35:E35)&gt;0,"Payment","")</x:f>
        <x:v>Payment</x:v>
      </x:c>
      <x:c r="B281" s="2" t="str">
        <x:f>IF(COUNTA('03_payments_raw'!A35:E35)&gt;0,'03_payments_raw'!A35,"")</x:f>
        <x:v>P034</x:v>
      </x:c>
      <x:c r="C281" s="2" t="str">
        <x:f>IF(COUNTA('03_payments_raw'!A35:E35)&gt;0,IF(AND(LEN('03_payments_raw'!A35&amp;"")&gt;0,COUNTIF('03_payments_raw'!$A$2:$A$141,'03_payments_raw'!A35)&gt;1),"ERROR","OK"),"")</x:f>
        <x:v>OK</x:v>
      </x:c>
      <x:c r="D281" s="2" t="str">
        <x:f>IF(COUNTA('03_payments_raw'!A35:E35)&gt;0,IF(OR(LEN('03_payments_raw'!A35&amp;"")=0,LEN('03_payments_raw'!B35&amp;"")=0,LEN('03_payments_raw'!C35&amp;"")=0,LEN('03_payments_raw'!D35&amp;"")=0,LEN('03_payments_raw'!E35&amp;"")=0),"ERROR","OK"),"")</x:f>
        <x:v>OK</x:v>
      </x:c>
      <x:c r="E281" s="2" t="str">
        <x:f>IF(COUNTA('03_payments_raw'!A35:E35)&gt;0,IF(LEN('03_payments_raw'!B35&amp;"")=0,"SKIP",IF(COUNTIF('01_orders_raw'!$A$2:$A$181,'03_payments_raw'!B35)&lt;&gt;1,"ERROR","OK")),"")</x:f>
        <x:v>OK</x:v>
      </x:c>
      <x:c r="F281" s="2" t="str">
        <x:f>IF(COUNTA('03_payments_raw'!A35:E35)&gt;0,IF(OR(COUNTIF('01_orders_raw'!$A$2:$A$181,'03_payments_raw'!B35)&lt;&gt;1,LEN('03_payments_raw'!D35&amp;"")=0),"SKIP",IF(OR(NOT(ISNUMBER('03_payments_raw'!D35)),'03_payments_raw'!D35&lt;0,'03_payments_raw'!D35&gt;INDEX('01_orders_raw'!$I$2:$I$181,MATCH('03_payments_raw'!B35,'01_orders_raw'!$A$2:$A$181,0))+'09_parameters'!$B$3),"ERROR","OK")),"")</x:f>
        <x:v>OK</x:v>
      </x:c>
      <x:c r="G281" s="2" t="str">
        <x:f>IF(COUNTA('03_payments_raw'!A35:E35)&gt;0,"N/A","")</x:f>
        <x:v>N/A</x:v>
      </x:c>
      <x:c r="H281" s="2" t="str">
        <x:f>IF(COUNTA('03_payments_raw'!A35:E35)&gt;0,IF(LEN('03_payments_raw'!C35&amp;"")=0,"SKIP",IF(IF(OR(NOT(ISNUMBER('03_payments_raw'!C35)),'03_payments_raw'!C35&lt;=0,'03_payments_raw'!C35&gt;'09_parameters'!$B$2),"ERROR","OK")="ERROR","ERROR",IF(COUNTIF('01_orders_raw'!$A$2:$A$181,'03_payments_raw'!B35)&lt;&gt;1,"SKIP",IF('03_payments_raw'!C35&lt;INDEX('01_orders_raw'!$B$2:$B$181,MATCH('03_payments_raw'!B35,'01_orders_raw'!$A$2:$A$181,0)),"ERROR","OK")))),"")</x:f>
        <x:v>OK</x:v>
      </x:c>
      <x:c r="I281" s="2" t="str">
        <x:f>IF(COUNTA('03_payments_raw'!A35:E35)&gt;0,IF(LEN('03_payments_raw'!E35&amp;"")=0,"SKIP",IF(AND('03_payments_raw'!E35&lt;&gt;"Оплачено",'03_payments_raw'!E35&lt;&gt;"Частично оплачено",'03_payments_raw'!E35&lt;&gt;"Не оплачено"),"ERROR","OK")),"")</x:f>
        <x:v>OK</x:v>
      </x:c>
      <x:c r="J281" s="2" t="n">
        <x:f>COUNTIF(C281:I281,"ERROR")</x:f>
        <x:v>0</x:v>
      </x:c>
      <x:c r="K281" s="2" t="n">
        <x:f>IF(COUNTA('03_payments_raw'!A35:E35)&gt;0,35,"")</x:f>
        <x:v>35</x:v>
      </x:c>
    </x:row>
    <x:row r="282">
      <x:c r="A282" s="2" t="str">
        <x:f>IF(COUNTA('03_payments_raw'!A36:E36)&gt;0,"Payment","")</x:f>
        <x:v>Payment</x:v>
      </x:c>
      <x:c r="B282" s="2" t="str">
        <x:f>IF(COUNTA('03_payments_raw'!A36:E36)&gt;0,'03_payments_raw'!A36,"")</x:f>
        <x:v>P035</x:v>
      </x:c>
      <x:c r="C282" s="2" t="str">
        <x:f>IF(COUNTA('03_payments_raw'!A36:E36)&gt;0,IF(AND(LEN('03_payments_raw'!A36&amp;"")&gt;0,COUNTIF('03_payments_raw'!$A$2:$A$141,'03_payments_raw'!A36)&gt;1),"ERROR","OK"),"")</x:f>
        <x:v>OK</x:v>
      </x:c>
      <x:c r="D282" s="2" t="str">
        <x:f>IF(COUNTA('03_payments_raw'!A36:E36)&gt;0,IF(OR(LEN('03_payments_raw'!A36&amp;"")=0,LEN('03_payments_raw'!B36&amp;"")=0,LEN('03_payments_raw'!C36&amp;"")=0,LEN('03_payments_raw'!D36&amp;"")=0,LEN('03_payments_raw'!E36&amp;"")=0),"ERROR","OK"),"")</x:f>
        <x:v>OK</x:v>
      </x:c>
      <x:c r="E282" s="2" t="str">
        <x:f>IF(COUNTA('03_payments_raw'!A36:E36)&gt;0,IF(LEN('03_payments_raw'!B36&amp;"")=0,"SKIP",IF(COUNTIF('01_orders_raw'!$A$2:$A$181,'03_payments_raw'!B36)&lt;&gt;1,"ERROR","OK")),"")</x:f>
        <x:v>OK</x:v>
      </x:c>
      <x:c r="F282" s="2" t="str">
        <x:f>IF(COUNTA('03_payments_raw'!A36:E36)&gt;0,IF(OR(COUNTIF('01_orders_raw'!$A$2:$A$181,'03_payments_raw'!B36)&lt;&gt;1,LEN('03_payments_raw'!D36&amp;"")=0),"SKIP",IF(OR(NOT(ISNUMBER('03_payments_raw'!D36)),'03_payments_raw'!D36&lt;0,'03_payments_raw'!D36&gt;INDEX('01_orders_raw'!$I$2:$I$181,MATCH('03_payments_raw'!B36,'01_orders_raw'!$A$2:$A$181,0))+'09_parameters'!$B$3),"ERROR","OK")),"")</x:f>
        <x:v>OK</x:v>
      </x:c>
      <x:c r="G282" s="2" t="str">
        <x:f>IF(COUNTA('03_payments_raw'!A36:E36)&gt;0,"N/A","")</x:f>
        <x:v>N/A</x:v>
      </x:c>
      <x:c r="H282" s="2" t="str">
        <x:f>IF(COUNTA('03_payments_raw'!A36:E36)&gt;0,IF(LEN('03_payments_raw'!C36&amp;"")=0,"SKIP",IF(IF(OR(NOT(ISNUMBER('03_payments_raw'!C36)),'03_payments_raw'!C36&lt;=0,'03_payments_raw'!C36&gt;'09_parameters'!$B$2),"ERROR","OK")="ERROR","ERROR",IF(COUNTIF('01_orders_raw'!$A$2:$A$181,'03_payments_raw'!B36)&lt;&gt;1,"SKIP",IF('03_payments_raw'!C36&lt;INDEX('01_orders_raw'!$B$2:$B$181,MATCH('03_payments_raw'!B36,'01_orders_raw'!$A$2:$A$181,0)),"ERROR","OK")))),"")</x:f>
        <x:v>OK</x:v>
      </x:c>
      <x:c r="I282" s="2" t="str">
        <x:f>IF(COUNTA('03_payments_raw'!A36:E36)&gt;0,IF(LEN('03_payments_raw'!E36&amp;"")=0,"SKIP",IF(AND('03_payments_raw'!E36&lt;&gt;"Оплачено",'03_payments_raw'!E36&lt;&gt;"Частично оплачено",'03_payments_raw'!E36&lt;&gt;"Не оплачено"),"ERROR","OK")),"")</x:f>
        <x:v>OK</x:v>
      </x:c>
      <x:c r="J282" s="2" t="n">
        <x:f>COUNTIF(C282:I282,"ERROR")</x:f>
        <x:v>0</x:v>
      </x:c>
      <x:c r="K282" s="2" t="n">
        <x:f>IF(COUNTA('03_payments_raw'!A36:E36)&gt;0,36,"")</x:f>
        <x:v>36</x:v>
      </x:c>
    </x:row>
    <x:row r="283">
      <x:c r="A283" s="2" t="str">
        <x:f>IF(COUNTA('03_payments_raw'!A37:E37)&gt;0,"Payment","")</x:f>
        <x:v>Payment</x:v>
      </x:c>
      <x:c r="B283" s="2" t="str">
        <x:f>IF(COUNTA('03_payments_raw'!A37:E37)&gt;0,'03_payments_raw'!A37,"")</x:f>
        <x:v>P036</x:v>
      </x:c>
      <x:c r="C283" s="2" t="str">
        <x:f>IF(COUNTA('03_payments_raw'!A37:E37)&gt;0,IF(AND(LEN('03_payments_raw'!A37&amp;"")&gt;0,COUNTIF('03_payments_raw'!$A$2:$A$141,'03_payments_raw'!A37)&gt;1),"ERROR","OK"),"")</x:f>
        <x:v>OK</x:v>
      </x:c>
      <x:c r="D283" s="2" t="str">
        <x:f>IF(COUNTA('03_payments_raw'!A37:E37)&gt;0,IF(OR(LEN('03_payments_raw'!A37&amp;"")=0,LEN('03_payments_raw'!B37&amp;"")=0,LEN('03_payments_raw'!C37&amp;"")=0,LEN('03_payments_raw'!D37&amp;"")=0,LEN('03_payments_raw'!E37&amp;"")=0),"ERROR","OK"),"")</x:f>
        <x:v>OK</x:v>
      </x:c>
      <x:c r="E283" s="2" t="str">
        <x:f>IF(COUNTA('03_payments_raw'!A37:E37)&gt;0,IF(LEN('03_payments_raw'!B37&amp;"")=0,"SKIP",IF(COUNTIF('01_orders_raw'!$A$2:$A$181,'03_payments_raw'!B37)&lt;&gt;1,"ERROR","OK")),"")</x:f>
        <x:v>OK</x:v>
      </x:c>
      <x:c r="F283" s="2" t="str">
        <x:f>IF(COUNTA('03_payments_raw'!A37:E37)&gt;0,IF(OR(COUNTIF('01_orders_raw'!$A$2:$A$181,'03_payments_raw'!B37)&lt;&gt;1,LEN('03_payments_raw'!D37&amp;"")=0),"SKIP",IF(OR(NOT(ISNUMBER('03_payments_raw'!D37)),'03_payments_raw'!D37&lt;0,'03_payments_raw'!D37&gt;INDEX('01_orders_raw'!$I$2:$I$181,MATCH('03_payments_raw'!B37,'01_orders_raw'!$A$2:$A$181,0))+'09_parameters'!$B$3),"ERROR","OK")),"")</x:f>
        <x:v>OK</x:v>
      </x:c>
      <x:c r="G283" s="2" t="str">
        <x:f>IF(COUNTA('03_payments_raw'!A37:E37)&gt;0,"N/A","")</x:f>
        <x:v>N/A</x:v>
      </x:c>
      <x:c r="H283" s="2" t="str">
        <x:f>IF(COUNTA('03_payments_raw'!A37:E37)&gt;0,IF(LEN('03_payments_raw'!C37&amp;"")=0,"SKIP",IF(IF(OR(NOT(ISNUMBER('03_payments_raw'!C37)),'03_payments_raw'!C37&lt;=0,'03_payments_raw'!C37&gt;'09_parameters'!$B$2),"ERROR","OK")="ERROR","ERROR",IF(COUNTIF('01_orders_raw'!$A$2:$A$181,'03_payments_raw'!B37)&lt;&gt;1,"SKIP",IF('03_payments_raw'!C37&lt;INDEX('01_orders_raw'!$B$2:$B$181,MATCH('03_payments_raw'!B37,'01_orders_raw'!$A$2:$A$181,0)),"ERROR","OK")))),"")</x:f>
        <x:v>OK</x:v>
      </x:c>
      <x:c r="I283" s="2" t="str">
        <x:f>IF(COUNTA('03_payments_raw'!A37:E37)&gt;0,IF(LEN('03_payments_raw'!E37&amp;"")=0,"SKIP",IF(AND('03_payments_raw'!E37&lt;&gt;"Оплачено",'03_payments_raw'!E37&lt;&gt;"Частично оплачено",'03_payments_raw'!E37&lt;&gt;"Не оплачено"),"ERROR","OK")),"")</x:f>
        <x:v>OK</x:v>
      </x:c>
      <x:c r="J283" s="2" t="n">
        <x:f>COUNTIF(C283:I283,"ERROR")</x:f>
        <x:v>0</x:v>
      </x:c>
      <x:c r="K283" s="2" t="n">
        <x:f>IF(COUNTA('03_payments_raw'!A37:E37)&gt;0,37,"")</x:f>
        <x:v>37</x:v>
      </x:c>
    </x:row>
    <x:row r="284">
      <x:c r="A284" s="2" t="str">
        <x:f>IF(COUNTA('03_payments_raw'!A38:E38)&gt;0,"Payment","")</x:f>
        <x:v>Payment</x:v>
      </x:c>
      <x:c r="B284" s="2" t="str">
        <x:f>IF(COUNTA('03_payments_raw'!A38:E38)&gt;0,'03_payments_raw'!A38,"")</x:f>
        <x:v>P037</x:v>
      </x:c>
      <x:c r="C284" s="2" t="str">
        <x:f>IF(COUNTA('03_payments_raw'!A38:E38)&gt;0,IF(AND(LEN('03_payments_raw'!A38&amp;"")&gt;0,COUNTIF('03_payments_raw'!$A$2:$A$141,'03_payments_raw'!A38)&gt;1),"ERROR","OK"),"")</x:f>
        <x:v>OK</x:v>
      </x:c>
      <x:c r="D284" s="2" t="str">
        <x:f>IF(COUNTA('03_payments_raw'!A38:E38)&gt;0,IF(OR(LEN('03_payments_raw'!A38&amp;"")=0,LEN('03_payments_raw'!B38&amp;"")=0,LEN('03_payments_raw'!C38&amp;"")=0,LEN('03_payments_raw'!D38&amp;"")=0,LEN('03_payments_raw'!E38&amp;"")=0),"ERROR","OK"),"")</x:f>
        <x:v>OK</x:v>
      </x:c>
      <x:c r="E284" s="2" t="str">
        <x:f>IF(COUNTA('03_payments_raw'!A38:E38)&gt;0,IF(LEN('03_payments_raw'!B38&amp;"")=0,"SKIP",IF(COUNTIF('01_orders_raw'!$A$2:$A$181,'03_payments_raw'!B38)&lt;&gt;1,"ERROR","OK")),"")</x:f>
        <x:v>OK</x:v>
      </x:c>
      <x:c r="F284" s="2" t="str">
        <x:f>IF(COUNTA('03_payments_raw'!A38:E38)&gt;0,IF(OR(COUNTIF('01_orders_raw'!$A$2:$A$181,'03_payments_raw'!B38)&lt;&gt;1,LEN('03_payments_raw'!D38&amp;"")=0),"SKIP",IF(OR(NOT(ISNUMBER('03_payments_raw'!D38)),'03_payments_raw'!D38&lt;0,'03_payments_raw'!D38&gt;INDEX('01_orders_raw'!$I$2:$I$181,MATCH('03_payments_raw'!B38,'01_orders_raw'!$A$2:$A$181,0))+'09_parameters'!$B$3),"ERROR","OK")),"")</x:f>
        <x:v>OK</x:v>
      </x:c>
      <x:c r="G284" s="2" t="str">
        <x:f>IF(COUNTA('03_payments_raw'!A38:E38)&gt;0,"N/A","")</x:f>
        <x:v>N/A</x:v>
      </x:c>
      <x:c r="H284" s="2" t="str">
        <x:f>IF(COUNTA('03_payments_raw'!A38:E38)&gt;0,IF(LEN('03_payments_raw'!C38&amp;"")=0,"SKIP",IF(IF(OR(NOT(ISNUMBER('03_payments_raw'!C38)),'03_payments_raw'!C38&lt;=0,'03_payments_raw'!C38&gt;'09_parameters'!$B$2),"ERROR","OK")="ERROR","ERROR",IF(COUNTIF('01_orders_raw'!$A$2:$A$181,'03_payments_raw'!B38)&lt;&gt;1,"SKIP",IF('03_payments_raw'!C38&lt;INDEX('01_orders_raw'!$B$2:$B$181,MATCH('03_payments_raw'!B38,'01_orders_raw'!$A$2:$A$181,0)),"ERROR","OK")))),"")</x:f>
        <x:v>OK</x:v>
      </x:c>
      <x:c r="I284" s="2" t="str">
        <x:f>IF(COUNTA('03_payments_raw'!A38:E38)&gt;0,IF(LEN('03_payments_raw'!E38&amp;"")=0,"SKIP",IF(AND('03_payments_raw'!E38&lt;&gt;"Оплачено",'03_payments_raw'!E38&lt;&gt;"Частично оплачено",'03_payments_raw'!E38&lt;&gt;"Не оплачено"),"ERROR","OK")),"")</x:f>
        <x:v>OK</x:v>
      </x:c>
      <x:c r="J284" s="2" t="n">
        <x:f>COUNTIF(C284:I284,"ERROR")</x:f>
        <x:v>0</x:v>
      </x:c>
      <x:c r="K284" s="2" t="n">
        <x:f>IF(COUNTA('03_payments_raw'!A38:E38)&gt;0,38,"")</x:f>
        <x:v>38</x:v>
      </x:c>
    </x:row>
    <x:row r="285">
      <x:c r="A285" s="2" t="str">
        <x:f>IF(COUNTA('03_payments_raw'!A39:E39)&gt;0,"Payment","")</x:f>
        <x:v>Payment</x:v>
      </x:c>
      <x:c r="B285" s="2" t="str">
        <x:f>IF(COUNTA('03_payments_raw'!A39:E39)&gt;0,'03_payments_raw'!A39,"")</x:f>
        <x:v>P038</x:v>
      </x:c>
      <x:c r="C285" s="2" t="str">
        <x:f>IF(COUNTA('03_payments_raw'!A39:E39)&gt;0,IF(AND(LEN('03_payments_raw'!A39&amp;"")&gt;0,COUNTIF('03_payments_raw'!$A$2:$A$141,'03_payments_raw'!A39)&gt;1),"ERROR","OK"),"")</x:f>
        <x:v>OK</x:v>
      </x:c>
      <x:c r="D285" s="2" t="str">
        <x:f>IF(COUNTA('03_payments_raw'!A39:E39)&gt;0,IF(OR(LEN('03_payments_raw'!A39&amp;"")=0,LEN('03_payments_raw'!B39&amp;"")=0,LEN('03_payments_raw'!C39&amp;"")=0,LEN('03_payments_raw'!D39&amp;"")=0,LEN('03_payments_raw'!E39&amp;"")=0),"ERROR","OK"),"")</x:f>
        <x:v>OK</x:v>
      </x:c>
      <x:c r="E285" s="2" t="str">
        <x:f>IF(COUNTA('03_payments_raw'!A39:E39)&gt;0,IF(LEN('03_payments_raw'!B39&amp;"")=0,"SKIP",IF(COUNTIF('01_orders_raw'!$A$2:$A$181,'03_payments_raw'!B39)&lt;&gt;1,"ERROR","OK")),"")</x:f>
        <x:v>OK</x:v>
      </x:c>
      <x:c r="F285" s="2" t="str">
        <x:f>IF(COUNTA('03_payments_raw'!A39:E39)&gt;0,IF(OR(COUNTIF('01_orders_raw'!$A$2:$A$181,'03_payments_raw'!B39)&lt;&gt;1,LEN('03_payments_raw'!D39&amp;"")=0),"SKIP",IF(OR(NOT(ISNUMBER('03_payments_raw'!D39)),'03_payments_raw'!D39&lt;0,'03_payments_raw'!D39&gt;INDEX('01_orders_raw'!$I$2:$I$181,MATCH('03_payments_raw'!B39,'01_orders_raw'!$A$2:$A$181,0))+'09_parameters'!$B$3),"ERROR","OK")),"")</x:f>
        <x:v>OK</x:v>
      </x:c>
      <x:c r="G285" s="2" t="str">
        <x:f>IF(COUNTA('03_payments_raw'!A39:E39)&gt;0,"N/A","")</x:f>
        <x:v>N/A</x:v>
      </x:c>
      <x:c r="H285" s="2" t="str">
        <x:f>IF(COUNTA('03_payments_raw'!A39:E39)&gt;0,IF(LEN('03_payments_raw'!C39&amp;"")=0,"SKIP",IF(IF(OR(NOT(ISNUMBER('03_payments_raw'!C39)),'03_payments_raw'!C39&lt;=0,'03_payments_raw'!C39&gt;'09_parameters'!$B$2),"ERROR","OK")="ERROR","ERROR",IF(COUNTIF('01_orders_raw'!$A$2:$A$181,'03_payments_raw'!B39)&lt;&gt;1,"SKIP",IF('03_payments_raw'!C39&lt;INDEX('01_orders_raw'!$B$2:$B$181,MATCH('03_payments_raw'!B39,'01_orders_raw'!$A$2:$A$181,0)),"ERROR","OK")))),"")</x:f>
        <x:v>ERROR</x:v>
      </x:c>
      <x:c r="I285" s="2" t="str">
        <x:f>IF(COUNTA('03_payments_raw'!A39:E39)&gt;0,IF(LEN('03_payments_raw'!E39&amp;"")=0,"SKIP",IF(AND('03_payments_raw'!E39&lt;&gt;"Оплачено",'03_payments_raw'!E39&lt;&gt;"Частично оплачено",'03_payments_raw'!E39&lt;&gt;"Не оплачено"),"ERROR","OK")),"")</x:f>
        <x:v>OK</x:v>
      </x:c>
      <x:c r="J285" s="2" t="n">
        <x:f>COUNTIF(C285:I285,"ERROR")</x:f>
        <x:v>1</x:v>
      </x:c>
      <x:c r="K285" s="2" t="n">
        <x:f>IF(COUNTA('03_payments_raw'!A39:E39)&gt;0,39,"")</x:f>
        <x:v>39</x:v>
      </x:c>
    </x:row>
    <x:row r="286">
      <x:c r="A286" s="2" t="str">
        <x:f>IF(COUNTA('03_payments_raw'!A40:E40)&gt;0,"Payment","")</x:f>
        <x:v>Payment</x:v>
      </x:c>
      <x:c r="B286" s="2" t="str">
        <x:f>IF(COUNTA('03_payments_raw'!A40:E40)&gt;0,'03_payments_raw'!A40,"")</x:f>
        <x:v>P039</x:v>
      </x:c>
      <x:c r="C286" s="2" t="str">
        <x:f>IF(COUNTA('03_payments_raw'!A40:E40)&gt;0,IF(AND(LEN('03_payments_raw'!A40&amp;"")&gt;0,COUNTIF('03_payments_raw'!$A$2:$A$141,'03_payments_raw'!A40)&gt;1),"ERROR","OK"),"")</x:f>
        <x:v>OK</x:v>
      </x:c>
      <x:c r="D286" s="2" t="str">
        <x:f>IF(COUNTA('03_payments_raw'!A40:E40)&gt;0,IF(OR(LEN('03_payments_raw'!A40&amp;"")=0,LEN('03_payments_raw'!B40&amp;"")=0,LEN('03_payments_raw'!C40&amp;"")=0,LEN('03_payments_raw'!D40&amp;"")=0,LEN('03_payments_raw'!E40&amp;"")=0),"ERROR","OK"),"")</x:f>
        <x:v>OK</x:v>
      </x:c>
      <x:c r="E286" s="2" t="str">
        <x:f>IF(COUNTA('03_payments_raw'!A40:E40)&gt;0,IF(LEN('03_payments_raw'!B40&amp;"")=0,"SKIP",IF(COUNTIF('01_orders_raw'!$A$2:$A$181,'03_payments_raw'!B40)&lt;&gt;1,"ERROR","OK")),"")</x:f>
        <x:v>OK</x:v>
      </x:c>
      <x:c r="F286" s="2" t="str">
        <x:f>IF(COUNTA('03_payments_raw'!A40:E40)&gt;0,IF(OR(COUNTIF('01_orders_raw'!$A$2:$A$181,'03_payments_raw'!B40)&lt;&gt;1,LEN('03_payments_raw'!D40&amp;"")=0),"SKIP",IF(OR(NOT(ISNUMBER('03_payments_raw'!D40)),'03_payments_raw'!D40&lt;0,'03_payments_raw'!D40&gt;INDEX('01_orders_raw'!$I$2:$I$181,MATCH('03_payments_raw'!B40,'01_orders_raw'!$A$2:$A$181,0))+'09_parameters'!$B$3),"ERROR","OK")),"")</x:f>
        <x:v>OK</x:v>
      </x:c>
      <x:c r="G286" s="2" t="str">
        <x:f>IF(COUNTA('03_payments_raw'!A40:E40)&gt;0,"N/A","")</x:f>
        <x:v>N/A</x:v>
      </x:c>
      <x:c r="H286" s="2" t="str">
        <x:f>IF(COUNTA('03_payments_raw'!A40:E40)&gt;0,IF(LEN('03_payments_raw'!C40&amp;"")=0,"SKIP",IF(IF(OR(NOT(ISNUMBER('03_payments_raw'!C40)),'03_payments_raw'!C40&lt;=0,'03_payments_raw'!C40&gt;'09_parameters'!$B$2),"ERROR","OK")="ERROR","ERROR",IF(COUNTIF('01_orders_raw'!$A$2:$A$181,'03_payments_raw'!B40)&lt;&gt;1,"SKIP",IF('03_payments_raw'!C40&lt;INDEX('01_orders_raw'!$B$2:$B$181,MATCH('03_payments_raw'!B40,'01_orders_raw'!$A$2:$A$181,0)),"ERROR","OK")))),"")</x:f>
        <x:v>OK</x:v>
      </x:c>
      <x:c r="I286" s="2" t="str">
        <x:f>IF(COUNTA('03_payments_raw'!A40:E40)&gt;0,IF(LEN('03_payments_raw'!E40&amp;"")=0,"SKIP",IF(AND('03_payments_raw'!E40&lt;&gt;"Оплачено",'03_payments_raw'!E40&lt;&gt;"Частично оплачено",'03_payments_raw'!E40&lt;&gt;"Не оплачено"),"ERROR","OK")),"")</x:f>
        <x:v>OK</x:v>
      </x:c>
      <x:c r="J286" s="2" t="n">
        <x:f>COUNTIF(C286:I286,"ERROR")</x:f>
        <x:v>0</x:v>
      </x:c>
      <x:c r="K286" s="2" t="n">
        <x:f>IF(COUNTA('03_payments_raw'!A40:E40)&gt;0,40,"")</x:f>
        <x:v>40</x:v>
      </x:c>
    </x:row>
    <x:row r="287">
      <x:c r="A287" s="2" t="str">
        <x:f>IF(COUNTA('03_payments_raw'!A41:E41)&gt;0,"Payment","")</x:f>
        <x:v>Payment</x:v>
      </x:c>
      <x:c r="B287" s="2" t="str">
        <x:f>IF(COUNTA('03_payments_raw'!A41:E41)&gt;0,'03_payments_raw'!A41,"")</x:f>
        <x:v>P040</x:v>
      </x:c>
      <x:c r="C287" s="2" t="str">
        <x:f>IF(COUNTA('03_payments_raw'!A41:E41)&gt;0,IF(AND(LEN('03_payments_raw'!A41&amp;"")&gt;0,COUNTIF('03_payments_raw'!$A$2:$A$141,'03_payments_raw'!A41)&gt;1),"ERROR","OK"),"")</x:f>
        <x:v>OK</x:v>
      </x:c>
      <x:c r="D287" s="2" t="str">
        <x:f>IF(COUNTA('03_payments_raw'!A41:E41)&gt;0,IF(OR(LEN('03_payments_raw'!A41&amp;"")=0,LEN('03_payments_raw'!B41&amp;"")=0,LEN('03_payments_raw'!C41&amp;"")=0,LEN('03_payments_raw'!D41&amp;"")=0,LEN('03_payments_raw'!E41&amp;"")=0),"ERROR","OK"),"")</x:f>
        <x:v>OK</x:v>
      </x:c>
      <x:c r="E287" s="2" t="str">
        <x:f>IF(COUNTA('03_payments_raw'!A41:E41)&gt;0,IF(LEN('03_payments_raw'!B41&amp;"")=0,"SKIP",IF(COUNTIF('01_orders_raw'!$A$2:$A$181,'03_payments_raw'!B41)&lt;&gt;1,"ERROR","OK")),"")</x:f>
        <x:v>OK</x:v>
      </x:c>
      <x:c r="F287" s="2" t="str">
        <x:f>IF(COUNTA('03_payments_raw'!A41:E41)&gt;0,IF(OR(COUNTIF('01_orders_raw'!$A$2:$A$181,'03_payments_raw'!B41)&lt;&gt;1,LEN('03_payments_raw'!D41&amp;"")=0),"SKIP",IF(OR(NOT(ISNUMBER('03_payments_raw'!D41)),'03_payments_raw'!D41&lt;0,'03_payments_raw'!D41&gt;INDEX('01_orders_raw'!$I$2:$I$181,MATCH('03_payments_raw'!B41,'01_orders_raw'!$A$2:$A$181,0))+'09_parameters'!$B$3),"ERROR","OK")),"")</x:f>
        <x:v>OK</x:v>
      </x:c>
      <x:c r="G287" s="2" t="str">
        <x:f>IF(COUNTA('03_payments_raw'!A41:E41)&gt;0,"N/A","")</x:f>
        <x:v>N/A</x:v>
      </x:c>
      <x:c r="H287" s="2" t="str">
        <x:f>IF(COUNTA('03_payments_raw'!A41:E41)&gt;0,IF(LEN('03_payments_raw'!C41&amp;"")=0,"SKIP",IF(IF(OR(NOT(ISNUMBER('03_payments_raw'!C41)),'03_payments_raw'!C41&lt;=0,'03_payments_raw'!C41&gt;'09_parameters'!$B$2),"ERROR","OK")="ERROR","ERROR",IF(COUNTIF('01_orders_raw'!$A$2:$A$181,'03_payments_raw'!B41)&lt;&gt;1,"SKIP",IF('03_payments_raw'!C41&lt;INDEX('01_orders_raw'!$B$2:$B$181,MATCH('03_payments_raw'!B41,'01_orders_raw'!$A$2:$A$181,0)),"ERROR","OK")))),"")</x:f>
        <x:v>OK</x:v>
      </x:c>
      <x:c r="I287" s="2" t="str">
        <x:f>IF(COUNTA('03_payments_raw'!A41:E41)&gt;0,IF(LEN('03_payments_raw'!E41&amp;"")=0,"SKIP",IF(AND('03_payments_raw'!E41&lt;&gt;"Оплачено",'03_payments_raw'!E41&lt;&gt;"Частично оплачено",'03_payments_raw'!E41&lt;&gt;"Не оплачено"),"ERROR","OK")),"")</x:f>
        <x:v>OK</x:v>
      </x:c>
      <x:c r="J287" s="2" t="n">
        <x:f>COUNTIF(C287:I287,"ERROR")</x:f>
        <x:v>0</x:v>
      </x:c>
      <x:c r="K287" s="2" t="n">
        <x:f>IF(COUNTA('03_payments_raw'!A41:E41)&gt;0,41,"")</x:f>
        <x:v>41</x:v>
      </x:c>
    </x:row>
    <x:row r="288">
      <x:c r="A288" s="2" t="str">
        <x:f>IF(COUNTA('03_payments_raw'!A42:E42)&gt;0,"Payment","")</x:f>
        <x:v>Payment</x:v>
      </x:c>
      <x:c r="B288" s="2" t="str">
        <x:f>IF(COUNTA('03_payments_raw'!A42:E42)&gt;0,'03_payments_raw'!A42,"")</x:f>
        <x:v>P041</x:v>
      </x:c>
      <x:c r="C288" s="2" t="str">
        <x:f>IF(COUNTA('03_payments_raw'!A42:E42)&gt;0,IF(AND(LEN('03_payments_raw'!A42&amp;"")&gt;0,COUNTIF('03_payments_raw'!$A$2:$A$141,'03_payments_raw'!A42)&gt;1),"ERROR","OK"),"")</x:f>
        <x:v>OK</x:v>
      </x:c>
      <x:c r="D288" s="2" t="str">
        <x:f>IF(COUNTA('03_payments_raw'!A42:E42)&gt;0,IF(OR(LEN('03_payments_raw'!A42&amp;"")=0,LEN('03_payments_raw'!B42&amp;"")=0,LEN('03_payments_raw'!C42&amp;"")=0,LEN('03_payments_raw'!D42&amp;"")=0,LEN('03_payments_raw'!E42&amp;"")=0),"ERROR","OK"),"")</x:f>
        <x:v>OK</x:v>
      </x:c>
      <x:c r="E288" s="2" t="str">
        <x:f>IF(COUNTA('03_payments_raw'!A42:E42)&gt;0,IF(LEN('03_payments_raw'!B42&amp;"")=0,"SKIP",IF(COUNTIF('01_orders_raw'!$A$2:$A$181,'03_payments_raw'!B42)&lt;&gt;1,"ERROR","OK")),"")</x:f>
        <x:v>OK</x:v>
      </x:c>
      <x:c r="F288" s="2" t="str">
        <x:f>IF(COUNTA('03_payments_raw'!A42:E42)&gt;0,IF(OR(COUNTIF('01_orders_raw'!$A$2:$A$181,'03_payments_raw'!B42)&lt;&gt;1,LEN('03_payments_raw'!D42&amp;"")=0),"SKIP",IF(OR(NOT(ISNUMBER('03_payments_raw'!D42)),'03_payments_raw'!D42&lt;0,'03_payments_raw'!D42&gt;INDEX('01_orders_raw'!$I$2:$I$181,MATCH('03_payments_raw'!B42,'01_orders_raw'!$A$2:$A$181,0))+'09_parameters'!$B$3),"ERROR","OK")),"")</x:f>
        <x:v>OK</x:v>
      </x:c>
      <x:c r="G288" s="2" t="str">
        <x:f>IF(COUNTA('03_payments_raw'!A42:E42)&gt;0,"N/A","")</x:f>
        <x:v>N/A</x:v>
      </x:c>
      <x:c r="H288" s="2" t="str">
        <x:f>IF(COUNTA('03_payments_raw'!A42:E42)&gt;0,IF(LEN('03_payments_raw'!C42&amp;"")=0,"SKIP",IF(IF(OR(NOT(ISNUMBER('03_payments_raw'!C42)),'03_payments_raw'!C42&lt;=0,'03_payments_raw'!C42&gt;'09_parameters'!$B$2),"ERROR","OK")="ERROR","ERROR",IF(COUNTIF('01_orders_raw'!$A$2:$A$181,'03_payments_raw'!B42)&lt;&gt;1,"SKIP",IF('03_payments_raw'!C42&lt;INDEX('01_orders_raw'!$B$2:$B$181,MATCH('03_payments_raw'!B42,'01_orders_raw'!$A$2:$A$181,0)),"ERROR","OK")))),"")</x:f>
        <x:v>OK</x:v>
      </x:c>
      <x:c r="I288" s="2" t="str">
        <x:f>IF(COUNTA('03_payments_raw'!A42:E42)&gt;0,IF(LEN('03_payments_raw'!E42&amp;"")=0,"SKIP",IF(AND('03_payments_raw'!E42&lt;&gt;"Оплачено",'03_payments_raw'!E42&lt;&gt;"Частично оплачено",'03_payments_raw'!E42&lt;&gt;"Не оплачено"),"ERROR","OK")),"")</x:f>
        <x:v>OK</x:v>
      </x:c>
      <x:c r="J288" s="2" t="n">
        <x:f>COUNTIF(C288:I288,"ERROR")</x:f>
        <x:v>0</x:v>
      </x:c>
      <x:c r="K288" s="2" t="n">
        <x:f>IF(COUNTA('03_payments_raw'!A42:E42)&gt;0,42,"")</x:f>
        <x:v>42</x:v>
      </x:c>
    </x:row>
    <x:row r="289">
      <x:c r="A289" s="2" t="str">
        <x:f>IF(COUNTA('03_payments_raw'!A43:E43)&gt;0,"Payment","")</x:f>
        <x:v>Payment</x:v>
      </x:c>
      <x:c r="B289" s="2" t="str">
        <x:f>IF(COUNTA('03_payments_raw'!A43:E43)&gt;0,'03_payments_raw'!A43,"")</x:f>
        <x:v>P042</x:v>
      </x:c>
      <x:c r="C289" s="2" t="str">
        <x:f>IF(COUNTA('03_payments_raw'!A43:E43)&gt;0,IF(AND(LEN('03_payments_raw'!A43&amp;"")&gt;0,COUNTIF('03_payments_raw'!$A$2:$A$141,'03_payments_raw'!A43)&gt;1),"ERROR","OK"),"")</x:f>
        <x:v>OK</x:v>
      </x:c>
      <x:c r="D289" s="2" t="str">
        <x:f>IF(COUNTA('03_payments_raw'!A43:E43)&gt;0,IF(OR(LEN('03_payments_raw'!A43&amp;"")=0,LEN('03_payments_raw'!B43&amp;"")=0,LEN('03_payments_raw'!C43&amp;"")=0,LEN('03_payments_raw'!D43&amp;"")=0,LEN('03_payments_raw'!E43&amp;"")=0),"ERROR","OK"),"")</x:f>
        <x:v>OK</x:v>
      </x:c>
      <x:c r="E289" s="2" t="str">
        <x:f>IF(COUNTA('03_payments_raw'!A43:E43)&gt;0,IF(LEN('03_payments_raw'!B43&amp;"")=0,"SKIP",IF(COUNTIF('01_orders_raw'!$A$2:$A$181,'03_payments_raw'!B43)&lt;&gt;1,"ERROR","OK")),"")</x:f>
        <x:v>OK</x:v>
      </x:c>
      <x:c r="F289" s="2" t="str">
        <x:f>IF(COUNTA('03_payments_raw'!A43:E43)&gt;0,IF(OR(COUNTIF('01_orders_raw'!$A$2:$A$181,'03_payments_raw'!B43)&lt;&gt;1,LEN('03_payments_raw'!D43&amp;"")=0),"SKIP",IF(OR(NOT(ISNUMBER('03_payments_raw'!D43)),'03_payments_raw'!D43&lt;0,'03_payments_raw'!D43&gt;INDEX('01_orders_raw'!$I$2:$I$181,MATCH('03_payments_raw'!B43,'01_orders_raw'!$A$2:$A$181,0))+'09_parameters'!$B$3),"ERROR","OK")),"")</x:f>
        <x:v>OK</x:v>
      </x:c>
      <x:c r="G289" s="2" t="str">
        <x:f>IF(COUNTA('03_payments_raw'!A43:E43)&gt;0,"N/A","")</x:f>
        <x:v>N/A</x:v>
      </x:c>
      <x:c r="H289" s="2" t="str">
        <x:f>IF(COUNTA('03_payments_raw'!A43:E43)&gt;0,IF(LEN('03_payments_raw'!C43&amp;"")=0,"SKIP",IF(IF(OR(NOT(ISNUMBER('03_payments_raw'!C43)),'03_payments_raw'!C43&lt;=0,'03_payments_raw'!C43&gt;'09_parameters'!$B$2),"ERROR","OK")="ERROR","ERROR",IF(COUNTIF('01_orders_raw'!$A$2:$A$181,'03_payments_raw'!B43)&lt;&gt;1,"SKIP",IF('03_payments_raw'!C43&lt;INDEX('01_orders_raw'!$B$2:$B$181,MATCH('03_payments_raw'!B43,'01_orders_raw'!$A$2:$A$181,0)),"ERROR","OK")))),"")</x:f>
        <x:v>OK</x:v>
      </x:c>
      <x:c r="I289" s="2" t="str">
        <x:f>IF(COUNTA('03_payments_raw'!A43:E43)&gt;0,IF(LEN('03_payments_raw'!E43&amp;"")=0,"SKIP",IF(AND('03_payments_raw'!E43&lt;&gt;"Оплачено",'03_payments_raw'!E43&lt;&gt;"Частично оплачено",'03_payments_raw'!E43&lt;&gt;"Не оплачено"),"ERROR","OK")),"")</x:f>
        <x:v>OK</x:v>
      </x:c>
      <x:c r="J289" s="2" t="n">
        <x:f>COUNTIF(C289:I289,"ERROR")</x:f>
        <x:v>0</x:v>
      </x:c>
      <x:c r="K289" s="2" t="n">
        <x:f>IF(COUNTA('03_payments_raw'!A43:E43)&gt;0,43,"")</x:f>
        <x:v>43</x:v>
      </x:c>
    </x:row>
    <x:row r="290">
      <x:c r="A290" s="2" t="str">
        <x:f>IF(COUNTA('03_payments_raw'!A44:E44)&gt;0,"Payment","")</x:f>
        <x:v>Payment</x:v>
      </x:c>
      <x:c r="B290" s="2" t="str">
        <x:f>IF(COUNTA('03_payments_raw'!A44:E44)&gt;0,'03_payments_raw'!A44,"")</x:f>
        <x:v>P043</x:v>
      </x:c>
      <x:c r="C290" s="2" t="str">
        <x:f>IF(COUNTA('03_payments_raw'!A44:E44)&gt;0,IF(AND(LEN('03_payments_raw'!A44&amp;"")&gt;0,COUNTIF('03_payments_raw'!$A$2:$A$141,'03_payments_raw'!A44)&gt;1),"ERROR","OK"),"")</x:f>
        <x:v>OK</x:v>
      </x:c>
      <x:c r="D290" s="2" t="str">
        <x:f>IF(COUNTA('03_payments_raw'!A44:E44)&gt;0,IF(OR(LEN('03_payments_raw'!A44&amp;"")=0,LEN('03_payments_raw'!B44&amp;"")=0,LEN('03_payments_raw'!C44&amp;"")=0,LEN('03_payments_raw'!D44&amp;"")=0,LEN('03_payments_raw'!E44&amp;"")=0),"ERROR","OK"),"")</x:f>
        <x:v>OK</x:v>
      </x:c>
      <x:c r="E290" s="2" t="str">
        <x:f>IF(COUNTA('03_payments_raw'!A44:E44)&gt;0,IF(LEN('03_payments_raw'!B44&amp;"")=0,"SKIP",IF(COUNTIF('01_orders_raw'!$A$2:$A$181,'03_payments_raw'!B44)&lt;&gt;1,"ERROR","OK")),"")</x:f>
        <x:v>OK</x:v>
      </x:c>
      <x:c r="F290" s="2" t="str">
        <x:f>IF(COUNTA('03_payments_raw'!A44:E44)&gt;0,IF(OR(COUNTIF('01_orders_raw'!$A$2:$A$181,'03_payments_raw'!B44)&lt;&gt;1,LEN('03_payments_raw'!D44&amp;"")=0),"SKIP",IF(OR(NOT(ISNUMBER('03_payments_raw'!D44)),'03_payments_raw'!D44&lt;0,'03_payments_raw'!D44&gt;INDEX('01_orders_raw'!$I$2:$I$181,MATCH('03_payments_raw'!B44,'01_orders_raw'!$A$2:$A$181,0))+'09_parameters'!$B$3),"ERROR","OK")),"")</x:f>
        <x:v>OK</x:v>
      </x:c>
      <x:c r="G290" s="2" t="str">
        <x:f>IF(COUNTA('03_payments_raw'!A44:E44)&gt;0,"N/A","")</x:f>
        <x:v>N/A</x:v>
      </x:c>
      <x:c r="H290" s="2" t="str">
        <x:f>IF(COUNTA('03_payments_raw'!A44:E44)&gt;0,IF(LEN('03_payments_raw'!C44&amp;"")=0,"SKIP",IF(IF(OR(NOT(ISNUMBER('03_payments_raw'!C44)),'03_payments_raw'!C44&lt;=0,'03_payments_raw'!C44&gt;'09_parameters'!$B$2),"ERROR","OK")="ERROR","ERROR",IF(COUNTIF('01_orders_raw'!$A$2:$A$181,'03_payments_raw'!B44)&lt;&gt;1,"SKIP",IF('03_payments_raw'!C44&lt;INDEX('01_orders_raw'!$B$2:$B$181,MATCH('03_payments_raw'!B44,'01_orders_raw'!$A$2:$A$181,0)),"ERROR","OK")))),"")</x:f>
        <x:v>OK</x:v>
      </x:c>
      <x:c r="I290" s="2" t="str">
        <x:f>IF(COUNTA('03_payments_raw'!A44:E44)&gt;0,IF(LEN('03_payments_raw'!E44&amp;"")=0,"SKIP",IF(AND('03_payments_raw'!E44&lt;&gt;"Оплачено",'03_payments_raw'!E44&lt;&gt;"Частично оплачено",'03_payments_raw'!E44&lt;&gt;"Не оплачено"),"ERROR","OK")),"")</x:f>
        <x:v>OK</x:v>
      </x:c>
      <x:c r="J290" s="2" t="n">
        <x:f>COUNTIF(C290:I290,"ERROR")</x:f>
        <x:v>0</x:v>
      </x:c>
      <x:c r="K290" s="2" t="n">
        <x:f>IF(COUNTA('03_payments_raw'!A44:E44)&gt;0,44,"")</x:f>
        <x:v>44</x:v>
      </x:c>
    </x:row>
    <x:row r="291">
      <x:c r="A291" s="2" t="str">
        <x:f>IF(COUNTA('03_payments_raw'!A45:E45)&gt;0,"Payment","")</x:f>
        <x:v>Payment</x:v>
      </x:c>
      <x:c r="B291" s="2" t="str">
        <x:f>IF(COUNTA('03_payments_raw'!A45:E45)&gt;0,'03_payments_raw'!A45,"")</x:f>
        <x:v>P044</x:v>
      </x:c>
      <x:c r="C291" s="2" t="str">
        <x:f>IF(COUNTA('03_payments_raw'!A45:E45)&gt;0,IF(AND(LEN('03_payments_raw'!A45&amp;"")&gt;0,COUNTIF('03_payments_raw'!$A$2:$A$141,'03_payments_raw'!A45)&gt;1),"ERROR","OK"),"")</x:f>
        <x:v>OK</x:v>
      </x:c>
      <x:c r="D291" s="2" t="str">
        <x:f>IF(COUNTA('03_payments_raw'!A45:E45)&gt;0,IF(OR(LEN('03_payments_raw'!A45&amp;"")=0,LEN('03_payments_raw'!B45&amp;"")=0,LEN('03_payments_raw'!C45&amp;"")=0,LEN('03_payments_raw'!D45&amp;"")=0,LEN('03_payments_raw'!E45&amp;"")=0),"ERROR","OK"),"")</x:f>
        <x:v>OK</x:v>
      </x:c>
      <x:c r="E291" s="2" t="str">
        <x:f>IF(COUNTA('03_payments_raw'!A45:E45)&gt;0,IF(LEN('03_payments_raw'!B45&amp;"")=0,"SKIP",IF(COUNTIF('01_orders_raw'!$A$2:$A$181,'03_payments_raw'!B45)&lt;&gt;1,"ERROR","OK")),"")</x:f>
        <x:v>OK</x:v>
      </x:c>
      <x:c r="F291" s="2" t="str">
        <x:f>IF(COUNTA('03_payments_raw'!A45:E45)&gt;0,IF(OR(COUNTIF('01_orders_raw'!$A$2:$A$181,'03_payments_raw'!B45)&lt;&gt;1,LEN('03_payments_raw'!D45&amp;"")=0),"SKIP",IF(OR(NOT(ISNUMBER('03_payments_raw'!D45)),'03_payments_raw'!D45&lt;0,'03_payments_raw'!D45&gt;INDEX('01_orders_raw'!$I$2:$I$181,MATCH('03_payments_raw'!B45,'01_orders_raw'!$A$2:$A$181,0))+'09_parameters'!$B$3),"ERROR","OK")),"")</x:f>
        <x:v>OK</x:v>
      </x:c>
      <x:c r="G291" s="2" t="str">
        <x:f>IF(COUNTA('03_payments_raw'!A45:E45)&gt;0,"N/A","")</x:f>
        <x:v>N/A</x:v>
      </x:c>
      <x:c r="H291" s="2" t="str">
        <x:f>IF(COUNTA('03_payments_raw'!A45:E45)&gt;0,IF(LEN('03_payments_raw'!C45&amp;"")=0,"SKIP",IF(IF(OR(NOT(ISNUMBER('03_payments_raw'!C45)),'03_payments_raw'!C45&lt;=0,'03_payments_raw'!C45&gt;'09_parameters'!$B$2),"ERROR","OK")="ERROR","ERROR",IF(COUNTIF('01_orders_raw'!$A$2:$A$181,'03_payments_raw'!B45)&lt;&gt;1,"SKIP",IF('03_payments_raw'!C45&lt;INDEX('01_orders_raw'!$B$2:$B$181,MATCH('03_payments_raw'!B45,'01_orders_raw'!$A$2:$A$181,0)),"ERROR","OK")))),"")</x:f>
        <x:v>OK</x:v>
      </x:c>
      <x:c r="I291" s="2" t="str">
        <x:f>IF(COUNTA('03_payments_raw'!A45:E45)&gt;0,IF(LEN('03_payments_raw'!E45&amp;"")=0,"SKIP",IF(AND('03_payments_raw'!E45&lt;&gt;"Оплачено",'03_payments_raw'!E45&lt;&gt;"Частично оплачено",'03_payments_raw'!E45&lt;&gt;"Не оплачено"),"ERROR","OK")),"")</x:f>
        <x:v>OK</x:v>
      </x:c>
      <x:c r="J291" s="2" t="n">
        <x:f>COUNTIF(C291:I291,"ERROR")</x:f>
        <x:v>0</x:v>
      </x:c>
      <x:c r="K291" s="2" t="n">
        <x:f>IF(COUNTA('03_payments_raw'!A45:E45)&gt;0,45,"")</x:f>
        <x:v>45</x:v>
      </x:c>
    </x:row>
    <x:row r="292">
      <x:c r="A292" s="2" t="str">
        <x:f>IF(COUNTA('03_payments_raw'!A46:E46)&gt;0,"Payment","")</x:f>
        <x:v>Payment</x:v>
      </x:c>
      <x:c r="B292" s="2" t="str">
        <x:f>IF(COUNTA('03_payments_raw'!A46:E46)&gt;0,'03_payments_raw'!A46,"")</x:f>
        <x:v>P045</x:v>
      </x:c>
      <x:c r="C292" s="2" t="str">
        <x:f>IF(COUNTA('03_payments_raw'!A46:E46)&gt;0,IF(AND(LEN('03_payments_raw'!A46&amp;"")&gt;0,COUNTIF('03_payments_raw'!$A$2:$A$141,'03_payments_raw'!A46)&gt;1),"ERROR","OK"),"")</x:f>
        <x:v>OK</x:v>
      </x:c>
      <x:c r="D292" s="2" t="str">
        <x:f>IF(COUNTA('03_payments_raw'!A46:E46)&gt;0,IF(OR(LEN('03_payments_raw'!A46&amp;"")=0,LEN('03_payments_raw'!B46&amp;"")=0,LEN('03_payments_raw'!C46&amp;"")=0,LEN('03_payments_raw'!D46&amp;"")=0,LEN('03_payments_raw'!E46&amp;"")=0),"ERROR","OK"),"")</x:f>
        <x:v>OK</x:v>
      </x:c>
      <x:c r="E292" s="2" t="str">
        <x:f>IF(COUNTA('03_payments_raw'!A46:E46)&gt;0,IF(LEN('03_payments_raw'!B46&amp;"")=0,"SKIP",IF(COUNTIF('01_orders_raw'!$A$2:$A$181,'03_payments_raw'!B46)&lt;&gt;1,"ERROR","OK")),"")</x:f>
        <x:v>OK</x:v>
      </x:c>
      <x:c r="F292" s="2" t="str">
        <x:f>IF(COUNTA('03_payments_raw'!A46:E46)&gt;0,IF(OR(COUNTIF('01_orders_raw'!$A$2:$A$181,'03_payments_raw'!B46)&lt;&gt;1,LEN('03_payments_raw'!D46&amp;"")=0),"SKIP",IF(OR(NOT(ISNUMBER('03_payments_raw'!D46)),'03_payments_raw'!D46&lt;0,'03_payments_raw'!D46&gt;INDEX('01_orders_raw'!$I$2:$I$181,MATCH('03_payments_raw'!B46,'01_orders_raw'!$A$2:$A$181,0))+'09_parameters'!$B$3),"ERROR","OK")),"")</x:f>
        <x:v>OK</x:v>
      </x:c>
      <x:c r="G292" s="2" t="str">
        <x:f>IF(COUNTA('03_payments_raw'!A46:E46)&gt;0,"N/A","")</x:f>
        <x:v>N/A</x:v>
      </x:c>
      <x:c r="H292" s="2" t="str">
        <x:f>IF(COUNTA('03_payments_raw'!A46:E46)&gt;0,IF(LEN('03_payments_raw'!C46&amp;"")=0,"SKIP",IF(IF(OR(NOT(ISNUMBER('03_payments_raw'!C46)),'03_payments_raw'!C46&lt;=0,'03_payments_raw'!C46&gt;'09_parameters'!$B$2),"ERROR","OK")="ERROR","ERROR",IF(COUNTIF('01_orders_raw'!$A$2:$A$181,'03_payments_raw'!B46)&lt;&gt;1,"SKIP",IF('03_payments_raw'!C46&lt;INDEX('01_orders_raw'!$B$2:$B$181,MATCH('03_payments_raw'!B46,'01_orders_raw'!$A$2:$A$181,0)),"ERROR","OK")))),"")</x:f>
        <x:v>OK</x:v>
      </x:c>
      <x:c r="I292" s="2" t="str">
        <x:f>IF(COUNTA('03_payments_raw'!A46:E46)&gt;0,IF(LEN('03_payments_raw'!E46&amp;"")=0,"SKIP",IF(AND('03_payments_raw'!E46&lt;&gt;"Оплачено",'03_payments_raw'!E46&lt;&gt;"Частично оплачено",'03_payments_raw'!E46&lt;&gt;"Не оплачено"),"ERROR","OK")),"")</x:f>
        <x:v>OK</x:v>
      </x:c>
      <x:c r="J292" s="2" t="n">
        <x:f>COUNTIF(C292:I292,"ERROR")</x:f>
        <x:v>0</x:v>
      </x:c>
      <x:c r="K292" s="2" t="n">
        <x:f>IF(COUNTA('03_payments_raw'!A46:E46)&gt;0,46,"")</x:f>
        <x:v>46</x:v>
      </x:c>
    </x:row>
    <x:row r="293">
      <x:c r="A293" s="2" t="str">
        <x:f>IF(COUNTA('03_payments_raw'!A47:E47)&gt;0,"Payment","")</x:f>
        <x:v>Payment</x:v>
      </x:c>
      <x:c r="B293" s="2" t="str">
        <x:f>IF(COUNTA('03_payments_raw'!A47:E47)&gt;0,'03_payments_raw'!A47,"")</x:f>
        <x:v>P046</x:v>
      </x:c>
      <x:c r="C293" s="2" t="str">
        <x:f>IF(COUNTA('03_payments_raw'!A47:E47)&gt;0,IF(AND(LEN('03_payments_raw'!A47&amp;"")&gt;0,COUNTIF('03_payments_raw'!$A$2:$A$141,'03_payments_raw'!A47)&gt;1),"ERROR","OK"),"")</x:f>
        <x:v>OK</x:v>
      </x:c>
      <x:c r="D293" s="2" t="str">
        <x:f>IF(COUNTA('03_payments_raw'!A47:E47)&gt;0,IF(OR(LEN('03_payments_raw'!A47&amp;"")=0,LEN('03_payments_raw'!B47&amp;"")=0,LEN('03_payments_raw'!C47&amp;"")=0,LEN('03_payments_raw'!D47&amp;"")=0,LEN('03_payments_raw'!E47&amp;"")=0),"ERROR","OK"),"")</x:f>
        <x:v>OK</x:v>
      </x:c>
      <x:c r="E293" s="2" t="str">
        <x:f>IF(COUNTA('03_payments_raw'!A47:E47)&gt;0,IF(LEN('03_payments_raw'!B47&amp;"")=0,"SKIP",IF(COUNTIF('01_orders_raw'!$A$2:$A$181,'03_payments_raw'!B47)&lt;&gt;1,"ERROR","OK")),"")</x:f>
        <x:v>OK</x:v>
      </x:c>
      <x:c r="F293" s="2" t="str">
        <x:f>IF(COUNTA('03_payments_raw'!A47:E47)&gt;0,IF(OR(COUNTIF('01_orders_raw'!$A$2:$A$181,'03_payments_raw'!B47)&lt;&gt;1,LEN('03_payments_raw'!D47&amp;"")=0),"SKIP",IF(OR(NOT(ISNUMBER('03_payments_raw'!D47)),'03_payments_raw'!D47&lt;0,'03_payments_raw'!D47&gt;INDEX('01_orders_raw'!$I$2:$I$181,MATCH('03_payments_raw'!B47,'01_orders_raw'!$A$2:$A$181,0))+'09_parameters'!$B$3),"ERROR","OK")),"")</x:f>
        <x:v>OK</x:v>
      </x:c>
      <x:c r="G293" s="2" t="str">
        <x:f>IF(COUNTA('03_payments_raw'!A47:E47)&gt;0,"N/A","")</x:f>
        <x:v>N/A</x:v>
      </x:c>
      <x:c r="H293" s="2" t="str">
        <x:f>IF(COUNTA('03_payments_raw'!A47:E47)&gt;0,IF(LEN('03_payments_raw'!C47&amp;"")=0,"SKIP",IF(IF(OR(NOT(ISNUMBER('03_payments_raw'!C47)),'03_payments_raw'!C47&lt;=0,'03_payments_raw'!C47&gt;'09_parameters'!$B$2),"ERROR","OK")="ERROR","ERROR",IF(COUNTIF('01_orders_raw'!$A$2:$A$181,'03_payments_raw'!B47)&lt;&gt;1,"SKIP",IF('03_payments_raw'!C47&lt;INDEX('01_orders_raw'!$B$2:$B$181,MATCH('03_payments_raw'!B47,'01_orders_raw'!$A$2:$A$181,0)),"ERROR","OK")))),"")</x:f>
        <x:v>OK</x:v>
      </x:c>
      <x:c r="I293" s="2" t="str">
        <x:f>IF(COUNTA('03_payments_raw'!A47:E47)&gt;0,IF(LEN('03_payments_raw'!E47&amp;"")=0,"SKIP",IF(AND('03_payments_raw'!E47&lt;&gt;"Оплачено",'03_payments_raw'!E47&lt;&gt;"Частично оплачено",'03_payments_raw'!E47&lt;&gt;"Не оплачено"),"ERROR","OK")),"")</x:f>
        <x:v>OK</x:v>
      </x:c>
      <x:c r="J293" s="2" t="n">
        <x:f>COUNTIF(C293:I293,"ERROR")</x:f>
        <x:v>0</x:v>
      </x:c>
      <x:c r="K293" s="2" t="n">
        <x:f>IF(COUNTA('03_payments_raw'!A47:E47)&gt;0,47,"")</x:f>
        <x:v>47</x:v>
      </x:c>
    </x:row>
    <x:row r="294">
      <x:c r="A294" s="2" t="str">
        <x:f>IF(COUNTA('03_payments_raw'!A48:E48)&gt;0,"Payment","")</x:f>
        <x:v>Payment</x:v>
      </x:c>
      <x:c r="B294" s="2" t="str">
        <x:f>IF(COUNTA('03_payments_raw'!A48:E48)&gt;0,'03_payments_raw'!A48,"")</x:f>
        <x:v>P047</x:v>
      </x:c>
      <x:c r="C294" s="2" t="str">
        <x:f>IF(COUNTA('03_payments_raw'!A48:E48)&gt;0,IF(AND(LEN('03_payments_raw'!A48&amp;"")&gt;0,COUNTIF('03_payments_raw'!$A$2:$A$141,'03_payments_raw'!A48)&gt;1),"ERROR","OK"),"")</x:f>
        <x:v>OK</x:v>
      </x:c>
      <x:c r="D294" s="2" t="str">
        <x:f>IF(COUNTA('03_payments_raw'!A48:E48)&gt;0,IF(OR(LEN('03_payments_raw'!A48&amp;"")=0,LEN('03_payments_raw'!B48&amp;"")=0,LEN('03_payments_raw'!C48&amp;"")=0,LEN('03_payments_raw'!D48&amp;"")=0,LEN('03_payments_raw'!E48&amp;"")=0),"ERROR","OK"),"")</x:f>
        <x:v>OK</x:v>
      </x:c>
      <x:c r="E294" s="2" t="str">
        <x:f>IF(COUNTA('03_payments_raw'!A48:E48)&gt;0,IF(LEN('03_payments_raw'!B48&amp;"")=0,"SKIP",IF(COUNTIF('01_orders_raw'!$A$2:$A$181,'03_payments_raw'!B48)&lt;&gt;1,"ERROR","OK")),"")</x:f>
        <x:v>OK</x:v>
      </x:c>
      <x:c r="F294" s="2" t="str">
        <x:f>IF(COUNTA('03_payments_raw'!A48:E48)&gt;0,IF(OR(COUNTIF('01_orders_raw'!$A$2:$A$181,'03_payments_raw'!B48)&lt;&gt;1,LEN('03_payments_raw'!D48&amp;"")=0),"SKIP",IF(OR(NOT(ISNUMBER('03_payments_raw'!D48)),'03_payments_raw'!D48&lt;0,'03_payments_raw'!D48&gt;INDEX('01_orders_raw'!$I$2:$I$181,MATCH('03_payments_raw'!B48,'01_orders_raw'!$A$2:$A$181,0))+'09_parameters'!$B$3),"ERROR","OK")),"")</x:f>
        <x:v>OK</x:v>
      </x:c>
      <x:c r="G294" s="2" t="str">
        <x:f>IF(COUNTA('03_payments_raw'!A48:E48)&gt;0,"N/A","")</x:f>
        <x:v>N/A</x:v>
      </x:c>
      <x:c r="H294" s="2" t="str">
        <x:f>IF(COUNTA('03_payments_raw'!A48:E48)&gt;0,IF(LEN('03_payments_raw'!C48&amp;"")=0,"SKIP",IF(IF(OR(NOT(ISNUMBER('03_payments_raw'!C48)),'03_payments_raw'!C48&lt;=0,'03_payments_raw'!C48&gt;'09_parameters'!$B$2),"ERROR","OK")="ERROR","ERROR",IF(COUNTIF('01_orders_raw'!$A$2:$A$181,'03_payments_raw'!B48)&lt;&gt;1,"SKIP",IF('03_payments_raw'!C48&lt;INDEX('01_orders_raw'!$B$2:$B$181,MATCH('03_payments_raw'!B48,'01_orders_raw'!$A$2:$A$181,0)),"ERROR","OK")))),"")</x:f>
        <x:v>OK</x:v>
      </x:c>
      <x:c r="I294" s="2" t="str">
        <x:f>IF(COUNTA('03_payments_raw'!A48:E48)&gt;0,IF(LEN('03_payments_raw'!E48&amp;"")=0,"SKIP",IF(AND('03_payments_raw'!E48&lt;&gt;"Оплачено",'03_payments_raw'!E48&lt;&gt;"Частично оплачено",'03_payments_raw'!E48&lt;&gt;"Не оплачено"),"ERROR","OK")),"")</x:f>
        <x:v>OK</x:v>
      </x:c>
      <x:c r="J294" s="2" t="n">
        <x:f>COUNTIF(C294:I294,"ERROR")</x:f>
        <x:v>0</x:v>
      </x:c>
      <x:c r="K294" s="2" t="n">
        <x:f>IF(COUNTA('03_payments_raw'!A48:E48)&gt;0,48,"")</x:f>
        <x:v>48</x:v>
      </x:c>
    </x:row>
    <x:row r="295">
      <x:c r="A295" s="2" t="str">
        <x:f>IF(COUNTA('03_payments_raw'!A49:E49)&gt;0,"Payment","")</x:f>
        <x:v>Payment</x:v>
      </x:c>
      <x:c r="B295" s="2" t="str">
        <x:f>IF(COUNTA('03_payments_raw'!A49:E49)&gt;0,'03_payments_raw'!A49,"")</x:f>
        <x:v>P048</x:v>
      </x:c>
      <x:c r="C295" s="2" t="str">
        <x:f>IF(COUNTA('03_payments_raw'!A49:E49)&gt;0,IF(AND(LEN('03_payments_raw'!A49&amp;"")&gt;0,COUNTIF('03_payments_raw'!$A$2:$A$141,'03_payments_raw'!A49)&gt;1),"ERROR","OK"),"")</x:f>
        <x:v>OK</x:v>
      </x:c>
      <x:c r="D295" s="2" t="str">
        <x:f>IF(COUNTA('03_payments_raw'!A49:E49)&gt;0,IF(OR(LEN('03_payments_raw'!A49&amp;"")=0,LEN('03_payments_raw'!B49&amp;"")=0,LEN('03_payments_raw'!C49&amp;"")=0,LEN('03_payments_raw'!D49&amp;"")=0,LEN('03_payments_raw'!E49&amp;"")=0),"ERROR","OK"),"")</x:f>
        <x:v>OK</x:v>
      </x:c>
      <x:c r="E295" s="2" t="str">
        <x:f>IF(COUNTA('03_payments_raw'!A49:E49)&gt;0,IF(LEN('03_payments_raw'!B49&amp;"")=0,"SKIP",IF(COUNTIF('01_orders_raw'!$A$2:$A$181,'03_payments_raw'!B49)&lt;&gt;1,"ERROR","OK")),"")</x:f>
        <x:v>OK</x:v>
      </x:c>
      <x:c r="F295" s="2" t="str">
        <x:f>IF(COUNTA('03_payments_raw'!A49:E49)&gt;0,IF(OR(COUNTIF('01_orders_raw'!$A$2:$A$181,'03_payments_raw'!B49)&lt;&gt;1,LEN('03_payments_raw'!D49&amp;"")=0),"SKIP",IF(OR(NOT(ISNUMBER('03_payments_raw'!D49)),'03_payments_raw'!D49&lt;0,'03_payments_raw'!D49&gt;INDEX('01_orders_raw'!$I$2:$I$181,MATCH('03_payments_raw'!B49,'01_orders_raw'!$A$2:$A$181,0))+'09_parameters'!$B$3),"ERROR","OK")),"")</x:f>
        <x:v>OK</x:v>
      </x:c>
      <x:c r="G295" s="2" t="str">
        <x:f>IF(COUNTA('03_payments_raw'!A49:E49)&gt;0,"N/A","")</x:f>
        <x:v>N/A</x:v>
      </x:c>
      <x:c r="H295" s="2" t="str">
        <x:f>IF(COUNTA('03_payments_raw'!A49:E49)&gt;0,IF(LEN('03_payments_raw'!C49&amp;"")=0,"SKIP",IF(IF(OR(NOT(ISNUMBER('03_payments_raw'!C49)),'03_payments_raw'!C49&lt;=0,'03_payments_raw'!C49&gt;'09_parameters'!$B$2),"ERROR","OK")="ERROR","ERROR",IF(COUNTIF('01_orders_raw'!$A$2:$A$181,'03_payments_raw'!B49)&lt;&gt;1,"SKIP",IF('03_payments_raw'!C49&lt;INDEX('01_orders_raw'!$B$2:$B$181,MATCH('03_payments_raw'!B49,'01_orders_raw'!$A$2:$A$181,0)),"ERROR","OK")))),"")</x:f>
        <x:v>OK</x:v>
      </x:c>
      <x:c r="I295" s="2" t="str">
        <x:f>IF(COUNTA('03_payments_raw'!A49:E49)&gt;0,IF(LEN('03_payments_raw'!E49&amp;"")=0,"SKIP",IF(AND('03_payments_raw'!E49&lt;&gt;"Оплачено",'03_payments_raw'!E49&lt;&gt;"Частично оплачено",'03_payments_raw'!E49&lt;&gt;"Не оплачено"),"ERROR","OK")),"")</x:f>
        <x:v>OK</x:v>
      </x:c>
      <x:c r="J295" s="2" t="n">
        <x:f>COUNTIF(C295:I295,"ERROR")</x:f>
        <x:v>0</x:v>
      </x:c>
      <x:c r="K295" s="2" t="n">
        <x:f>IF(COUNTA('03_payments_raw'!A49:E49)&gt;0,49,"")</x:f>
        <x:v>49</x:v>
      </x:c>
    </x:row>
    <x:row r="296">
      <x:c r="A296" s="2" t="str">
        <x:f>IF(COUNTA('03_payments_raw'!A50:E50)&gt;0,"Payment","")</x:f>
        <x:v>Payment</x:v>
      </x:c>
      <x:c r="B296" s="2" t="str">
        <x:f>IF(COUNTA('03_payments_raw'!A50:E50)&gt;0,'03_payments_raw'!A50,"")</x:f>
        <x:v>P049</x:v>
      </x:c>
      <x:c r="C296" s="2" t="str">
        <x:f>IF(COUNTA('03_payments_raw'!A50:E50)&gt;0,IF(AND(LEN('03_payments_raw'!A50&amp;"")&gt;0,COUNTIF('03_payments_raw'!$A$2:$A$141,'03_payments_raw'!A50)&gt;1),"ERROR","OK"),"")</x:f>
        <x:v>OK</x:v>
      </x:c>
      <x:c r="D296" s="2" t="str">
        <x:f>IF(COUNTA('03_payments_raw'!A50:E50)&gt;0,IF(OR(LEN('03_payments_raw'!A50&amp;"")=0,LEN('03_payments_raw'!B50&amp;"")=0,LEN('03_payments_raw'!C50&amp;"")=0,LEN('03_payments_raw'!D50&amp;"")=0,LEN('03_payments_raw'!E50&amp;"")=0),"ERROR","OK"),"")</x:f>
        <x:v>OK</x:v>
      </x:c>
      <x:c r="E296" s="2" t="str">
        <x:f>IF(COUNTA('03_payments_raw'!A50:E50)&gt;0,IF(LEN('03_payments_raw'!B50&amp;"")=0,"SKIP",IF(COUNTIF('01_orders_raw'!$A$2:$A$181,'03_payments_raw'!B50)&lt;&gt;1,"ERROR","OK")),"")</x:f>
        <x:v>OK</x:v>
      </x:c>
      <x:c r="F296" s="2" t="str">
        <x:f>IF(COUNTA('03_payments_raw'!A50:E50)&gt;0,IF(OR(COUNTIF('01_orders_raw'!$A$2:$A$181,'03_payments_raw'!B50)&lt;&gt;1,LEN('03_payments_raw'!D50&amp;"")=0),"SKIP",IF(OR(NOT(ISNUMBER('03_payments_raw'!D50)),'03_payments_raw'!D50&lt;0,'03_payments_raw'!D50&gt;INDEX('01_orders_raw'!$I$2:$I$181,MATCH('03_payments_raw'!B50,'01_orders_raw'!$A$2:$A$181,0))+'09_parameters'!$B$3),"ERROR","OK")),"")</x:f>
        <x:v>OK</x:v>
      </x:c>
      <x:c r="G296" s="2" t="str">
        <x:f>IF(COUNTA('03_payments_raw'!A50:E50)&gt;0,"N/A","")</x:f>
        <x:v>N/A</x:v>
      </x:c>
      <x:c r="H296" s="2" t="str">
        <x:f>IF(COUNTA('03_payments_raw'!A50:E50)&gt;0,IF(LEN('03_payments_raw'!C50&amp;"")=0,"SKIP",IF(IF(OR(NOT(ISNUMBER('03_payments_raw'!C50)),'03_payments_raw'!C50&lt;=0,'03_payments_raw'!C50&gt;'09_parameters'!$B$2),"ERROR","OK")="ERROR","ERROR",IF(COUNTIF('01_orders_raw'!$A$2:$A$181,'03_payments_raw'!B50)&lt;&gt;1,"SKIP",IF('03_payments_raw'!C50&lt;INDEX('01_orders_raw'!$B$2:$B$181,MATCH('03_payments_raw'!B50,'01_orders_raw'!$A$2:$A$181,0)),"ERROR","OK")))),"")</x:f>
        <x:v>OK</x:v>
      </x:c>
      <x:c r="I296" s="2" t="str">
        <x:f>IF(COUNTA('03_payments_raw'!A50:E50)&gt;0,IF(LEN('03_payments_raw'!E50&amp;"")=0,"SKIP",IF(AND('03_payments_raw'!E50&lt;&gt;"Оплачено",'03_payments_raw'!E50&lt;&gt;"Частично оплачено",'03_payments_raw'!E50&lt;&gt;"Не оплачено"),"ERROR","OK")),"")</x:f>
        <x:v>OK</x:v>
      </x:c>
      <x:c r="J296" s="2" t="n">
        <x:f>COUNTIF(C296:I296,"ERROR")</x:f>
        <x:v>0</x:v>
      </x:c>
      <x:c r="K296" s="2" t="n">
        <x:f>IF(COUNTA('03_payments_raw'!A50:E50)&gt;0,50,"")</x:f>
        <x:v>50</x:v>
      </x:c>
    </x:row>
    <x:row r="297">
      <x:c r="A297" s="2" t="str">
        <x:f>IF(COUNTA('03_payments_raw'!A51:E51)&gt;0,"Payment","")</x:f>
        <x:v>Payment</x:v>
      </x:c>
      <x:c r="B297" s="2" t="str">
        <x:f>IF(COUNTA('03_payments_raw'!A51:E51)&gt;0,'03_payments_raw'!A51,"")</x:f>
        <x:v>P050</x:v>
      </x:c>
      <x:c r="C297" s="2" t="str">
        <x:f>IF(COUNTA('03_payments_raw'!A51:E51)&gt;0,IF(AND(LEN('03_payments_raw'!A51&amp;"")&gt;0,COUNTIF('03_payments_raw'!$A$2:$A$141,'03_payments_raw'!A51)&gt;1),"ERROR","OK"),"")</x:f>
        <x:v>OK</x:v>
      </x:c>
      <x:c r="D297" s="2" t="str">
        <x:f>IF(COUNTA('03_payments_raw'!A51:E51)&gt;0,IF(OR(LEN('03_payments_raw'!A51&amp;"")=0,LEN('03_payments_raw'!B51&amp;"")=0,LEN('03_payments_raw'!C51&amp;"")=0,LEN('03_payments_raw'!D51&amp;"")=0,LEN('03_payments_raw'!E51&amp;"")=0),"ERROR","OK"),"")</x:f>
        <x:v>OK</x:v>
      </x:c>
      <x:c r="E297" s="2" t="str">
        <x:f>IF(COUNTA('03_payments_raw'!A51:E51)&gt;0,IF(LEN('03_payments_raw'!B51&amp;"")=0,"SKIP",IF(COUNTIF('01_orders_raw'!$A$2:$A$181,'03_payments_raw'!B51)&lt;&gt;1,"ERROR","OK")),"")</x:f>
        <x:v>ERROR</x:v>
      </x:c>
      <x:c r="F297" s="2" t="str">
        <x:f>IF(COUNTA('03_payments_raw'!A51:E51)&gt;0,IF(OR(COUNTIF('01_orders_raw'!$A$2:$A$181,'03_payments_raw'!B51)&lt;&gt;1,LEN('03_payments_raw'!D51&amp;"")=0),"SKIP",IF(OR(NOT(ISNUMBER('03_payments_raw'!D51)),'03_payments_raw'!D51&lt;0,'03_payments_raw'!D51&gt;INDEX('01_orders_raw'!$I$2:$I$181,MATCH('03_payments_raw'!B51,'01_orders_raw'!$A$2:$A$181,0))+'09_parameters'!$B$3),"ERROR","OK")),"")</x:f>
        <x:v>SKIP</x:v>
      </x:c>
      <x:c r="G297" s="2" t="str">
        <x:f>IF(COUNTA('03_payments_raw'!A51:E51)&gt;0,"N/A","")</x:f>
        <x:v>N/A</x:v>
      </x:c>
      <x:c r="H297" s="2" t="str">
        <x:f>IF(COUNTA('03_payments_raw'!A51:E51)&gt;0,IF(LEN('03_payments_raw'!C51&amp;"")=0,"SKIP",IF(IF(OR(NOT(ISNUMBER('03_payments_raw'!C51)),'03_payments_raw'!C51&lt;=0,'03_payments_raw'!C51&gt;'09_parameters'!$B$2),"ERROR","OK")="ERROR","ERROR",IF(COUNTIF('01_orders_raw'!$A$2:$A$181,'03_payments_raw'!B51)&lt;&gt;1,"SKIP",IF('03_payments_raw'!C51&lt;INDEX('01_orders_raw'!$B$2:$B$181,MATCH('03_payments_raw'!B51,'01_orders_raw'!$A$2:$A$181,0)),"ERROR","OK")))),"")</x:f>
        <x:v>SKIP</x:v>
      </x:c>
      <x:c r="I297" s="2" t="str">
        <x:f>IF(COUNTA('03_payments_raw'!A51:E51)&gt;0,IF(LEN('03_payments_raw'!E51&amp;"")=0,"SKIP",IF(AND('03_payments_raw'!E51&lt;&gt;"Оплачено",'03_payments_raw'!E51&lt;&gt;"Частично оплачено",'03_payments_raw'!E51&lt;&gt;"Не оплачено"),"ERROR","OK")),"")</x:f>
        <x:v>OK</x:v>
      </x:c>
      <x:c r="J297" s="2" t="n">
        <x:f>COUNTIF(C297:I297,"ERROR")</x:f>
        <x:v>1</x:v>
      </x:c>
      <x:c r="K297" s="2" t="n">
        <x:f>IF(COUNTA('03_payments_raw'!A51:E51)&gt;0,51,"")</x:f>
        <x:v>51</x:v>
      </x:c>
    </x:row>
    <x:row r="298">
      <x:c r="A298" s="2" t="str">
        <x:f>IF(COUNTA('03_payments_raw'!A52:E52)&gt;0,"Payment","")</x:f>
        <x:v>Payment</x:v>
      </x:c>
      <x:c r="B298" s="2" t="str">
        <x:f>IF(COUNTA('03_payments_raw'!A52:E52)&gt;0,'03_payments_raw'!A52,"")</x:f>
        <x:v>P051</x:v>
      </x:c>
      <x:c r="C298" s="2" t="str">
        <x:f>IF(COUNTA('03_payments_raw'!A52:E52)&gt;0,IF(AND(LEN('03_payments_raw'!A52&amp;"")&gt;0,COUNTIF('03_payments_raw'!$A$2:$A$141,'03_payments_raw'!A52)&gt;1),"ERROR","OK"),"")</x:f>
        <x:v>OK</x:v>
      </x:c>
      <x:c r="D298" s="2" t="str">
        <x:f>IF(COUNTA('03_payments_raw'!A52:E52)&gt;0,IF(OR(LEN('03_payments_raw'!A52&amp;"")=0,LEN('03_payments_raw'!B52&amp;"")=0,LEN('03_payments_raw'!C52&amp;"")=0,LEN('03_payments_raw'!D52&amp;"")=0,LEN('03_payments_raw'!E52&amp;"")=0),"ERROR","OK"),"")</x:f>
        <x:v>OK</x:v>
      </x:c>
      <x:c r="E298" s="2" t="str">
        <x:f>IF(COUNTA('03_payments_raw'!A52:E52)&gt;0,IF(LEN('03_payments_raw'!B52&amp;"")=0,"SKIP",IF(COUNTIF('01_orders_raw'!$A$2:$A$181,'03_payments_raw'!B52)&lt;&gt;1,"ERROR","OK")),"")</x:f>
        <x:v>OK</x:v>
      </x:c>
      <x:c r="F298" s="2" t="str">
        <x:f>IF(COUNTA('03_payments_raw'!A52:E52)&gt;0,IF(OR(COUNTIF('01_orders_raw'!$A$2:$A$181,'03_payments_raw'!B52)&lt;&gt;1,LEN('03_payments_raw'!D52&amp;"")=0),"SKIP",IF(OR(NOT(ISNUMBER('03_payments_raw'!D52)),'03_payments_raw'!D52&lt;0,'03_payments_raw'!D52&gt;INDEX('01_orders_raw'!$I$2:$I$181,MATCH('03_payments_raw'!B52,'01_orders_raw'!$A$2:$A$181,0))+'09_parameters'!$B$3),"ERROR","OK")),"")</x:f>
        <x:v>OK</x:v>
      </x:c>
      <x:c r="G298" s="2" t="str">
        <x:f>IF(COUNTA('03_payments_raw'!A52:E52)&gt;0,"N/A","")</x:f>
        <x:v>N/A</x:v>
      </x:c>
      <x:c r="H298" s="2" t="str">
        <x:f>IF(COUNTA('03_payments_raw'!A52:E52)&gt;0,IF(LEN('03_payments_raw'!C52&amp;"")=0,"SKIP",IF(IF(OR(NOT(ISNUMBER('03_payments_raw'!C52)),'03_payments_raw'!C52&lt;=0,'03_payments_raw'!C52&gt;'09_parameters'!$B$2),"ERROR","OK")="ERROR","ERROR",IF(COUNTIF('01_orders_raw'!$A$2:$A$181,'03_payments_raw'!B52)&lt;&gt;1,"SKIP",IF('03_payments_raw'!C52&lt;INDEX('01_orders_raw'!$B$2:$B$181,MATCH('03_payments_raw'!B52,'01_orders_raw'!$A$2:$A$181,0)),"ERROR","OK")))),"")</x:f>
        <x:v>OK</x:v>
      </x:c>
      <x:c r="I298" s="2" t="str">
        <x:f>IF(COUNTA('03_payments_raw'!A52:E52)&gt;0,IF(LEN('03_payments_raw'!E52&amp;"")=0,"SKIP",IF(AND('03_payments_raw'!E52&lt;&gt;"Оплачено",'03_payments_raw'!E52&lt;&gt;"Частично оплачено",'03_payments_raw'!E52&lt;&gt;"Не оплачено"),"ERROR","OK")),"")</x:f>
        <x:v>OK</x:v>
      </x:c>
      <x:c r="J298" s="2" t="n">
        <x:f>COUNTIF(C298:I298,"ERROR")</x:f>
        <x:v>0</x:v>
      </x:c>
      <x:c r="K298" s="2" t="n">
        <x:f>IF(COUNTA('03_payments_raw'!A52:E52)&gt;0,52,"")</x:f>
        <x:v>52</x:v>
      </x:c>
    </x:row>
    <x:row r="299">
      <x:c r="A299" s="2" t="str">
        <x:f>IF(COUNTA('03_payments_raw'!A53:E53)&gt;0,"Payment","")</x:f>
        <x:v>Payment</x:v>
      </x:c>
      <x:c r="B299" s="2" t="str">
        <x:f>IF(COUNTA('03_payments_raw'!A53:E53)&gt;0,'03_payments_raw'!A53,"")</x:f>
        <x:v>P052</x:v>
      </x:c>
      <x:c r="C299" s="2" t="str">
        <x:f>IF(COUNTA('03_payments_raw'!A53:E53)&gt;0,IF(AND(LEN('03_payments_raw'!A53&amp;"")&gt;0,COUNTIF('03_payments_raw'!$A$2:$A$141,'03_payments_raw'!A53)&gt;1),"ERROR","OK"),"")</x:f>
        <x:v>OK</x:v>
      </x:c>
      <x:c r="D299" s="2" t="str">
        <x:f>IF(COUNTA('03_payments_raw'!A53:E53)&gt;0,IF(OR(LEN('03_payments_raw'!A53&amp;"")=0,LEN('03_payments_raw'!B53&amp;"")=0,LEN('03_payments_raw'!C53&amp;"")=0,LEN('03_payments_raw'!D53&amp;"")=0,LEN('03_payments_raw'!E53&amp;"")=0),"ERROR","OK"),"")</x:f>
        <x:v>OK</x:v>
      </x:c>
      <x:c r="E299" s="2" t="str">
        <x:f>IF(COUNTA('03_payments_raw'!A53:E53)&gt;0,IF(LEN('03_payments_raw'!B53&amp;"")=0,"SKIP",IF(COUNTIF('01_orders_raw'!$A$2:$A$181,'03_payments_raw'!B53)&lt;&gt;1,"ERROR","OK")),"")</x:f>
        <x:v>OK</x:v>
      </x:c>
      <x:c r="F299" s="2" t="str">
        <x:f>IF(COUNTA('03_payments_raw'!A53:E53)&gt;0,IF(OR(COUNTIF('01_orders_raw'!$A$2:$A$181,'03_payments_raw'!B53)&lt;&gt;1,LEN('03_payments_raw'!D53&amp;"")=0),"SKIP",IF(OR(NOT(ISNUMBER('03_payments_raw'!D53)),'03_payments_raw'!D53&lt;0,'03_payments_raw'!D53&gt;INDEX('01_orders_raw'!$I$2:$I$181,MATCH('03_payments_raw'!B53,'01_orders_raw'!$A$2:$A$181,0))+'09_parameters'!$B$3),"ERROR","OK")),"")</x:f>
        <x:v>OK</x:v>
      </x:c>
      <x:c r="G299" s="2" t="str">
        <x:f>IF(COUNTA('03_payments_raw'!A53:E53)&gt;0,"N/A","")</x:f>
        <x:v>N/A</x:v>
      </x:c>
      <x:c r="H299" s="2" t="str">
        <x:f>IF(COUNTA('03_payments_raw'!A53:E53)&gt;0,IF(LEN('03_payments_raw'!C53&amp;"")=0,"SKIP",IF(IF(OR(NOT(ISNUMBER('03_payments_raw'!C53)),'03_payments_raw'!C53&lt;=0,'03_payments_raw'!C53&gt;'09_parameters'!$B$2),"ERROR","OK")="ERROR","ERROR",IF(COUNTIF('01_orders_raw'!$A$2:$A$181,'03_payments_raw'!B53)&lt;&gt;1,"SKIP",IF('03_payments_raw'!C53&lt;INDEX('01_orders_raw'!$B$2:$B$181,MATCH('03_payments_raw'!B53,'01_orders_raw'!$A$2:$A$181,0)),"ERROR","OK")))),"")</x:f>
        <x:v>OK</x:v>
      </x:c>
      <x:c r="I299" s="2" t="str">
        <x:f>IF(COUNTA('03_payments_raw'!A53:E53)&gt;0,IF(LEN('03_payments_raw'!E53&amp;"")=0,"SKIP",IF(AND('03_payments_raw'!E53&lt;&gt;"Оплачено",'03_payments_raw'!E53&lt;&gt;"Частично оплачено",'03_payments_raw'!E53&lt;&gt;"Не оплачено"),"ERROR","OK")),"")</x:f>
        <x:v>OK</x:v>
      </x:c>
      <x:c r="J299" s="2" t="n">
        <x:f>COUNTIF(C299:I299,"ERROR")</x:f>
        <x:v>0</x:v>
      </x:c>
      <x:c r="K299" s="2" t="n">
        <x:f>IF(COUNTA('03_payments_raw'!A53:E53)&gt;0,53,"")</x:f>
        <x:v>53</x:v>
      </x:c>
    </x:row>
    <x:row r="300">
      <x:c r="A300" s="2" t="str">
        <x:f>IF(COUNTA('03_payments_raw'!A54:E54)&gt;0,"Payment","")</x:f>
        <x:v>Payment</x:v>
      </x:c>
      <x:c r="B300" s="2" t="str">
        <x:f>IF(COUNTA('03_payments_raw'!A54:E54)&gt;0,'03_payments_raw'!A54,"")</x:f>
        <x:v>P053</x:v>
      </x:c>
      <x:c r="C300" s="2" t="str">
        <x:f>IF(COUNTA('03_payments_raw'!A54:E54)&gt;0,IF(AND(LEN('03_payments_raw'!A54&amp;"")&gt;0,COUNTIF('03_payments_raw'!$A$2:$A$141,'03_payments_raw'!A54)&gt;1),"ERROR","OK"),"")</x:f>
        <x:v>OK</x:v>
      </x:c>
      <x:c r="D300" s="2" t="str">
        <x:f>IF(COUNTA('03_payments_raw'!A54:E54)&gt;0,IF(OR(LEN('03_payments_raw'!A54&amp;"")=0,LEN('03_payments_raw'!B54&amp;"")=0,LEN('03_payments_raw'!C54&amp;"")=0,LEN('03_payments_raw'!D54&amp;"")=0,LEN('03_payments_raw'!E54&amp;"")=0),"ERROR","OK"),"")</x:f>
        <x:v>OK</x:v>
      </x:c>
      <x:c r="E300" s="2" t="str">
        <x:f>IF(COUNTA('03_payments_raw'!A54:E54)&gt;0,IF(LEN('03_payments_raw'!B54&amp;"")=0,"SKIP",IF(COUNTIF('01_orders_raw'!$A$2:$A$181,'03_payments_raw'!B54)&lt;&gt;1,"ERROR","OK")),"")</x:f>
        <x:v>OK</x:v>
      </x:c>
      <x:c r="F300" s="2" t="str">
        <x:f>IF(COUNTA('03_payments_raw'!A54:E54)&gt;0,IF(OR(COUNTIF('01_orders_raw'!$A$2:$A$181,'03_payments_raw'!B54)&lt;&gt;1,LEN('03_payments_raw'!D54&amp;"")=0),"SKIP",IF(OR(NOT(ISNUMBER('03_payments_raw'!D54)),'03_payments_raw'!D54&lt;0,'03_payments_raw'!D54&gt;INDEX('01_orders_raw'!$I$2:$I$181,MATCH('03_payments_raw'!B54,'01_orders_raw'!$A$2:$A$181,0))+'09_parameters'!$B$3),"ERROR","OK")),"")</x:f>
        <x:v>OK</x:v>
      </x:c>
      <x:c r="G300" s="2" t="str">
        <x:f>IF(COUNTA('03_payments_raw'!A54:E54)&gt;0,"N/A","")</x:f>
        <x:v>N/A</x:v>
      </x:c>
      <x:c r="H300" s="2" t="str">
        <x:f>IF(COUNTA('03_payments_raw'!A54:E54)&gt;0,IF(LEN('03_payments_raw'!C54&amp;"")=0,"SKIP",IF(IF(OR(NOT(ISNUMBER('03_payments_raw'!C54)),'03_payments_raw'!C54&lt;=0,'03_payments_raw'!C54&gt;'09_parameters'!$B$2),"ERROR","OK")="ERROR","ERROR",IF(COUNTIF('01_orders_raw'!$A$2:$A$181,'03_payments_raw'!B54)&lt;&gt;1,"SKIP",IF('03_payments_raw'!C54&lt;INDEX('01_orders_raw'!$B$2:$B$181,MATCH('03_payments_raw'!B54,'01_orders_raw'!$A$2:$A$181,0)),"ERROR","OK")))),"")</x:f>
        <x:v>OK</x:v>
      </x:c>
      <x:c r="I300" s="2" t="str">
        <x:f>IF(COUNTA('03_payments_raw'!A54:E54)&gt;0,IF(LEN('03_payments_raw'!E54&amp;"")=0,"SKIP",IF(AND('03_payments_raw'!E54&lt;&gt;"Оплачено",'03_payments_raw'!E54&lt;&gt;"Частично оплачено",'03_payments_raw'!E54&lt;&gt;"Не оплачено"),"ERROR","OK")),"")</x:f>
        <x:v>OK</x:v>
      </x:c>
      <x:c r="J300" s="2" t="n">
        <x:f>COUNTIF(C300:I300,"ERROR")</x:f>
        <x:v>0</x:v>
      </x:c>
      <x:c r="K300" s="2" t="n">
        <x:f>IF(COUNTA('03_payments_raw'!A54:E54)&gt;0,54,"")</x:f>
        <x:v>54</x:v>
      </x:c>
    </x:row>
    <x:row r="301">
      <x:c r="A301" s="2" t="str">
        <x:f>IF(COUNTA('03_payments_raw'!A55:E55)&gt;0,"Payment","")</x:f>
        <x:v>Payment</x:v>
      </x:c>
      <x:c r="B301" s="2" t="str">
        <x:f>IF(COUNTA('03_payments_raw'!A55:E55)&gt;0,'03_payments_raw'!A55,"")</x:f>
        <x:v>P054</x:v>
      </x:c>
      <x:c r="C301" s="2" t="str">
        <x:f>IF(COUNTA('03_payments_raw'!A55:E55)&gt;0,IF(AND(LEN('03_payments_raw'!A55&amp;"")&gt;0,COUNTIF('03_payments_raw'!$A$2:$A$141,'03_payments_raw'!A55)&gt;1),"ERROR","OK"),"")</x:f>
        <x:v>OK</x:v>
      </x:c>
      <x:c r="D301" s="2" t="str">
        <x:f>IF(COUNTA('03_payments_raw'!A55:E55)&gt;0,IF(OR(LEN('03_payments_raw'!A55&amp;"")=0,LEN('03_payments_raw'!B55&amp;"")=0,LEN('03_payments_raw'!C55&amp;"")=0,LEN('03_payments_raw'!D55&amp;"")=0,LEN('03_payments_raw'!E55&amp;"")=0),"ERROR","OK"),"")</x:f>
        <x:v>OK</x:v>
      </x:c>
      <x:c r="E301" s="2" t="str">
        <x:f>IF(COUNTA('03_payments_raw'!A55:E55)&gt;0,IF(LEN('03_payments_raw'!B55&amp;"")=0,"SKIP",IF(COUNTIF('01_orders_raw'!$A$2:$A$181,'03_payments_raw'!B55)&lt;&gt;1,"ERROR","OK")),"")</x:f>
        <x:v>OK</x:v>
      </x:c>
      <x:c r="F301" s="2" t="str">
        <x:f>IF(COUNTA('03_payments_raw'!A55:E55)&gt;0,IF(OR(COUNTIF('01_orders_raw'!$A$2:$A$181,'03_payments_raw'!B55)&lt;&gt;1,LEN('03_payments_raw'!D55&amp;"")=0),"SKIP",IF(OR(NOT(ISNUMBER('03_payments_raw'!D55)),'03_payments_raw'!D55&lt;0,'03_payments_raw'!D55&gt;INDEX('01_orders_raw'!$I$2:$I$181,MATCH('03_payments_raw'!B55,'01_orders_raw'!$A$2:$A$181,0))+'09_parameters'!$B$3),"ERROR","OK")),"")</x:f>
        <x:v>OK</x:v>
      </x:c>
      <x:c r="G301" s="2" t="str">
        <x:f>IF(COUNTA('03_payments_raw'!A55:E55)&gt;0,"N/A","")</x:f>
        <x:v>N/A</x:v>
      </x:c>
      <x:c r="H301" s="2" t="str">
        <x:f>IF(COUNTA('03_payments_raw'!A55:E55)&gt;0,IF(LEN('03_payments_raw'!C55&amp;"")=0,"SKIP",IF(IF(OR(NOT(ISNUMBER('03_payments_raw'!C55)),'03_payments_raw'!C55&lt;=0,'03_payments_raw'!C55&gt;'09_parameters'!$B$2),"ERROR","OK")="ERROR","ERROR",IF(COUNTIF('01_orders_raw'!$A$2:$A$181,'03_payments_raw'!B55)&lt;&gt;1,"SKIP",IF('03_payments_raw'!C55&lt;INDEX('01_orders_raw'!$B$2:$B$181,MATCH('03_payments_raw'!B55,'01_orders_raw'!$A$2:$A$181,0)),"ERROR","OK")))),"")</x:f>
        <x:v>OK</x:v>
      </x:c>
      <x:c r="I301" s="2" t="str">
        <x:f>IF(COUNTA('03_payments_raw'!A55:E55)&gt;0,IF(LEN('03_payments_raw'!E55&amp;"")=0,"SKIP",IF(AND('03_payments_raw'!E55&lt;&gt;"Оплачено",'03_payments_raw'!E55&lt;&gt;"Частично оплачено",'03_payments_raw'!E55&lt;&gt;"Не оплачено"),"ERROR","OK")),"")</x:f>
        <x:v>OK</x:v>
      </x:c>
      <x:c r="J301" s="2" t="n">
        <x:f>COUNTIF(C301:I301,"ERROR")</x:f>
        <x:v>0</x:v>
      </x:c>
      <x:c r="K301" s="2" t="n">
        <x:f>IF(COUNTA('03_payments_raw'!A55:E55)&gt;0,55,"")</x:f>
        <x:v>55</x:v>
      </x:c>
    </x:row>
    <x:row r="302">
      <x:c r="A302" s="2" t="str">
        <x:f>IF(COUNTA('03_payments_raw'!A56:E56)&gt;0,"Payment","")</x:f>
        <x:v>Payment</x:v>
      </x:c>
      <x:c r="B302" s="2" t="str">
        <x:f>IF(COUNTA('03_payments_raw'!A56:E56)&gt;0,'03_payments_raw'!A56,"")</x:f>
        <x:v>P055</x:v>
      </x:c>
      <x:c r="C302" s="2" t="str">
        <x:f>IF(COUNTA('03_payments_raw'!A56:E56)&gt;0,IF(AND(LEN('03_payments_raw'!A56&amp;"")&gt;0,COUNTIF('03_payments_raw'!$A$2:$A$141,'03_payments_raw'!A56)&gt;1),"ERROR","OK"),"")</x:f>
        <x:v>OK</x:v>
      </x:c>
      <x:c r="D302" s="2" t="str">
        <x:f>IF(COUNTA('03_payments_raw'!A56:E56)&gt;0,IF(OR(LEN('03_payments_raw'!A56&amp;"")=0,LEN('03_payments_raw'!B56&amp;"")=0,LEN('03_payments_raw'!C56&amp;"")=0,LEN('03_payments_raw'!D56&amp;"")=0,LEN('03_payments_raw'!E56&amp;"")=0),"ERROR","OK"),"")</x:f>
        <x:v>OK</x:v>
      </x:c>
      <x:c r="E302" s="2" t="str">
        <x:f>IF(COUNTA('03_payments_raw'!A56:E56)&gt;0,IF(LEN('03_payments_raw'!B56&amp;"")=0,"SKIP",IF(COUNTIF('01_orders_raw'!$A$2:$A$181,'03_payments_raw'!B56)&lt;&gt;1,"ERROR","OK")),"")</x:f>
        <x:v>OK</x:v>
      </x:c>
      <x:c r="F302" s="2" t="str">
        <x:f>IF(COUNTA('03_payments_raw'!A56:E56)&gt;0,IF(OR(COUNTIF('01_orders_raw'!$A$2:$A$181,'03_payments_raw'!B56)&lt;&gt;1,LEN('03_payments_raw'!D56&amp;"")=0),"SKIP",IF(OR(NOT(ISNUMBER('03_payments_raw'!D56)),'03_payments_raw'!D56&lt;0,'03_payments_raw'!D56&gt;INDEX('01_orders_raw'!$I$2:$I$181,MATCH('03_payments_raw'!B56,'01_orders_raw'!$A$2:$A$181,0))+'09_parameters'!$B$3),"ERROR","OK")),"")</x:f>
        <x:v>OK</x:v>
      </x:c>
      <x:c r="G302" s="2" t="str">
        <x:f>IF(COUNTA('03_payments_raw'!A56:E56)&gt;0,"N/A","")</x:f>
        <x:v>N/A</x:v>
      </x:c>
      <x:c r="H302" s="2" t="str">
        <x:f>IF(COUNTA('03_payments_raw'!A56:E56)&gt;0,IF(LEN('03_payments_raw'!C56&amp;"")=0,"SKIP",IF(IF(OR(NOT(ISNUMBER('03_payments_raw'!C56)),'03_payments_raw'!C56&lt;=0,'03_payments_raw'!C56&gt;'09_parameters'!$B$2),"ERROR","OK")="ERROR","ERROR",IF(COUNTIF('01_orders_raw'!$A$2:$A$181,'03_payments_raw'!B56)&lt;&gt;1,"SKIP",IF('03_payments_raw'!C56&lt;INDEX('01_orders_raw'!$B$2:$B$181,MATCH('03_payments_raw'!B56,'01_orders_raw'!$A$2:$A$181,0)),"ERROR","OK")))),"")</x:f>
        <x:v>OK</x:v>
      </x:c>
      <x:c r="I302" s="2" t="str">
        <x:f>IF(COUNTA('03_payments_raw'!A56:E56)&gt;0,IF(LEN('03_payments_raw'!E56&amp;"")=0,"SKIP",IF(AND('03_payments_raw'!E56&lt;&gt;"Оплачено",'03_payments_raw'!E56&lt;&gt;"Частично оплачено",'03_payments_raw'!E56&lt;&gt;"Не оплачено"),"ERROR","OK")),"")</x:f>
        <x:v>OK</x:v>
      </x:c>
      <x:c r="J302" s="2" t="n">
        <x:f>COUNTIF(C302:I302,"ERROR")</x:f>
        <x:v>0</x:v>
      </x:c>
      <x:c r="K302" s="2" t="n">
        <x:f>IF(COUNTA('03_payments_raw'!A56:E56)&gt;0,56,"")</x:f>
        <x:v>56</x:v>
      </x:c>
    </x:row>
    <x:row r="303">
      <x:c r="A303" s="2" t="str">
        <x:f>IF(COUNTA('03_payments_raw'!A57:E57)&gt;0,"Payment","")</x:f>
        <x:v>Payment</x:v>
      </x:c>
      <x:c r="B303" s="2" t="str">
        <x:f>IF(COUNTA('03_payments_raw'!A57:E57)&gt;0,'03_payments_raw'!A57,"")</x:f>
        <x:v>P056</x:v>
      </x:c>
      <x:c r="C303" s="2" t="str">
        <x:f>IF(COUNTA('03_payments_raw'!A57:E57)&gt;0,IF(AND(LEN('03_payments_raw'!A57&amp;"")&gt;0,COUNTIF('03_payments_raw'!$A$2:$A$141,'03_payments_raw'!A57)&gt;1),"ERROR","OK"),"")</x:f>
        <x:v>OK</x:v>
      </x:c>
      <x:c r="D303" s="2" t="str">
        <x:f>IF(COUNTA('03_payments_raw'!A57:E57)&gt;0,IF(OR(LEN('03_payments_raw'!A57&amp;"")=0,LEN('03_payments_raw'!B57&amp;"")=0,LEN('03_payments_raw'!C57&amp;"")=0,LEN('03_payments_raw'!D57&amp;"")=0,LEN('03_payments_raw'!E57&amp;"")=0),"ERROR","OK"),"")</x:f>
        <x:v>OK</x:v>
      </x:c>
      <x:c r="E303" s="2" t="str">
        <x:f>IF(COUNTA('03_payments_raw'!A57:E57)&gt;0,IF(LEN('03_payments_raw'!B57&amp;"")=0,"SKIP",IF(COUNTIF('01_orders_raw'!$A$2:$A$181,'03_payments_raw'!B57)&lt;&gt;1,"ERROR","OK")),"")</x:f>
        <x:v>OK</x:v>
      </x:c>
      <x:c r="F303" s="2" t="str">
        <x:f>IF(COUNTA('03_payments_raw'!A57:E57)&gt;0,IF(OR(COUNTIF('01_orders_raw'!$A$2:$A$181,'03_payments_raw'!B57)&lt;&gt;1,LEN('03_payments_raw'!D57&amp;"")=0),"SKIP",IF(OR(NOT(ISNUMBER('03_payments_raw'!D57)),'03_payments_raw'!D57&lt;0,'03_payments_raw'!D57&gt;INDEX('01_orders_raw'!$I$2:$I$181,MATCH('03_payments_raw'!B57,'01_orders_raw'!$A$2:$A$181,0))+'09_parameters'!$B$3),"ERROR","OK")),"")</x:f>
        <x:v>OK</x:v>
      </x:c>
      <x:c r="G303" s="2" t="str">
        <x:f>IF(COUNTA('03_payments_raw'!A57:E57)&gt;0,"N/A","")</x:f>
        <x:v>N/A</x:v>
      </x:c>
      <x:c r="H303" s="2" t="str">
        <x:f>IF(COUNTA('03_payments_raw'!A57:E57)&gt;0,IF(LEN('03_payments_raw'!C57&amp;"")=0,"SKIP",IF(IF(OR(NOT(ISNUMBER('03_payments_raw'!C57)),'03_payments_raw'!C57&lt;=0,'03_payments_raw'!C57&gt;'09_parameters'!$B$2),"ERROR","OK")="ERROR","ERROR",IF(COUNTIF('01_orders_raw'!$A$2:$A$181,'03_payments_raw'!B57)&lt;&gt;1,"SKIP",IF('03_payments_raw'!C57&lt;INDEX('01_orders_raw'!$B$2:$B$181,MATCH('03_payments_raw'!B57,'01_orders_raw'!$A$2:$A$181,0)),"ERROR","OK")))),"")</x:f>
        <x:v>OK</x:v>
      </x:c>
      <x:c r="I303" s="2" t="str">
        <x:f>IF(COUNTA('03_payments_raw'!A57:E57)&gt;0,IF(LEN('03_payments_raw'!E57&amp;"")=0,"SKIP",IF(AND('03_payments_raw'!E57&lt;&gt;"Оплачено",'03_payments_raw'!E57&lt;&gt;"Частично оплачено",'03_payments_raw'!E57&lt;&gt;"Не оплачено"),"ERROR","OK")),"")</x:f>
        <x:v>OK</x:v>
      </x:c>
      <x:c r="J303" s="2" t="n">
        <x:f>COUNTIF(C303:I303,"ERROR")</x:f>
        <x:v>0</x:v>
      </x:c>
      <x:c r="K303" s="2" t="n">
        <x:f>IF(COUNTA('03_payments_raw'!A57:E57)&gt;0,57,"")</x:f>
        <x:v>57</x:v>
      </x:c>
    </x:row>
    <x:row r="304">
      <x:c r="A304" s="2" t="str">
        <x:f>IF(COUNTA('03_payments_raw'!A58:E58)&gt;0,"Payment","")</x:f>
        <x:v>Payment</x:v>
      </x:c>
      <x:c r="B304" s="2" t="str">
        <x:f>IF(COUNTA('03_payments_raw'!A58:E58)&gt;0,'03_payments_raw'!A58,"")</x:f>
        <x:v>P057</x:v>
      </x:c>
      <x:c r="C304" s="2" t="str">
        <x:f>IF(COUNTA('03_payments_raw'!A58:E58)&gt;0,IF(AND(LEN('03_payments_raw'!A58&amp;"")&gt;0,COUNTIF('03_payments_raw'!$A$2:$A$141,'03_payments_raw'!A58)&gt;1),"ERROR","OK"),"")</x:f>
        <x:v>OK</x:v>
      </x:c>
      <x:c r="D304" s="2" t="str">
        <x:f>IF(COUNTA('03_payments_raw'!A58:E58)&gt;0,IF(OR(LEN('03_payments_raw'!A58&amp;"")=0,LEN('03_payments_raw'!B58&amp;"")=0,LEN('03_payments_raw'!C58&amp;"")=0,LEN('03_payments_raw'!D58&amp;"")=0,LEN('03_payments_raw'!E58&amp;"")=0),"ERROR","OK"),"")</x:f>
        <x:v>OK</x:v>
      </x:c>
      <x:c r="E304" s="2" t="str">
        <x:f>IF(COUNTA('03_payments_raw'!A58:E58)&gt;0,IF(LEN('03_payments_raw'!B58&amp;"")=0,"SKIP",IF(COUNTIF('01_orders_raw'!$A$2:$A$181,'03_payments_raw'!B58)&lt;&gt;1,"ERROR","OK")),"")</x:f>
        <x:v>OK</x:v>
      </x:c>
      <x:c r="F304" s="2" t="str">
        <x:f>IF(COUNTA('03_payments_raw'!A58:E58)&gt;0,IF(OR(COUNTIF('01_orders_raw'!$A$2:$A$181,'03_payments_raw'!B58)&lt;&gt;1,LEN('03_payments_raw'!D58&amp;"")=0),"SKIP",IF(OR(NOT(ISNUMBER('03_payments_raw'!D58)),'03_payments_raw'!D58&lt;0,'03_payments_raw'!D58&gt;INDEX('01_orders_raw'!$I$2:$I$181,MATCH('03_payments_raw'!B58,'01_orders_raw'!$A$2:$A$181,0))+'09_parameters'!$B$3),"ERROR","OK")),"")</x:f>
        <x:v>OK</x:v>
      </x:c>
      <x:c r="G304" s="2" t="str">
        <x:f>IF(COUNTA('03_payments_raw'!A58:E58)&gt;0,"N/A","")</x:f>
        <x:v>N/A</x:v>
      </x:c>
      <x:c r="H304" s="2" t="str">
        <x:f>IF(COUNTA('03_payments_raw'!A58:E58)&gt;0,IF(LEN('03_payments_raw'!C58&amp;"")=0,"SKIP",IF(IF(OR(NOT(ISNUMBER('03_payments_raw'!C58)),'03_payments_raw'!C58&lt;=0,'03_payments_raw'!C58&gt;'09_parameters'!$B$2),"ERROR","OK")="ERROR","ERROR",IF(COUNTIF('01_orders_raw'!$A$2:$A$181,'03_payments_raw'!B58)&lt;&gt;1,"SKIP",IF('03_payments_raw'!C58&lt;INDEX('01_orders_raw'!$B$2:$B$181,MATCH('03_payments_raw'!B58,'01_orders_raw'!$A$2:$A$181,0)),"ERROR","OK")))),"")</x:f>
        <x:v>OK</x:v>
      </x:c>
      <x:c r="I304" s="2" t="str">
        <x:f>IF(COUNTA('03_payments_raw'!A58:E58)&gt;0,IF(LEN('03_payments_raw'!E58&amp;"")=0,"SKIP",IF(AND('03_payments_raw'!E58&lt;&gt;"Оплачено",'03_payments_raw'!E58&lt;&gt;"Частично оплачено",'03_payments_raw'!E58&lt;&gt;"Не оплачено"),"ERROR","OK")),"")</x:f>
        <x:v>OK</x:v>
      </x:c>
      <x:c r="J304" s="2" t="n">
        <x:f>COUNTIF(C304:I304,"ERROR")</x:f>
        <x:v>0</x:v>
      </x:c>
      <x:c r="K304" s="2" t="n">
        <x:f>IF(COUNTA('03_payments_raw'!A58:E58)&gt;0,58,"")</x:f>
        <x:v>58</x:v>
      </x:c>
    </x:row>
    <x:row r="305">
      <x:c r="A305" s="2" t="str">
        <x:f>IF(COUNTA('03_payments_raw'!A59:E59)&gt;0,"Payment","")</x:f>
        <x:v>Payment</x:v>
      </x:c>
      <x:c r="B305" s="2" t="str">
        <x:f>IF(COUNTA('03_payments_raw'!A59:E59)&gt;0,'03_payments_raw'!A59,"")</x:f>
        <x:v>P058</x:v>
      </x:c>
      <x:c r="C305" s="2" t="str">
        <x:f>IF(COUNTA('03_payments_raw'!A59:E59)&gt;0,IF(AND(LEN('03_payments_raw'!A59&amp;"")&gt;0,COUNTIF('03_payments_raw'!$A$2:$A$141,'03_payments_raw'!A59)&gt;1),"ERROR","OK"),"")</x:f>
        <x:v>OK</x:v>
      </x:c>
      <x:c r="D305" s="2" t="str">
        <x:f>IF(COUNTA('03_payments_raw'!A59:E59)&gt;0,IF(OR(LEN('03_payments_raw'!A59&amp;"")=0,LEN('03_payments_raw'!B59&amp;"")=0,LEN('03_payments_raw'!C59&amp;"")=0,LEN('03_payments_raw'!D59&amp;"")=0,LEN('03_payments_raw'!E59&amp;"")=0),"ERROR","OK"),"")</x:f>
        <x:v>OK</x:v>
      </x:c>
      <x:c r="E305" s="2" t="str">
        <x:f>IF(COUNTA('03_payments_raw'!A59:E59)&gt;0,IF(LEN('03_payments_raw'!B59&amp;"")=0,"SKIP",IF(COUNTIF('01_orders_raw'!$A$2:$A$181,'03_payments_raw'!B59)&lt;&gt;1,"ERROR","OK")),"")</x:f>
        <x:v>OK</x:v>
      </x:c>
      <x:c r="F305" s="2" t="str">
        <x:f>IF(COUNTA('03_payments_raw'!A59:E59)&gt;0,IF(OR(COUNTIF('01_orders_raw'!$A$2:$A$181,'03_payments_raw'!B59)&lt;&gt;1,LEN('03_payments_raw'!D59&amp;"")=0),"SKIP",IF(OR(NOT(ISNUMBER('03_payments_raw'!D59)),'03_payments_raw'!D59&lt;0,'03_payments_raw'!D59&gt;INDEX('01_orders_raw'!$I$2:$I$181,MATCH('03_payments_raw'!B59,'01_orders_raw'!$A$2:$A$181,0))+'09_parameters'!$B$3),"ERROR","OK")),"")</x:f>
        <x:v>OK</x:v>
      </x:c>
      <x:c r="G305" s="2" t="str">
        <x:f>IF(COUNTA('03_payments_raw'!A59:E59)&gt;0,"N/A","")</x:f>
        <x:v>N/A</x:v>
      </x:c>
      <x:c r="H305" s="2" t="str">
        <x:f>IF(COUNTA('03_payments_raw'!A59:E59)&gt;0,IF(LEN('03_payments_raw'!C59&amp;"")=0,"SKIP",IF(IF(OR(NOT(ISNUMBER('03_payments_raw'!C59)),'03_payments_raw'!C59&lt;=0,'03_payments_raw'!C59&gt;'09_parameters'!$B$2),"ERROR","OK")="ERROR","ERROR",IF(COUNTIF('01_orders_raw'!$A$2:$A$181,'03_payments_raw'!B59)&lt;&gt;1,"SKIP",IF('03_payments_raw'!C59&lt;INDEX('01_orders_raw'!$B$2:$B$181,MATCH('03_payments_raw'!B59,'01_orders_raw'!$A$2:$A$181,0)),"ERROR","OK")))),"")</x:f>
        <x:v>OK</x:v>
      </x:c>
      <x:c r="I305" s="2" t="str">
        <x:f>IF(COUNTA('03_payments_raw'!A59:E59)&gt;0,IF(LEN('03_payments_raw'!E59&amp;"")=0,"SKIP",IF(AND('03_payments_raw'!E59&lt;&gt;"Оплачено",'03_payments_raw'!E59&lt;&gt;"Частично оплачено",'03_payments_raw'!E59&lt;&gt;"Не оплачено"),"ERROR","OK")),"")</x:f>
        <x:v>OK</x:v>
      </x:c>
      <x:c r="J305" s="2" t="n">
        <x:f>COUNTIF(C305:I305,"ERROR")</x:f>
        <x:v>0</x:v>
      </x:c>
      <x:c r="K305" s="2" t="n">
        <x:f>IF(COUNTA('03_payments_raw'!A59:E59)&gt;0,59,"")</x:f>
        <x:v>59</x:v>
      </x:c>
    </x:row>
    <x:row r="306">
      <x:c r="A306" s="2" t="str">
        <x:f>IF(COUNTA('03_payments_raw'!A60:E60)&gt;0,"Payment","")</x:f>
        <x:v>Payment</x:v>
      </x:c>
      <x:c r="B306" s="2" t="str">
        <x:f>IF(COUNTA('03_payments_raw'!A60:E60)&gt;0,'03_payments_raw'!A60,"")</x:f>
        <x:v>P059</x:v>
      </x:c>
      <x:c r="C306" s="2" t="str">
        <x:f>IF(COUNTA('03_payments_raw'!A60:E60)&gt;0,IF(AND(LEN('03_payments_raw'!A60&amp;"")&gt;0,COUNTIF('03_payments_raw'!$A$2:$A$141,'03_payments_raw'!A60)&gt;1),"ERROR","OK"),"")</x:f>
        <x:v>OK</x:v>
      </x:c>
      <x:c r="D306" s="2" t="str">
        <x:f>IF(COUNTA('03_payments_raw'!A60:E60)&gt;0,IF(OR(LEN('03_payments_raw'!A60&amp;"")=0,LEN('03_payments_raw'!B60&amp;"")=0,LEN('03_payments_raw'!C60&amp;"")=0,LEN('03_payments_raw'!D60&amp;"")=0,LEN('03_payments_raw'!E60&amp;"")=0),"ERROR","OK"),"")</x:f>
        <x:v>OK</x:v>
      </x:c>
      <x:c r="E306" s="2" t="str">
        <x:f>IF(COUNTA('03_payments_raw'!A60:E60)&gt;0,IF(LEN('03_payments_raw'!B60&amp;"")=0,"SKIP",IF(COUNTIF('01_orders_raw'!$A$2:$A$181,'03_payments_raw'!B60)&lt;&gt;1,"ERROR","OK")),"")</x:f>
        <x:v>OK</x:v>
      </x:c>
      <x:c r="F306" s="2" t="str">
        <x:f>IF(COUNTA('03_payments_raw'!A60:E60)&gt;0,IF(OR(COUNTIF('01_orders_raw'!$A$2:$A$181,'03_payments_raw'!B60)&lt;&gt;1,LEN('03_payments_raw'!D60&amp;"")=0),"SKIP",IF(OR(NOT(ISNUMBER('03_payments_raw'!D60)),'03_payments_raw'!D60&lt;0,'03_payments_raw'!D60&gt;INDEX('01_orders_raw'!$I$2:$I$181,MATCH('03_payments_raw'!B60,'01_orders_raw'!$A$2:$A$181,0))+'09_parameters'!$B$3),"ERROR","OK")),"")</x:f>
        <x:v>OK</x:v>
      </x:c>
      <x:c r="G306" s="2" t="str">
        <x:f>IF(COUNTA('03_payments_raw'!A60:E60)&gt;0,"N/A","")</x:f>
        <x:v>N/A</x:v>
      </x:c>
      <x:c r="H306" s="2" t="str">
        <x:f>IF(COUNTA('03_payments_raw'!A60:E60)&gt;0,IF(LEN('03_payments_raw'!C60&amp;"")=0,"SKIP",IF(IF(OR(NOT(ISNUMBER('03_payments_raw'!C60)),'03_payments_raw'!C60&lt;=0,'03_payments_raw'!C60&gt;'09_parameters'!$B$2),"ERROR","OK")="ERROR","ERROR",IF(COUNTIF('01_orders_raw'!$A$2:$A$181,'03_payments_raw'!B60)&lt;&gt;1,"SKIP",IF('03_payments_raw'!C60&lt;INDEX('01_orders_raw'!$B$2:$B$181,MATCH('03_payments_raw'!B60,'01_orders_raw'!$A$2:$A$181,0)),"ERROR","OK")))),"")</x:f>
        <x:v>OK</x:v>
      </x:c>
      <x:c r="I306" s="2" t="str">
        <x:f>IF(COUNTA('03_payments_raw'!A60:E60)&gt;0,IF(LEN('03_payments_raw'!E60&amp;"")=0,"SKIP",IF(AND('03_payments_raw'!E60&lt;&gt;"Оплачено",'03_payments_raw'!E60&lt;&gt;"Частично оплачено",'03_payments_raw'!E60&lt;&gt;"Не оплачено"),"ERROR","OK")),"")</x:f>
        <x:v>OK</x:v>
      </x:c>
      <x:c r="J306" s="2" t="n">
        <x:f>COUNTIF(C306:I306,"ERROR")</x:f>
        <x:v>0</x:v>
      </x:c>
      <x:c r="K306" s="2" t="n">
        <x:f>IF(COUNTA('03_payments_raw'!A60:E60)&gt;0,60,"")</x:f>
        <x:v>60</x:v>
      </x:c>
    </x:row>
    <x:row r="307">
      <x:c r="A307" s="2" t="str">
        <x:f>IF(COUNTA('03_payments_raw'!A61:E61)&gt;0,"Payment","")</x:f>
        <x:v>Payment</x:v>
      </x:c>
      <x:c r="B307" s="2" t="str">
        <x:f>IF(COUNTA('03_payments_raw'!A61:E61)&gt;0,'03_payments_raw'!A61,"")</x:f>
        <x:v>P060</x:v>
      </x:c>
      <x:c r="C307" s="2" t="str">
        <x:f>IF(COUNTA('03_payments_raw'!A61:E61)&gt;0,IF(AND(LEN('03_payments_raw'!A61&amp;"")&gt;0,COUNTIF('03_payments_raw'!$A$2:$A$141,'03_payments_raw'!A61)&gt;1),"ERROR","OK"),"")</x:f>
        <x:v>OK</x:v>
      </x:c>
      <x:c r="D307" s="2" t="str">
        <x:f>IF(COUNTA('03_payments_raw'!A61:E61)&gt;0,IF(OR(LEN('03_payments_raw'!A61&amp;"")=0,LEN('03_payments_raw'!B61&amp;"")=0,LEN('03_payments_raw'!C61&amp;"")=0,LEN('03_payments_raw'!D61&amp;"")=0,LEN('03_payments_raw'!E61&amp;"")=0),"ERROR","OK"),"")</x:f>
        <x:v>OK</x:v>
      </x:c>
      <x:c r="E307" s="2" t="str">
        <x:f>IF(COUNTA('03_payments_raw'!A61:E61)&gt;0,IF(LEN('03_payments_raw'!B61&amp;"")=0,"SKIP",IF(COUNTIF('01_orders_raw'!$A$2:$A$181,'03_payments_raw'!B61)&lt;&gt;1,"ERROR","OK")),"")</x:f>
        <x:v>OK</x:v>
      </x:c>
      <x:c r="F307" s="2" t="str">
        <x:f>IF(COUNTA('03_payments_raw'!A61:E61)&gt;0,IF(OR(COUNTIF('01_orders_raw'!$A$2:$A$181,'03_payments_raw'!B61)&lt;&gt;1,LEN('03_payments_raw'!D61&amp;"")=0),"SKIP",IF(OR(NOT(ISNUMBER('03_payments_raw'!D61)),'03_payments_raw'!D61&lt;0,'03_payments_raw'!D61&gt;INDEX('01_orders_raw'!$I$2:$I$181,MATCH('03_payments_raw'!B61,'01_orders_raw'!$A$2:$A$181,0))+'09_parameters'!$B$3),"ERROR","OK")),"")</x:f>
        <x:v>OK</x:v>
      </x:c>
      <x:c r="G307" s="2" t="str">
        <x:f>IF(COUNTA('03_payments_raw'!A61:E61)&gt;0,"N/A","")</x:f>
        <x:v>N/A</x:v>
      </x:c>
      <x:c r="H307" s="2" t="str">
        <x:f>IF(COUNTA('03_payments_raw'!A61:E61)&gt;0,IF(LEN('03_payments_raw'!C61&amp;"")=0,"SKIP",IF(IF(OR(NOT(ISNUMBER('03_payments_raw'!C61)),'03_payments_raw'!C61&lt;=0,'03_payments_raw'!C61&gt;'09_parameters'!$B$2),"ERROR","OK")="ERROR","ERROR",IF(COUNTIF('01_orders_raw'!$A$2:$A$181,'03_payments_raw'!B61)&lt;&gt;1,"SKIP",IF('03_payments_raw'!C61&lt;INDEX('01_orders_raw'!$B$2:$B$181,MATCH('03_payments_raw'!B61,'01_orders_raw'!$A$2:$A$181,0)),"ERROR","OK")))),"")</x:f>
        <x:v>OK</x:v>
      </x:c>
      <x:c r="I307" s="2" t="str">
        <x:f>IF(COUNTA('03_payments_raw'!A61:E61)&gt;0,IF(LEN('03_payments_raw'!E61&amp;"")=0,"SKIP",IF(AND('03_payments_raw'!E61&lt;&gt;"Оплачено",'03_payments_raw'!E61&lt;&gt;"Частично оплачено",'03_payments_raw'!E61&lt;&gt;"Не оплачено"),"ERROR","OK")),"")</x:f>
        <x:v>OK</x:v>
      </x:c>
      <x:c r="J307" s="2" t="n">
        <x:f>COUNTIF(C307:I307,"ERROR")</x:f>
        <x:v>0</x:v>
      </x:c>
      <x:c r="K307" s="2" t="n">
        <x:f>IF(COUNTA('03_payments_raw'!A61:E61)&gt;0,61,"")</x:f>
        <x:v>61</x:v>
      </x:c>
    </x:row>
    <x:row r="308">
      <x:c r="A308" s="2" t="str">
        <x:f>IF(COUNTA('03_payments_raw'!A62:E62)&gt;0,"Payment","")</x:f>
        <x:v>Payment</x:v>
      </x:c>
      <x:c r="B308" s="2" t="str">
        <x:f>IF(COUNTA('03_payments_raw'!A62:E62)&gt;0,'03_payments_raw'!A62,"")</x:f>
        <x:v>P061</x:v>
      </x:c>
      <x:c r="C308" s="2" t="str">
        <x:f>IF(COUNTA('03_payments_raw'!A62:E62)&gt;0,IF(AND(LEN('03_payments_raw'!A62&amp;"")&gt;0,COUNTIF('03_payments_raw'!$A$2:$A$141,'03_payments_raw'!A62)&gt;1),"ERROR","OK"),"")</x:f>
        <x:v>OK</x:v>
      </x:c>
      <x:c r="D308" s="2" t="str">
        <x:f>IF(COUNTA('03_payments_raw'!A62:E62)&gt;0,IF(OR(LEN('03_payments_raw'!A62&amp;"")=0,LEN('03_payments_raw'!B62&amp;"")=0,LEN('03_payments_raw'!C62&amp;"")=0,LEN('03_payments_raw'!D62&amp;"")=0,LEN('03_payments_raw'!E62&amp;"")=0),"ERROR","OK"),"")</x:f>
        <x:v>OK</x:v>
      </x:c>
      <x:c r="E308" s="2" t="str">
        <x:f>IF(COUNTA('03_payments_raw'!A62:E62)&gt;0,IF(LEN('03_payments_raw'!B62&amp;"")=0,"SKIP",IF(COUNTIF('01_orders_raw'!$A$2:$A$181,'03_payments_raw'!B62)&lt;&gt;1,"ERROR","OK")),"")</x:f>
        <x:v>OK</x:v>
      </x:c>
      <x:c r="F308" s="2" t="str">
        <x:f>IF(COUNTA('03_payments_raw'!A62:E62)&gt;0,IF(OR(COUNTIF('01_orders_raw'!$A$2:$A$181,'03_payments_raw'!B62)&lt;&gt;1,LEN('03_payments_raw'!D62&amp;"")=0),"SKIP",IF(OR(NOT(ISNUMBER('03_payments_raw'!D62)),'03_payments_raw'!D62&lt;0,'03_payments_raw'!D62&gt;INDEX('01_orders_raw'!$I$2:$I$181,MATCH('03_payments_raw'!B62,'01_orders_raw'!$A$2:$A$181,0))+'09_parameters'!$B$3),"ERROR","OK")),"")</x:f>
        <x:v>OK</x:v>
      </x:c>
      <x:c r="G308" s="2" t="str">
        <x:f>IF(COUNTA('03_payments_raw'!A62:E62)&gt;0,"N/A","")</x:f>
        <x:v>N/A</x:v>
      </x:c>
      <x:c r="H308" s="2" t="str">
        <x:f>IF(COUNTA('03_payments_raw'!A62:E62)&gt;0,IF(LEN('03_payments_raw'!C62&amp;"")=0,"SKIP",IF(IF(OR(NOT(ISNUMBER('03_payments_raw'!C62)),'03_payments_raw'!C62&lt;=0,'03_payments_raw'!C62&gt;'09_parameters'!$B$2),"ERROR","OK")="ERROR","ERROR",IF(COUNTIF('01_orders_raw'!$A$2:$A$181,'03_payments_raw'!B62)&lt;&gt;1,"SKIP",IF('03_payments_raw'!C62&lt;INDEX('01_orders_raw'!$B$2:$B$181,MATCH('03_payments_raw'!B62,'01_orders_raw'!$A$2:$A$181,0)),"ERROR","OK")))),"")</x:f>
        <x:v>OK</x:v>
      </x:c>
      <x:c r="I308" s="2" t="str">
        <x:f>IF(COUNTA('03_payments_raw'!A62:E62)&gt;0,IF(LEN('03_payments_raw'!E62&amp;"")=0,"SKIP",IF(AND('03_payments_raw'!E62&lt;&gt;"Оплачено",'03_payments_raw'!E62&lt;&gt;"Частично оплачено",'03_payments_raw'!E62&lt;&gt;"Не оплачено"),"ERROR","OK")),"")</x:f>
        <x:v>OK</x:v>
      </x:c>
      <x:c r="J308" s="2" t="n">
        <x:f>COUNTIF(C308:I308,"ERROR")</x:f>
        <x:v>0</x:v>
      </x:c>
      <x:c r="K308" s="2" t="n">
        <x:f>IF(COUNTA('03_payments_raw'!A62:E62)&gt;0,62,"")</x:f>
        <x:v>62</x:v>
      </x:c>
    </x:row>
    <x:row r="309">
      <x:c r="A309" s="2" t="str">
        <x:f>IF(COUNTA('03_payments_raw'!A63:E63)&gt;0,"Payment","")</x:f>
        <x:v>Payment</x:v>
      </x:c>
      <x:c r="B309" s="2" t="str">
        <x:f>IF(COUNTA('03_payments_raw'!A63:E63)&gt;0,'03_payments_raw'!A63,"")</x:f>
        <x:v>P062</x:v>
      </x:c>
      <x:c r="C309" s="2" t="str">
        <x:f>IF(COUNTA('03_payments_raw'!A63:E63)&gt;0,IF(AND(LEN('03_payments_raw'!A63&amp;"")&gt;0,COUNTIF('03_payments_raw'!$A$2:$A$141,'03_payments_raw'!A63)&gt;1),"ERROR","OK"),"")</x:f>
        <x:v>OK</x:v>
      </x:c>
      <x:c r="D309" s="2" t="str">
        <x:f>IF(COUNTA('03_payments_raw'!A63:E63)&gt;0,IF(OR(LEN('03_payments_raw'!A63&amp;"")=0,LEN('03_payments_raw'!B63&amp;"")=0,LEN('03_payments_raw'!C63&amp;"")=0,LEN('03_payments_raw'!D63&amp;"")=0,LEN('03_payments_raw'!E63&amp;"")=0),"ERROR","OK"),"")</x:f>
        <x:v>OK</x:v>
      </x:c>
      <x:c r="E309" s="2" t="str">
        <x:f>IF(COUNTA('03_payments_raw'!A63:E63)&gt;0,IF(LEN('03_payments_raw'!B63&amp;"")=0,"SKIP",IF(COUNTIF('01_orders_raw'!$A$2:$A$181,'03_payments_raw'!B63)&lt;&gt;1,"ERROR","OK")),"")</x:f>
        <x:v>OK</x:v>
      </x:c>
      <x:c r="F309" s="2" t="str">
        <x:f>IF(COUNTA('03_payments_raw'!A63:E63)&gt;0,IF(OR(COUNTIF('01_orders_raw'!$A$2:$A$181,'03_payments_raw'!B63)&lt;&gt;1,LEN('03_payments_raw'!D63&amp;"")=0),"SKIP",IF(OR(NOT(ISNUMBER('03_payments_raw'!D63)),'03_payments_raw'!D63&lt;0,'03_payments_raw'!D63&gt;INDEX('01_orders_raw'!$I$2:$I$181,MATCH('03_payments_raw'!B63,'01_orders_raw'!$A$2:$A$181,0))+'09_parameters'!$B$3),"ERROR","OK")),"")</x:f>
        <x:v>OK</x:v>
      </x:c>
      <x:c r="G309" s="2" t="str">
        <x:f>IF(COUNTA('03_payments_raw'!A63:E63)&gt;0,"N/A","")</x:f>
        <x:v>N/A</x:v>
      </x:c>
      <x:c r="H309" s="2" t="str">
        <x:f>IF(COUNTA('03_payments_raw'!A63:E63)&gt;0,IF(LEN('03_payments_raw'!C63&amp;"")=0,"SKIP",IF(IF(OR(NOT(ISNUMBER('03_payments_raw'!C63)),'03_payments_raw'!C63&lt;=0,'03_payments_raw'!C63&gt;'09_parameters'!$B$2),"ERROR","OK")="ERROR","ERROR",IF(COUNTIF('01_orders_raw'!$A$2:$A$181,'03_payments_raw'!B63)&lt;&gt;1,"SKIP",IF('03_payments_raw'!C63&lt;INDEX('01_orders_raw'!$B$2:$B$181,MATCH('03_payments_raw'!B63,'01_orders_raw'!$A$2:$A$181,0)),"ERROR","OK")))),"")</x:f>
        <x:v>OK</x:v>
      </x:c>
      <x:c r="I309" s="2" t="str">
        <x:f>IF(COUNTA('03_payments_raw'!A63:E63)&gt;0,IF(LEN('03_payments_raw'!E63&amp;"")=0,"SKIP",IF(AND('03_payments_raw'!E63&lt;&gt;"Оплачено",'03_payments_raw'!E63&lt;&gt;"Частично оплачено",'03_payments_raw'!E63&lt;&gt;"Не оплачено"),"ERROR","OK")),"")</x:f>
        <x:v>OK</x:v>
      </x:c>
      <x:c r="J309" s="2" t="n">
        <x:f>COUNTIF(C309:I309,"ERROR")</x:f>
        <x:v>0</x:v>
      </x:c>
      <x:c r="K309" s="2" t="n">
        <x:f>IF(COUNTA('03_payments_raw'!A63:E63)&gt;0,63,"")</x:f>
        <x:v>63</x:v>
      </x:c>
    </x:row>
    <x:row r="310">
      <x:c r="A310" s="2" t="str">
        <x:f>IF(COUNTA('03_payments_raw'!A64:E64)&gt;0,"Payment","")</x:f>
        <x:v>Payment</x:v>
      </x:c>
      <x:c r="B310" s="2" t="str">
        <x:f>IF(COUNTA('03_payments_raw'!A64:E64)&gt;0,'03_payments_raw'!A64,"")</x:f>
        <x:v>P063</x:v>
      </x:c>
      <x:c r="C310" s="2" t="str">
        <x:f>IF(COUNTA('03_payments_raw'!A64:E64)&gt;0,IF(AND(LEN('03_payments_raw'!A64&amp;"")&gt;0,COUNTIF('03_payments_raw'!$A$2:$A$141,'03_payments_raw'!A64)&gt;1),"ERROR","OK"),"")</x:f>
        <x:v>OK</x:v>
      </x:c>
      <x:c r="D310" s="2" t="str">
        <x:f>IF(COUNTA('03_payments_raw'!A64:E64)&gt;0,IF(OR(LEN('03_payments_raw'!A64&amp;"")=0,LEN('03_payments_raw'!B64&amp;"")=0,LEN('03_payments_raw'!C64&amp;"")=0,LEN('03_payments_raw'!D64&amp;"")=0,LEN('03_payments_raw'!E64&amp;"")=0),"ERROR","OK"),"")</x:f>
        <x:v>OK</x:v>
      </x:c>
      <x:c r="E310" s="2" t="str">
        <x:f>IF(COUNTA('03_payments_raw'!A64:E64)&gt;0,IF(LEN('03_payments_raw'!B64&amp;"")=0,"SKIP",IF(COUNTIF('01_orders_raw'!$A$2:$A$181,'03_payments_raw'!B64)&lt;&gt;1,"ERROR","OK")),"")</x:f>
        <x:v>OK</x:v>
      </x:c>
      <x:c r="F310" s="2" t="str">
        <x:f>IF(COUNTA('03_payments_raw'!A64:E64)&gt;0,IF(OR(COUNTIF('01_orders_raw'!$A$2:$A$181,'03_payments_raw'!B64)&lt;&gt;1,LEN('03_payments_raw'!D64&amp;"")=0),"SKIP",IF(OR(NOT(ISNUMBER('03_payments_raw'!D64)),'03_payments_raw'!D64&lt;0,'03_payments_raw'!D64&gt;INDEX('01_orders_raw'!$I$2:$I$181,MATCH('03_payments_raw'!B64,'01_orders_raw'!$A$2:$A$181,0))+'09_parameters'!$B$3),"ERROR","OK")),"")</x:f>
        <x:v>OK</x:v>
      </x:c>
      <x:c r="G310" s="2" t="str">
        <x:f>IF(COUNTA('03_payments_raw'!A64:E64)&gt;0,"N/A","")</x:f>
        <x:v>N/A</x:v>
      </x:c>
      <x:c r="H310" s="2" t="str">
        <x:f>IF(COUNTA('03_payments_raw'!A64:E64)&gt;0,IF(LEN('03_payments_raw'!C64&amp;"")=0,"SKIP",IF(IF(OR(NOT(ISNUMBER('03_payments_raw'!C64)),'03_payments_raw'!C64&lt;=0,'03_payments_raw'!C64&gt;'09_parameters'!$B$2),"ERROR","OK")="ERROR","ERROR",IF(COUNTIF('01_orders_raw'!$A$2:$A$181,'03_payments_raw'!B64)&lt;&gt;1,"SKIP",IF('03_payments_raw'!C64&lt;INDEX('01_orders_raw'!$B$2:$B$181,MATCH('03_payments_raw'!B64,'01_orders_raw'!$A$2:$A$181,0)),"ERROR","OK")))),"")</x:f>
        <x:v>OK</x:v>
      </x:c>
      <x:c r="I310" s="2" t="str">
        <x:f>IF(COUNTA('03_payments_raw'!A64:E64)&gt;0,IF(LEN('03_payments_raw'!E64&amp;"")=0,"SKIP",IF(AND('03_payments_raw'!E64&lt;&gt;"Оплачено",'03_payments_raw'!E64&lt;&gt;"Частично оплачено",'03_payments_raw'!E64&lt;&gt;"Не оплачено"),"ERROR","OK")),"")</x:f>
        <x:v>OK</x:v>
      </x:c>
      <x:c r="J310" s="2" t="n">
        <x:f>COUNTIF(C310:I310,"ERROR")</x:f>
        <x:v>0</x:v>
      </x:c>
      <x:c r="K310" s="2" t="n">
        <x:f>IF(COUNTA('03_payments_raw'!A64:E64)&gt;0,64,"")</x:f>
        <x:v>64</x:v>
      </x:c>
    </x:row>
    <x:row r="311">
      <x:c r="A311" s="2" t="str">
        <x:f>IF(COUNTA('03_payments_raw'!A65:E65)&gt;0,"Payment","")</x:f>
        <x:v>Payment</x:v>
      </x:c>
      <x:c r="B311" s="2" t="str">
        <x:f>IF(COUNTA('03_payments_raw'!A65:E65)&gt;0,'03_payments_raw'!A65,"")</x:f>
        <x:v>P064</x:v>
      </x:c>
      <x:c r="C311" s="2" t="str">
        <x:f>IF(COUNTA('03_payments_raw'!A65:E65)&gt;0,IF(AND(LEN('03_payments_raw'!A65&amp;"")&gt;0,COUNTIF('03_payments_raw'!$A$2:$A$141,'03_payments_raw'!A65)&gt;1),"ERROR","OK"),"")</x:f>
        <x:v>OK</x:v>
      </x:c>
      <x:c r="D311" s="2" t="str">
        <x:f>IF(COUNTA('03_payments_raw'!A65:E65)&gt;0,IF(OR(LEN('03_payments_raw'!A65&amp;"")=0,LEN('03_payments_raw'!B65&amp;"")=0,LEN('03_payments_raw'!C65&amp;"")=0,LEN('03_payments_raw'!D65&amp;"")=0,LEN('03_payments_raw'!E65&amp;"")=0),"ERROR","OK"),"")</x:f>
        <x:v>OK</x:v>
      </x:c>
      <x:c r="E311" s="2" t="str">
        <x:f>IF(COUNTA('03_payments_raw'!A65:E65)&gt;0,IF(LEN('03_payments_raw'!B65&amp;"")=0,"SKIP",IF(COUNTIF('01_orders_raw'!$A$2:$A$181,'03_payments_raw'!B65)&lt;&gt;1,"ERROR","OK")),"")</x:f>
        <x:v>OK</x:v>
      </x:c>
      <x:c r="F311" s="2" t="str">
        <x:f>IF(COUNTA('03_payments_raw'!A65:E65)&gt;0,IF(OR(COUNTIF('01_orders_raw'!$A$2:$A$181,'03_payments_raw'!B65)&lt;&gt;1,LEN('03_payments_raw'!D65&amp;"")=0),"SKIP",IF(OR(NOT(ISNUMBER('03_payments_raw'!D65)),'03_payments_raw'!D65&lt;0,'03_payments_raw'!D65&gt;INDEX('01_orders_raw'!$I$2:$I$181,MATCH('03_payments_raw'!B65,'01_orders_raw'!$A$2:$A$181,0))+'09_parameters'!$B$3),"ERROR","OK")),"")</x:f>
        <x:v>OK</x:v>
      </x:c>
      <x:c r="G311" s="2" t="str">
        <x:f>IF(COUNTA('03_payments_raw'!A65:E65)&gt;0,"N/A","")</x:f>
        <x:v>N/A</x:v>
      </x:c>
      <x:c r="H311" s="2" t="str">
        <x:f>IF(COUNTA('03_payments_raw'!A65:E65)&gt;0,IF(LEN('03_payments_raw'!C65&amp;"")=0,"SKIP",IF(IF(OR(NOT(ISNUMBER('03_payments_raw'!C65)),'03_payments_raw'!C65&lt;=0,'03_payments_raw'!C65&gt;'09_parameters'!$B$2),"ERROR","OK")="ERROR","ERROR",IF(COUNTIF('01_orders_raw'!$A$2:$A$181,'03_payments_raw'!B65)&lt;&gt;1,"SKIP",IF('03_payments_raw'!C65&lt;INDEX('01_orders_raw'!$B$2:$B$181,MATCH('03_payments_raw'!B65,'01_orders_raw'!$A$2:$A$181,0)),"ERROR","OK")))),"")</x:f>
        <x:v>OK</x:v>
      </x:c>
      <x:c r="I311" s="2" t="str">
        <x:f>IF(COUNTA('03_payments_raw'!A65:E65)&gt;0,IF(LEN('03_payments_raw'!E65&amp;"")=0,"SKIP",IF(AND('03_payments_raw'!E65&lt;&gt;"Оплачено",'03_payments_raw'!E65&lt;&gt;"Частично оплачено",'03_payments_raw'!E65&lt;&gt;"Не оплачено"),"ERROR","OK")),"")</x:f>
        <x:v>OK</x:v>
      </x:c>
      <x:c r="J311" s="2" t="n">
        <x:f>COUNTIF(C311:I311,"ERROR")</x:f>
        <x:v>0</x:v>
      </x:c>
      <x:c r="K311" s="2" t="n">
        <x:f>IF(COUNTA('03_payments_raw'!A65:E65)&gt;0,65,"")</x:f>
        <x:v>65</x:v>
      </x:c>
    </x:row>
    <x:row r="312">
      <x:c r="A312" s="2" t="str">
        <x:f>IF(COUNTA('03_payments_raw'!A66:E66)&gt;0,"Payment","")</x:f>
        <x:v>Payment</x:v>
      </x:c>
      <x:c r="B312" s="2" t="str">
        <x:f>IF(COUNTA('03_payments_raw'!A66:E66)&gt;0,'03_payments_raw'!A66,"")</x:f>
        <x:v>P065</x:v>
      </x:c>
      <x:c r="C312" s="2" t="str">
        <x:f>IF(COUNTA('03_payments_raw'!A66:E66)&gt;0,IF(AND(LEN('03_payments_raw'!A66&amp;"")&gt;0,COUNTIF('03_payments_raw'!$A$2:$A$141,'03_payments_raw'!A66)&gt;1),"ERROR","OK"),"")</x:f>
        <x:v>OK</x:v>
      </x:c>
      <x:c r="D312" s="2" t="str">
        <x:f>IF(COUNTA('03_payments_raw'!A66:E66)&gt;0,IF(OR(LEN('03_payments_raw'!A66&amp;"")=0,LEN('03_payments_raw'!B66&amp;"")=0,LEN('03_payments_raw'!C66&amp;"")=0,LEN('03_payments_raw'!D66&amp;"")=0,LEN('03_payments_raw'!E66&amp;"")=0),"ERROR","OK"),"")</x:f>
        <x:v>OK</x:v>
      </x:c>
      <x:c r="E312" s="2" t="str">
        <x:f>IF(COUNTA('03_payments_raw'!A66:E66)&gt;0,IF(LEN('03_payments_raw'!B66&amp;"")=0,"SKIP",IF(COUNTIF('01_orders_raw'!$A$2:$A$181,'03_payments_raw'!B66)&lt;&gt;1,"ERROR","OK")),"")</x:f>
        <x:v>OK</x:v>
      </x:c>
      <x:c r="F312" s="2" t="str">
        <x:f>IF(COUNTA('03_payments_raw'!A66:E66)&gt;0,IF(OR(COUNTIF('01_orders_raw'!$A$2:$A$181,'03_payments_raw'!B66)&lt;&gt;1,LEN('03_payments_raw'!D66&amp;"")=0),"SKIP",IF(OR(NOT(ISNUMBER('03_payments_raw'!D66)),'03_payments_raw'!D66&lt;0,'03_payments_raw'!D66&gt;INDEX('01_orders_raw'!$I$2:$I$181,MATCH('03_payments_raw'!B66,'01_orders_raw'!$A$2:$A$181,0))+'09_parameters'!$B$3),"ERROR","OK")),"")</x:f>
        <x:v>OK</x:v>
      </x:c>
      <x:c r="G312" s="2" t="str">
        <x:f>IF(COUNTA('03_payments_raw'!A66:E66)&gt;0,"N/A","")</x:f>
        <x:v>N/A</x:v>
      </x:c>
      <x:c r="H312" s="2" t="str">
        <x:f>IF(COUNTA('03_payments_raw'!A66:E66)&gt;0,IF(LEN('03_payments_raw'!C66&amp;"")=0,"SKIP",IF(IF(OR(NOT(ISNUMBER('03_payments_raw'!C66)),'03_payments_raw'!C66&lt;=0,'03_payments_raw'!C66&gt;'09_parameters'!$B$2),"ERROR","OK")="ERROR","ERROR",IF(COUNTIF('01_orders_raw'!$A$2:$A$181,'03_payments_raw'!B66)&lt;&gt;1,"SKIP",IF('03_payments_raw'!C66&lt;INDEX('01_orders_raw'!$B$2:$B$181,MATCH('03_payments_raw'!B66,'01_orders_raw'!$A$2:$A$181,0)),"ERROR","OK")))),"")</x:f>
        <x:v>OK</x:v>
      </x:c>
      <x:c r="I312" s="2" t="str">
        <x:f>IF(COUNTA('03_payments_raw'!A66:E66)&gt;0,IF(LEN('03_payments_raw'!E66&amp;"")=0,"SKIP",IF(AND('03_payments_raw'!E66&lt;&gt;"Оплачено",'03_payments_raw'!E66&lt;&gt;"Частично оплачено",'03_payments_raw'!E66&lt;&gt;"Не оплачено"),"ERROR","OK")),"")</x:f>
        <x:v>OK</x:v>
      </x:c>
      <x:c r="J312" s="2" t="n">
        <x:f>COUNTIF(C312:I312,"ERROR")</x:f>
        <x:v>0</x:v>
      </x:c>
      <x:c r="K312" s="2" t="n">
        <x:f>IF(COUNTA('03_payments_raw'!A66:E66)&gt;0,66,"")</x:f>
        <x:v>66</x:v>
      </x:c>
    </x:row>
    <x:row r="313">
      <x:c r="A313" s="2" t="str">
        <x:f>IF(COUNTA('03_payments_raw'!A67:E67)&gt;0,"Payment","")</x:f>
        <x:v>Payment</x:v>
      </x:c>
      <x:c r="B313" s="2" t="str">
        <x:f>IF(COUNTA('03_payments_raw'!A67:E67)&gt;0,'03_payments_raw'!A67,"")</x:f>
        <x:v>P066</x:v>
      </x:c>
      <x:c r="C313" s="2" t="str">
        <x:f>IF(COUNTA('03_payments_raw'!A67:E67)&gt;0,IF(AND(LEN('03_payments_raw'!A67&amp;"")&gt;0,COUNTIF('03_payments_raw'!$A$2:$A$141,'03_payments_raw'!A67)&gt;1),"ERROR","OK"),"")</x:f>
        <x:v>OK</x:v>
      </x:c>
      <x:c r="D313" s="2" t="str">
        <x:f>IF(COUNTA('03_payments_raw'!A67:E67)&gt;0,IF(OR(LEN('03_payments_raw'!A67&amp;"")=0,LEN('03_payments_raw'!B67&amp;"")=0,LEN('03_payments_raw'!C67&amp;"")=0,LEN('03_payments_raw'!D67&amp;"")=0,LEN('03_payments_raw'!E67&amp;"")=0),"ERROR","OK"),"")</x:f>
        <x:v>OK</x:v>
      </x:c>
      <x:c r="E313" s="2" t="str">
        <x:f>IF(COUNTA('03_payments_raw'!A67:E67)&gt;0,IF(LEN('03_payments_raw'!B67&amp;"")=0,"SKIP",IF(COUNTIF('01_orders_raw'!$A$2:$A$181,'03_payments_raw'!B67)&lt;&gt;1,"ERROR","OK")),"")</x:f>
        <x:v>OK</x:v>
      </x:c>
      <x:c r="F313" s="2" t="str">
        <x:f>IF(COUNTA('03_payments_raw'!A67:E67)&gt;0,IF(OR(COUNTIF('01_orders_raw'!$A$2:$A$181,'03_payments_raw'!B67)&lt;&gt;1,LEN('03_payments_raw'!D67&amp;"")=0),"SKIP",IF(OR(NOT(ISNUMBER('03_payments_raw'!D67)),'03_payments_raw'!D67&lt;0,'03_payments_raw'!D67&gt;INDEX('01_orders_raw'!$I$2:$I$181,MATCH('03_payments_raw'!B67,'01_orders_raw'!$A$2:$A$181,0))+'09_parameters'!$B$3),"ERROR","OK")),"")</x:f>
        <x:v>OK</x:v>
      </x:c>
      <x:c r="G313" s="2" t="str">
        <x:f>IF(COUNTA('03_payments_raw'!A67:E67)&gt;0,"N/A","")</x:f>
        <x:v>N/A</x:v>
      </x:c>
      <x:c r="H313" s="2" t="str">
        <x:f>IF(COUNTA('03_payments_raw'!A67:E67)&gt;0,IF(LEN('03_payments_raw'!C67&amp;"")=0,"SKIP",IF(IF(OR(NOT(ISNUMBER('03_payments_raw'!C67)),'03_payments_raw'!C67&lt;=0,'03_payments_raw'!C67&gt;'09_parameters'!$B$2),"ERROR","OK")="ERROR","ERROR",IF(COUNTIF('01_orders_raw'!$A$2:$A$181,'03_payments_raw'!B67)&lt;&gt;1,"SKIP",IF('03_payments_raw'!C67&lt;INDEX('01_orders_raw'!$B$2:$B$181,MATCH('03_payments_raw'!B67,'01_orders_raw'!$A$2:$A$181,0)),"ERROR","OK")))),"")</x:f>
        <x:v>OK</x:v>
      </x:c>
      <x:c r="I313" s="2" t="str">
        <x:f>IF(COUNTA('03_payments_raw'!A67:E67)&gt;0,IF(LEN('03_payments_raw'!E67&amp;"")=0,"SKIP",IF(AND('03_payments_raw'!E67&lt;&gt;"Оплачено",'03_payments_raw'!E67&lt;&gt;"Частично оплачено",'03_payments_raw'!E67&lt;&gt;"Не оплачено"),"ERROR","OK")),"")</x:f>
        <x:v>OK</x:v>
      </x:c>
      <x:c r="J313" s="2" t="n">
        <x:f>COUNTIF(C313:I313,"ERROR")</x:f>
        <x:v>0</x:v>
      </x:c>
      <x:c r="K313" s="2" t="n">
        <x:f>IF(COUNTA('03_payments_raw'!A67:E67)&gt;0,67,"")</x:f>
        <x:v>67</x:v>
      </x:c>
    </x:row>
    <x:row r="314">
      <x:c r="A314" s="2" t="str">
        <x:f>IF(COUNTA('03_payments_raw'!A68:E68)&gt;0,"Payment","")</x:f>
        <x:v>Payment</x:v>
      </x:c>
      <x:c r="B314" s="2" t="str">
        <x:f>IF(COUNTA('03_payments_raw'!A68:E68)&gt;0,'03_payments_raw'!A68,"")</x:f>
        <x:v>P067</x:v>
      </x:c>
      <x:c r="C314" s="2" t="str">
        <x:f>IF(COUNTA('03_payments_raw'!A68:E68)&gt;0,IF(AND(LEN('03_payments_raw'!A68&amp;"")&gt;0,COUNTIF('03_payments_raw'!$A$2:$A$141,'03_payments_raw'!A68)&gt;1),"ERROR","OK"),"")</x:f>
        <x:v>OK</x:v>
      </x:c>
      <x:c r="D314" s="2" t="str">
        <x:f>IF(COUNTA('03_payments_raw'!A68:E68)&gt;0,IF(OR(LEN('03_payments_raw'!A68&amp;"")=0,LEN('03_payments_raw'!B68&amp;"")=0,LEN('03_payments_raw'!C68&amp;"")=0,LEN('03_payments_raw'!D68&amp;"")=0,LEN('03_payments_raw'!E68&amp;"")=0),"ERROR","OK"),"")</x:f>
        <x:v>OK</x:v>
      </x:c>
      <x:c r="E314" s="2" t="str">
        <x:f>IF(COUNTA('03_payments_raw'!A68:E68)&gt;0,IF(LEN('03_payments_raw'!B68&amp;"")=0,"SKIP",IF(COUNTIF('01_orders_raw'!$A$2:$A$181,'03_payments_raw'!B68)&lt;&gt;1,"ERROR","OK")),"")</x:f>
        <x:v>OK</x:v>
      </x:c>
      <x:c r="F314" s="2" t="str">
        <x:f>IF(COUNTA('03_payments_raw'!A68:E68)&gt;0,IF(OR(COUNTIF('01_orders_raw'!$A$2:$A$181,'03_payments_raw'!B68)&lt;&gt;1,LEN('03_payments_raw'!D68&amp;"")=0),"SKIP",IF(OR(NOT(ISNUMBER('03_payments_raw'!D68)),'03_payments_raw'!D68&lt;0,'03_payments_raw'!D68&gt;INDEX('01_orders_raw'!$I$2:$I$181,MATCH('03_payments_raw'!B68,'01_orders_raw'!$A$2:$A$181,0))+'09_parameters'!$B$3),"ERROR","OK")),"")</x:f>
        <x:v>OK</x:v>
      </x:c>
      <x:c r="G314" s="2" t="str">
        <x:f>IF(COUNTA('03_payments_raw'!A68:E68)&gt;0,"N/A","")</x:f>
        <x:v>N/A</x:v>
      </x:c>
      <x:c r="H314" s="2" t="str">
        <x:f>IF(COUNTA('03_payments_raw'!A68:E68)&gt;0,IF(LEN('03_payments_raw'!C68&amp;"")=0,"SKIP",IF(IF(OR(NOT(ISNUMBER('03_payments_raw'!C68)),'03_payments_raw'!C68&lt;=0,'03_payments_raw'!C68&gt;'09_parameters'!$B$2),"ERROR","OK")="ERROR","ERROR",IF(COUNTIF('01_orders_raw'!$A$2:$A$181,'03_payments_raw'!B68)&lt;&gt;1,"SKIP",IF('03_payments_raw'!C68&lt;INDEX('01_orders_raw'!$B$2:$B$181,MATCH('03_payments_raw'!B68,'01_orders_raw'!$A$2:$A$181,0)),"ERROR","OK")))),"")</x:f>
        <x:v>OK</x:v>
      </x:c>
      <x:c r="I314" s="2" t="str">
        <x:f>IF(COUNTA('03_payments_raw'!A68:E68)&gt;0,IF(LEN('03_payments_raw'!E68&amp;"")=0,"SKIP",IF(AND('03_payments_raw'!E68&lt;&gt;"Оплачено",'03_payments_raw'!E68&lt;&gt;"Частично оплачено",'03_payments_raw'!E68&lt;&gt;"Не оплачено"),"ERROR","OK")),"")</x:f>
        <x:v>OK</x:v>
      </x:c>
      <x:c r="J314" s="2" t="n">
        <x:f>COUNTIF(C314:I314,"ERROR")</x:f>
        <x:v>0</x:v>
      </x:c>
      <x:c r="K314" s="2" t="n">
        <x:f>IF(COUNTA('03_payments_raw'!A68:E68)&gt;0,68,"")</x:f>
        <x:v>68</x:v>
      </x:c>
    </x:row>
    <x:row r="315">
      <x:c r="A315" s="2" t="str">
        <x:f>IF(COUNTA('03_payments_raw'!A69:E69)&gt;0,"Payment","")</x:f>
        <x:v>Payment</x:v>
      </x:c>
      <x:c r="B315" s="2" t="str">
        <x:f>IF(COUNTA('03_payments_raw'!A69:E69)&gt;0,'03_payments_raw'!A69,"")</x:f>
        <x:v>P068</x:v>
      </x:c>
      <x:c r="C315" s="2" t="str">
        <x:f>IF(COUNTA('03_payments_raw'!A69:E69)&gt;0,IF(AND(LEN('03_payments_raw'!A69&amp;"")&gt;0,COUNTIF('03_payments_raw'!$A$2:$A$141,'03_payments_raw'!A69)&gt;1),"ERROR","OK"),"")</x:f>
        <x:v>OK</x:v>
      </x:c>
      <x:c r="D315" s="2" t="str">
        <x:f>IF(COUNTA('03_payments_raw'!A69:E69)&gt;0,IF(OR(LEN('03_payments_raw'!A69&amp;"")=0,LEN('03_payments_raw'!B69&amp;"")=0,LEN('03_payments_raw'!C69&amp;"")=0,LEN('03_payments_raw'!D69&amp;"")=0,LEN('03_payments_raw'!E69&amp;"")=0),"ERROR","OK"),"")</x:f>
        <x:v>OK</x:v>
      </x:c>
      <x:c r="E315" s="2" t="str">
        <x:f>IF(COUNTA('03_payments_raw'!A69:E69)&gt;0,IF(LEN('03_payments_raw'!B69&amp;"")=0,"SKIP",IF(COUNTIF('01_orders_raw'!$A$2:$A$181,'03_payments_raw'!B69)&lt;&gt;1,"ERROR","OK")),"")</x:f>
        <x:v>OK</x:v>
      </x:c>
      <x:c r="F315" s="2" t="str">
        <x:f>IF(COUNTA('03_payments_raw'!A69:E69)&gt;0,IF(OR(COUNTIF('01_orders_raw'!$A$2:$A$181,'03_payments_raw'!B69)&lt;&gt;1,LEN('03_payments_raw'!D69&amp;"")=0),"SKIP",IF(OR(NOT(ISNUMBER('03_payments_raw'!D69)),'03_payments_raw'!D69&lt;0,'03_payments_raw'!D69&gt;INDEX('01_orders_raw'!$I$2:$I$181,MATCH('03_payments_raw'!B69,'01_orders_raw'!$A$2:$A$181,0))+'09_parameters'!$B$3),"ERROR","OK")),"")</x:f>
        <x:v>OK</x:v>
      </x:c>
      <x:c r="G315" s="2" t="str">
        <x:f>IF(COUNTA('03_payments_raw'!A69:E69)&gt;0,"N/A","")</x:f>
        <x:v>N/A</x:v>
      </x:c>
      <x:c r="H315" s="2" t="str">
        <x:f>IF(COUNTA('03_payments_raw'!A69:E69)&gt;0,IF(LEN('03_payments_raw'!C69&amp;"")=0,"SKIP",IF(IF(OR(NOT(ISNUMBER('03_payments_raw'!C69)),'03_payments_raw'!C69&lt;=0,'03_payments_raw'!C69&gt;'09_parameters'!$B$2),"ERROR","OK")="ERROR","ERROR",IF(COUNTIF('01_orders_raw'!$A$2:$A$181,'03_payments_raw'!B69)&lt;&gt;1,"SKIP",IF('03_payments_raw'!C69&lt;INDEX('01_orders_raw'!$B$2:$B$181,MATCH('03_payments_raw'!B69,'01_orders_raw'!$A$2:$A$181,0)),"ERROR","OK")))),"")</x:f>
        <x:v>OK</x:v>
      </x:c>
      <x:c r="I315" s="2" t="str">
        <x:f>IF(COUNTA('03_payments_raw'!A69:E69)&gt;0,IF(LEN('03_payments_raw'!E69&amp;"")=0,"SKIP",IF(AND('03_payments_raw'!E69&lt;&gt;"Оплачено",'03_payments_raw'!E69&lt;&gt;"Частично оплачено",'03_payments_raw'!E69&lt;&gt;"Не оплачено"),"ERROR","OK")),"")</x:f>
        <x:v>OK</x:v>
      </x:c>
      <x:c r="J315" s="2" t="n">
        <x:f>COUNTIF(C315:I315,"ERROR")</x:f>
        <x:v>0</x:v>
      </x:c>
      <x:c r="K315" s="2" t="n">
        <x:f>IF(COUNTA('03_payments_raw'!A69:E69)&gt;0,69,"")</x:f>
        <x:v>69</x:v>
      </x:c>
    </x:row>
    <x:row r="316">
      <x:c r="A316" s="2" t="str">
        <x:f>IF(COUNTA('03_payments_raw'!A70:E70)&gt;0,"Payment","")</x:f>
        <x:v>Payment</x:v>
      </x:c>
      <x:c r="B316" s="2" t="str">
        <x:f>IF(COUNTA('03_payments_raw'!A70:E70)&gt;0,'03_payments_raw'!A70,"")</x:f>
        <x:v>P069</x:v>
      </x:c>
      <x:c r="C316" s="2" t="str">
        <x:f>IF(COUNTA('03_payments_raw'!A70:E70)&gt;0,IF(AND(LEN('03_payments_raw'!A70&amp;"")&gt;0,COUNTIF('03_payments_raw'!$A$2:$A$141,'03_payments_raw'!A70)&gt;1),"ERROR","OK"),"")</x:f>
        <x:v>OK</x:v>
      </x:c>
      <x:c r="D316" s="2" t="str">
        <x:f>IF(COUNTA('03_payments_raw'!A70:E70)&gt;0,IF(OR(LEN('03_payments_raw'!A70&amp;"")=0,LEN('03_payments_raw'!B70&amp;"")=0,LEN('03_payments_raw'!C70&amp;"")=0,LEN('03_payments_raw'!D70&amp;"")=0,LEN('03_payments_raw'!E70&amp;"")=0),"ERROR","OK"),"")</x:f>
        <x:v>OK</x:v>
      </x:c>
      <x:c r="E316" s="2" t="str">
        <x:f>IF(COUNTA('03_payments_raw'!A70:E70)&gt;0,IF(LEN('03_payments_raw'!B70&amp;"")=0,"SKIP",IF(COUNTIF('01_orders_raw'!$A$2:$A$181,'03_payments_raw'!B70)&lt;&gt;1,"ERROR","OK")),"")</x:f>
        <x:v>OK</x:v>
      </x:c>
      <x:c r="F316" s="2" t="str">
        <x:f>IF(COUNTA('03_payments_raw'!A70:E70)&gt;0,IF(OR(COUNTIF('01_orders_raw'!$A$2:$A$181,'03_payments_raw'!B70)&lt;&gt;1,LEN('03_payments_raw'!D70&amp;"")=0),"SKIP",IF(OR(NOT(ISNUMBER('03_payments_raw'!D70)),'03_payments_raw'!D70&lt;0,'03_payments_raw'!D70&gt;INDEX('01_orders_raw'!$I$2:$I$181,MATCH('03_payments_raw'!B70,'01_orders_raw'!$A$2:$A$181,0))+'09_parameters'!$B$3),"ERROR","OK")),"")</x:f>
        <x:v>OK</x:v>
      </x:c>
      <x:c r="G316" s="2" t="str">
        <x:f>IF(COUNTA('03_payments_raw'!A70:E70)&gt;0,"N/A","")</x:f>
        <x:v>N/A</x:v>
      </x:c>
      <x:c r="H316" s="2" t="str">
        <x:f>IF(COUNTA('03_payments_raw'!A70:E70)&gt;0,IF(LEN('03_payments_raw'!C70&amp;"")=0,"SKIP",IF(IF(OR(NOT(ISNUMBER('03_payments_raw'!C70)),'03_payments_raw'!C70&lt;=0,'03_payments_raw'!C70&gt;'09_parameters'!$B$2),"ERROR","OK")="ERROR","ERROR",IF(COUNTIF('01_orders_raw'!$A$2:$A$181,'03_payments_raw'!B70)&lt;&gt;1,"SKIP",IF('03_payments_raw'!C70&lt;INDEX('01_orders_raw'!$B$2:$B$181,MATCH('03_payments_raw'!B70,'01_orders_raw'!$A$2:$A$181,0)),"ERROR","OK")))),"")</x:f>
        <x:v>OK</x:v>
      </x:c>
      <x:c r="I316" s="2" t="str">
        <x:f>IF(COUNTA('03_payments_raw'!A70:E70)&gt;0,IF(LEN('03_payments_raw'!E70&amp;"")=0,"SKIP",IF(AND('03_payments_raw'!E70&lt;&gt;"Оплачено",'03_payments_raw'!E70&lt;&gt;"Частично оплачено",'03_payments_raw'!E70&lt;&gt;"Не оплачено"),"ERROR","OK")),"")</x:f>
        <x:v>OK</x:v>
      </x:c>
      <x:c r="J316" s="2" t="n">
        <x:f>COUNTIF(C316:I316,"ERROR")</x:f>
        <x:v>0</x:v>
      </x:c>
      <x:c r="K316" s="2" t="n">
        <x:f>IF(COUNTA('03_payments_raw'!A70:E70)&gt;0,70,"")</x:f>
        <x:v>70</x:v>
      </x:c>
    </x:row>
    <x:row r="317">
      <x:c r="A317" s="2" t="str">
        <x:f>IF(COUNTA('03_payments_raw'!A71:E71)&gt;0,"Payment","")</x:f>
        <x:v>Payment</x:v>
      </x:c>
      <x:c r="B317" s="2" t="str">
        <x:f>IF(COUNTA('03_payments_raw'!A71:E71)&gt;0,'03_payments_raw'!A71,"")</x:f>
        <x:v>P070</x:v>
      </x:c>
      <x:c r="C317" s="2" t="str">
        <x:f>IF(COUNTA('03_payments_raw'!A71:E71)&gt;0,IF(AND(LEN('03_payments_raw'!A71&amp;"")&gt;0,COUNTIF('03_payments_raw'!$A$2:$A$141,'03_payments_raw'!A71)&gt;1),"ERROR","OK"),"")</x:f>
        <x:v>OK</x:v>
      </x:c>
      <x:c r="D317" s="2" t="str">
        <x:f>IF(COUNTA('03_payments_raw'!A71:E71)&gt;0,IF(OR(LEN('03_payments_raw'!A71&amp;"")=0,LEN('03_payments_raw'!B71&amp;"")=0,LEN('03_payments_raw'!C71&amp;"")=0,LEN('03_payments_raw'!D71&amp;"")=0,LEN('03_payments_raw'!E71&amp;"")=0),"ERROR","OK"),"")</x:f>
        <x:v>OK</x:v>
      </x:c>
      <x:c r="E317" s="2" t="str">
        <x:f>IF(COUNTA('03_payments_raw'!A71:E71)&gt;0,IF(LEN('03_payments_raw'!B71&amp;"")=0,"SKIP",IF(COUNTIF('01_orders_raw'!$A$2:$A$181,'03_payments_raw'!B71)&lt;&gt;1,"ERROR","OK")),"")</x:f>
        <x:v>OK</x:v>
      </x:c>
      <x:c r="F317" s="2" t="str">
        <x:f>IF(COUNTA('03_payments_raw'!A71:E71)&gt;0,IF(OR(COUNTIF('01_orders_raw'!$A$2:$A$181,'03_payments_raw'!B71)&lt;&gt;1,LEN('03_payments_raw'!D71&amp;"")=0),"SKIP",IF(OR(NOT(ISNUMBER('03_payments_raw'!D71)),'03_payments_raw'!D71&lt;0,'03_payments_raw'!D71&gt;INDEX('01_orders_raw'!$I$2:$I$181,MATCH('03_payments_raw'!B71,'01_orders_raw'!$A$2:$A$181,0))+'09_parameters'!$B$3),"ERROR","OK")),"")</x:f>
        <x:v>OK</x:v>
      </x:c>
      <x:c r="G317" s="2" t="str">
        <x:f>IF(COUNTA('03_payments_raw'!A71:E71)&gt;0,"N/A","")</x:f>
        <x:v>N/A</x:v>
      </x:c>
      <x:c r="H317" s="2" t="str">
        <x:f>IF(COUNTA('03_payments_raw'!A71:E71)&gt;0,IF(LEN('03_payments_raw'!C71&amp;"")=0,"SKIP",IF(IF(OR(NOT(ISNUMBER('03_payments_raw'!C71)),'03_payments_raw'!C71&lt;=0,'03_payments_raw'!C71&gt;'09_parameters'!$B$2),"ERROR","OK")="ERROR","ERROR",IF(COUNTIF('01_orders_raw'!$A$2:$A$181,'03_payments_raw'!B71)&lt;&gt;1,"SKIP",IF('03_payments_raw'!C71&lt;INDEX('01_orders_raw'!$B$2:$B$181,MATCH('03_payments_raw'!B71,'01_orders_raw'!$A$2:$A$181,0)),"ERROR","OK")))),"")</x:f>
        <x:v>OK</x:v>
      </x:c>
      <x:c r="I317" s="2" t="str">
        <x:f>IF(COUNTA('03_payments_raw'!A71:E71)&gt;0,IF(LEN('03_payments_raw'!E71&amp;"")=0,"SKIP",IF(AND('03_payments_raw'!E71&lt;&gt;"Оплачено",'03_payments_raw'!E71&lt;&gt;"Частично оплачено",'03_payments_raw'!E71&lt;&gt;"Не оплачено"),"ERROR","OK")),"")</x:f>
        <x:v>OK</x:v>
      </x:c>
      <x:c r="J317" s="2" t="n">
        <x:f>COUNTIF(C317:I317,"ERROR")</x:f>
        <x:v>0</x:v>
      </x:c>
      <x:c r="K317" s="2" t="n">
        <x:f>IF(COUNTA('03_payments_raw'!A71:E71)&gt;0,71,"")</x:f>
        <x:v>71</x:v>
      </x:c>
    </x:row>
    <x:row r="318">
      <x:c r="A318" s="2" t="str">
        <x:f>IF(COUNTA('03_payments_raw'!A72:E72)&gt;0,"Payment","")</x:f>
        <x:v>Payment</x:v>
      </x:c>
      <x:c r="B318" s="2" t="str">
        <x:f>IF(COUNTA('03_payments_raw'!A72:E72)&gt;0,'03_payments_raw'!A72,"")</x:f>
        <x:v>P071</x:v>
      </x:c>
      <x:c r="C318" s="2" t="str">
        <x:f>IF(COUNTA('03_payments_raw'!A72:E72)&gt;0,IF(AND(LEN('03_payments_raw'!A72&amp;"")&gt;0,COUNTIF('03_payments_raw'!$A$2:$A$141,'03_payments_raw'!A72)&gt;1),"ERROR","OK"),"")</x:f>
        <x:v>OK</x:v>
      </x:c>
      <x:c r="D318" s="2" t="str">
        <x:f>IF(COUNTA('03_payments_raw'!A72:E72)&gt;0,IF(OR(LEN('03_payments_raw'!A72&amp;"")=0,LEN('03_payments_raw'!B72&amp;"")=0,LEN('03_payments_raw'!C72&amp;"")=0,LEN('03_payments_raw'!D72&amp;"")=0,LEN('03_payments_raw'!E72&amp;"")=0),"ERROR","OK"),"")</x:f>
        <x:v>OK</x:v>
      </x:c>
      <x:c r="E318" s="2" t="str">
        <x:f>IF(COUNTA('03_payments_raw'!A72:E72)&gt;0,IF(LEN('03_payments_raw'!B72&amp;"")=0,"SKIP",IF(COUNTIF('01_orders_raw'!$A$2:$A$181,'03_payments_raw'!B72)&lt;&gt;1,"ERROR","OK")),"")</x:f>
        <x:v>OK</x:v>
      </x:c>
      <x:c r="F318" s="2" t="str">
        <x:f>IF(COUNTA('03_payments_raw'!A72:E72)&gt;0,IF(OR(COUNTIF('01_orders_raw'!$A$2:$A$181,'03_payments_raw'!B72)&lt;&gt;1,LEN('03_payments_raw'!D72&amp;"")=0),"SKIP",IF(OR(NOT(ISNUMBER('03_payments_raw'!D72)),'03_payments_raw'!D72&lt;0,'03_payments_raw'!D72&gt;INDEX('01_orders_raw'!$I$2:$I$181,MATCH('03_payments_raw'!B72,'01_orders_raw'!$A$2:$A$181,0))+'09_parameters'!$B$3),"ERROR","OK")),"")</x:f>
        <x:v>OK</x:v>
      </x:c>
      <x:c r="G318" s="2" t="str">
        <x:f>IF(COUNTA('03_payments_raw'!A72:E72)&gt;0,"N/A","")</x:f>
        <x:v>N/A</x:v>
      </x:c>
      <x:c r="H318" s="2" t="str">
        <x:f>IF(COUNTA('03_payments_raw'!A72:E72)&gt;0,IF(LEN('03_payments_raw'!C72&amp;"")=0,"SKIP",IF(IF(OR(NOT(ISNUMBER('03_payments_raw'!C72)),'03_payments_raw'!C72&lt;=0,'03_payments_raw'!C72&gt;'09_parameters'!$B$2),"ERROR","OK")="ERROR","ERROR",IF(COUNTIF('01_orders_raw'!$A$2:$A$181,'03_payments_raw'!B72)&lt;&gt;1,"SKIP",IF('03_payments_raw'!C72&lt;INDEX('01_orders_raw'!$B$2:$B$181,MATCH('03_payments_raw'!B72,'01_orders_raw'!$A$2:$A$181,0)),"ERROR","OK")))),"")</x:f>
        <x:v>OK</x:v>
      </x:c>
      <x:c r="I318" s="2" t="str">
        <x:f>IF(COUNTA('03_payments_raw'!A72:E72)&gt;0,IF(LEN('03_payments_raw'!E72&amp;"")=0,"SKIP",IF(AND('03_payments_raw'!E72&lt;&gt;"Оплачено",'03_payments_raw'!E72&lt;&gt;"Частично оплачено",'03_payments_raw'!E72&lt;&gt;"Не оплачено"),"ERROR","OK")),"")</x:f>
        <x:v>OK</x:v>
      </x:c>
      <x:c r="J318" s="2" t="n">
        <x:f>COUNTIF(C318:I318,"ERROR")</x:f>
        <x:v>0</x:v>
      </x:c>
      <x:c r="K318" s="2" t="n">
        <x:f>IF(COUNTA('03_payments_raw'!A72:E72)&gt;0,72,"")</x:f>
        <x:v>72</x:v>
      </x:c>
    </x:row>
    <x:row r="319">
      <x:c r="A319" s="2" t="str">
        <x:f>IF(COUNTA('03_payments_raw'!A73:E73)&gt;0,"Payment","")</x:f>
        <x:v>Payment</x:v>
      </x:c>
      <x:c r="B319" s="2" t="str">
        <x:f>IF(COUNTA('03_payments_raw'!A73:E73)&gt;0,'03_payments_raw'!A73,"")</x:f>
        <x:v>P072</x:v>
      </x:c>
      <x:c r="C319" s="2" t="str">
        <x:f>IF(COUNTA('03_payments_raw'!A73:E73)&gt;0,IF(AND(LEN('03_payments_raw'!A73&amp;"")&gt;0,COUNTIF('03_payments_raw'!$A$2:$A$141,'03_payments_raw'!A73)&gt;1),"ERROR","OK"),"")</x:f>
        <x:v>OK</x:v>
      </x:c>
      <x:c r="D319" s="2" t="str">
        <x:f>IF(COUNTA('03_payments_raw'!A73:E73)&gt;0,IF(OR(LEN('03_payments_raw'!A73&amp;"")=0,LEN('03_payments_raw'!B73&amp;"")=0,LEN('03_payments_raw'!C73&amp;"")=0,LEN('03_payments_raw'!D73&amp;"")=0,LEN('03_payments_raw'!E73&amp;"")=0),"ERROR","OK"),"")</x:f>
        <x:v>OK</x:v>
      </x:c>
      <x:c r="E319" s="2" t="str">
        <x:f>IF(COUNTA('03_payments_raw'!A73:E73)&gt;0,IF(LEN('03_payments_raw'!B73&amp;"")=0,"SKIP",IF(COUNTIF('01_orders_raw'!$A$2:$A$181,'03_payments_raw'!B73)&lt;&gt;1,"ERROR","OK")),"")</x:f>
        <x:v>OK</x:v>
      </x:c>
      <x:c r="F319" s="2" t="str">
        <x:f>IF(COUNTA('03_payments_raw'!A73:E73)&gt;0,IF(OR(COUNTIF('01_orders_raw'!$A$2:$A$181,'03_payments_raw'!B73)&lt;&gt;1,LEN('03_payments_raw'!D73&amp;"")=0),"SKIP",IF(OR(NOT(ISNUMBER('03_payments_raw'!D73)),'03_payments_raw'!D73&lt;0,'03_payments_raw'!D73&gt;INDEX('01_orders_raw'!$I$2:$I$181,MATCH('03_payments_raw'!B73,'01_orders_raw'!$A$2:$A$181,0))+'09_parameters'!$B$3),"ERROR","OK")),"")</x:f>
        <x:v>OK</x:v>
      </x:c>
      <x:c r="G319" s="2" t="str">
        <x:f>IF(COUNTA('03_payments_raw'!A73:E73)&gt;0,"N/A","")</x:f>
        <x:v>N/A</x:v>
      </x:c>
      <x:c r="H319" s="2" t="str">
        <x:f>IF(COUNTA('03_payments_raw'!A73:E73)&gt;0,IF(LEN('03_payments_raw'!C73&amp;"")=0,"SKIP",IF(IF(OR(NOT(ISNUMBER('03_payments_raw'!C73)),'03_payments_raw'!C73&lt;=0,'03_payments_raw'!C73&gt;'09_parameters'!$B$2),"ERROR","OK")="ERROR","ERROR",IF(COUNTIF('01_orders_raw'!$A$2:$A$181,'03_payments_raw'!B73)&lt;&gt;1,"SKIP",IF('03_payments_raw'!C73&lt;INDEX('01_orders_raw'!$B$2:$B$181,MATCH('03_payments_raw'!B73,'01_orders_raw'!$A$2:$A$181,0)),"ERROR","OK")))),"")</x:f>
        <x:v>OK</x:v>
      </x:c>
      <x:c r="I319" s="2" t="str">
        <x:f>IF(COUNTA('03_payments_raw'!A73:E73)&gt;0,IF(LEN('03_payments_raw'!E73&amp;"")=0,"SKIP",IF(AND('03_payments_raw'!E73&lt;&gt;"Оплачено",'03_payments_raw'!E73&lt;&gt;"Частично оплачено",'03_payments_raw'!E73&lt;&gt;"Не оплачено"),"ERROR","OK")),"")</x:f>
        <x:v>OK</x:v>
      </x:c>
      <x:c r="J319" s="2" t="n">
        <x:f>COUNTIF(C319:I319,"ERROR")</x:f>
        <x:v>0</x:v>
      </x:c>
      <x:c r="K319" s="2" t="n">
        <x:f>IF(COUNTA('03_payments_raw'!A73:E73)&gt;0,73,"")</x:f>
        <x:v>73</x:v>
      </x:c>
    </x:row>
    <x:row r="320">
      <x:c r="A320" s="2" t="str">
        <x:f>IF(COUNTA('03_payments_raw'!A74:E74)&gt;0,"Payment","")</x:f>
        <x:v>Payment</x:v>
      </x:c>
      <x:c r="B320" s="2" t="str">
        <x:f>IF(COUNTA('03_payments_raw'!A74:E74)&gt;0,'03_payments_raw'!A74,"")</x:f>
        <x:v>P073</x:v>
      </x:c>
      <x:c r="C320" s="2" t="str">
        <x:f>IF(COUNTA('03_payments_raw'!A74:E74)&gt;0,IF(AND(LEN('03_payments_raw'!A74&amp;"")&gt;0,COUNTIF('03_payments_raw'!$A$2:$A$141,'03_payments_raw'!A74)&gt;1),"ERROR","OK"),"")</x:f>
        <x:v>OK</x:v>
      </x:c>
      <x:c r="D320" s="2" t="str">
        <x:f>IF(COUNTA('03_payments_raw'!A74:E74)&gt;0,IF(OR(LEN('03_payments_raw'!A74&amp;"")=0,LEN('03_payments_raw'!B74&amp;"")=0,LEN('03_payments_raw'!C74&amp;"")=0,LEN('03_payments_raw'!D74&amp;"")=0,LEN('03_payments_raw'!E74&amp;"")=0),"ERROR","OK"),"")</x:f>
        <x:v>OK</x:v>
      </x:c>
      <x:c r="E320" s="2" t="str">
        <x:f>IF(COUNTA('03_payments_raw'!A74:E74)&gt;0,IF(LEN('03_payments_raw'!B74&amp;"")=0,"SKIP",IF(COUNTIF('01_orders_raw'!$A$2:$A$181,'03_payments_raw'!B74)&lt;&gt;1,"ERROR","OK")),"")</x:f>
        <x:v>OK</x:v>
      </x:c>
      <x:c r="F320" s="2" t="str">
        <x:f>IF(COUNTA('03_payments_raw'!A74:E74)&gt;0,IF(OR(COUNTIF('01_orders_raw'!$A$2:$A$181,'03_payments_raw'!B74)&lt;&gt;1,LEN('03_payments_raw'!D74&amp;"")=0),"SKIP",IF(OR(NOT(ISNUMBER('03_payments_raw'!D74)),'03_payments_raw'!D74&lt;0,'03_payments_raw'!D74&gt;INDEX('01_orders_raw'!$I$2:$I$181,MATCH('03_payments_raw'!B74,'01_orders_raw'!$A$2:$A$181,0))+'09_parameters'!$B$3),"ERROR","OK")),"")</x:f>
        <x:v>OK</x:v>
      </x:c>
      <x:c r="G320" s="2" t="str">
        <x:f>IF(COUNTA('03_payments_raw'!A74:E74)&gt;0,"N/A","")</x:f>
        <x:v>N/A</x:v>
      </x:c>
      <x:c r="H320" s="2" t="str">
        <x:f>IF(COUNTA('03_payments_raw'!A74:E74)&gt;0,IF(LEN('03_payments_raw'!C74&amp;"")=0,"SKIP",IF(IF(OR(NOT(ISNUMBER('03_payments_raw'!C74)),'03_payments_raw'!C74&lt;=0,'03_payments_raw'!C74&gt;'09_parameters'!$B$2),"ERROR","OK")="ERROR","ERROR",IF(COUNTIF('01_orders_raw'!$A$2:$A$181,'03_payments_raw'!B74)&lt;&gt;1,"SKIP",IF('03_payments_raw'!C74&lt;INDEX('01_orders_raw'!$B$2:$B$181,MATCH('03_payments_raw'!B74,'01_orders_raw'!$A$2:$A$181,0)),"ERROR","OK")))),"")</x:f>
        <x:v>OK</x:v>
      </x:c>
      <x:c r="I320" s="2" t="str">
        <x:f>IF(COUNTA('03_payments_raw'!A74:E74)&gt;0,IF(LEN('03_payments_raw'!E74&amp;"")=0,"SKIP",IF(AND('03_payments_raw'!E74&lt;&gt;"Оплачено",'03_payments_raw'!E74&lt;&gt;"Частично оплачено",'03_payments_raw'!E74&lt;&gt;"Не оплачено"),"ERROR","OK")),"")</x:f>
        <x:v>OK</x:v>
      </x:c>
      <x:c r="J320" s="2" t="n">
        <x:f>COUNTIF(C320:I320,"ERROR")</x:f>
        <x:v>0</x:v>
      </x:c>
      <x:c r="K320" s="2" t="n">
        <x:f>IF(COUNTA('03_payments_raw'!A74:E74)&gt;0,74,"")</x:f>
        <x:v>74</x:v>
      </x:c>
    </x:row>
    <x:row r="321">
      <x:c r="A321" s="2" t="str">
        <x:f>IF(COUNTA('03_payments_raw'!A75:E75)&gt;0,"Payment","")</x:f>
        <x:v>Payment</x:v>
      </x:c>
      <x:c r="B321" s="2" t="str">
        <x:f>IF(COUNTA('03_payments_raw'!A75:E75)&gt;0,'03_payments_raw'!A75,"")</x:f>
        <x:v>P074</x:v>
      </x:c>
      <x:c r="C321" s="2" t="str">
        <x:f>IF(COUNTA('03_payments_raw'!A75:E75)&gt;0,IF(AND(LEN('03_payments_raw'!A75&amp;"")&gt;0,COUNTIF('03_payments_raw'!$A$2:$A$141,'03_payments_raw'!A75)&gt;1),"ERROR","OK"),"")</x:f>
        <x:v>OK</x:v>
      </x:c>
      <x:c r="D321" s="2" t="str">
        <x:f>IF(COUNTA('03_payments_raw'!A75:E75)&gt;0,IF(OR(LEN('03_payments_raw'!A75&amp;"")=0,LEN('03_payments_raw'!B75&amp;"")=0,LEN('03_payments_raw'!C75&amp;"")=0,LEN('03_payments_raw'!D75&amp;"")=0,LEN('03_payments_raw'!E75&amp;"")=0),"ERROR","OK"),"")</x:f>
        <x:v>OK</x:v>
      </x:c>
      <x:c r="E321" s="2" t="str">
        <x:f>IF(COUNTA('03_payments_raw'!A75:E75)&gt;0,IF(LEN('03_payments_raw'!B75&amp;"")=0,"SKIP",IF(COUNTIF('01_orders_raw'!$A$2:$A$181,'03_payments_raw'!B75)&lt;&gt;1,"ERROR","OK")),"")</x:f>
        <x:v>OK</x:v>
      </x:c>
      <x:c r="F321" s="2" t="str">
        <x:f>IF(COUNTA('03_payments_raw'!A75:E75)&gt;0,IF(OR(COUNTIF('01_orders_raw'!$A$2:$A$181,'03_payments_raw'!B75)&lt;&gt;1,LEN('03_payments_raw'!D75&amp;"")=0),"SKIP",IF(OR(NOT(ISNUMBER('03_payments_raw'!D75)),'03_payments_raw'!D75&lt;0,'03_payments_raw'!D75&gt;INDEX('01_orders_raw'!$I$2:$I$181,MATCH('03_payments_raw'!B75,'01_orders_raw'!$A$2:$A$181,0))+'09_parameters'!$B$3),"ERROR","OK")),"")</x:f>
        <x:v>OK</x:v>
      </x:c>
      <x:c r="G321" s="2" t="str">
        <x:f>IF(COUNTA('03_payments_raw'!A75:E75)&gt;0,"N/A","")</x:f>
        <x:v>N/A</x:v>
      </x:c>
      <x:c r="H321" s="2" t="str">
        <x:f>IF(COUNTA('03_payments_raw'!A75:E75)&gt;0,IF(LEN('03_payments_raw'!C75&amp;"")=0,"SKIP",IF(IF(OR(NOT(ISNUMBER('03_payments_raw'!C75)),'03_payments_raw'!C75&lt;=0,'03_payments_raw'!C75&gt;'09_parameters'!$B$2),"ERROR","OK")="ERROR","ERROR",IF(COUNTIF('01_orders_raw'!$A$2:$A$181,'03_payments_raw'!B75)&lt;&gt;1,"SKIP",IF('03_payments_raw'!C75&lt;INDEX('01_orders_raw'!$B$2:$B$181,MATCH('03_payments_raw'!B75,'01_orders_raw'!$A$2:$A$181,0)),"ERROR","OK")))),"")</x:f>
        <x:v>OK</x:v>
      </x:c>
      <x:c r="I321" s="2" t="str">
        <x:f>IF(COUNTA('03_payments_raw'!A75:E75)&gt;0,IF(LEN('03_payments_raw'!E75&amp;"")=0,"SKIP",IF(AND('03_payments_raw'!E75&lt;&gt;"Оплачено",'03_payments_raw'!E75&lt;&gt;"Частично оплачено",'03_payments_raw'!E75&lt;&gt;"Не оплачено"),"ERROR","OK")),"")</x:f>
        <x:v>OK</x:v>
      </x:c>
      <x:c r="J321" s="2" t="n">
        <x:f>COUNTIF(C321:I321,"ERROR")</x:f>
        <x:v>0</x:v>
      </x:c>
      <x:c r="K321" s="2" t="n">
        <x:f>IF(COUNTA('03_payments_raw'!A75:E75)&gt;0,75,"")</x:f>
        <x:v>75</x:v>
      </x:c>
    </x:row>
    <x:row r="322">
      <x:c r="A322" s="2" t="str">
        <x:f>IF(COUNTA('03_payments_raw'!A76:E76)&gt;0,"Payment","")</x:f>
        <x:v>Payment</x:v>
      </x:c>
      <x:c r="B322" s="2" t="str">
        <x:f>IF(COUNTA('03_payments_raw'!A76:E76)&gt;0,'03_payments_raw'!A76,"")</x:f>
        <x:v>P075</x:v>
      </x:c>
      <x:c r="C322" s="2" t="str">
        <x:f>IF(COUNTA('03_payments_raw'!A76:E76)&gt;0,IF(AND(LEN('03_payments_raw'!A76&amp;"")&gt;0,COUNTIF('03_payments_raw'!$A$2:$A$141,'03_payments_raw'!A76)&gt;1),"ERROR","OK"),"")</x:f>
        <x:v>OK</x:v>
      </x:c>
      <x:c r="D322" s="2" t="str">
        <x:f>IF(COUNTA('03_payments_raw'!A76:E76)&gt;0,IF(OR(LEN('03_payments_raw'!A76&amp;"")=0,LEN('03_payments_raw'!B76&amp;"")=0,LEN('03_payments_raw'!C76&amp;"")=0,LEN('03_payments_raw'!D76&amp;"")=0,LEN('03_payments_raw'!E76&amp;"")=0),"ERROR","OK"),"")</x:f>
        <x:v>OK</x:v>
      </x:c>
      <x:c r="E322" s="2" t="str">
        <x:f>IF(COUNTA('03_payments_raw'!A76:E76)&gt;0,IF(LEN('03_payments_raw'!B76&amp;"")=0,"SKIP",IF(COUNTIF('01_orders_raw'!$A$2:$A$181,'03_payments_raw'!B76)&lt;&gt;1,"ERROR","OK")),"")</x:f>
        <x:v>OK</x:v>
      </x:c>
      <x:c r="F322" s="2" t="str">
        <x:f>IF(COUNTA('03_payments_raw'!A76:E76)&gt;0,IF(OR(COUNTIF('01_orders_raw'!$A$2:$A$181,'03_payments_raw'!B76)&lt;&gt;1,LEN('03_payments_raw'!D76&amp;"")=0),"SKIP",IF(OR(NOT(ISNUMBER('03_payments_raw'!D76)),'03_payments_raw'!D76&lt;0,'03_payments_raw'!D76&gt;INDEX('01_orders_raw'!$I$2:$I$181,MATCH('03_payments_raw'!B76,'01_orders_raw'!$A$2:$A$181,0))+'09_parameters'!$B$3),"ERROR","OK")),"")</x:f>
        <x:v>OK</x:v>
      </x:c>
      <x:c r="G322" s="2" t="str">
        <x:f>IF(COUNTA('03_payments_raw'!A76:E76)&gt;0,"N/A","")</x:f>
        <x:v>N/A</x:v>
      </x:c>
      <x:c r="H322" s="2" t="str">
        <x:f>IF(COUNTA('03_payments_raw'!A76:E76)&gt;0,IF(LEN('03_payments_raw'!C76&amp;"")=0,"SKIP",IF(IF(OR(NOT(ISNUMBER('03_payments_raw'!C76)),'03_payments_raw'!C76&lt;=0,'03_payments_raw'!C76&gt;'09_parameters'!$B$2),"ERROR","OK")="ERROR","ERROR",IF(COUNTIF('01_orders_raw'!$A$2:$A$181,'03_payments_raw'!B76)&lt;&gt;1,"SKIP",IF('03_payments_raw'!C76&lt;INDEX('01_orders_raw'!$B$2:$B$181,MATCH('03_payments_raw'!B76,'01_orders_raw'!$A$2:$A$181,0)),"ERROR","OK")))),"")</x:f>
        <x:v>OK</x:v>
      </x:c>
      <x:c r="I322" s="2" t="str">
        <x:f>IF(COUNTA('03_payments_raw'!A76:E76)&gt;0,IF(LEN('03_payments_raw'!E76&amp;"")=0,"SKIP",IF(AND('03_payments_raw'!E76&lt;&gt;"Оплачено",'03_payments_raw'!E76&lt;&gt;"Частично оплачено",'03_payments_raw'!E76&lt;&gt;"Не оплачено"),"ERROR","OK")),"")</x:f>
        <x:v>OK</x:v>
      </x:c>
      <x:c r="J322" s="2" t="n">
        <x:f>COUNTIF(C322:I322,"ERROR")</x:f>
        <x:v>0</x:v>
      </x:c>
      <x:c r="K322" s="2" t="n">
        <x:f>IF(COUNTA('03_payments_raw'!A76:E76)&gt;0,76,"")</x:f>
        <x:v>76</x:v>
      </x:c>
    </x:row>
    <x:row r="323">
      <x:c r="A323" s="2" t="str">
        <x:f>IF(COUNTA('03_payments_raw'!A77:E77)&gt;0,"Payment","")</x:f>
        <x:v>Payment</x:v>
      </x:c>
      <x:c r="B323" s="2" t="str">
        <x:f>IF(COUNTA('03_payments_raw'!A77:E77)&gt;0,'03_payments_raw'!A77,"")</x:f>
        <x:v>P076</x:v>
      </x:c>
      <x:c r="C323" s="2" t="str">
        <x:f>IF(COUNTA('03_payments_raw'!A77:E77)&gt;0,IF(AND(LEN('03_payments_raw'!A77&amp;"")&gt;0,COUNTIF('03_payments_raw'!$A$2:$A$141,'03_payments_raw'!A77)&gt;1),"ERROR","OK"),"")</x:f>
        <x:v>OK</x:v>
      </x:c>
      <x:c r="D323" s="2" t="str">
        <x:f>IF(COUNTA('03_payments_raw'!A77:E77)&gt;0,IF(OR(LEN('03_payments_raw'!A77&amp;"")=0,LEN('03_payments_raw'!B77&amp;"")=0,LEN('03_payments_raw'!C77&amp;"")=0,LEN('03_payments_raw'!D77&amp;"")=0,LEN('03_payments_raw'!E77&amp;"")=0),"ERROR","OK"),"")</x:f>
        <x:v>OK</x:v>
      </x:c>
      <x:c r="E323" s="2" t="str">
        <x:f>IF(COUNTA('03_payments_raw'!A77:E77)&gt;0,IF(LEN('03_payments_raw'!B77&amp;"")=0,"SKIP",IF(COUNTIF('01_orders_raw'!$A$2:$A$181,'03_payments_raw'!B77)&lt;&gt;1,"ERROR","OK")),"")</x:f>
        <x:v>OK</x:v>
      </x:c>
      <x:c r="F323" s="2" t="str">
        <x:f>IF(COUNTA('03_payments_raw'!A77:E77)&gt;0,IF(OR(COUNTIF('01_orders_raw'!$A$2:$A$181,'03_payments_raw'!B77)&lt;&gt;1,LEN('03_payments_raw'!D77&amp;"")=0),"SKIP",IF(OR(NOT(ISNUMBER('03_payments_raw'!D77)),'03_payments_raw'!D77&lt;0,'03_payments_raw'!D77&gt;INDEX('01_orders_raw'!$I$2:$I$181,MATCH('03_payments_raw'!B77,'01_orders_raw'!$A$2:$A$181,0))+'09_parameters'!$B$3),"ERROR","OK")),"")</x:f>
        <x:v>OK</x:v>
      </x:c>
      <x:c r="G323" s="2" t="str">
        <x:f>IF(COUNTA('03_payments_raw'!A77:E77)&gt;0,"N/A","")</x:f>
        <x:v>N/A</x:v>
      </x:c>
      <x:c r="H323" s="2" t="str">
        <x:f>IF(COUNTA('03_payments_raw'!A77:E77)&gt;0,IF(LEN('03_payments_raw'!C77&amp;"")=0,"SKIP",IF(IF(OR(NOT(ISNUMBER('03_payments_raw'!C77)),'03_payments_raw'!C77&lt;=0,'03_payments_raw'!C77&gt;'09_parameters'!$B$2),"ERROR","OK")="ERROR","ERROR",IF(COUNTIF('01_orders_raw'!$A$2:$A$181,'03_payments_raw'!B77)&lt;&gt;1,"SKIP",IF('03_payments_raw'!C77&lt;INDEX('01_orders_raw'!$B$2:$B$181,MATCH('03_payments_raw'!B77,'01_orders_raw'!$A$2:$A$181,0)),"ERROR","OK")))),"")</x:f>
        <x:v>OK</x:v>
      </x:c>
      <x:c r="I323" s="2" t="str">
        <x:f>IF(COUNTA('03_payments_raw'!A77:E77)&gt;0,IF(LEN('03_payments_raw'!E77&amp;"")=0,"SKIP",IF(AND('03_payments_raw'!E77&lt;&gt;"Оплачено",'03_payments_raw'!E77&lt;&gt;"Частично оплачено",'03_payments_raw'!E77&lt;&gt;"Не оплачено"),"ERROR","OK")),"")</x:f>
        <x:v>OK</x:v>
      </x:c>
      <x:c r="J323" s="2" t="n">
        <x:f>COUNTIF(C323:I323,"ERROR")</x:f>
        <x:v>0</x:v>
      </x:c>
      <x:c r="K323" s="2" t="n">
        <x:f>IF(COUNTA('03_payments_raw'!A77:E77)&gt;0,77,"")</x:f>
        <x:v>77</x:v>
      </x:c>
    </x:row>
    <x:row r="324">
      <x:c r="A324" s="2" t="str">
        <x:f>IF(COUNTA('03_payments_raw'!A78:E78)&gt;0,"Payment","")</x:f>
        <x:v>Payment</x:v>
      </x:c>
      <x:c r="B324" s="2" t="str">
        <x:f>IF(COUNTA('03_payments_raw'!A78:E78)&gt;0,'03_payments_raw'!A78,"")</x:f>
        <x:v>P077</x:v>
      </x:c>
      <x:c r="C324" s="2" t="str">
        <x:f>IF(COUNTA('03_payments_raw'!A78:E78)&gt;0,IF(AND(LEN('03_payments_raw'!A78&amp;"")&gt;0,COUNTIF('03_payments_raw'!$A$2:$A$141,'03_payments_raw'!A78)&gt;1),"ERROR","OK"),"")</x:f>
        <x:v>OK</x:v>
      </x:c>
      <x:c r="D324" s="2" t="str">
        <x:f>IF(COUNTA('03_payments_raw'!A78:E78)&gt;0,IF(OR(LEN('03_payments_raw'!A78&amp;"")=0,LEN('03_payments_raw'!B78&amp;"")=0,LEN('03_payments_raw'!C78&amp;"")=0,LEN('03_payments_raw'!D78&amp;"")=0,LEN('03_payments_raw'!E78&amp;"")=0),"ERROR","OK"),"")</x:f>
        <x:v>OK</x:v>
      </x:c>
      <x:c r="E324" s="2" t="str">
        <x:f>IF(COUNTA('03_payments_raw'!A78:E78)&gt;0,IF(LEN('03_payments_raw'!B78&amp;"")=0,"SKIP",IF(COUNTIF('01_orders_raw'!$A$2:$A$181,'03_payments_raw'!B78)&lt;&gt;1,"ERROR","OK")),"")</x:f>
        <x:v>OK</x:v>
      </x:c>
      <x:c r="F324" s="2" t="str">
        <x:f>IF(COUNTA('03_payments_raw'!A78:E78)&gt;0,IF(OR(COUNTIF('01_orders_raw'!$A$2:$A$181,'03_payments_raw'!B78)&lt;&gt;1,LEN('03_payments_raw'!D78&amp;"")=0),"SKIP",IF(OR(NOT(ISNUMBER('03_payments_raw'!D78)),'03_payments_raw'!D78&lt;0,'03_payments_raw'!D78&gt;INDEX('01_orders_raw'!$I$2:$I$181,MATCH('03_payments_raw'!B78,'01_orders_raw'!$A$2:$A$181,0))+'09_parameters'!$B$3),"ERROR","OK")),"")</x:f>
        <x:v>OK</x:v>
      </x:c>
      <x:c r="G324" s="2" t="str">
        <x:f>IF(COUNTA('03_payments_raw'!A78:E78)&gt;0,"N/A","")</x:f>
        <x:v>N/A</x:v>
      </x:c>
      <x:c r="H324" s="2" t="str">
        <x:f>IF(COUNTA('03_payments_raw'!A78:E78)&gt;0,IF(LEN('03_payments_raw'!C78&amp;"")=0,"SKIP",IF(IF(OR(NOT(ISNUMBER('03_payments_raw'!C78)),'03_payments_raw'!C78&lt;=0,'03_payments_raw'!C78&gt;'09_parameters'!$B$2),"ERROR","OK")="ERROR","ERROR",IF(COUNTIF('01_orders_raw'!$A$2:$A$181,'03_payments_raw'!B78)&lt;&gt;1,"SKIP",IF('03_payments_raw'!C78&lt;INDEX('01_orders_raw'!$B$2:$B$181,MATCH('03_payments_raw'!B78,'01_orders_raw'!$A$2:$A$181,0)),"ERROR","OK")))),"")</x:f>
        <x:v>OK</x:v>
      </x:c>
      <x:c r="I324" s="2" t="str">
        <x:f>IF(COUNTA('03_payments_raw'!A78:E78)&gt;0,IF(LEN('03_payments_raw'!E78&amp;"")=0,"SKIP",IF(AND('03_payments_raw'!E78&lt;&gt;"Оплачено",'03_payments_raw'!E78&lt;&gt;"Частично оплачено",'03_payments_raw'!E78&lt;&gt;"Не оплачено"),"ERROR","OK")),"")</x:f>
        <x:v>OK</x:v>
      </x:c>
      <x:c r="J324" s="2" t="n">
        <x:f>COUNTIF(C324:I324,"ERROR")</x:f>
        <x:v>0</x:v>
      </x:c>
      <x:c r="K324" s="2" t="n">
        <x:f>IF(COUNTA('03_payments_raw'!A78:E78)&gt;0,78,"")</x:f>
        <x:v>78</x:v>
      </x:c>
    </x:row>
    <x:row r="325">
      <x:c r="A325" s="2" t="str">
        <x:f>IF(COUNTA('03_payments_raw'!A79:E79)&gt;0,"Payment","")</x:f>
        <x:v>Payment</x:v>
      </x:c>
      <x:c r="B325" s="2" t="str">
        <x:f>IF(COUNTA('03_payments_raw'!A79:E79)&gt;0,'03_payments_raw'!A79,"")</x:f>
        <x:v>P078</x:v>
      </x:c>
      <x:c r="C325" s="2" t="str">
        <x:f>IF(COUNTA('03_payments_raw'!A79:E79)&gt;0,IF(AND(LEN('03_payments_raw'!A79&amp;"")&gt;0,COUNTIF('03_payments_raw'!$A$2:$A$141,'03_payments_raw'!A79)&gt;1),"ERROR","OK"),"")</x:f>
        <x:v>OK</x:v>
      </x:c>
      <x:c r="D325" s="2" t="str">
        <x:f>IF(COUNTA('03_payments_raw'!A79:E79)&gt;0,IF(OR(LEN('03_payments_raw'!A79&amp;"")=0,LEN('03_payments_raw'!B79&amp;"")=0,LEN('03_payments_raw'!C79&amp;"")=0,LEN('03_payments_raw'!D79&amp;"")=0,LEN('03_payments_raw'!E79&amp;"")=0),"ERROR","OK"),"")</x:f>
        <x:v>OK</x:v>
      </x:c>
      <x:c r="E325" s="2" t="str">
        <x:f>IF(COUNTA('03_payments_raw'!A79:E79)&gt;0,IF(LEN('03_payments_raw'!B79&amp;"")=0,"SKIP",IF(COUNTIF('01_orders_raw'!$A$2:$A$181,'03_payments_raw'!B79)&lt;&gt;1,"ERROR","OK")),"")</x:f>
        <x:v>OK</x:v>
      </x:c>
      <x:c r="F325" s="2" t="str">
        <x:f>IF(COUNTA('03_payments_raw'!A79:E79)&gt;0,IF(OR(COUNTIF('01_orders_raw'!$A$2:$A$181,'03_payments_raw'!B79)&lt;&gt;1,LEN('03_payments_raw'!D79&amp;"")=0),"SKIP",IF(OR(NOT(ISNUMBER('03_payments_raw'!D79)),'03_payments_raw'!D79&lt;0,'03_payments_raw'!D79&gt;INDEX('01_orders_raw'!$I$2:$I$181,MATCH('03_payments_raw'!B79,'01_orders_raw'!$A$2:$A$181,0))+'09_parameters'!$B$3),"ERROR","OK")),"")</x:f>
        <x:v>OK</x:v>
      </x:c>
      <x:c r="G325" s="2" t="str">
        <x:f>IF(COUNTA('03_payments_raw'!A79:E79)&gt;0,"N/A","")</x:f>
        <x:v>N/A</x:v>
      </x:c>
      <x:c r="H325" s="2" t="str">
        <x:f>IF(COUNTA('03_payments_raw'!A79:E79)&gt;0,IF(LEN('03_payments_raw'!C79&amp;"")=0,"SKIP",IF(IF(OR(NOT(ISNUMBER('03_payments_raw'!C79)),'03_payments_raw'!C79&lt;=0,'03_payments_raw'!C79&gt;'09_parameters'!$B$2),"ERROR","OK")="ERROR","ERROR",IF(COUNTIF('01_orders_raw'!$A$2:$A$181,'03_payments_raw'!B79)&lt;&gt;1,"SKIP",IF('03_payments_raw'!C79&lt;INDEX('01_orders_raw'!$B$2:$B$181,MATCH('03_payments_raw'!B79,'01_orders_raw'!$A$2:$A$181,0)),"ERROR","OK")))),"")</x:f>
        <x:v>OK</x:v>
      </x:c>
      <x:c r="I325" s="2" t="str">
        <x:f>IF(COUNTA('03_payments_raw'!A79:E79)&gt;0,IF(LEN('03_payments_raw'!E79&amp;"")=0,"SKIP",IF(AND('03_payments_raw'!E79&lt;&gt;"Оплачено",'03_payments_raw'!E79&lt;&gt;"Частично оплачено",'03_payments_raw'!E79&lt;&gt;"Не оплачено"),"ERROR","OK")),"")</x:f>
        <x:v>OK</x:v>
      </x:c>
      <x:c r="J325" s="2" t="n">
        <x:f>COUNTIF(C325:I325,"ERROR")</x:f>
        <x:v>0</x:v>
      </x:c>
      <x:c r="K325" s="2" t="n">
        <x:f>IF(COUNTA('03_payments_raw'!A79:E79)&gt;0,79,"")</x:f>
        <x:v>79</x:v>
      </x:c>
    </x:row>
    <x:row r="326">
      <x:c r="A326" s="2" t="str">
        <x:f>IF(COUNTA('03_payments_raw'!A80:E80)&gt;0,"Payment","")</x:f>
        <x:v>Payment</x:v>
      </x:c>
      <x:c r="B326" s="2" t="str">
        <x:f>IF(COUNTA('03_payments_raw'!A80:E80)&gt;0,'03_payments_raw'!A80,"")</x:f>
        <x:v>P079</x:v>
      </x:c>
      <x:c r="C326" s="2" t="str">
        <x:f>IF(COUNTA('03_payments_raw'!A80:E80)&gt;0,IF(AND(LEN('03_payments_raw'!A80&amp;"")&gt;0,COUNTIF('03_payments_raw'!$A$2:$A$141,'03_payments_raw'!A80)&gt;1),"ERROR","OK"),"")</x:f>
        <x:v>OK</x:v>
      </x:c>
      <x:c r="D326" s="2" t="str">
        <x:f>IF(COUNTA('03_payments_raw'!A80:E80)&gt;0,IF(OR(LEN('03_payments_raw'!A80&amp;"")=0,LEN('03_payments_raw'!B80&amp;"")=0,LEN('03_payments_raw'!C80&amp;"")=0,LEN('03_payments_raw'!D80&amp;"")=0,LEN('03_payments_raw'!E80&amp;"")=0),"ERROR","OK"),"")</x:f>
        <x:v>OK</x:v>
      </x:c>
      <x:c r="E326" s="2" t="str">
        <x:f>IF(COUNTA('03_payments_raw'!A80:E80)&gt;0,IF(LEN('03_payments_raw'!B80&amp;"")=0,"SKIP",IF(COUNTIF('01_orders_raw'!$A$2:$A$181,'03_payments_raw'!B80)&lt;&gt;1,"ERROR","OK")),"")</x:f>
        <x:v>OK</x:v>
      </x:c>
      <x:c r="F326" s="2" t="str">
        <x:f>IF(COUNTA('03_payments_raw'!A80:E80)&gt;0,IF(OR(COUNTIF('01_orders_raw'!$A$2:$A$181,'03_payments_raw'!B80)&lt;&gt;1,LEN('03_payments_raw'!D80&amp;"")=0),"SKIP",IF(OR(NOT(ISNUMBER('03_payments_raw'!D80)),'03_payments_raw'!D80&lt;0,'03_payments_raw'!D80&gt;INDEX('01_orders_raw'!$I$2:$I$181,MATCH('03_payments_raw'!B80,'01_orders_raw'!$A$2:$A$181,0))+'09_parameters'!$B$3),"ERROR","OK")),"")</x:f>
        <x:v>OK</x:v>
      </x:c>
      <x:c r="G326" s="2" t="str">
        <x:f>IF(COUNTA('03_payments_raw'!A80:E80)&gt;0,"N/A","")</x:f>
        <x:v>N/A</x:v>
      </x:c>
      <x:c r="H326" s="2" t="str">
        <x:f>IF(COUNTA('03_payments_raw'!A80:E80)&gt;0,IF(LEN('03_payments_raw'!C80&amp;"")=0,"SKIP",IF(IF(OR(NOT(ISNUMBER('03_payments_raw'!C80)),'03_payments_raw'!C80&lt;=0,'03_payments_raw'!C80&gt;'09_parameters'!$B$2),"ERROR","OK")="ERROR","ERROR",IF(COUNTIF('01_orders_raw'!$A$2:$A$181,'03_payments_raw'!B80)&lt;&gt;1,"SKIP",IF('03_payments_raw'!C80&lt;INDEX('01_orders_raw'!$B$2:$B$181,MATCH('03_payments_raw'!B80,'01_orders_raw'!$A$2:$A$181,0)),"ERROR","OK")))),"")</x:f>
        <x:v>OK</x:v>
      </x:c>
      <x:c r="I326" s="2" t="str">
        <x:f>IF(COUNTA('03_payments_raw'!A80:E80)&gt;0,IF(LEN('03_payments_raw'!E80&amp;"")=0,"SKIP",IF(AND('03_payments_raw'!E80&lt;&gt;"Оплачено",'03_payments_raw'!E80&lt;&gt;"Частично оплачено",'03_payments_raw'!E80&lt;&gt;"Не оплачено"),"ERROR","OK")),"")</x:f>
        <x:v>OK</x:v>
      </x:c>
      <x:c r="J326" s="2" t="n">
        <x:f>COUNTIF(C326:I326,"ERROR")</x:f>
        <x:v>0</x:v>
      </x:c>
      <x:c r="K326" s="2" t="n">
        <x:f>IF(COUNTA('03_payments_raw'!A80:E80)&gt;0,80,"")</x:f>
        <x:v>80</x:v>
      </x:c>
    </x:row>
    <x:row r="327">
      <x:c r="A327" s="2" t="str">
        <x:f>IF(COUNTA('03_payments_raw'!A81:E81)&gt;0,"Payment","")</x:f>
        <x:v>Payment</x:v>
      </x:c>
      <x:c r="B327" s="2" t="str">
        <x:f>IF(COUNTA('03_payments_raw'!A81:E81)&gt;0,'03_payments_raw'!A81,"")</x:f>
        <x:v>P080</x:v>
      </x:c>
      <x:c r="C327" s="2" t="str">
        <x:f>IF(COUNTA('03_payments_raw'!A81:E81)&gt;0,IF(AND(LEN('03_payments_raw'!A81&amp;"")&gt;0,COUNTIF('03_payments_raw'!$A$2:$A$141,'03_payments_raw'!A81)&gt;1),"ERROR","OK"),"")</x:f>
        <x:v>OK</x:v>
      </x:c>
      <x:c r="D327" s="2" t="str">
        <x:f>IF(COUNTA('03_payments_raw'!A81:E81)&gt;0,IF(OR(LEN('03_payments_raw'!A81&amp;"")=0,LEN('03_payments_raw'!B81&amp;"")=0,LEN('03_payments_raw'!C81&amp;"")=0,LEN('03_payments_raw'!D81&amp;"")=0,LEN('03_payments_raw'!E81&amp;"")=0),"ERROR","OK"),"")</x:f>
        <x:v>OK</x:v>
      </x:c>
      <x:c r="E327" s="2" t="str">
        <x:f>IF(COUNTA('03_payments_raw'!A81:E81)&gt;0,IF(LEN('03_payments_raw'!B81&amp;"")=0,"SKIP",IF(COUNTIF('01_orders_raw'!$A$2:$A$181,'03_payments_raw'!B81)&lt;&gt;1,"ERROR","OK")),"")</x:f>
        <x:v>OK</x:v>
      </x:c>
      <x:c r="F327" s="2" t="str">
        <x:f>IF(COUNTA('03_payments_raw'!A81:E81)&gt;0,IF(OR(COUNTIF('01_orders_raw'!$A$2:$A$181,'03_payments_raw'!B81)&lt;&gt;1,LEN('03_payments_raw'!D81&amp;"")=0),"SKIP",IF(OR(NOT(ISNUMBER('03_payments_raw'!D81)),'03_payments_raw'!D81&lt;0,'03_payments_raw'!D81&gt;INDEX('01_orders_raw'!$I$2:$I$181,MATCH('03_payments_raw'!B81,'01_orders_raw'!$A$2:$A$181,0))+'09_parameters'!$B$3),"ERROR","OK")),"")</x:f>
        <x:v>OK</x:v>
      </x:c>
      <x:c r="G327" s="2" t="str">
        <x:f>IF(COUNTA('03_payments_raw'!A81:E81)&gt;0,"N/A","")</x:f>
        <x:v>N/A</x:v>
      </x:c>
      <x:c r="H327" s="2" t="str">
        <x:f>IF(COUNTA('03_payments_raw'!A81:E81)&gt;0,IF(LEN('03_payments_raw'!C81&amp;"")=0,"SKIP",IF(IF(OR(NOT(ISNUMBER('03_payments_raw'!C81)),'03_payments_raw'!C81&lt;=0,'03_payments_raw'!C81&gt;'09_parameters'!$B$2),"ERROR","OK")="ERROR","ERROR",IF(COUNTIF('01_orders_raw'!$A$2:$A$181,'03_payments_raw'!B81)&lt;&gt;1,"SKIP",IF('03_payments_raw'!C81&lt;INDEX('01_orders_raw'!$B$2:$B$181,MATCH('03_payments_raw'!B81,'01_orders_raw'!$A$2:$A$181,0)),"ERROR","OK")))),"")</x:f>
        <x:v>OK</x:v>
      </x:c>
      <x:c r="I327" s="2" t="str">
        <x:f>IF(COUNTA('03_payments_raw'!A81:E81)&gt;0,IF(LEN('03_payments_raw'!E81&amp;"")=0,"SKIP",IF(AND('03_payments_raw'!E81&lt;&gt;"Оплачено",'03_payments_raw'!E81&lt;&gt;"Частично оплачено",'03_payments_raw'!E81&lt;&gt;"Не оплачено"),"ERROR","OK")),"")</x:f>
        <x:v>OK</x:v>
      </x:c>
      <x:c r="J327" s="2" t="n">
        <x:f>COUNTIF(C327:I327,"ERROR")</x:f>
        <x:v>0</x:v>
      </x:c>
      <x:c r="K327" s="2" t="n">
        <x:f>IF(COUNTA('03_payments_raw'!A81:E81)&gt;0,81,"")</x:f>
        <x:v>81</x:v>
      </x:c>
    </x:row>
    <x:row r="328">
      <x:c r="A328" t="str">
        <x:f>IF(COUNTA('03_payments_raw'!A82:E82)&gt;0,"Payment","")</x:f>
        <x:v>Payment</x:v>
      </x:c>
      <x:c r="B328" t="str">
        <x:f>IF(COUNTA('03_payments_raw'!A82:E82)&gt;0,'03_payments_raw'!A82,"")</x:f>
        <x:v>P081</x:v>
      </x:c>
      <x:c r="C328" t="str">
        <x:f>IF(COUNTA('03_payments_raw'!A82:E82)&gt;0,IF(AND(LEN('03_payments_raw'!A82&amp;"")&gt;0,COUNTIF('03_payments_raw'!$A$2:$A$141,'03_payments_raw'!A82)&gt;1),"ERROR","OK"),"")</x:f>
        <x:v>OK</x:v>
      </x:c>
      <x:c r="D328" t="str">
        <x:f>IF(COUNTA('03_payments_raw'!A82:E82)&gt;0,IF(OR(LEN('03_payments_raw'!A82&amp;"")=0,LEN('03_payments_raw'!B82&amp;"")=0,LEN('03_payments_raw'!C82&amp;"")=0,LEN('03_payments_raw'!D82&amp;"")=0,LEN('03_payments_raw'!E82&amp;"")=0),"ERROR","OK"),"")</x:f>
        <x:v>OK</x:v>
      </x:c>
      <x:c r="E328" t="str">
        <x:f>IF(COUNTA('03_payments_raw'!A82:E82)&gt;0,IF(LEN('03_payments_raw'!B82&amp;"")=0,"SKIP",IF(COUNTIF('01_orders_raw'!$A$2:$A$181,'03_payments_raw'!B82)&lt;&gt;1,"ERROR","OK")),"")</x:f>
        <x:v>OK</x:v>
      </x:c>
      <x:c r="F328" t="str">
        <x:f>IF(COUNTA('03_payments_raw'!A82:E82)&gt;0,IF(OR(COUNTIF('01_orders_raw'!$A$2:$A$181,'03_payments_raw'!B82)&lt;&gt;1,LEN('03_payments_raw'!D82&amp;"")=0),"SKIP",IF(OR(NOT(ISNUMBER('03_payments_raw'!D82)),'03_payments_raw'!D82&lt;0,'03_payments_raw'!D82&gt;INDEX('01_orders_raw'!$I$2:$I$181,MATCH('03_payments_raw'!B82,'01_orders_raw'!$A$2:$A$181,0))+'09_parameters'!$B$3),"ERROR","OK")),"")</x:f>
        <x:v>OK</x:v>
      </x:c>
      <x:c r="G328" t="str">
        <x:f>IF(COUNTA('03_payments_raw'!A82:E82)&gt;0,"N/A","")</x:f>
        <x:v>N/A</x:v>
      </x:c>
      <x:c r="H328" t="str">
        <x:f>IF(COUNTA('03_payments_raw'!A82:E82)&gt;0,IF(LEN('03_payments_raw'!C82&amp;"")=0,"SKIP",IF(IF(OR(NOT(ISNUMBER('03_payments_raw'!C82)),'03_payments_raw'!C82&lt;=0,'03_payments_raw'!C82&gt;'09_parameters'!$B$2),"ERROR","OK")="ERROR","ERROR",IF(COUNTIF('01_orders_raw'!$A$2:$A$181,'03_payments_raw'!B82)&lt;&gt;1,"SKIP",IF('03_payments_raw'!C82&lt;INDEX('01_orders_raw'!$B$2:$B$181,MATCH('03_payments_raw'!B82,'01_orders_raw'!$A$2:$A$181,0)),"ERROR","OK")))),"")</x:f>
        <x:v>OK</x:v>
      </x:c>
      <x:c r="I328" t="str">
        <x:f>IF(COUNTA('03_payments_raw'!A82:E82)&gt;0,IF(LEN('03_payments_raw'!E82&amp;"")=0,"SKIP",IF(AND('03_payments_raw'!E82&lt;&gt;"Оплачено",'03_payments_raw'!E82&lt;&gt;"Частично оплачено",'03_payments_raw'!E82&lt;&gt;"Не оплачено"),"ERROR","OK")),"")</x:f>
        <x:v>OK</x:v>
      </x:c>
      <x:c r="J328" t="n">
        <x:f>COUNTIF(C328:I328,"ERROR")</x:f>
        <x:v>0</x:v>
      </x:c>
      <x:c r="K328" t="n">
        <x:f>IF(COUNTA('03_payments_raw'!A82:E82)&gt;0,82,"")</x:f>
        <x:v>82</x:v>
      </x:c>
    </x:row>
    <x:row r="329">
      <x:c r="A329" t="str">
        <x:f>IF(COUNTA('03_payments_raw'!A83:E83)&gt;0,"Payment","")</x:f>
        <x:v>Payment</x:v>
      </x:c>
      <x:c r="B329" t="str">
        <x:f>IF(COUNTA('03_payments_raw'!A83:E83)&gt;0,'03_payments_raw'!A83,"")</x:f>
        <x:v>P082</x:v>
      </x:c>
      <x:c r="C329" t="str">
        <x:f>IF(COUNTA('03_payments_raw'!A83:E83)&gt;0,IF(AND(LEN('03_payments_raw'!A83&amp;"")&gt;0,COUNTIF('03_payments_raw'!$A$2:$A$141,'03_payments_raw'!A83)&gt;1),"ERROR","OK"),"")</x:f>
        <x:v>OK</x:v>
      </x:c>
      <x:c r="D329" t="str">
        <x:f>IF(COUNTA('03_payments_raw'!A83:E83)&gt;0,IF(OR(LEN('03_payments_raw'!A83&amp;"")=0,LEN('03_payments_raw'!B83&amp;"")=0,LEN('03_payments_raw'!C83&amp;"")=0,LEN('03_payments_raw'!D83&amp;"")=0,LEN('03_payments_raw'!E83&amp;"")=0),"ERROR","OK"),"")</x:f>
        <x:v>OK</x:v>
      </x:c>
      <x:c r="E329" t="str">
        <x:f>IF(COUNTA('03_payments_raw'!A83:E83)&gt;0,IF(LEN('03_payments_raw'!B83&amp;"")=0,"SKIP",IF(COUNTIF('01_orders_raw'!$A$2:$A$181,'03_payments_raw'!B83)&lt;&gt;1,"ERROR","OK")),"")</x:f>
        <x:v>OK</x:v>
      </x:c>
      <x:c r="F329" t="str">
        <x:f>IF(COUNTA('03_payments_raw'!A83:E83)&gt;0,IF(OR(COUNTIF('01_orders_raw'!$A$2:$A$181,'03_payments_raw'!B83)&lt;&gt;1,LEN('03_payments_raw'!D83&amp;"")=0),"SKIP",IF(OR(NOT(ISNUMBER('03_payments_raw'!D83)),'03_payments_raw'!D83&lt;0,'03_payments_raw'!D83&gt;INDEX('01_orders_raw'!$I$2:$I$181,MATCH('03_payments_raw'!B83,'01_orders_raw'!$A$2:$A$181,0))+'09_parameters'!$B$3),"ERROR","OK")),"")</x:f>
        <x:v>OK</x:v>
      </x:c>
      <x:c r="G329" t="str">
        <x:f>IF(COUNTA('03_payments_raw'!A83:E83)&gt;0,"N/A","")</x:f>
        <x:v>N/A</x:v>
      </x:c>
      <x:c r="H329" t="str">
        <x:f>IF(COUNTA('03_payments_raw'!A83:E83)&gt;0,IF(LEN('03_payments_raw'!C83&amp;"")=0,"SKIP",IF(IF(OR(NOT(ISNUMBER('03_payments_raw'!C83)),'03_payments_raw'!C83&lt;=0,'03_payments_raw'!C83&gt;'09_parameters'!$B$2),"ERROR","OK")="ERROR","ERROR",IF(COUNTIF('01_orders_raw'!$A$2:$A$181,'03_payments_raw'!B83)&lt;&gt;1,"SKIP",IF('03_payments_raw'!C83&lt;INDEX('01_orders_raw'!$B$2:$B$181,MATCH('03_payments_raw'!B83,'01_orders_raw'!$A$2:$A$181,0)),"ERROR","OK")))),"")</x:f>
        <x:v>OK</x:v>
      </x:c>
      <x:c r="I329" t="str">
        <x:f>IF(COUNTA('03_payments_raw'!A83:E83)&gt;0,IF(LEN('03_payments_raw'!E83&amp;"")=0,"SKIP",IF(AND('03_payments_raw'!E83&lt;&gt;"Оплачено",'03_payments_raw'!E83&lt;&gt;"Частично оплачено",'03_payments_raw'!E83&lt;&gt;"Не оплачено"),"ERROR","OK")),"")</x:f>
        <x:v>OK</x:v>
      </x:c>
      <x:c r="J329" t="n">
        <x:f>COUNTIF(C329:I329,"ERROR")</x:f>
        <x:v>0</x:v>
      </x:c>
      <x:c r="K329" t="n">
        <x:f>IF(COUNTA('03_payments_raw'!A83:E83)&gt;0,83,"")</x:f>
        <x:v>83</x:v>
      </x:c>
    </x:row>
    <x:row r="330">
      <x:c r="A330" t="str">
        <x:f>IF(COUNTA('03_payments_raw'!A84:E84)&gt;0,"Payment","")</x:f>
        <x:v>Payment</x:v>
      </x:c>
      <x:c r="B330" t="str">
        <x:f>IF(COUNTA('03_payments_raw'!A84:E84)&gt;0,'03_payments_raw'!A84,"")</x:f>
        <x:v>P083</x:v>
      </x:c>
      <x:c r="C330" t="str">
        <x:f>IF(COUNTA('03_payments_raw'!A84:E84)&gt;0,IF(AND(LEN('03_payments_raw'!A84&amp;"")&gt;0,COUNTIF('03_payments_raw'!$A$2:$A$141,'03_payments_raw'!A84)&gt;1),"ERROR","OK"),"")</x:f>
        <x:v>OK</x:v>
      </x:c>
      <x:c r="D330" t="str">
        <x:f>IF(COUNTA('03_payments_raw'!A84:E84)&gt;0,IF(OR(LEN('03_payments_raw'!A84&amp;"")=0,LEN('03_payments_raw'!B84&amp;"")=0,LEN('03_payments_raw'!C84&amp;"")=0,LEN('03_payments_raw'!D84&amp;"")=0,LEN('03_payments_raw'!E84&amp;"")=0),"ERROR","OK"),"")</x:f>
        <x:v>OK</x:v>
      </x:c>
      <x:c r="E330" t="str">
        <x:f>IF(COUNTA('03_payments_raw'!A84:E84)&gt;0,IF(LEN('03_payments_raw'!B84&amp;"")=0,"SKIP",IF(COUNTIF('01_orders_raw'!$A$2:$A$181,'03_payments_raw'!B84)&lt;&gt;1,"ERROR","OK")),"")</x:f>
        <x:v>OK</x:v>
      </x:c>
      <x:c r="F330" t="str">
        <x:f>IF(COUNTA('03_payments_raw'!A84:E84)&gt;0,IF(OR(COUNTIF('01_orders_raw'!$A$2:$A$181,'03_payments_raw'!B84)&lt;&gt;1,LEN('03_payments_raw'!D84&amp;"")=0),"SKIP",IF(OR(NOT(ISNUMBER('03_payments_raw'!D84)),'03_payments_raw'!D84&lt;0,'03_payments_raw'!D84&gt;INDEX('01_orders_raw'!$I$2:$I$181,MATCH('03_payments_raw'!B84,'01_orders_raw'!$A$2:$A$181,0))+'09_parameters'!$B$3),"ERROR","OK")),"")</x:f>
        <x:v>OK</x:v>
      </x:c>
      <x:c r="G330" t="str">
        <x:f>IF(COUNTA('03_payments_raw'!A84:E84)&gt;0,"N/A","")</x:f>
        <x:v>N/A</x:v>
      </x:c>
      <x:c r="H330" t="str">
        <x:f>IF(COUNTA('03_payments_raw'!A84:E84)&gt;0,IF(LEN('03_payments_raw'!C84&amp;"")=0,"SKIP",IF(IF(OR(NOT(ISNUMBER('03_payments_raw'!C84)),'03_payments_raw'!C84&lt;=0,'03_payments_raw'!C84&gt;'09_parameters'!$B$2),"ERROR","OK")="ERROR","ERROR",IF(COUNTIF('01_orders_raw'!$A$2:$A$181,'03_payments_raw'!B84)&lt;&gt;1,"SKIP",IF('03_payments_raw'!C84&lt;INDEX('01_orders_raw'!$B$2:$B$181,MATCH('03_payments_raw'!B84,'01_orders_raw'!$A$2:$A$181,0)),"ERROR","OK")))),"")</x:f>
        <x:v>OK</x:v>
      </x:c>
      <x:c r="I330" t="str">
        <x:f>IF(COUNTA('03_payments_raw'!A84:E84)&gt;0,IF(LEN('03_payments_raw'!E84&amp;"")=0,"SKIP",IF(AND('03_payments_raw'!E84&lt;&gt;"Оплачено",'03_payments_raw'!E84&lt;&gt;"Частично оплачено",'03_payments_raw'!E84&lt;&gt;"Не оплачено"),"ERROR","OK")),"")</x:f>
        <x:v>OK</x:v>
      </x:c>
      <x:c r="J330" t="n">
        <x:f>COUNTIF(C330:I330,"ERROR")</x:f>
        <x:v>0</x:v>
      </x:c>
      <x:c r="K330" t="n">
        <x:f>IF(COUNTA('03_payments_raw'!A84:E84)&gt;0,84,"")</x:f>
        <x:v>84</x:v>
      </x:c>
    </x:row>
    <x:row r="331">
      <x:c r="A331" t="str">
        <x:f>IF(COUNTA('03_payments_raw'!A85:E85)&gt;0,"Payment","")</x:f>
        <x:v>Payment</x:v>
      </x:c>
      <x:c r="B331" t="str">
        <x:f>IF(COUNTA('03_payments_raw'!A85:E85)&gt;0,'03_payments_raw'!A85,"")</x:f>
        <x:v>P084</x:v>
      </x:c>
      <x:c r="C331" t="str">
        <x:f>IF(COUNTA('03_payments_raw'!A85:E85)&gt;0,IF(AND(LEN('03_payments_raw'!A85&amp;"")&gt;0,COUNTIF('03_payments_raw'!$A$2:$A$141,'03_payments_raw'!A85)&gt;1),"ERROR","OK"),"")</x:f>
        <x:v>OK</x:v>
      </x:c>
      <x:c r="D331" t="str">
        <x:f>IF(COUNTA('03_payments_raw'!A85:E85)&gt;0,IF(OR(LEN('03_payments_raw'!A85&amp;"")=0,LEN('03_payments_raw'!B85&amp;"")=0,LEN('03_payments_raw'!C85&amp;"")=0,LEN('03_payments_raw'!D85&amp;"")=0,LEN('03_payments_raw'!E85&amp;"")=0),"ERROR","OK"),"")</x:f>
        <x:v>OK</x:v>
      </x:c>
      <x:c r="E331" t="str">
        <x:f>IF(COUNTA('03_payments_raw'!A85:E85)&gt;0,IF(LEN('03_payments_raw'!B85&amp;"")=0,"SKIP",IF(COUNTIF('01_orders_raw'!$A$2:$A$181,'03_payments_raw'!B85)&lt;&gt;1,"ERROR","OK")),"")</x:f>
        <x:v>OK</x:v>
      </x:c>
      <x:c r="F331" t="str">
        <x:f>IF(COUNTA('03_payments_raw'!A85:E85)&gt;0,IF(OR(COUNTIF('01_orders_raw'!$A$2:$A$181,'03_payments_raw'!B85)&lt;&gt;1,LEN('03_payments_raw'!D85&amp;"")=0),"SKIP",IF(OR(NOT(ISNUMBER('03_payments_raw'!D85)),'03_payments_raw'!D85&lt;0,'03_payments_raw'!D85&gt;INDEX('01_orders_raw'!$I$2:$I$181,MATCH('03_payments_raw'!B85,'01_orders_raw'!$A$2:$A$181,0))+'09_parameters'!$B$3),"ERROR","OK")),"")</x:f>
        <x:v>OK</x:v>
      </x:c>
      <x:c r="G331" t="str">
        <x:f>IF(COUNTA('03_payments_raw'!A85:E85)&gt;0,"N/A","")</x:f>
        <x:v>N/A</x:v>
      </x:c>
      <x:c r="H331" t="str">
        <x:f>IF(COUNTA('03_payments_raw'!A85:E85)&gt;0,IF(LEN('03_payments_raw'!C85&amp;"")=0,"SKIP",IF(IF(OR(NOT(ISNUMBER('03_payments_raw'!C85)),'03_payments_raw'!C85&lt;=0,'03_payments_raw'!C85&gt;'09_parameters'!$B$2),"ERROR","OK")="ERROR","ERROR",IF(COUNTIF('01_orders_raw'!$A$2:$A$181,'03_payments_raw'!B85)&lt;&gt;1,"SKIP",IF('03_payments_raw'!C85&lt;INDEX('01_orders_raw'!$B$2:$B$181,MATCH('03_payments_raw'!B85,'01_orders_raw'!$A$2:$A$181,0)),"ERROR","OK")))),"")</x:f>
        <x:v>OK</x:v>
      </x:c>
      <x:c r="I331" t="str">
        <x:f>IF(COUNTA('03_payments_raw'!A85:E85)&gt;0,IF(LEN('03_payments_raw'!E85&amp;"")=0,"SKIP",IF(AND('03_payments_raw'!E85&lt;&gt;"Оплачено",'03_payments_raw'!E85&lt;&gt;"Частично оплачено",'03_payments_raw'!E85&lt;&gt;"Не оплачено"),"ERROR","OK")),"")</x:f>
        <x:v>OK</x:v>
      </x:c>
      <x:c r="J331" t="n">
        <x:f>COUNTIF(C331:I331,"ERROR")</x:f>
        <x:v>0</x:v>
      </x:c>
      <x:c r="K331" t="n">
        <x:f>IF(COUNTA('03_payments_raw'!A85:E85)&gt;0,85,"")</x:f>
        <x:v>85</x:v>
      </x:c>
    </x:row>
    <x:row r="332">
      <x:c r="A332" t="str">
        <x:f>IF(COUNTA('03_payments_raw'!A86:E86)&gt;0,"Payment","")</x:f>
        <x:v>Payment</x:v>
      </x:c>
      <x:c r="B332" t="str">
        <x:f>IF(COUNTA('03_payments_raw'!A86:E86)&gt;0,'03_payments_raw'!A86,"")</x:f>
        <x:v>P085</x:v>
      </x:c>
      <x:c r="C332" t="str">
        <x:f>IF(COUNTA('03_payments_raw'!A86:E86)&gt;0,IF(AND(LEN('03_payments_raw'!A86&amp;"")&gt;0,COUNTIF('03_payments_raw'!$A$2:$A$141,'03_payments_raw'!A86)&gt;1),"ERROR","OK"),"")</x:f>
        <x:v>OK</x:v>
      </x:c>
      <x:c r="D332" t="str">
        <x:f>IF(COUNTA('03_payments_raw'!A86:E86)&gt;0,IF(OR(LEN('03_payments_raw'!A86&amp;"")=0,LEN('03_payments_raw'!B86&amp;"")=0,LEN('03_payments_raw'!C86&amp;"")=0,LEN('03_payments_raw'!D86&amp;"")=0,LEN('03_payments_raw'!E86&amp;"")=0),"ERROR","OK"),"")</x:f>
        <x:v>OK</x:v>
      </x:c>
      <x:c r="E332" t="str">
        <x:f>IF(COUNTA('03_payments_raw'!A86:E86)&gt;0,IF(LEN('03_payments_raw'!B86&amp;"")=0,"SKIP",IF(COUNTIF('01_orders_raw'!$A$2:$A$181,'03_payments_raw'!B86)&lt;&gt;1,"ERROR","OK")),"")</x:f>
        <x:v>OK</x:v>
      </x:c>
      <x:c r="F332" t="str">
        <x:f>IF(COUNTA('03_payments_raw'!A86:E86)&gt;0,IF(OR(COUNTIF('01_orders_raw'!$A$2:$A$181,'03_payments_raw'!B86)&lt;&gt;1,LEN('03_payments_raw'!D86&amp;"")=0),"SKIP",IF(OR(NOT(ISNUMBER('03_payments_raw'!D86)),'03_payments_raw'!D86&lt;0,'03_payments_raw'!D86&gt;INDEX('01_orders_raw'!$I$2:$I$181,MATCH('03_payments_raw'!B86,'01_orders_raw'!$A$2:$A$181,0))+'09_parameters'!$B$3),"ERROR","OK")),"")</x:f>
        <x:v>OK</x:v>
      </x:c>
      <x:c r="G332" t="str">
        <x:f>IF(COUNTA('03_payments_raw'!A86:E86)&gt;0,"N/A","")</x:f>
        <x:v>N/A</x:v>
      </x:c>
      <x:c r="H332" t="str">
        <x:f>IF(COUNTA('03_payments_raw'!A86:E86)&gt;0,IF(LEN('03_payments_raw'!C86&amp;"")=0,"SKIP",IF(IF(OR(NOT(ISNUMBER('03_payments_raw'!C86)),'03_payments_raw'!C86&lt;=0,'03_payments_raw'!C86&gt;'09_parameters'!$B$2),"ERROR","OK")="ERROR","ERROR",IF(COUNTIF('01_orders_raw'!$A$2:$A$181,'03_payments_raw'!B86)&lt;&gt;1,"SKIP",IF('03_payments_raw'!C86&lt;INDEX('01_orders_raw'!$B$2:$B$181,MATCH('03_payments_raw'!B86,'01_orders_raw'!$A$2:$A$181,0)),"ERROR","OK")))),"")</x:f>
        <x:v>OK</x:v>
      </x:c>
      <x:c r="I332" t="str">
        <x:f>IF(COUNTA('03_payments_raw'!A86:E86)&gt;0,IF(LEN('03_payments_raw'!E86&amp;"")=0,"SKIP",IF(AND('03_payments_raw'!E86&lt;&gt;"Оплачено",'03_payments_raw'!E86&lt;&gt;"Частично оплачено",'03_payments_raw'!E86&lt;&gt;"Не оплачено"),"ERROR","OK")),"")</x:f>
        <x:v>OK</x:v>
      </x:c>
      <x:c r="J332" t="n">
        <x:f>COUNTIF(C332:I332,"ERROR")</x:f>
        <x:v>0</x:v>
      </x:c>
      <x:c r="K332" t="n">
        <x:f>IF(COUNTA('03_payments_raw'!A86:E86)&gt;0,86,"")</x:f>
        <x:v>86</x:v>
      </x:c>
    </x:row>
    <x:row r="333">
      <x:c r="A333" t="str">
        <x:f>IF(COUNTA('03_payments_raw'!A87:E87)&gt;0,"Payment","")</x:f>
        <x:v>Payment</x:v>
      </x:c>
      <x:c r="B333" t="str">
        <x:f>IF(COUNTA('03_payments_raw'!A87:E87)&gt;0,'03_payments_raw'!A87,"")</x:f>
        <x:v>P086</x:v>
      </x:c>
      <x:c r="C333" t="str">
        <x:f>IF(COUNTA('03_payments_raw'!A87:E87)&gt;0,IF(AND(LEN('03_payments_raw'!A87&amp;"")&gt;0,COUNTIF('03_payments_raw'!$A$2:$A$141,'03_payments_raw'!A87)&gt;1),"ERROR","OK"),"")</x:f>
        <x:v>OK</x:v>
      </x:c>
      <x:c r="D333" t="str">
        <x:f>IF(COUNTA('03_payments_raw'!A87:E87)&gt;0,IF(OR(LEN('03_payments_raw'!A87&amp;"")=0,LEN('03_payments_raw'!B87&amp;"")=0,LEN('03_payments_raw'!C87&amp;"")=0,LEN('03_payments_raw'!D87&amp;"")=0,LEN('03_payments_raw'!E87&amp;"")=0),"ERROR","OK"),"")</x:f>
        <x:v>OK</x:v>
      </x:c>
      <x:c r="E333" t="str">
        <x:f>IF(COUNTA('03_payments_raw'!A87:E87)&gt;0,IF(LEN('03_payments_raw'!B87&amp;"")=0,"SKIP",IF(COUNTIF('01_orders_raw'!$A$2:$A$181,'03_payments_raw'!B87)&lt;&gt;1,"ERROR","OK")),"")</x:f>
        <x:v>OK</x:v>
      </x:c>
      <x:c r="F333" t="str">
        <x:f>IF(COUNTA('03_payments_raw'!A87:E87)&gt;0,IF(OR(COUNTIF('01_orders_raw'!$A$2:$A$181,'03_payments_raw'!B87)&lt;&gt;1,LEN('03_payments_raw'!D87&amp;"")=0),"SKIP",IF(OR(NOT(ISNUMBER('03_payments_raw'!D87)),'03_payments_raw'!D87&lt;0,'03_payments_raw'!D87&gt;INDEX('01_orders_raw'!$I$2:$I$181,MATCH('03_payments_raw'!B87,'01_orders_raw'!$A$2:$A$181,0))+'09_parameters'!$B$3),"ERROR","OK")),"")</x:f>
        <x:v>OK</x:v>
      </x:c>
      <x:c r="G333" t="str">
        <x:f>IF(COUNTA('03_payments_raw'!A87:E87)&gt;0,"N/A","")</x:f>
        <x:v>N/A</x:v>
      </x:c>
      <x:c r="H333" t="str">
        <x:f>IF(COUNTA('03_payments_raw'!A87:E87)&gt;0,IF(LEN('03_payments_raw'!C87&amp;"")=0,"SKIP",IF(IF(OR(NOT(ISNUMBER('03_payments_raw'!C87)),'03_payments_raw'!C87&lt;=0,'03_payments_raw'!C87&gt;'09_parameters'!$B$2),"ERROR","OK")="ERROR","ERROR",IF(COUNTIF('01_orders_raw'!$A$2:$A$181,'03_payments_raw'!B87)&lt;&gt;1,"SKIP",IF('03_payments_raw'!C87&lt;INDEX('01_orders_raw'!$B$2:$B$181,MATCH('03_payments_raw'!B87,'01_orders_raw'!$A$2:$A$181,0)),"ERROR","OK")))),"")</x:f>
        <x:v>OK</x:v>
      </x:c>
      <x:c r="I333" t="str">
        <x:f>IF(COUNTA('03_payments_raw'!A87:E87)&gt;0,IF(LEN('03_payments_raw'!E87&amp;"")=0,"SKIP",IF(AND('03_payments_raw'!E87&lt;&gt;"Оплачено",'03_payments_raw'!E87&lt;&gt;"Частично оплачено",'03_payments_raw'!E87&lt;&gt;"Не оплачено"),"ERROR","OK")),"")</x:f>
        <x:v>OK</x:v>
      </x:c>
      <x:c r="J333" t="n">
        <x:f>COUNTIF(C333:I333,"ERROR")</x:f>
        <x:v>0</x:v>
      </x:c>
      <x:c r="K333" t="n">
        <x:f>IF(COUNTA('03_payments_raw'!A87:E87)&gt;0,87,"")</x:f>
        <x:v>87</x:v>
      </x:c>
    </x:row>
    <x:row r="334">
      <x:c r="A334" t="str">
        <x:f>IF(COUNTA('03_payments_raw'!A88:E88)&gt;0,"Payment","")</x:f>
        <x:v>Payment</x:v>
      </x:c>
      <x:c r="B334" t="str">
        <x:f>IF(COUNTA('03_payments_raw'!A88:E88)&gt;0,'03_payments_raw'!A88,"")</x:f>
        <x:v>P087</x:v>
      </x:c>
      <x:c r="C334" t="str">
        <x:f>IF(COUNTA('03_payments_raw'!A88:E88)&gt;0,IF(AND(LEN('03_payments_raw'!A88&amp;"")&gt;0,COUNTIF('03_payments_raw'!$A$2:$A$141,'03_payments_raw'!A88)&gt;1),"ERROR","OK"),"")</x:f>
        <x:v>OK</x:v>
      </x:c>
      <x:c r="D334" t="str">
        <x:f>IF(COUNTA('03_payments_raw'!A88:E88)&gt;0,IF(OR(LEN('03_payments_raw'!A88&amp;"")=0,LEN('03_payments_raw'!B88&amp;"")=0,LEN('03_payments_raw'!C88&amp;"")=0,LEN('03_payments_raw'!D88&amp;"")=0,LEN('03_payments_raw'!E88&amp;"")=0),"ERROR","OK"),"")</x:f>
        <x:v>OK</x:v>
      </x:c>
      <x:c r="E334" t="str">
        <x:f>IF(COUNTA('03_payments_raw'!A88:E88)&gt;0,IF(LEN('03_payments_raw'!B88&amp;"")=0,"SKIP",IF(COUNTIF('01_orders_raw'!$A$2:$A$181,'03_payments_raw'!B88)&lt;&gt;1,"ERROR","OK")),"")</x:f>
        <x:v>OK</x:v>
      </x:c>
      <x:c r="F334" t="str">
        <x:f>IF(COUNTA('03_payments_raw'!A88:E88)&gt;0,IF(OR(COUNTIF('01_orders_raw'!$A$2:$A$181,'03_payments_raw'!B88)&lt;&gt;1,LEN('03_payments_raw'!D88&amp;"")=0),"SKIP",IF(OR(NOT(ISNUMBER('03_payments_raw'!D88)),'03_payments_raw'!D88&lt;0,'03_payments_raw'!D88&gt;INDEX('01_orders_raw'!$I$2:$I$181,MATCH('03_payments_raw'!B88,'01_orders_raw'!$A$2:$A$181,0))+'09_parameters'!$B$3),"ERROR","OK")),"")</x:f>
        <x:v>OK</x:v>
      </x:c>
      <x:c r="G334" t="str">
        <x:f>IF(COUNTA('03_payments_raw'!A88:E88)&gt;0,"N/A","")</x:f>
        <x:v>N/A</x:v>
      </x:c>
      <x:c r="H334" t="str">
        <x:f>IF(COUNTA('03_payments_raw'!A88:E88)&gt;0,IF(LEN('03_payments_raw'!C88&amp;"")=0,"SKIP",IF(IF(OR(NOT(ISNUMBER('03_payments_raw'!C88)),'03_payments_raw'!C88&lt;=0,'03_payments_raw'!C88&gt;'09_parameters'!$B$2),"ERROR","OK")="ERROR","ERROR",IF(COUNTIF('01_orders_raw'!$A$2:$A$181,'03_payments_raw'!B88)&lt;&gt;1,"SKIP",IF('03_payments_raw'!C88&lt;INDEX('01_orders_raw'!$B$2:$B$181,MATCH('03_payments_raw'!B88,'01_orders_raw'!$A$2:$A$181,0)),"ERROR","OK")))),"")</x:f>
        <x:v>OK</x:v>
      </x:c>
      <x:c r="I334" t="str">
        <x:f>IF(COUNTA('03_payments_raw'!A88:E88)&gt;0,IF(LEN('03_payments_raw'!E88&amp;"")=0,"SKIP",IF(AND('03_payments_raw'!E88&lt;&gt;"Оплачено",'03_payments_raw'!E88&lt;&gt;"Частично оплачено",'03_payments_raw'!E88&lt;&gt;"Не оплачено"),"ERROR","OK")),"")</x:f>
        <x:v>OK</x:v>
      </x:c>
      <x:c r="J334" t="n">
        <x:f>COUNTIF(C334:I334,"ERROR")</x:f>
        <x:v>0</x:v>
      </x:c>
      <x:c r="K334" t="n">
        <x:f>IF(COUNTA('03_payments_raw'!A88:E88)&gt;0,88,"")</x:f>
        <x:v>88</x:v>
      </x:c>
    </x:row>
    <x:row r="335">
      <x:c r="A335" t="str">
        <x:f>IF(COUNTA('03_payments_raw'!A89:E89)&gt;0,"Payment","")</x:f>
        <x:v>Payment</x:v>
      </x:c>
      <x:c r="B335" t="str">
        <x:f>IF(COUNTA('03_payments_raw'!A89:E89)&gt;0,'03_payments_raw'!A89,"")</x:f>
        <x:v>P088</x:v>
      </x:c>
      <x:c r="C335" t="str">
        <x:f>IF(COUNTA('03_payments_raw'!A89:E89)&gt;0,IF(AND(LEN('03_payments_raw'!A89&amp;"")&gt;0,COUNTIF('03_payments_raw'!$A$2:$A$141,'03_payments_raw'!A89)&gt;1),"ERROR","OK"),"")</x:f>
        <x:v>OK</x:v>
      </x:c>
      <x:c r="D335" t="str">
        <x:f>IF(COUNTA('03_payments_raw'!A89:E89)&gt;0,IF(OR(LEN('03_payments_raw'!A89&amp;"")=0,LEN('03_payments_raw'!B89&amp;"")=0,LEN('03_payments_raw'!C89&amp;"")=0,LEN('03_payments_raw'!D89&amp;"")=0,LEN('03_payments_raw'!E89&amp;"")=0),"ERROR","OK"),"")</x:f>
        <x:v>OK</x:v>
      </x:c>
      <x:c r="E335" t="str">
        <x:f>IF(COUNTA('03_payments_raw'!A89:E89)&gt;0,IF(LEN('03_payments_raw'!B89&amp;"")=0,"SKIP",IF(COUNTIF('01_orders_raw'!$A$2:$A$181,'03_payments_raw'!B89)&lt;&gt;1,"ERROR","OK")),"")</x:f>
        <x:v>OK</x:v>
      </x:c>
      <x:c r="F335" t="str">
        <x:f>IF(COUNTA('03_payments_raw'!A89:E89)&gt;0,IF(OR(COUNTIF('01_orders_raw'!$A$2:$A$181,'03_payments_raw'!B89)&lt;&gt;1,LEN('03_payments_raw'!D89&amp;"")=0),"SKIP",IF(OR(NOT(ISNUMBER('03_payments_raw'!D89)),'03_payments_raw'!D89&lt;0,'03_payments_raw'!D89&gt;INDEX('01_orders_raw'!$I$2:$I$181,MATCH('03_payments_raw'!B89,'01_orders_raw'!$A$2:$A$181,0))+'09_parameters'!$B$3),"ERROR","OK")),"")</x:f>
        <x:v>OK</x:v>
      </x:c>
      <x:c r="G335" t="str">
        <x:f>IF(COUNTA('03_payments_raw'!A89:E89)&gt;0,"N/A","")</x:f>
        <x:v>N/A</x:v>
      </x:c>
      <x:c r="H335" t="str">
        <x:f>IF(COUNTA('03_payments_raw'!A89:E89)&gt;0,IF(LEN('03_payments_raw'!C89&amp;"")=0,"SKIP",IF(IF(OR(NOT(ISNUMBER('03_payments_raw'!C89)),'03_payments_raw'!C89&lt;=0,'03_payments_raw'!C89&gt;'09_parameters'!$B$2),"ERROR","OK")="ERROR","ERROR",IF(COUNTIF('01_orders_raw'!$A$2:$A$181,'03_payments_raw'!B89)&lt;&gt;1,"SKIP",IF('03_payments_raw'!C89&lt;INDEX('01_orders_raw'!$B$2:$B$181,MATCH('03_payments_raw'!B89,'01_orders_raw'!$A$2:$A$181,0)),"ERROR","OK")))),"")</x:f>
        <x:v>OK</x:v>
      </x:c>
      <x:c r="I335" t="str">
        <x:f>IF(COUNTA('03_payments_raw'!A89:E89)&gt;0,IF(LEN('03_payments_raw'!E89&amp;"")=0,"SKIP",IF(AND('03_payments_raw'!E89&lt;&gt;"Оплачено",'03_payments_raw'!E89&lt;&gt;"Частично оплачено",'03_payments_raw'!E89&lt;&gt;"Не оплачено"),"ERROR","OK")),"")</x:f>
        <x:v>OK</x:v>
      </x:c>
      <x:c r="J335" t="n">
        <x:f>COUNTIF(C335:I335,"ERROR")</x:f>
        <x:v>0</x:v>
      </x:c>
      <x:c r="K335" t="n">
        <x:f>IF(COUNTA('03_payments_raw'!A89:E89)&gt;0,89,"")</x:f>
        <x:v>89</x:v>
      </x:c>
    </x:row>
    <x:row r="336">
      <x:c r="A336" t="str">
        <x:f>IF(COUNTA('03_payments_raw'!A90:E90)&gt;0,"Payment","")</x:f>
        <x:v>Payment</x:v>
      </x:c>
      <x:c r="B336" t="str">
        <x:f>IF(COUNTA('03_payments_raw'!A90:E90)&gt;0,'03_payments_raw'!A90,"")</x:f>
        <x:v>P089</x:v>
      </x:c>
      <x:c r="C336" t="str">
        <x:f>IF(COUNTA('03_payments_raw'!A90:E90)&gt;0,IF(AND(LEN('03_payments_raw'!A90&amp;"")&gt;0,COUNTIF('03_payments_raw'!$A$2:$A$141,'03_payments_raw'!A90)&gt;1),"ERROR","OK"),"")</x:f>
        <x:v>OK</x:v>
      </x:c>
      <x:c r="D336" t="str">
        <x:f>IF(COUNTA('03_payments_raw'!A90:E90)&gt;0,IF(OR(LEN('03_payments_raw'!A90&amp;"")=0,LEN('03_payments_raw'!B90&amp;"")=0,LEN('03_payments_raw'!C90&amp;"")=0,LEN('03_payments_raw'!D90&amp;"")=0,LEN('03_payments_raw'!E90&amp;"")=0),"ERROR","OK"),"")</x:f>
        <x:v>OK</x:v>
      </x:c>
      <x:c r="E336" t="str">
        <x:f>IF(COUNTA('03_payments_raw'!A90:E90)&gt;0,IF(LEN('03_payments_raw'!B90&amp;"")=0,"SKIP",IF(COUNTIF('01_orders_raw'!$A$2:$A$181,'03_payments_raw'!B90)&lt;&gt;1,"ERROR","OK")),"")</x:f>
        <x:v>OK</x:v>
      </x:c>
      <x:c r="F336" t="str">
        <x:f>IF(COUNTA('03_payments_raw'!A90:E90)&gt;0,IF(OR(COUNTIF('01_orders_raw'!$A$2:$A$181,'03_payments_raw'!B90)&lt;&gt;1,LEN('03_payments_raw'!D90&amp;"")=0),"SKIP",IF(OR(NOT(ISNUMBER('03_payments_raw'!D90)),'03_payments_raw'!D90&lt;0,'03_payments_raw'!D90&gt;INDEX('01_orders_raw'!$I$2:$I$181,MATCH('03_payments_raw'!B90,'01_orders_raw'!$A$2:$A$181,0))+'09_parameters'!$B$3),"ERROR","OK")),"")</x:f>
        <x:v>OK</x:v>
      </x:c>
      <x:c r="G336" t="str">
        <x:f>IF(COUNTA('03_payments_raw'!A90:E90)&gt;0,"N/A","")</x:f>
        <x:v>N/A</x:v>
      </x:c>
      <x:c r="H336" t="str">
        <x:f>IF(COUNTA('03_payments_raw'!A90:E90)&gt;0,IF(LEN('03_payments_raw'!C90&amp;"")=0,"SKIP",IF(IF(OR(NOT(ISNUMBER('03_payments_raw'!C90)),'03_payments_raw'!C90&lt;=0,'03_payments_raw'!C90&gt;'09_parameters'!$B$2),"ERROR","OK")="ERROR","ERROR",IF(COUNTIF('01_orders_raw'!$A$2:$A$181,'03_payments_raw'!B90)&lt;&gt;1,"SKIP",IF('03_payments_raw'!C90&lt;INDEX('01_orders_raw'!$B$2:$B$181,MATCH('03_payments_raw'!B90,'01_orders_raw'!$A$2:$A$181,0)),"ERROR","OK")))),"")</x:f>
        <x:v>OK</x:v>
      </x:c>
      <x:c r="I336" t="str">
        <x:f>IF(COUNTA('03_payments_raw'!A90:E90)&gt;0,IF(LEN('03_payments_raw'!E90&amp;"")=0,"SKIP",IF(AND('03_payments_raw'!E90&lt;&gt;"Оплачено",'03_payments_raw'!E90&lt;&gt;"Частично оплачено",'03_payments_raw'!E90&lt;&gt;"Не оплачено"),"ERROR","OK")),"")</x:f>
        <x:v>OK</x:v>
      </x:c>
      <x:c r="J336" t="n">
        <x:f>COUNTIF(C336:I336,"ERROR")</x:f>
        <x:v>0</x:v>
      </x:c>
      <x:c r="K336" t="n">
        <x:f>IF(COUNTA('03_payments_raw'!A90:E90)&gt;0,90,"")</x:f>
        <x:v>90</x:v>
      </x:c>
    </x:row>
    <x:row r="337">
      <x:c r="A337" t="str">
        <x:f>IF(COUNTA('03_payments_raw'!A91:E91)&gt;0,"Payment","")</x:f>
        <x:v>Payment</x:v>
      </x:c>
      <x:c r="B337" t="str">
        <x:f>IF(COUNTA('03_payments_raw'!A91:E91)&gt;0,'03_payments_raw'!A91,"")</x:f>
        <x:v>P090</x:v>
      </x:c>
      <x:c r="C337" t="str">
        <x:f>IF(COUNTA('03_payments_raw'!A91:E91)&gt;0,IF(AND(LEN('03_payments_raw'!A91&amp;"")&gt;0,COUNTIF('03_payments_raw'!$A$2:$A$141,'03_payments_raw'!A91)&gt;1),"ERROR","OK"),"")</x:f>
        <x:v>OK</x:v>
      </x:c>
      <x:c r="D337" t="str">
        <x:f>IF(COUNTA('03_payments_raw'!A91:E91)&gt;0,IF(OR(LEN('03_payments_raw'!A91&amp;"")=0,LEN('03_payments_raw'!B91&amp;"")=0,LEN('03_payments_raw'!C91&amp;"")=0,LEN('03_payments_raw'!D91&amp;"")=0,LEN('03_payments_raw'!E91&amp;"")=0),"ERROR","OK"),"")</x:f>
        <x:v>OK</x:v>
      </x:c>
      <x:c r="E337" t="str">
        <x:f>IF(COUNTA('03_payments_raw'!A91:E91)&gt;0,IF(LEN('03_payments_raw'!B91&amp;"")=0,"SKIP",IF(COUNTIF('01_orders_raw'!$A$2:$A$181,'03_payments_raw'!B91)&lt;&gt;1,"ERROR","OK")),"")</x:f>
        <x:v>OK</x:v>
      </x:c>
      <x:c r="F337" t="str">
        <x:f>IF(COUNTA('03_payments_raw'!A91:E91)&gt;0,IF(OR(COUNTIF('01_orders_raw'!$A$2:$A$181,'03_payments_raw'!B91)&lt;&gt;1,LEN('03_payments_raw'!D91&amp;"")=0),"SKIP",IF(OR(NOT(ISNUMBER('03_payments_raw'!D91)),'03_payments_raw'!D91&lt;0,'03_payments_raw'!D91&gt;INDEX('01_orders_raw'!$I$2:$I$181,MATCH('03_payments_raw'!B91,'01_orders_raw'!$A$2:$A$181,0))+'09_parameters'!$B$3),"ERROR","OK")),"")</x:f>
        <x:v>OK</x:v>
      </x:c>
      <x:c r="G337" t="str">
        <x:f>IF(COUNTA('03_payments_raw'!A91:E91)&gt;0,"N/A","")</x:f>
        <x:v>N/A</x:v>
      </x:c>
      <x:c r="H337" t="str">
        <x:f>IF(COUNTA('03_payments_raw'!A91:E91)&gt;0,IF(LEN('03_payments_raw'!C91&amp;"")=0,"SKIP",IF(IF(OR(NOT(ISNUMBER('03_payments_raw'!C91)),'03_payments_raw'!C91&lt;=0,'03_payments_raw'!C91&gt;'09_parameters'!$B$2),"ERROR","OK")="ERROR","ERROR",IF(COUNTIF('01_orders_raw'!$A$2:$A$181,'03_payments_raw'!B91)&lt;&gt;1,"SKIP",IF('03_payments_raw'!C91&lt;INDEX('01_orders_raw'!$B$2:$B$181,MATCH('03_payments_raw'!B91,'01_orders_raw'!$A$2:$A$181,0)),"ERROR","OK")))),"")</x:f>
        <x:v>OK</x:v>
      </x:c>
      <x:c r="I337" t="str">
        <x:f>IF(COUNTA('03_payments_raw'!A91:E91)&gt;0,IF(LEN('03_payments_raw'!E91&amp;"")=0,"SKIP",IF(AND('03_payments_raw'!E91&lt;&gt;"Оплачено",'03_payments_raw'!E91&lt;&gt;"Частично оплачено",'03_payments_raw'!E91&lt;&gt;"Не оплачено"),"ERROR","OK")),"")</x:f>
        <x:v>OK</x:v>
      </x:c>
      <x:c r="J337" t="n">
        <x:f>COUNTIF(C337:I337,"ERROR")</x:f>
        <x:v>0</x:v>
      </x:c>
      <x:c r="K337" t="n">
        <x:f>IF(COUNTA('03_payments_raw'!A91:E91)&gt;0,91,"")</x:f>
        <x:v>91</x:v>
      </x:c>
    </x:row>
    <x:row r="338">
      <x:c r="A338" t="str">
        <x:f>IF(COUNTA('03_payments_raw'!A92:E92)&gt;0,"Payment","")</x:f>
        <x:v>Payment</x:v>
      </x:c>
      <x:c r="B338" t="str">
        <x:f>IF(COUNTA('03_payments_raw'!A92:E92)&gt;0,'03_payments_raw'!A92,"")</x:f>
        <x:v>P091</x:v>
      </x:c>
      <x:c r="C338" t="str">
        <x:f>IF(COUNTA('03_payments_raw'!A92:E92)&gt;0,IF(AND(LEN('03_payments_raw'!A92&amp;"")&gt;0,COUNTIF('03_payments_raw'!$A$2:$A$141,'03_payments_raw'!A92)&gt;1),"ERROR","OK"),"")</x:f>
        <x:v>OK</x:v>
      </x:c>
      <x:c r="D338" t="str">
        <x:f>IF(COUNTA('03_payments_raw'!A92:E92)&gt;0,IF(OR(LEN('03_payments_raw'!A92&amp;"")=0,LEN('03_payments_raw'!B92&amp;"")=0,LEN('03_payments_raw'!C92&amp;"")=0,LEN('03_payments_raw'!D92&amp;"")=0,LEN('03_payments_raw'!E92&amp;"")=0),"ERROR","OK"),"")</x:f>
        <x:v>OK</x:v>
      </x:c>
      <x:c r="E338" t="str">
        <x:f>IF(COUNTA('03_payments_raw'!A92:E92)&gt;0,IF(LEN('03_payments_raw'!B92&amp;"")=0,"SKIP",IF(COUNTIF('01_orders_raw'!$A$2:$A$181,'03_payments_raw'!B92)&lt;&gt;1,"ERROR","OK")),"")</x:f>
        <x:v>OK</x:v>
      </x:c>
      <x:c r="F338" t="str">
        <x:f>IF(COUNTA('03_payments_raw'!A92:E92)&gt;0,IF(OR(COUNTIF('01_orders_raw'!$A$2:$A$181,'03_payments_raw'!B92)&lt;&gt;1,LEN('03_payments_raw'!D92&amp;"")=0),"SKIP",IF(OR(NOT(ISNUMBER('03_payments_raw'!D92)),'03_payments_raw'!D92&lt;0,'03_payments_raw'!D92&gt;INDEX('01_orders_raw'!$I$2:$I$181,MATCH('03_payments_raw'!B92,'01_orders_raw'!$A$2:$A$181,0))+'09_parameters'!$B$3),"ERROR","OK")),"")</x:f>
        <x:v>OK</x:v>
      </x:c>
      <x:c r="G338" t="str">
        <x:f>IF(COUNTA('03_payments_raw'!A92:E92)&gt;0,"N/A","")</x:f>
        <x:v>N/A</x:v>
      </x:c>
      <x:c r="H338" t="str">
        <x:f>IF(COUNTA('03_payments_raw'!A92:E92)&gt;0,IF(LEN('03_payments_raw'!C92&amp;"")=0,"SKIP",IF(IF(OR(NOT(ISNUMBER('03_payments_raw'!C92)),'03_payments_raw'!C92&lt;=0,'03_payments_raw'!C92&gt;'09_parameters'!$B$2),"ERROR","OK")="ERROR","ERROR",IF(COUNTIF('01_orders_raw'!$A$2:$A$181,'03_payments_raw'!B92)&lt;&gt;1,"SKIP",IF('03_payments_raw'!C92&lt;INDEX('01_orders_raw'!$B$2:$B$181,MATCH('03_payments_raw'!B92,'01_orders_raw'!$A$2:$A$181,0)),"ERROR","OK")))),"")</x:f>
        <x:v>OK</x:v>
      </x:c>
      <x:c r="I338" t="str">
        <x:f>IF(COUNTA('03_payments_raw'!A92:E92)&gt;0,IF(LEN('03_payments_raw'!E92&amp;"")=0,"SKIP",IF(AND('03_payments_raw'!E92&lt;&gt;"Оплачено",'03_payments_raw'!E92&lt;&gt;"Частично оплачено",'03_payments_raw'!E92&lt;&gt;"Не оплачено"),"ERROR","OK")),"")</x:f>
        <x:v>OK</x:v>
      </x:c>
      <x:c r="J338" t="n">
        <x:f>COUNTIF(C338:I338,"ERROR")</x:f>
        <x:v>0</x:v>
      </x:c>
      <x:c r="K338" t="n">
        <x:f>IF(COUNTA('03_payments_raw'!A92:E92)&gt;0,92,"")</x:f>
        <x:v>92</x:v>
      </x:c>
    </x:row>
    <x:row r="339">
      <x:c r="A339" t="str">
        <x:f>IF(COUNTA('03_payments_raw'!A93:E93)&gt;0,"Payment","")</x:f>
        <x:v>Payment</x:v>
      </x:c>
      <x:c r="B339" t="str">
        <x:f>IF(COUNTA('03_payments_raw'!A93:E93)&gt;0,'03_payments_raw'!A93,"")</x:f>
        <x:v>P092</x:v>
      </x:c>
      <x:c r="C339" t="str">
        <x:f>IF(COUNTA('03_payments_raw'!A93:E93)&gt;0,IF(AND(LEN('03_payments_raw'!A93&amp;"")&gt;0,COUNTIF('03_payments_raw'!$A$2:$A$141,'03_payments_raw'!A93)&gt;1),"ERROR","OK"),"")</x:f>
        <x:v>OK</x:v>
      </x:c>
      <x:c r="D339" t="str">
        <x:f>IF(COUNTA('03_payments_raw'!A93:E93)&gt;0,IF(OR(LEN('03_payments_raw'!A93&amp;"")=0,LEN('03_payments_raw'!B93&amp;"")=0,LEN('03_payments_raw'!C93&amp;"")=0,LEN('03_payments_raw'!D93&amp;"")=0,LEN('03_payments_raw'!E93&amp;"")=0),"ERROR","OK"),"")</x:f>
        <x:v>OK</x:v>
      </x:c>
      <x:c r="E339" t="str">
        <x:f>IF(COUNTA('03_payments_raw'!A93:E93)&gt;0,IF(LEN('03_payments_raw'!B93&amp;"")=0,"SKIP",IF(COUNTIF('01_orders_raw'!$A$2:$A$181,'03_payments_raw'!B93)&lt;&gt;1,"ERROR","OK")),"")</x:f>
        <x:v>OK</x:v>
      </x:c>
      <x:c r="F339" t="str">
        <x:f>IF(COUNTA('03_payments_raw'!A93:E93)&gt;0,IF(OR(COUNTIF('01_orders_raw'!$A$2:$A$181,'03_payments_raw'!B93)&lt;&gt;1,LEN('03_payments_raw'!D93&amp;"")=0),"SKIP",IF(OR(NOT(ISNUMBER('03_payments_raw'!D93)),'03_payments_raw'!D93&lt;0,'03_payments_raw'!D93&gt;INDEX('01_orders_raw'!$I$2:$I$181,MATCH('03_payments_raw'!B93,'01_orders_raw'!$A$2:$A$181,0))+'09_parameters'!$B$3),"ERROR","OK")),"")</x:f>
        <x:v>OK</x:v>
      </x:c>
      <x:c r="G339" t="str">
        <x:f>IF(COUNTA('03_payments_raw'!A93:E93)&gt;0,"N/A","")</x:f>
        <x:v>N/A</x:v>
      </x:c>
      <x:c r="H339" t="str">
        <x:f>IF(COUNTA('03_payments_raw'!A93:E93)&gt;0,IF(LEN('03_payments_raw'!C93&amp;"")=0,"SKIP",IF(IF(OR(NOT(ISNUMBER('03_payments_raw'!C93)),'03_payments_raw'!C93&lt;=0,'03_payments_raw'!C93&gt;'09_parameters'!$B$2),"ERROR","OK")="ERROR","ERROR",IF(COUNTIF('01_orders_raw'!$A$2:$A$181,'03_payments_raw'!B93)&lt;&gt;1,"SKIP",IF('03_payments_raw'!C93&lt;INDEX('01_orders_raw'!$B$2:$B$181,MATCH('03_payments_raw'!B93,'01_orders_raw'!$A$2:$A$181,0)),"ERROR","OK")))),"")</x:f>
        <x:v>OK</x:v>
      </x:c>
      <x:c r="I339" t="str">
        <x:f>IF(COUNTA('03_payments_raw'!A93:E93)&gt;0,IF(LEN('03_payments_raw'!E93&amp;"")=0,"SKIP",IF(AND('03_payments_raw'!E93&lt;&gt;"Оплачено",'03_payments_raw'!E93&lt;&gt;"Частично оплачено",'03_payments_raw'!E93&lt;&gt;"Не оплачено"),"ERROR","OK")),"")</x:f>
        <x:v>OK</x:v>
      </x:c>
      <x:c r="J339" t="n">
        <x:f>COUNTIF(C339:I339,"ERROR")</x:f>
        <x:v>0</x:v>
      </x:c>
      <x:c r="K339" t="n">
        <x:f>IF(COUNTA('03_payments_raw'!A93:E93)&gt;0,93,"")</x:f>
        <x:v>93</x:v>
      </x:c>
    </x:row>
    <x:row r="340">
      <x:c r="A340" t="str">
        <x:f>IF(COUNTA('03_payments_raw'!A94:E94)&gt;0,"Payment","")</x:f>
        <x:v>Payment</x:v>
      </x:c>
      <x:c r="B340" t="str">
        <x:f>IF(COUNTA('03_payments_raw'!A94:E94)&gt;0,'03_payments_raw'!A94,"")</x:f>
        <x:v>P093</x:v>
      </x:c>
      <x:c r="C340" t="str">
        <x:f>IF(COUNTA('03_payments_raw'!A94:E94)&gt;0,IF(AND(LEN('03_payments_raw'!A94&amp;"")&gt;0,COUNTIF('03_payments_raw'!$A$2:$A$141,'03_payments_raw'!A94)&gt;1),"ERROR","OK"),"")</x:f>
        <x:v>OK</x:v>
      </x:c>
      <x:c r="D340" t="str">
        <x:f>IF(COUNTA('03_payments_raw'!A94:E94)&gt;0,IF(OR(LEN('03_payments_raw'!A94&amp;"")=0,LEN('03_payments_raw'!B94&amp;"")=0,LEN('03_payments_raw'!C94&amp;"")=0,LEN('03_payments_raw'!D94&amp;"")=0,LEN('03_payments_raw'!E94&amp;"")=0),"ERROR","OK"),"")</x:f>
        <x:v>OK</x:v>
      </x:c>
      <x:c r="E340" t="str">
        <x:f>IF(COUNTA('03_payments_raw'!A94:E94)&gt;0,IF(LEN('03_payments_raw'!B94&amp;"")=0,"SKIP",IF(COUNTIF('01_orders_raw'!$A$2:$A$181,'03_payments_raw'!B94)&lt;&gt;1,"ERROR","OK")),"")</x:f>
        <x:v>OK</x:v>
      </x:c>
      <x:c r="F340" t="str">
        <x:f>IF(COUNTA('03_payments_raw'!A94:E94)&gt;0,IF(OR(COUNTIF('01_orders_raw'!$A$2:$A$181,'03_payments_raw'!B94)&lt;&gt;1,LEN('03_payments_raw'!D94&amp;"")=0),"SKIP",IF(OR(NOT(ISNUMBER('03_payments_raw'!D94)),'03_payments_raw'!D94&lt;0,'03_payments_raw'!D94&gt;INDEX('01_orders_raw'!$I$2:$I$181,MATCH('03_payments_raw'!B94,'01_orders_raw'!$A$2:$A$181,0))+'09_parameters'!$B$3),"ERROR","OK")),"")</x:f>
        <x:v>OK</x:v>
      </x:c>
      <x:c r="G340" t="str">
        <x:f>IF(COUNTA('03_payments_raw'!A94:E94)&gt;0,"N/A","")</x:f>
        <x:v>N/A</x:v>
      </x:c>
      <x:c r="H340" t="str">
        <x:f>IF(COUNTA('03_payments_raw'!A94:E94)&gt;0,IF(LEN('03_payments_raw'!C94&amp;"")=0,"SKIP",IF(IF(OR(NOT(ISNUMBER('03_payments_raw'!C94)),'03_payments_raw'!C94&lt;=0,'03_payments_raw'!C94&gt;'09_parameters'!$B$2),"ERROR","OK")="ERROR","ERROR",IF(COUNTIF('01_orders_raw'!$A$2:$A$181,'03_payments_raw'!B94)&lt;&gt;1,"SKIP",IF('03_payments_raw'!C94&lt;INDEX('01_orders_raw'!$B$2:$B$181,MATCH('03_payments_raw'!B94,'01_orders_raw'!$A$2:$A$181,0)),"ERROR","OK")))),"")</x:f>
        <x:v>OK</x:v>
      </x:c>
      <x:c r="I340" t="str">
        <x:f>IF(COUNTA('03_payments_raw'!A94:E94)&gt;0,IF(LEN('03_payments_raw'!E94&amp;"")=0,"SKIP",IF(AND('03_payments_raw'!E94&lt;&gt;"Оплачено",'03_payments_raw'!E94&lt;&gt;"Частично оплачено",'03_payments_raw'!E94&lt;&gt;"Не оплачено"),"ERROR","OK")),"")</x:f>
        <x:v>OK</x:v>
      </x:c>
      <x:c r="J340" t="n">
        <x:f>COUNTIF(C340:I340,"ERROR")</x:f>
        <x:v>0</x:v>
      </x:c>
      <x:c r="K340" t="n">
        <x:f>IF(COUNTA('03_payments_raw'!A94:E94)&gt;0,94,"")</x:f>
        <x:v>94</x:v>
      </x:c>
    </x:row>
    <x:row r="341">
      <x:c r="A341" t="str">
        <x:f>IF(COUNTA('03_payments_raw'!A95:E95)&gt;0,"Payment","")</x:f>
        <x:v>Payment</x:v>
      </x:c>
      <x:c r="B341" t="str">
        <x:f>IF(COUNTA('03_payments_raw'!A95:E95)&gt;0,'03_payments_raw'!A95,"")</x:f>
        <x:v>P094</x:v>
      </x:c>
      <x:c r="C341" t="str">
        <x:f>IF(COUNTA('03_payments_raw'!A95:E95)&gt;0,IF(AND(LEN('03_payments_raw'!A95&amp;"")&gt;0,COUNTIF('03_payments_raw'!$A$2:$A$141,'03_payments_raw'!A95)&gt;1),"ERROR","OK"),"")</x:f>
        <x:v>OK</x:v>
      </x:c>
      <x:c r="D341" t="str">
        <x:f>IF(COUNTA('03_payments_raw'!A95:E95)&gt;0,IF(OR(LEN('03_payments_raw'!A95&amp;"")=0,LEN('03_payments_raw'!B95&amp;"")=0,LEN('03_payments_raw'!C95&amp;"")=0,LEN('03_payments_raw'!D95&amp;"")=0,LEN('03_payments_raw'!E95&amp;"")=0),"ERROR","OK"),"")</x:f>
        <x:v>OK</x:v>
      </x:c>
      <x:c r="E341" t="str">
        <x:f>IF(COUNTA('03_payments_raw'!A95:E95)&gt;0,IF(LEN('03_payments_raw'!B95&amp;"")=0,"SKIP",IF(COUNTIF('01_orders_raw'!$A$2:$A$181,'03_payments_raw'!B95)&lt;&gt;1,"ERROR","OK")),"")</x:f>
        <x:v>OK</x:v>
      </x:c>
      <x:c r="F341" t="str">
        <x:f>IF(COUNTA('03_payments_raw'!A95:E95)&gt;0,IF(OR(COUNTIF('01_orders_raw'!$A$2:$A$181,'03_payments_raw'!B95)&lt;&gt;1,LEN('03_payments_raw'!D95&amp;"")=0),"SKIP",IF(OR(NOT(ISNUMBER('03_payments_raw'!D95)),'03_payments_raw'!D95&lt;0,'03_payments_raw'!D95&gt;INDEX('01_orders_raw'!$I$2:$I$181,MATCH('03_payments_raw'!B95,'01_orders_raw'!$A$2:$A$181,0))+'09_parameters'!$B$3),"ERROR","OK")),"")</x:f>
        <x:v>OK</x:v>
      </x:c>
      <x:c r="G341" t="str">
        <x:f>IF(COUNTA('03_payments_raw'!A95:E95)&gt;0,"N/A","")</x:f>
        <x:v>N/A</x:v>
      </x:c>
      <x:c r="H341" t="str">
        <x:f>IF(COUNTA('03_payments_raw'!A95:E95)&gt;0,IF(LEN('03_payments_raw'!C95&amp;"")=0,"SKIP",IF(IF(OR(NOT(ISNUMBER('03_payments_raw'!C95)),'03_payments_raw'!C95&lt;=0,'03_payments_raw'!C95&gt;'09_parameters'!$B$2),"ERROR","OK")="ERROR","ERROR",IF(COUNTIF('01_orders_raw'!$A$2:$A$181,'03_payments_raw'!B95)&lt;&gt;1,"SKIP",IF('03_payments_raw'!C95&lt;INDEX('01_orders_raw'!$B$2:$B$181,MATCH('03_payments_raw'!B95,'01_orders_raw'!$A$2:$A$181,0)),"ERROR","OK")))),"")</x:f>
        <x:v>OK</x:v>
      </x:c>
      <x:c r="I341" t="str">
        <x:f>IF(COUNTA('03_payments_raw'!A95:E95)&gt;0,IF(LEN('03_payments_raw'!E95&amp;"")=0,"SKIP",IF(AND('03_payments_raw'!E95&lt;&gt;"Оплачено",'03_payments_raw'!E95&lt;&gt;"Частично оплачено",'03_payments_raw'!E95&lt;&gt;"Не оплачено"),"ERROR","OK")),"")</x:f>
        <x:v>OK</x:v>
      </x:c>
      <x:c r="J341" t="n">
        <x:f>COUNTIF(C341:I341,"ERROR")</x:f>
        <x:v>0</x:v>
      </x:c>
      <x:c r="K341" t="n">
        <x:f>IF(COUNTA('03_payments_raw'!A95:E95)&gt;0,95,"")</x:f>
        <x:v>95</x:v>
      </x:c>
    </x:row>
    <x:row r="342">
      <x:c r="A342" t="str">
        <x:f>IF(COUNTA('03_payments_raw'!A96:E96)&gt;0,"Payment","")</x:f>
        <x:v>Payment</x:v>
      </x:c>
      <x:c r="B342" t="str">
        <x:f>IF(COUNTA('03_payments_raw'!A96:E96)&gt;0,'03_payments_raw'!A96,"")</x:f>
        <x:v>P095</x:v>
      </x:c>
      <x:c r="C342" t="str">
        <x:f>IF(COUNTA('03_payments_raw'!A96:E96)&gt;0,IF(AND(LEN('03_payments_raw'!A96&amp;"")&gt;0,COUNTIF('03_payments_raw'!$A$2:$A$141,'03_payments_raw'!A96)&gt;1),"ERROR","OK"),"")</x:f>
        <x:v>OK</x:v>
      </x:c>
      <x:c r="D342" t="str">
        <x:f>IF(COUNTA('03_payments_raw'!A96:E96)&gt;0,IF(OR(LEN('03_payments_raw'!A96&amp;"")=0,LEN('03_payments_raw'!B96&amp;"")=0,LEN('03_payments_raw'!C96&amp;"")=0,LEN('03_payments_raw'!D96&amp;"")=0,LEN('03_payments_raw'!E96&amp;"")=0),"ERROR","OK"),"")</x:f>
        <x:v>OK</x:v>
      </x:c>
      <x:c r="E342" t="str">
        <x:f>IF(COUNTA('03_payments_raw'!A96:E96)&gt;0,IF(LEN('03_payments_raw'!B96&amp;"")=0,"SKIP",IF(COUNTIF('01_orders_raw'!$A$2:$A$181,'03_payments_raw'!B96)&lt;&gt;1,"ERROR","OK")),"")</x:f>
        <x:v>OK</x:v>
      </x:c>
      <x:c r="F342" t="str">
        <x:f>IF(COUNTA('03_payments_raw'!A96:E96)&gt;0,IF(OR(COUNTIF('01_orders_raw'!$A$2:$A$181,'03_payments_raw'!B96)&lt;&gt;1,LEN('03_payments_raw'!D96&amp;"")=0),"SKIP",IF(OR(NOT(ISNUMBER('03_payments_raw'!D96)),'03_payments_raw'!D96&lt;0,'03_payments_raw'!D96&gt;INDEX('01_orders_raw'!$I$2:$I$181,MATCH('03_payments_raw'!B96,'01_orders_raw'!$A$2:$A$181,0))+'09_parameters'!$B$3),"ERROR","OK")),"")</x:f>
        <x:v>OK</x:v>
      </x:c>
      <x:c r="G342" t="str">
        <x:f>IF(COUNTA('03_payments_raw'!A96:E96)&gt;0,"N/A","")</x:f>
        <x:v>N/A</x:v>
      </x:c>
      <x:c r="H342" t="str">
        <x:f>IF(COUNTA('03_payments_raw'!A96:E96)&gt;0,IF(LEN('03_payments_raw'!C96&amp;"")=0,"SKIP",IF(IF(OR(NOT(ISNUMBER('03_payments_raw'!C96)),'03_payments_raw'!C96&lt;=0,'03_payments_raw'!C96&gt;'09_parameters'!$B$2),"ERROR","OK")="ERROR","ERROR",IF(COUNTIF('01_orders_raw'!$A$2:$A$181,'03_payments_raw'!B96)&lt;&gt;1,"SKIP",IF('03_payments_raw'!C96&lt;INDEX('01_orders_raw'!$B$2:$B$181,MATCH('03_payments_raw'!B96,'01_orders_raw'!$A$2:$A$181,0)),"ERROR","OK")))),"")</x:f>
        <x:v>OK</x:v>
      </x:c>
      <x:c r="I342" t="str">
        <x:f>IF(COUNTA('03_payments_raw'!A96:E96)&gt;0,IF(LEN('03_payments_raw'!E96&amp;"")=0,"SKIP",IF(AND('03_payments_raw'!E96&lt;&gt;"Оплачено",'03_payments_raw'!E96&lt;&gt;"Частично оплачено",'03_payments_raw'!E96&lt;&gt;"Не оплачено"),"ERROR","OK")),"")</x:f>
        <x:v>OK</x:v>
      </x:c>
      <x:c r="J342" t="n">
        <x:f>COUNTIF(C342:I342,"ERROR")</x:f>
        <x:v>0</x:v>
      </x:c>
      <x:c r="K342" t="n">
        <x:f>IF(COUNTA('03_payments_raw'!A96:E96)&gt;0,96,"")</x:f>
        <x:v>96</x:v>
      </x:c>
    </x:row>
    <x:row r="343">
      <x:c r="A343" t="str">
        <x:f>IF(COUNTA('03_payments_raw'!A97:E97)&gt;0,"Payment","")</x:f>
        <x:v>Payment</x:v>
      </x:c>
      <x:c r="B343" t="str">
        <x:f>IF(COUNTA('03_payments_raw'!A97:E97)&gt;0,'03_payments_raw'!A97,"")</x:f>
        <x:v>P096</x:v>
      </x:c>
      <x:c r="C343" t="str">
        <x:f>IF(COUNTA('03_payments_raw'!A97:E97)&gt;0,IF(AND(LEN('03_payments_raw'!A97&amp;"")&gt;0,COUNTIF('03_payments_raw'!$A$2:$A$141,'03_payments_raw'!A97)&gt;1),"ERROR","OK"),"")</x:f>
        <x:v>OK</x:v>
      </x:c>
      <x:c r="D343" t="str">
        <x:f>IF(COUNTA('03_payments_raw'!A97:E97)&gt;0,IF(OR(LEN('03_payments_raw'!A97&amp;"")=0,LEN('03_payments_raw'!B97&amp;"")=0,LEN('03_payments_raw'!C97&amp;"")=0,LEN('03_payments_raw'!D97&amp;"")=0,LEN('03_payments_raw'!E97&amp;"")=0),"ERROR","OK"),"")</x:f>
        <x:v>OK</x:v>
      </x:c>
      <x:c r="E343" t="str">
        <x:f>IF(COUNTA('03_payments_raw'!A97:E97)&gt;0,IF(LEN('03_payments_raw'!B97&amp;"")=0,"SKIP",IF(COUNTIF('01_orders_raw'!$A$2:$A$181,'03_payments_raw'!B97)&lt;&gt;1,"ERROR","OK")),"")</x:f>
        <x:v>OK</x:v>
      </x:c>
      <x:c r="F343" t="str">
        <x:f>IF(COUNTA('03_payments_raw'!A97:E97)&gt;0,IF(OR(COUNTIF('01_orders_raw'!$A$2:$A$181,'03_payments_raw'!B97)&lt;&gt;1,LEN('03_payments_raw'!D97&amp;"")=0),"SKIP",IF(OR(NOT(ISNUMBER('03_payments_raw'!D97)),'03_payments_raw'!D97&lt;0,'03_payments_raw'!D97&gt;INDEX('01_orders_raw'!$I$2:$I$181,MATCH('03_payments_raw'!B97,'01_orders_raw'!$A$2:$A$181,0))+'09_parameters'!$B$3),"ERROR","OK")),"")</x:f>
        <x:v>OK</x:v>
      </x:c>
      <x:c r="G343" t="str">
        <x:f>IF(COUNTA('03_payments_raw'!A97:E97)&gt;0,"N/A","")</x:f>
        <x:v>N/A</x:v>
      </x:c>
      <x:c r="H343" t="str">
        <x:f>IF(COUNTA('03_payments_raw'!A97:E97)&gt;0,IF(LEN('03_payments_raw'!C97&amp;"")=0,"SKIP",IF(IF(OR(NOT(ISNUMBER('03_payments_raw'!C97)),'03_payments_raw'!C97&lt;=0,'03_payments_raw'!C97&gt;'09_parameters'!$B$2),"ERROR","OK")="ERROR","ERROR",IF(COUNTIF('01_orders_raw'!$A$2:$A$181,'03_payments_raw'!B97)&lt;&gt;1,"SKIP",IF('03_payments_raw'!C97&lt;INDEX('01_orders_raw'!$B$2:$B$181,MATCH('03_payments_raw'!B97,'01_orders_raw'!$A$2:$A$181,0)),"ERROR","OK")))),"")</x:f>
        <x:v>OK</x:v>
      </x:c>
      <x:c r="I343" t="str">
        <x:f>IF(COUNTA('03_payments_raw'!A97:E97)&gt;0,IF(LEN('03_payments_raw'!E97&amp;"")=0,"SKIP",IF(AND('03_payments_raw'!E97&lt;&gt;"Оплачено",'03_payments_raw'!E97&lt;&gt;"Частично оплачено",'03_payments_raw'!E97&lt;&gt;"Не оплачено"),"ERROR","OK")),"")</x:f>
        <x:v>OK</x:v>
      </x:c>
      <x:c r="J343" t="n">
        <x:f>COUNTIF(C343:I343,"ERROR")</x:f>
        <x:v>0</x:v>
      </x:c>
      <x:c r="K343" t="n">
        <x:f>IF(COUNTA('03_payments_raw'!A97:E97)&gt;0,97,"")</x:f>
        <x:v>97</x:v>
      </x:c>
    </x:row>
    <x:row r="344">
      <x:c r="A344" t="str">
        <x:f>IF(COUNTA('03_payments_raw'!A98:E98)&gt;0,"Payment","")</x:f>
        <x:v>Payment</x:v>
      </x:c>
      <x:c r="B344" t="str">
        <x:f>IF(COUNTA('03_payments_raw'!A98:E98)&gt;0,'03_payments_raw'!A98,"")</x:f>
        <x:v>P097</x:v>
      </x:c>
      <x:c r="C344" t="str">
        <x:f>IF(COUNTA('03_payments_raw'!A98:E98)&gt;0,IF(AND(LEN('03_payments_raw'!A98&amp;"")&gt;0,COUNTIF('03_payments_raw'!$A$2:$A$141,'03_payments_raw'!A98)&gt;1),"ERROR","OK"),"")</x:f>
        <x:v>OK</x:v>
      </x:c>
      <x:c r="D344" t="str">
        <x:f>IF(COUNTA('03_payments_raw'!A98:E98)&gt;0,IF(OR(LEN('03_payments_raw'!A98&amp;"")=0,LEN('03_payments_raw'!B98&amp;"")=0,LEN('03_payments_raw'!C98&amp;"")=0,LEN('03_payments_raw'!D98&amp;"")=0,LEN('03_payments_raw'!E98&amp;"")=0),"ERROR","OK"),"")</x:f>
        <x:v>OK</x:v>
      </x:c>
      <x:c r="E344" t="str">
        <x:f>IF(COUNTA('03_payments_raw'!A98:E98)&gt;0,IF(LEN('03_payments_raw'!B98&amp;"")=0,"SKIP",IF(COUNTIF('01_orders_raw'!$A$2:$A$181,'03_payments_raw'!B98)&lt;&gt;1,"ERROR","OK")),"")</x:f>
        <x:v>OK</x:v>
      </x:c>
      <x:c r="F344" t="str">
        <x:f>IF(COUNTA('03_payments_raw'!A98:E98)&gt;0,IF(OR(COUNTIF('01_orders_raw'!$A$2:$A$181,'03_payments_raw'!B98)&lt;&gt;1,LEN('03_payments_raw'!D98&amp;"")=0),"SKIP",IF(OR(NOT(ISNUMBER('03_payments_raw'!D98)),'03_payments_raw'!D98&lt;0,'03_payments_raw'!D98&gt;INDEX('01_orders_raw'!$I$2:$I$181,MATCH('03_payments_raw'!B98,'01_orders_raw'!$A$2:$A$181,0))+'09_parameters'!$B$3),"ERROR","OK")),"")</x:f>
        <x:v>OK</x:v>
      </x:c>
      <x:c r="G344" t="str">
        <x:f>IF(COUNTA('03_payments_raw'!A98:E98)&gt;0,"N/A","")</x:f>
        <x:v>N/A</x:v>
      </x:c>
      <x:c r="H344" t="str">
        <x:f>IF(COUNTA('03_payments_raw'!A98:E98)&gt;0,IF(LEN('03_payments_raw'!C98&amp;"")=0,"SKIP",IF(IF(OR(NOT(ISNUMBER('03_payments_raw'!C98)),'03_payments_raw'!C98&lt;=0,'03_payments_raw'!C98&gt;'09_parameters'!$B$2),"ERROR","OK")="ERROR","ERROR",IF(COUNTIF('01_orders_raw'!$A$2:$A$181,'03_payments_raw'!B98)&lt;&gt;1,"SKIP",IF('03_payments_raw'!C98&lt;INDEX('01_orders_raw'!$B$2:$B$181,MATCH('03_payments_raw'!B98,'01_orders_raw'!$A$2:$A$181,0)),"ERROR","OK")))),"")</x:f>
        <x:v>OK</x:v>
      </x:c>
      <x:c r="I344" t="str">
        <x:f>IF(COUNTA('03_payments_raw'!A98:E98)&gt;0,IF(LEN('03_payments_raw'!E98&amp;"")=0,"SKIP",IF(AND('03_payments_raw'!E98&lt;&gt;"Оплачено",'03_payments_raw'!E98&lt;&gt;"Частично оплачено",'03_payments_raw'!E98&lt;&gt;"Не оплачено"),"ERROR","OK")),"")</x:f>
        <x:v>OK</x:v>
      </x:c>
      <x:c r="J344" t="n">
        <x:f>COUNTIF(C344:I344,"ERROR")</x:f>
        <x:v>0</x:v>
      </x:c>
      <x:c r="K344" t="n">
        <x:f>IF(COUNTA('03_payments_raw'!A98:E98)&gt;0,98,"")</x:f>
        <x:v>98</x:v>
      </x:c>
    </x:row>
    <x:row r="345">
      <x:c r="A345" t="str">
        <x:f>IF(COUNTA('03_payments_raw'!A99:E99)&gt;0,"Payment","")</x:f>
        <x:v>Payment</x:v>
      </x:c>
      <x:c r="B345" t="str">
        <x:f>IF(COUNTA('03_payments_raw'!A99:E99)&gt;0,'03_payments_raw'!A99,"")</x:f>
        <x:v>P098</x:v>
      </x:c>
      <x:c r="C345" t="str">
        <x:f>IF(COUNTA('03_payments_raw'!A99:E99)&gt;0,IF(AND(LEN('03_payments_raw'!A99&amp;"")&gt;0,COUNTIF('03_payments_raw'!$A$2:$A$141,'03_payments_raw'!A99)&gt;1),"ERROR","OK"),"")</x:f>
        <x:v>OK</x:v>
      </x:c>
      <x:c r="D345" t="str">
        <x:f>IF(COUNTA('03_payments_raw'!A99:E99)&gt;0,IF(OR(LEN('03_payments_raw'!A99&amp;"")=0,LEN('03_payments_raw'!B99&amp;"")=0,LEN('03_payments_raw'!C99&amp;"")=0,LEN('03_payments_raw'!D99&amp;"")=0,LEN('03_payments_raw'!E99&amp;"")=0),"ERROR","OK"),"")</x:f>
        <x:v>OK</x:v>
      </x:c>
      <x:c r="E345" t="str">
        <x:f>IF(COUNTA('03_payments_raw'!A99:E99)&gt;0,IF(LEN('03_payments_raw'!B99&amp;"")=0,"SKIP",IF(COUNTIF('01_orders_raw'!$A$2:$A$181,'03_payments_raw'!B99)&lt;&gt;1,"ERROR","OK")),"")</x:f>
        <x:v>OK</x:v>
      </x:c>
      <x:c r="F345" t="str">
        <x:f>IF(COUNTA('03_payments_raw'!A99:E99)&gt;0,IF(OR(COUNTIF('01_orders_raw'!$A$2:$A$181,'03_payments_raw'!B99)&lt;&gt;1,LEN('03_payments_raw'!D99&amp;"")=0),"SKIP",IF(OR(NOT(ISNUMBER('03_payments_raw'!D99)),'03_payments_raw'!D99&lt;0,'03_payments_raw'!D99&gt;INDEX('01_orders_raw'!$I$2:$I$181,MATCH('03_payments_raw'!B99,'01_orders_raw'!$A$2:$A$181,0))+'09_parameters'!$B$3),"ERROR","OK")),"")</x:f>
        <x:v>OK</x:v>
      </x:c>
      <x:c r="G345" t="str">
        <x:f>IF(COUNTA('03_payments_raw'!A99:E99)&gt;0,"N/A","")</x:f>
        <x:v>N/A</x:v>
      </x:c>
      <x:c r="H345" t="str">
        <x:f>IF(COUNTA('03_payments_raw'!A99:E99)&gt;0,IF(LEN('03_payments_raw'!C99&amp;"")=0,"SKIP",IF(IF(OR(NOT(ISNUMBER('03_payments_raw'!C99)),'03_payments_raw'!C99&lt;=0,'03_payments_raw'!C99&gt;'09_parameters'!$B$2),"ERROR","OK")="ERROR","ERROR",IF(COUNTIF('01_orders_raw'!$A$2:$A$181,'03_payments_raw'!B99)&lt;&gt;1,"SKIP",IF('03_payments_raw'!C99&lt;INDEX('01_orders_raw'!$B$2:$B$181,MATCH('03_payments_raw'!B99,'01_orders_raw'!$A$2:$A$181,0)),"ERROR","OK")))),"")</x:f>
        <x:v>OK</x:v>
      </x:c>
      <x:c r="I345" t="str">
        <x:f>IF(COUNTA('03_payments_raw'!A99:E99)&gt;0,IF(LEN('03_payments_raw'!E99&amp;"")=0,"SKIP",IF(AND('03_payments_raw'!E99&lt;&gt;"Оплачено",'03_payments_raw'!E99&lt;&gt;"Частично оплачено",'03_payments_raw'!E99&lt;&gt;"Не оплачено"),"ERROR","OK")),"")</x:f>
        <x:v>OK</x:v>
      </x:c>
      <x:c r="J345" t="n">
        <x:f>COUNTIF(C345:I345,"ERROR")</x:f>
        <x:v>0</x:v>
      </x:c>
      <x:c r="K345" t="n">
        <x:f>IF(COUNTA('03_payments_raw'!A99:E99)&gt;0,99,"")</x:f>
        <x:v>99</x:v>
      </x:c>
    </x:row>
    <x:row r="346">
      <x:c r="A346" t="str">
        <x:f>IF(COUNTA('03_payments_raw'!A100:E100)&gt;0,"Payment","")</x:f>
        <x:v>Payment</x:v>
      </x:c>
      <x:c r="B346" t="str">
        <x:f>IF(COUNTA('03_payments_raw'!A100:E100)&gt;0,'03_payments_raw'!A100,"")</x:f>
        <x:v>P099</x:v>
      </x:c>
      <x:c r="C346" t="str">
        <x:f>IF(COUNTA('03_payments_raw'!A100:E100)&gt;0,IF(AND(LEN('03_payments_raw'!A100&amp;"")&gt;0,COUNTIF('03_payments_raw'!$A$2:$A$141,'03_payments_raw'!A100)&gt;1),"ERROR","OK"),"")</x:f>
        <x:v>OK</x:v>
      </x:c>
      <x:c r="D346" t="str">
        <x:f>IF(COUNTA('03_payments_raw'!A100:E100)&gt;0,IF(OR(LEN('03_payments_raw'!A100&amp;"")=0,LEN('03_payments_raw'!B100&amp;"")=0,LEN('03_payments_raw'!C100&amp;"")=0,LEN('03_payments_raw'!D100&amp;"")=0,LEN('03_payments_raw'!E100&amp;"")=0),"ERROR","OK"),"")</x:f>
        <x:v>OK</x:v>
      </x:c>
      <x:c r="E346" t="str">
        <x:f>IF(COUNTA('03_payments_raw'!A100:E100)&gt;0,IF(LEN('03_payments_raw'!B100&amp;"")=0,"SKIP",IF(COUNTIF('01_orders_raw'!$A$2:$A$181,'03_payments_raw'!B100)&lt;&gt;1,"ERROR","OK")),"")</x:f>
        <x:v>OK</x:v>
      </x:c>
      <x:c r="F346" t="str">
        <x:f>IF(COUNTA('03_payments_raw'!A100:E100)&gt;0,IF(OR(COUNTIF('01_orders_raw'!$A$2:$A$181,'03_payments_raw'!B100)&lt;&gt;1,LEN('03_payments_raw'!D100&amp;"")=0),"SKIP",IF(OR(NOT(ISNUMBER('03_payments_raw'!D100)),'03_payments_raw'!D100&lt;0,'03_payments_raw'!D100&gt;INDEX('01_orders_raw'!$I$2:$I$181,MATCH('03_payments_raw'!B100,'01_orders_raw'!$A$2:$A$181,0))+'09_parameters'!$B$3),"ERROR","OK")),"")</x:f>
        <x:v>OK</x:v>
      </x:c>
      <x:c r="G346" t="str">
        <x:f>IF(COUNTA('03_payments_raw'!A100:E100)&gt;0,"N/A","")</x:f>
        <x:v>N/A</x:v>
      </x:c>
      <x:c r="H346" t="str">
        <x:f>IF(COUNTA('03_payments_raw'!A100:E100)&gt;0,IF(LEN('03_payments_raw'!C100&amp;"")=0,"SKIP",IF(IF(OR(NOT(ISNUMBER('03_payments_raw'!C100)),'03_payments_raw'!C100&lt;=0,'03_payments_raw'!C100&gt;'09_parameters'!$B$2),"ERROR","OK")="ERROR","ERROR",IF(COUNTIF('01_orders_raw'!$A$2:$A$181,'03_payments_raw'!B100)&lt;&gt;1,"SKIP",IF('03_payments_raw'!C100&lt;INDEX('01_orders_raw'!$B$2:$B$181,MATCH('03_payments_raw'!B100,'01_orders_raw'!$A$2:$A$181,0)),"ERROR","OK")))),"")</x:f>
        <x:v>OK</x:v>
      </x:c>
      <x:c r="I346" t="str">
        <x:f>IF(COUNTA('03_payments_raw'!A100:E100)&gt;0,IF(LEN('03_payments_raw'!E100&amp;"")=0,"SKIP",IF(AND('03_payments_raw'!E100&lt;&gt;"Оплачено",'03_payments_raw'!E100&lt;&gt;"Частично оплачено",'03_payments_raw'!E100&lt;&gt;"Не оплачено"),"ERROR","OK")),"")</x:f>
        <x:v>OK</x:v>
      </x:c>
      <x:c r="J346" t="n">
        <x:f>COUNTIF(C346:I346,"ERROR")</x:f>
        <x:v>0</x:v>
      </x:c>
      <x:c r="K346" t="n">
        <x:f>IF(COUNTA('03_payments_raw'!A100:E100)&gt;0,100,"")</x:f>
        <x:v>100</x:v>
      </x:c>
    </x:row>
    <x:row r="347">
      <x:c r="A347" t="str">
        <x:f>IF(COUNTA('03_payments_raw'!A101:E101)&gt;0,"Payment","")</x:f>
        <x:v>Payment</x:v>
      </x:c>
      <x:c r="B347" t="str">
        <x:f>IF(COUNTA('03_payments_raw'!A101:E101)&gt;0,'03_payments_raw'!A101,"")</x:f>
        <x:v>P100</x:v>
      </x:c>
      <x:c r="C347" t="str">
        <x:f>IF(COUNTA('03_payments_raw'!A101:E101)&gt;0,IF(AND(LEN('03_payments_raw'!A101&amp;"")&gt;0,COUNTIF('03_payments_raw'!$A$2:$A$141,'03_payments_raw'!A101)&gt;1),"ERROR","OK"),"")</x:f>
        <x:v>OK</x:v>
      </x:c>
      <x:c r="D347" t="str">
        <x:f>IF(COUNTA('03_payments_raw'!A101:E101)&gt;0,IF(OR(LEN('03_payments_raw'!A101&amp;"")=0,LEN('03_payments_raw'!B101&amp;"")=0,LEN('03_payments_raw'!C101&amp;"")=0,LEN('03_payments_raw'!D101&amp;"")=0,LEN('03_payments_raw'!E101&amp;"")=0),"ERROR","OK"),"")</x:f>
        <x:v>OK</x:v>
      </x:c>
      <x:c r="E347" t="str">
        <x:f>IF(COUNTA('03_payments_raw'!A101:E101)&gt;0,IF(LEN('03_payments_raw'!B101&amp;"")=0,"SKIP",IF(COUNTIF('01_orders_raw'!$A$2:$A$181,'03_payments_raw'!B101)&lt;&gt;1,"ERROR","OK")),"")</x:f>
        <x:v>ERROR</x:v>
      </x:c>
      <x:c r="F347" t="str">
        <x:f>IF(COUNTA('03_payments_raw'!A101:E101)&gt;0,IF(OR(COUNTIF('01_orders_raw'!$A$2:$A$181,'03_payments_raw'!B101)&lt;&gt;1,LEN('03_payments_raw'!D101&amp;"")=0),"SKIP",IF(OR(NOT(ISNUMBER('03_payments_raw'!D101)),'03_payments_raw'!D101&lt;0,'03_payments_raw'!D101&gt;INDEX('01_orders_raw'!$I$2:$I$181,MATCH('03_payments_raw'!B101,'01_orders_raw'!$A$2:$A$181,0))+'09_parameters'!$B$3),"ERROR","OK")),"")</x:f>
        <x:v>SKIP</x:v>
      </x:c>
      <x:c r="G347" t="str">
        <x:f>IF(COUNTA('03_payments_raw'!A101:E101)&gt;0,"N/A","")</x:f>
        <x:v>N/A</x:v>
      </x:c>
      <x:c r="H347" t="str">
        <x:f>IF(COUNTA('03_payments_raw'!A101:E101)&gt;0,IF(LEN('03_payments_raw'!C101&amp;"")=0,"SKIP",IF(IF(OR(NOT(ISNUMBER('03_payments_raw'!C101)),'03_payments_raw'!C101&lt;=0,'03_payments_raw'!C101&gt;'09_parameters'!$B$2),"ERROR","OK")="ERROR","ERROR",IF(COUNTIF('01_orders_raw'!$A$2:$A$181,'03_payments_raw'!B101)&lt;&gt;1,"SKIP",IF('03_payments_raw'!C101&lt;INDEX('01_orders_raw'!$B$2:$B$181,MATCH('03_payments_raw'!B101,'01_orders_raw'!$A$2:$A$181,0)),"ERROR","OK")))),"")</x:f>
        <x:v>SKIP</x:v>
      </x:c>
      <x:c r="I347" t="str">
        <x:f>IF(COUNTA('03_payments_raw'!A101:E101)&gt;0,IF(LEN('03_payments_raw'!E101&amp;"")=0,"SKIP",IF(AND('03_payments_raw'!E101&lt;&gt;"Оплачено",'03_payments_raw'!E101&lt;&gt;"Частично оплачено",'03_payments_raw'!E101&lt;&gt;"Не оплачено"),"ERROR","OK")),"")</x:f>
        <x:v>OK</x:v>
      </x:c>
      <x:c r="J347" t="n">
        <x:f>COUNTIF(C347:I347,"ERROR")</x:f>
        <x:v>1</x:v>
      </x:c>
      <x:c r="K347" t="n">
        <x:f>IF(COUNTA('03_payments_raw'!A101:E101)&gt;0,101,"")</x:f>
        <x:v>101</x:v>
      </x:c>
    </x:row>
    <x:row r="348">
      <x:c r="A348" t="str">
        <x:f>IF(COUNTA('03_payments_raw'!A102:E102)&gt;0,"Payment","")</x:f>
        <x:v>Payment</x:v>
      </x:c>
      <x:c r="B348" t="str">
        <x:f>IF(COUNTA('03_payments_raw'!A102:E102)&gt;0,'03_payments_raw'!A102,"")</x:f>
        <x:v>P101</x:v>
      </x:c>
      <x:c r="C348" t="str">
        <x:f>IF(COUNTA('03_payments_raw'!A102:E102)&gt;0,IF(AND(LEN('03_payments_raw'!A102&amp;"")&gt;0,COUNTIF('03_payments_raw'!$A$2:$A$141,'03_payments_raw'!A102)&gt;1),"ERROR","OK"),"")</x:f>
        <x:v>OK</x:v>
      </x:c>
      <x:c r="D348" t="str">
        <x:f>IF(COUNTA('03_payments_raw'!A102:E102)&gt;0,IF(OR(LEN('03_payments_raw'!A102&amp;"")=0,LEN('03_payments_raw'!B102&amp;"")=0,LEN('03_payments_raw'!C102&amp;"")=0,LEN('03_payments_raw'!D102&amp;"")=0,LEN('03_payments_raw'!E102&amp;"")=0),"ERROR","OK"),"")</x:f>
        <x:v>OK</x:v>
      </x:c>
      <x:c r="E348" t="str">
        <x:f>IF(COUNTA('03_payments_raw'!A102:E102)&gt;0,IF(LEN('03_payments_raw'!B102&amp;"")=0,"SKIP",IF(COUNTIF('01_orders_raw'!$A$2:$A$181,'03_payments_raw'!B102)&lt;&gt;1,"ERROR","OK")),"")</x:f>
        <x:v>OK</x:v>
      </x:c>
      <x:c r="F348" t="str">
        <x:f>IF(COUNTA('03_payments_raw'!A102:E102)&gt;0,IF(OR(COUNTIF('01_orders_raw'!$A$2:$A$181,'03_payments_raw'!B102)&lt;&gt;1,LEN('03_payments_raw'!D102&amp;"")=0),"SKIP",IF(OR(NOT(ISNUMBER('03_payments_raw'!D102)),'03_payments_raw'!D102&lt;0,'03_payments_raw'!D102&gt;INDEX('01_orders_raw'!$I$2:$I$181,MATCH('03_payments_raw'!B102,'01_orders_raw'!$A$2:$A$181,0))+'09_parameters'!$B$3),"ERROR","OK")),"")</x:f>
        <x:v>OK</x:v>
      </x:c>
      <x:c r="G348" t="str">
        <x:f>IF(COUNTA('03_payments_raw'!A102:E102)&gt;0,"N/A","")</x:f>
        <x:v>N/A</x:v>
      </x:c>
      <x:c r="H348" t="str">
        <x:f>IF(COUNTA('03_payments_raw'!A102:E102)&gt;0,IF(LEN('03_payments_raw'!C102&amp;"")=0,"SKIP",IF(IF(OR(NOT(ISNUMBER('03_payments_raw'!C102)),'03_payments_raw'!C102&lt;=0,'03_payments_raw'!C102&gt;'09_parameters'!$B$2),"ERROR","OK")="ERROR","ERROR",IF(COUNTIF('01_orders_raw'!$A$2:$A$181,'03_payments_raw'!B102)&lt;&gt;1,"SKIP",IF('03_payments_raw'!C102&lt;INDEX('01_orders_raw'!$B$2:$B$181,MATCH('03_payments_raw'!B102,'01_orders_raw'!$A$2:$A$181,0)),"ERROR","OK")))),"")</x:f>
        <x:v>OK</x:v>
      </x:c>
      <x:c r="I348" t="str">
        <x:f>IF(COUNTA('03_payments_raw'!A102:E102)&gt;0,IF(LEN('03_payments_raw'!E102&amp;"")=0,"SKIP",IF(AND('03_payments_raw'!E102&lt;&gt;"Оплачено",'03_payments_raw'!E102&lt;&gt;"Частично оплачено",'03_payments_raw'!E102&lt;&gt;"Не оплачено"),"ERROR","OK")),"")</x:f>
        <x:v>OK</x:v>
      </x:c>
      <x:c r="J348" t="n">
        <x:f>COUNTIF(C348:I348,"ERROR")</x:f>
        <x:v>0</x:v>
      </x:c>
      <x:c r="K348" t="n">
        <x:f>IF(COUNTA('03_payments_raw'!A102:E102)&gt;0,102,"")</x:f>
        <x:v>102</x:v>
      </x:c>
    </x:row>
    <x:row r="349">
      <x:c r="A349" t="str">
        <x:f>IF(COUNTA('03_payments_raw'!A103:E103)&gt;0,"Payment","")</x:f>
        <x:v>Payment</x:v>
      </x:c>
      <x:c r="B349" t="str">
        <x:f>IF(COUNTA('03_payments_raw'!A103:E103)&gt;0,'03_payments_raw'!A103,"")</x:f>
        <x:v>P102</x:v>
      </x:c>
      <x:c r="C349" t="str">
        <x:f>IF(COUNTA('03_payments_raw'!A103:E103)&gt;0,IF(AND(LEN('03_payments_raw'!A103&amp;"")&gt;0,COUNTIF('03_payments_raw'!$A$2:$A$141,'03_payments_raw'!A103)&gt;1),"ERROR","OK"),"")</x:f>
        <x:v>OK</x:v>
      </x:c>
      <x:c r="D349" t="str">
        <x:f>IF(COUNTA('03_payments_raw'!A103:E103)&gt;0,IF(OR(LEN('03_payments_raw'!A103&amp;"")=0,LEN('03_payments_raw'!B103&amp;"")=0,LEN('03_payments_raw'!C103&amp;"")=0,LEN('03_payments_raw'!D103&amp;"")=0,LEN('03_payments_raw'!E103&amp;"")=0),"ERROR","OK"),"")</x:f>
        <x:v>OK</x:v>
      </x:c>
      <x:c r="E349" t="str">
        <x:f>IF(COUNTA('03_payments_raw'!A103:E103)&gt;0,IF(LEN('03_payments_raw'!B103&amp;"")=0,"SKIP",IF(COUNTIF('01_orders_raw'!$A$2:$A$181,'03_payments_raw'!B103)&lt;&gt;1,"ERROR","OK")),"")</x:f>
        <x:v>OK</x:v>
      </x:c>
      <x:c r="F349" t="str">
        <x:f>IF(COUNTA('03_payments_raw'!A103:E103)&gt;0,IF(OR(COUNTIF('01_orders_raw'!$A$2:$A$181,'03_payments_raw'!B103)&lt;&gt;1,LEN('03_payments_raw'!D103&amp;"")=0),"SKIP",IF(OR(NOT(ISNUMBER('03_payments_raw'!D103)),'03_payments_raw'!D103&lt;0,'03_payments_raw'!D103&gt;INDEX('01_orders_raw'!$I$2:$I$181,MATCH('03_payments_raw'!B103,'01_orders_raw'!$A$2:$A$181,0))+'09_parameters'!$B$3),"ERROR","OK")),"")</x:f>
        <x:v>OK</x:v>
      </x:c>
      <x:c r="G349" t="str">
        <x:f>IF(COUNTA('03_payments_raw'!A103:E103)&gt;0,"N/A","")</x:f>
        <x:v>N/A</x:v>
      </x:c>
      <x:c r="H349" t="str">
        <x:f>IF(COUNTA('03_payments_raw'!A103:E103)&gt;0,IF(LEN('03_payments_raw'!C103&amp;"")=0,"SKIP",IF(IF(OR(NOT(ISNUMBER('03_payments_raw'!C103)),'03_payments_raw'!C103&lt;=0,'03_payments_raw'!C103&gt;'09_parameters'!$B$2),"ERROR","OK")="ERROR","ERROR",IF(COUNTIF('01_orders_raw'!$A$2:$A$181,'03_payments_raw'!B103)&lt;&gt;1,"SKIP",IF('03_payments_raw'!C103&lt;INDEX('01_orders_raw'!$B$2:$B$181,MATCH('03_payments_raw'!B103,'01_orders_raw'!$A$2:$A$181,0)),"ERROR","OK")))),"")</x:f>
        <x:v>OK</x:v>
      </x:c>
      <x:c r="I349" t="str">
        <x:f>IF(COUNTA('03_payments_raw'!A103:E103)&gt;0,IF(LEN('03_payments_raw'!E103&amp;"")=0,"SKIP",IF(AND('03_payments_raw'!E103&lt;&gt;"Оплачено",'03_payments_raw'!E103&lt;&gt;"Частично оплачено",'03_payments_raw'!E103&lt;&gt;"Не оплачено"),"ERROR","OK")),"")</x:f>
        <x:v>OK</x:v>
      </x:c>
      <x:c r="J349" t="n">
        <x:f>COUNTIF(C349:I349,"ERROR")</x:f>
        <x:v>0</x:v>
      </x:c>
      <x:c r="K349" t="n">
        <x:f>IF(COUNTA('03_payments_raw'!A103:E103)&gt;0,103,"")</x:f>
        <x:v>103</x:v>
      </x:c>
    </x:row>
    <x:row r="350">
      <x:c r="A350" t="str">
        <x:f>IF(COUNTA('03_payments_raw'!A104:E104)&gt;0,"Payment","")</x:f>
        <x:v>Payment</x:v>
      </x:c>
      <x:c r="B350" t="str">
        <x:f>IF(COUNTA('03_payments_raw'!A104:E104)&gt;0,'03_payments_raw'!A104,"")</x:f>
        <x:v>P103</x:v>
      </x:c>
      <x:c r="C350" t="str">
        <x:f>IF(COUNTA('03_payments_raw'!A104:E104)&gt;0,IF(AND(LEN('03_payments_raw'!A104&amp;"")&gt;0,COUNTIF('03_payments_raw'!$A$2:$A$141,'03_payments_raw'!A104)&gt;1),"ERROR","OK"),"")</x:f>
        <x:v>OK</x:v>
      </x:c>
      <x:c r="D350" t="str">
        <x:f>IF(COUNTA('03_payments_raw'!A104:E104)&gt;0,IF(OR(LEN('03_payments_raw'!A104&amp;"")=0,LEN('03_payments_raw'!B104&amp;"")=0,LEN('03_payments_raw'!C104&amp;"")=0,LEN('03_payments_raw'!D104&amp;"")=0,LEN('03_payments_raw'!E104&amp;"")=0),"ERROR","OK"),"")</x:f>
        <x:v>OK</x:v>
      </x:c>
      <x:c r="E350" t="str">
        <x:f>IF(COUNTA('03_payments_raw'!A104:E104)&gt;0,IF(LEN('03_payments_raw'!B104&amp;"")=0,"SKIP",IF(COUNTIF('01_orders_raw'!$A$2:$A$181,'03_payments_raw'!B104)&lt;&gt;1,"ERROR","OK")),"")</x:f>
        <x:v>OK</x:v>
      </x:c>
      <x:c r="F350" t="str">
        <x:f>IF(COUNTA('03_payments_raw'!A104:E104)&gt;0,IF(OR(COUNTIF('01_orders_raw'!$A$2:$A$181,'03_payments_raw'!B104)&lt;&gt;1,LEN('03_payments_raw'!D104&amp;"")=0),"SKIP",IF(OR(NOT(ISNUMBER('03_payments_raw'!D104)),'03_payments_raw'!D104&lt;0,'03_payments_raw'!D104&gt;INDEX('01_orders_raw'!$I$2:$I$181,MATCH('03_payments_raw'!B104,'01_orders_raw'!$A$2:$A$181,0))+'09_parameters'!$B$3),"ERROR","OK")),"")</x:f>
        <x:v>OK</x:v>
      </x:c>
      <x:c r="G350" t="str">
        <x:f>IF(COUNTA('03_payments_raw'!A104:E104)&gt;0,"N/A","")</x:f>
        <x:v>N/A</x:v>
      </x:c>
      <x:c r="H350" t="str">
        <x:f>IF(COUNTA('03_payments_raw'!A104:E104)&gt;0,IF(LEN('03_payments_raw'!C104&amp;"")=0,"SKIP",IF(IF(OR(NOT(ISNUMBER('03_payments_raw'!C104)),'03_payments_raw'!C104&lt;=0,'03_payments_raw'!C104&gt;'09_parameters'!$B$2),"ERROR","OK")="ERROR","ERROR",IF(COUNTIF('01_orders_raw'!$A$2:$A$181,'03_payments_raw'!B104)&lt;&gt;1,"SKIP",IF('03_payments_raw'!C104&lt;INDEX('01_orders_raw'!$B$2:$B$181,MATCH('03_payments_raw'!B104,'01_orders_raw'!$A$2:$A$181,0)),"ERROR","OK")))),"")</x:f>
        <x:v>OK</x:v>
      </x:c>
      <x:c r="I350" t="str">
        <x:f>IF(COUNTA('03_payments_raw'!A104:E104)&gt;0,IF(LEN('03_payments_raw'!E104&amp;"")=0,"SKIP",IF(AND('03_payments_raw'!E104&lt;&gt;"Оплачено",'03_payments_raw'!E104&lt;&gt;"Частично оплачено",'03_payments_raw'!E104&lt;&gt;"Не оплачено"),"ERROR","OK")),"")</x:f>
        <x:v>OK</x:v>
      </x:c>
      <x:c r="J350" t="n">
        <x:f>COUNTIF(C350:I350,"ERROR")</x:f>
        <x:v>0</x:v>
      </x:c>
      <x:c r="K350" t="n">
        <x:f>IF(COUNTA('03_payments_raw'!A104:E104)&gt;0,104,"")</x:f>
        <x:v>104</x:v>
      </x:c>
    </x:row>
    <x:row r="351">
      <x:c r="A351" t="str">
        <x:f>IF(COUNTA('03_payments_raw'!A105:E105)&gt;0,"Payment","")</x:f>
        <x:v>Payment</x:v>
      </x:c>
      <x:c r="B351" t="str">
        <x:f>IF(COUNTA('03_payments_raw'!A105:E105)&gt;0,'03_payments_raw'!A105,"")</x:f>
        <x:v>P104</x:v>
      </x:c>
      <x:c r="C351" t="str">
        <x:f>IF(COUNTA('03_payments_raw'!A105:E105)&gt;0,IF(AND(LEN('03_payments_raw'!A105&amp;"")&gt;0,COUNTIF('03_payments_raw'!$A$2:$A$141,'03_payments_raw'!A105)&gt;1),"ERROR","OK"),"")</x:f>
        <x:v>OK</x:v>
      </x:c>
      <x:c r="D351" t="str">
        <x:f>IF(COUNTA('03_payments_raw'!A105:E105)&gt;0,IF(OR(LEN('03_payments_raw'!A105&amp;"")=0,LEN('03_payments_raw'!B105&amp;"")=0,LEN('03_payments_raw'!C105&amp;"")=0,LEN('03_payments_raw'!D105&amp;"")=0,LEN('03_payments_raw'!E105&amp;"")=0),"ERROR","OK"),"")</x:f>
        <x:v>OK</x:v>
      </x:c>
      <x:c r="E351" t="str">
        <x:f>IF(COUNTA('03_payments_raw'!A105:E105)&gt;0,IF(LEN('03_payments_raw'!B105&amp;"")=0,"SKIP",IF(COUNTIF('01_orders_raw'!$A$2:$A$181,'03_payments_raw'!B105)&lt;&gt;1,"ERROR","OK")),"")</x:f>
        <x:v>OK</x:v>
      </x:c>
      <x:c r="F351" t="str">
        <x:f>IF(COUNTA('03_payments_raw'!A105:E105)&gt;0,IF(OR(COUNTIF('01_orders_raw'!$A$2:$A$181,'03_payments_raw'!B105)&lt;&gt;1,LEN('03_payments_raw'!D105&amp;"")=0),"SKIP",IF(OR(NOT(ISNUMBER('03_payments_raw'!D105)),'03_payments_raw'!D105&lt;0,'03_payments_raw'!D105&gt;INDEX('01_orders_raw'!$I$2:$I$181,MATCH('03_payments_raw'!B105,'01_orders_raw'!$A$2:$A$181,0))+'09_parameters'!$B$3),"ERROR","OK")),"")</x:f>
        <x:v>OK</x:v>
      </x:c>
      <x:c r="G351" t="str">
        <x:f>IF(COUNTA('03_payments_raw'!A105:E105)&gt;0,"N/A","")</x:f>
        <x:v>N/A</x:v>
      </x:c>
      <x:c r="H351" t="str">
        <x:f>IF(COUNTA('03_payments_raw'!A105:E105)&gt;0,IF(LEN('03_payments_raw'!C105&amp;"")=0,"SKIP",IF(IF(OR(NOT(ISNUMBER('03_payments_raw'!C105)),'03_payments_raw'!C105&lt;=0,'03_payments_raw'!C105&gt;'09_parameters'!$B$2),"ERROR","OK")="ERROR","ERROR",IF(COUNTIF('01_orders_raw'!$A$2:$A$181,'03_payments_raw'!B105)&lt;&gt;1,"SKIP",IF('03_payments_raw'!C105&lt;INDEX('01_orders_raw'!$B$2:$B$181,MATCH('03_payments_raw'!B105,'01_orders_raw'!$A$2:$A$181,0)),"ERROR","OK")))),"")</x:f>
        <x:v>OK</x:v>
      </x:c>
      <x:c r="I351" t="str">
        <x:f>IF(COUNTA('03_payments_raw'!A105:E105)&gt;0,IF(LEN('03_payments_raw'!E105&amp;"")=0,"SKIP",IF(AND('03_payments_raw'!E105&lt;&gt;"Оплачено",'03_payments_raw'!E105&lt;&gt;"Частично оплачено",'03_payments_raw'!E105&lt;&gt;"Не оплачено"),"ERROR","OK")),"")</x:f>
        <x:v>OK</x:v>
      </x:c>
      <x:c r="J351" t="n">
        <x:f>COUNTIF(C351:I351,"ERROR")</x:f>
        <x:v>0</x:v>
      </x:c>
      <x:c r="K351" t="n">
        <x:f>IF(COUNTA('03_payments_raw'!A105:E105)&gt;0,105,"")</x:f>
        <x:v>105</x:v>
      </x:c>
    </x:row>
    <x:row r="352">
      <x:c r="A352" t="str">
        <x:f>IF(COUNTA('03_payments_raw'!A106:E106)&gt;0,"Payment","")</x:f>
        <x:v>Payment</x:v>
      </x:c>
      <x:c r="B352" t="str">
        <x:f>IF(COUNTA('03_payments_raw'!A106:E106)&gt;0,'03_payments_raw'!A106,"")</x:f>
        <x:v>P105</x:v>
      </x:c>
      <x:c r="C352" t="str">
        <x:f>IF(COUNTA('03_payments_raw'!A106:E106)&gt;0,IF(AND(LEN('03_payments_raw'!A106&amp;"")&gt;0,COUNTIF('03_payments_raw'!$A$2:$A$141,'03_payments_raw'!A106)&gt;1),"ERROR","OK"),"")</x:f>
        <x:v>OK</x:v>
      </x:c>
      <x:c r="D352" t="str">
        <x:f>IF(COUNTA('03_payments_raw'!A106:E106)&gt;0,IF(OR(LEN('03_payments_raw'!A106&amp;"")=0,LEN('03_payments_raw'!B106&amp;"")=0,LEN('03_payments_raw'!C106&amp;"")=0,LEN('03_payments_raw'!D106&amp;"")=0,LEN('03_payments_raw'!E106&amp;"")=0),"ERROR","OK"),"")</x:f>
        <x:v>OK</x:v>
      </x:c>
      <x:c r="E352" t="str">
        <x:f>IF(COUNTA('03_payments_raw'!A106:E106)&gt;0,IF(LEN('03_payments_raw'!B106&amp;"")=0,"SKIP",IF(COUNTIF('01_orders_raw'!$A$2:$A$181,'03_payments_raw'!B106)&lt;&gt;1,"ERROR","OK")),"")</x:f>
        <x:v>OK</x:v>
      </x:c>
      <x:c r="F352" t="str">
        <x:f>IF(COUNTA('03_payments_raw'!A106:E106)&gt;0,IF(OR(COUNTIF('01_orders_raw'!$A$2:$A$181,'03_payments_raw'!B106)&lt;&gt;1,LEN('03_payments_raw'!D106&amp;"")=0),"SKIP",IF(OR(NOT(ISNUMBER('03_payments_raw'!D106)),'03_payments_raw'!D106&lt;0,'03_payments_raw'!D106&gt;INDEX('01_orders_raw'!$I$2:$I$181,MATCH('03_payments_raw'!B106,'01_orders_raw'!$A$2:$A$181,0))+'09_parameters'!$B$3),"ERROR","OK")),"")</x:f>
        <x:v>OK</x:v>
      </x:c>
      <x:c r="G352" t="str">
        <x:f>IF(COUNTA('03_payments_raw'!A106:E106)&gt;0,"N/A","")</x:f>
        <x:v>N/A</x:v>
      </x:c>
      <x:c r="H352" t="str">
        <x:f>IF(COUNTA('03_payments_raw'!A106:E106)&gt;0,IF(LEN('03_payments_raw'!C106&amp;"")=0,"SKIP",IF(IF(OR(NOT(ISNUMBER('03_payments_raw'!C106)),'03_payments_raw'!C106&lt;=0,'03_payments_raw'!C106&gt;'09_parameters'!$B$2),"ERROR","OK")="ERROR","ERROR",IF(COUNTIF('01_orders_raw'!$A$2:$A$181,'03_payments_raw'!B106)&lt;&gt;1,"SKIP",IF('03_payments_raw'!C106&lt;INDEX('01_orders_raw'!$B$2:$B$181,MATCH('03_payments_raw'!B106,'01_orders_raw'!$A$2:$A$181,0)),"ERROR","OK")))),"")</x:f>
        <x:v>OK</x:v>
      </x:c>
      <x:c r="I352" t="str">
        <x:f>IF(COUNTA('03_payments_raw'!A106:E106)&gt;0,IF(LEN('03_payments_raw'!E106&amp;"")=0,"SKIP",IF(AND('03_payments_raw'!E106&lt;&gt;"Оплачено",'03_payments_raw'!E106&lt;&gt;"Частично оплачено",'03_payments_raw'!E106&lt;&gt;"Не оплачено"),"ERROR","OK")),"")</x:f>
        <x:v>OK</x:v>
      </x:c>
      <x:c r="J352" t="n">
        <x:f>COUNTIF(C352:I352,"ERROR")</x:f>
        <x:v>0</x:v>
      </x:c>
      <x:c r="K352" t="n">
        <x:f>IF(COUNTA('03_payments_raw'!A106:E106)&gt;0,106,"")</x:f>
        <x:v>106</x:v>
      </x:c>
    </x:row>
    <x:row r="353">
      <x:c r="A353" t="str">
        <x:f>IF(COUNTA('03_payments_raw'!A107:E107)&gt;0,"Payment","")</x:f>
        <x:v>Payment</x:v>
      </x:c>
      <x:c r="B353" t="str">
        <x:f>IF(COUNTA('03_payments_raw'!A107:E107)&gt;0,'03_payments_raw'!A107,"")</x:f>
        <x:v>P106</x:v>
      </x:c>
      <x:c r="C353" t="str">
        <x:f>IF(COUNTA('03_payments_raw'!A107:E107)&gt;0,IF(AND(LEN('03_payments_raw'!A107&amp;"")&gt;0,COUNTIF('03_payments_raw'!$A$2:$A$141,'03_payments_raw'!A107)&gt;1),"ERROR","OK"),"")</x:f>
        <x:v>OK</x:v>
      </x:c>
      <x:c r="D353" t="str">
        <x:f>IF(COUNTA('03_payments_raw'!A107:E107)&gt;0,IF(OR(LEN('03_payments_raw'!A107&amp;"")=0,LEN('03_payments_raw'!B107&amp;"")=0,LEN('03_payments_raw'!C107&amp;"")=0,LEN('03_payments_raw'!D107&amp;"")=0,LEN('03_payments_raw'!E107&amp;"")=0),"ERROR","OK"),"")</x:f>
        <x:v>OK</x:v>
      </x:c>
      <x:c r="E353" t="str">
        <x:f>IF(COUNTA('03_payments_raw'!A107:E107)&gt;0,IF(LEN('03_payments_raw'!B107&amp;"")=0,"SKIP",IF(COUNTIF('01_orders_raw'!$A$2:$A$181,'03_payments_raw'!B107)&lt;&gt;1,"ERROR","OK")),"")</x:f>
        <x:v>OK</x:v>
      </x:c>
      <x:c r="F353" t="str">
        <x:f>IF(COUNTA('03_payments_raw'!A107:E107)&gt;0,IF(OR(COUNTIF('01_orders_raw'!$A$2:$A$181,'03_payments_raw'!B107)&lt;&gt;1,LEN('03_payments_raw'!D107&amp;"")=0),"SKIP",IF(OR(NOT(ISNUMBER('03_payments_raw'!D107)),'03_payments_raw'!D107&lt;0,'03_payments_raw'!D107&gt;INDEX('01_orders_raw'!$I$2:$I$181,MATCH('03_payments_raw'!B107,'01_orders_raw'!$A$2:$A$181,0))+'09_parameters'!$B$3),"ERROR","OK")),"")</x:f>
        <x:v>OK</x:v>
      </x:c>
      <x:c r="G353" t="str">
        <x:f>IF(COUNTA('03_payments_raw'!A107:E107)&gt;0,"N/A","")</x:f>
        <x:v>N/A</x:v>
      </x:c>
      <x:c r="H353" t="str">
        <x:f>IF(COUNTA('03_payments_raw'!A107:E107)&gt;0,IF(LEN('03_payments_raw'!C107&amp;"")=0,"SKIP",IF(IF(OR(NOT(ISNUMBER('03_payments_raw'!C107)),'03_payments_raw'!C107&lt;=0,'03_payments_raw'!C107&gt;'09_parameters'!$B$2),"ERROR","OK")="ERROR","ERROR",IF(COUNTIF('01_orders_raw'!$A$2:$A$181,'03_payments_raw'!B107)&lt;&gt;1,"SKIP",IF('03_payments_raw'!C107&lt;INDEX('01_orders_raw'!$B$2:$B$181,MATCH('03_payments_raw'!B107,'01_orders_raw'!$A$2:$A$181,0)),"ERROR","OK")))),"")</x:f>
        <x:v>OK</x:v>
      </x:c>
      <x:c r="I353" t="str">
        <x:f>IF(COUNTA('03_payments_raw'!A107:E107)&gt;0,IF(LEN('03_payments_raw'!E107&amp;"")=0,"SKIP",IF(AND('03_payments_raw'!E107&lt;&gt;"Оплачено",'03_payments_raw'!E107&lt;&gt;"Частично оплачено",'03_payments_raw'!E107&lt;&gt;"Не оплачено"),"ERROR","OK")),"")</x:f>
        <x:v>OK</x:v>
      </x:c>
      <x:c r="J353" t="n">
        <x:f>COUNTIF(C353:I353,"ERROR")</x:f>
        <x:v>0</x:v>
      </x:c>
      <x:c r="K353" t="n">
        <x:f>IF(COUNTA('03_payments_raw'!A107:E107)&gt;0,107,"")</x:f>
        <x:v>107</x:v>
      </x:c>
    </x:row>
    <x:row r="354">
      <x:c r="A354" t="str">
        <x:f>IF(COUNTA('03_payments_raw'!A108:E108)&gt;0,"Payment","")</x:f>
        <x:v>Payment</x:v>
      </x:c>
      <x:c r="B354" t="str">
        <x:f>IF(COUNTA('03_payments_raw'!A108:E108)&gt;0,'03_payments_raw'!A108,"")</x:f>
        <x:v>P107</x:v>
      </x:c>
      <x:c r="C354" t="str">
        <x:f>IF(COUNTA('03_payments_raw'!A108:E108)&gt;0,IF(AND(LEN('03_payments_raw'!A108&amp;"")&gt;0,COUNTIF('03_payments_raw'!$A$2:$A$141,'03_payments_raw'!A108)&gt;1),"ERROR","OK"),"")</x:f>
        <x:v>OK</x:v>
      </x:c>
      <x:c r="D354" t="str">
        <x:f>IF(COUNTA('03_payments_raw'!A108:E108)&gt;0,IF(OR(LEN('03_payments_raw'!A108&amp;"")=0,LEN('03_payments_raw'!B108&amp;"")=0,LEN('03_payments_raw'!C108&amp;"")=0,LEN('03_payments_raw'!D108&amp;"")=0,LEN('03_payments_raw'!E108&amp;"")=0),"ERROR","OK"),"")</x:f>
        <x:v>OK</x:v>
      </x:c>
      <x:c r="E354" t="str">
        <x:f>IF(COUNTA('03_payments_raw'!A108:E108)&gt;0,IF(LEN('03_payments_raw'!B108&amp;"")=0,"SKIP",IF(COUNTIF('01_orders_raw'!$A$2:$A$181,'03_payments_raw'!B108)&lt;&gt;1,"ERROR","OK")),"")</x:f>
        <x:v>OK</x:v>
      </x:c>
      <x:c r="F354" t="str">
        <x:f>IF(COUNTA('03_payments_raw'!A108:E108)&gt;0,IF(OR(COUNTIF('01_orders_raw'!$A$2:$A$181,'03_payments_raw'!B108)&lt;&gt;1,LEN('03_payments_raw'!D108&amp;"")=0),"SKIP",IF(OR(NOT(ISNUMBER('03_payments_raw'!D108)),'03_payments_raw'!D108&lt;0,'03_payments_raw'!D108&gt;INDEX('01_orders_raw'!$I$2:$I$181,MATCH('03_payments_raw'!B108,'01_orders_raw'!$A$2:$A$181,0))+'09_parameters'!$B$3),"ERROR","OK")),"")</x:f>
        <x:v>OK</x:v>
      </x:c>
      <x:c r="G354" t="str">
        <x:f>IF(COUNTA('03_payments_raw'!A108:E108)&gt;0,"N/A","")</x:f>
        <x:v>N/A</x:v>
      </x:c>
      <x:c r="H354" t="str">
        <x:f>IF(COUNTA('03_payments_raw'!A108:E108)&gt;0,IF(LEN('03_payments_raw'!C108&amp;"")=0,"SKIP",IF(IF(OR(NOT(ISNUMBER('03_payments_raw'!C108)),'03_payments_raw'!C108&lt;=0,'03_payments_raw'!C108&gt;'09_parameters'!$B$2),"ERROR","OK")="ERROR","ERROR",IF(COUNTIF('01_orders_raw'!$A$2:$A$181,'03_payments_raw'!B108)&lt;&gt;1,"SKIP",IF('03_payments_raw'!C108&lt;INDEX('01_orders_raw'!$B$2:$B$181,MATCH('03_payments_raw'!B108,'01_orders_raw'!$A$2:$A$181,0)),"ERROR","OK")))),"")</x:f>
        <x:v>OK</x:v>
      </x:c>
      <x:c r="I354" t="str">
        <x:f>IF(COUNTA('03_payments_raw'!A108:E108)&gt;0,IF(LEN('03_payments_raw'!E108&amp;"")=0,"SKIP",IF(AND('03_payments_raw'!E108&lt;&gt;"Оплачено",'03_payments_raw'!E108&lt;&gt;"Частично оплачено",'03_payments_raw'!E108&lt;&gt;"Не оплачено"),"ERROR","OK")),"")</x:f>
        <x:v>OK</x:v>
      </x:c>
      <x:c r="J354" t="n">
        <x:f>COUNTIF(C354:I354,"ERROR")</x:f>
        <x:v>0</x:v>
      </x:c>
      <x:c r="K354" t="n">
        <x:f>IF(COUNTA('03_payments_raw'!A108:E108)&gt;0,108,"")</x:f>
        <x:v>108</x:v>
      </x:c>
    </x:row>
    <x:row r="355">
      <x:c r="A355" t="str">
        <x:f>IF(COUNTA('03_payments_raw'!A109:E109)&gt;0,"Payment","")</x:f>
        <x:v>Payment</x:v>
      </x:c>
      <x:c r="B355" t="str">
        <x:f>IF(COUNTA('03_payments_raw'!A109:E109)&gt;0,'03_payments_raw'!A109,"")</x:f>
        <x:v>P108</x:v>
      </x:c>
      <x:c r="C355" t="str">
        <x:f>IF(COUNTA('03_payments_raw'!A109:E109)&gt;0,IF(AND(LEN('03_payments_raw'!A109&amp;"")&gt;0,COUNTIF('03_payments_raw'!$A$2:$A$141,'03_payments_raw'!A109)&gt;1),"ERROR","OK"),"")</x:f>
        <x:v>OK</x:v>
      </x:c>
      <x:c r="D355" t="str">
        <x:f>IF(COUNTA('03_payments_raw'!A109:E109)&gt;0,IF(OR(LEN('03_payments_raw'!A109&amp;"")=0,LEN('03_payments_raw'!B109&amp;"")=0,LEN('03_payments_raw'!C109&amp;"")=0,LEN('03_payments_raw'!D109&amp;"")=0,LEN('03_payments_raw'!E109&amp;"")=0),"ERROR","OK"),"")</x:f>
        <x:v>OK</x:v>
      </x:c>
      <x:c r="E355" t="str">
        <x:f>IF(COUNTA('03_payments_raw'!A109:E109)&gt;0,IF(LEN('03_payments_raw'!B109&amp;"")=0,"SKIP",IF(COUNTIF('01_orders_raw'!$A$2:$A$181,'03_payments_raw'!B109)&lt;&gt;1,"ERROR","OK")),"")</x:f>
        <x:v>OK</x:v>
      </x:c>
      <x:c r="F355" t="str">
        <x:f>IF(COUNTA('03_payments_raw'!A109:E109)&gt;0,IF(OR(COUNTIF('01_orders_raw'!$A$2:$A$181,'03_payments_raw'!B109)&lt;&gt;1,LEN('03_payments_raw'!D109&amp;"")=0),"SKIP",IF(OR(NOT(ISNUMBER('03_payments_raw'!D109)),'03_payments_raw'!D109&lt;0,'03_payments_raw'!D109&gt;INDEX('01_orders_raw'!$I$2:$I$181,MATCH('03_payments_raw'!B109,'01_orders_raw'!$A$2:$A$181,0))+'09_parameters'!$B$3),"ERROR","OK")),"")</x:f>
        <x:v>OK</x:v>
      </x:c>
      <x:c r="G355" t="str">
        <x:f>IF(COUNTA('03_payments_raw'!A109:E109)&gt;0,"N/A","")</x:f>
        <x:v>N/A</x:v>
      </x:c>
      <x:c r="H355" t="str">
        <x:f>IF(COUNTA('03_payments_raw'!A109:E109)&gt;0,IF(LEN('03_payments_raw'!C109&amp;"")=0,"SKIP",IF(IF(OR(NOT(ISNUMBER('03_payments_raw'!C109)),'03_payments_raw'!C109&lt;=0,'03_payments_raw'!C109&gt;'09_parameters'!$B$2),"ERROR","OK")="ERROR","ERROR",IF(COUNTIF('01_orders_raw'!$A$2:$A$181,'03_payments_raw'!B109)&lt;&gt;1,"SKIP",IF('03_payments_raw'!C109&lt;INDEX('01_orders_raw'!$B$2:$B$181,MATCH('03_payments_raw'!B109,'01_orders_raw'!$A$2:$A$181,0)),"ERROR","OK")))),"")</x:f>
        <x:v>OK</x:v>
      </x:c>
      <x:c r="I355" t="str">
        <x:f>IF(COUNTA('03_payments_raw'!A109:E109)&gt;0,IF(LEN('03_payments_raw'!E109&amp;"")=0,"SKIP",IF(AND('03_payments_raw'!E109&lt;&gt;"Оплачено",'03_payments_raw'!E109&lt;&gt;"Частично оплачено",'03_payments_raw'!E109&lt;&gt;"Не оплачено"),"ERROR","OK")),"")</x:f>
        <x:v>OK</x:v>
      </x:c>
      <x:c r="J355" t="n">
        <x:f>COUNTIF(C355:I355,"ERROR")</x:f>
        <x:v>0</x:v>
      </x:c>
      <x:c r="K355" t="n">
        <x:f>IF(COUNTA('03_payments_raw'!A109:E109)&gt;0,109,"")</x:f>
        <x:v>109</x:v>
      </x:c>
    </x:row>
    <x:row r="356">
      <x:c r="A356" t="str">
        <x:f>IF(COUNTA('03_payments_raw'!A110:E110)&gt;0,"Payment","")</x:f>
        <x:v>Payment</x:v>
      </x:c>
      <x:c r="B356" t="str">
        <x:f>IF(COUNTA('03_payments_raw'!A110:E110)&gt;0,'03_payments_raw'!A110,"")</x:f>
        <x:v>P109</x:v>
      </x:c>
      <x:c r="C356" t="str">
        <x:f>IF(COUNTA('03_payments_raw'!A110:E110)&gt;0,IF(AND(LEN('03_payments_raw'!A110&amp;"")&gt;0,COUNTIF('03_payments_raw'!$A$2:$A$141,'03_payments_raw'!A110)&gt;1),"ERROR","OK"),"")</x:f>
        <x:v>OK</x:v>
      </x:c>
      <x:c r="D356" t="str">
        <x:f>IF(COUNTA('03_payments_raw'!A110:E110)&gt;0,IF(OR(LEN('03_payments_raw'!A110&amp;"")=0,LEN('03_payments_raw'!B110&amp;"")=0,LEN('03_payments_raw'!C110&amp;"")=0,LEN('03_payments_raw'!D110&amp;"")=0,LEN('03_payments_raw'!E110&amp;"")=0),"ERROR","OK"),"")</x:f>
        <x:v>OK</x:v>
      </x:c>
      <x:c r="E356" t="str">
        <x:f>IF(COUNTA('03_payments_raw'!A110:E110)&gt;0,IF(LEN('03_payments_raw'!B110&amp;"")=0,"SKIP",IF(COUNTIF('01_orders_raw'!$A$2:$A$181,'03_payments_raw'!B110)&lt;&gt;1,"ERROR","OK")),"")</x:f>
        <x:v>OK</x:v>
      </x:c>
      <x:c r="F356" t="str">
        <x:f>IF(COUNTA('03_payments_raw'!A110:E110)&gt;0,IF(OR(COUNTIF('01_orders_raw'!$A$2:$A$181,'03_payments_raw'!B110)&lt;&gt;1,LEN('03_payments_raw'!D110&amp;"")=0),"SKIP",IF(OR(NOT(ISNUMBER('03_payments_raw'!D110)),'03_payments_raw'!D110&lt;0,'03_payments_raw'!D110&gt;INDEX('01_orders_raw'!$I$2:$I$181,MATCH('03_payments_raw'!B110,'01_orders_raw'!$A$2:$A$181,0))+'09_parameters'!$B$3),"ERROR","OK")),"")</x:f>
        <x:v>OK</x:v>
      </x:c>
      <x:c r="G356" t="str">
        <x:f>IF(COUNTA('03_payments_raw'!A110:E110)&gt;0,"N/A","")</x:f>
        <x:v>N/A</x:v>
      </x:c>
      <x:c r="H356" t="str">
        <x:f>IF(COUNTA('03_payments_raw'!A110:E110)&gt;0,IF(LEN('03_payments_raw'!C110&amp;"")=0,"SKIP",IF(IF(OR(NOT(ISNUMBER('03_payments_raw'!C110)),'03_payments_raw'!C110&lt;=0,'03_payments_raw'!C110&gt;'09_parameters'!$B$2),"ERROR","OK")="ERROR","ERROR",IF(COUNTIF('01_orders_raw'!$A$2:$A$181,'03_payments_raw'!B110)&lt;&gt;1,"SKIP",IF('03_payments_raw'!C110&lt;INDEX('01_orders_raw'!$B$2:$B$181,MATCH('03_payments_raw'!B110,'01_orders_raw'!$A$2:$A$181,0)),"ERROR","OK")))),"")</x:f>
        <x:v>OK</x:v>
      </x:c>
      <x:c r="I356" t="str">
        <x:f>IF(COUNTA('03_payments_raw'!A110:E110)&gt;0,IF(LEN('03_payments_raw'!E110&amp;"")=0,"SKIP",IF(AND('03_payments_raw'!E110&lt;&gt;"Оплачено",'03_payments_raw'!E110&lt;&gt;"Частично оплачено",'03_payments_raw'!E110&lt;&gt;"Не оплачено"),"ERROR","OK")),"")</x:f>
        <x:v>OK</x:v>
      </x:c>
      <x:c r="J356" t="n">
        <x:f>COUNTIF(C356:I356,"ERROR")</x:f>
        <x:v>0</x:v>
      </x:c>
      <x:c r="K356" t="n">
        <x:f>IF(COUNTA('03_payments_raw'!A110:E110)&gt;0,110,"")</x:f>
        <x:v>110</x:v>
      </x:c>
    </x:row>
    <x:row r="357">
      <x:c r="A357" t="str">
        <x:f>IF(COUNTA('03_payments_raw'!A111:E111)&gt;0,"Payment","")</x:f>
        <x:v>Payment</x:v>
      </x:c>
      <x:c r="B357" t="str">
        <x:f>IF(COUNTA('03_payments_raw'!A111:E111)&gt;0,'03_payments_raw'!A111,"")</x:f>
        <x:v>P110</x:v>
      </x:c>
      <x:c r="C357" t="str">
        <x:f>IF(COUNTA('03_payments_raw'!A111:E111)&gt;0,IF(AND(LEN('03_payments_raw'!A111&amp;"")&gt;0,COUNTIF('03_payments_raw'!$A$2:$A$141,'03_payments_raw'!A111)&gt;1),"ERROR","OK"),"")</x:f>
        <x:v>OK</x:v>
      </x:c>
      <x:c r="D357" t="str">
        <x:f>IF(COUNTA('03_payments_raw'!A111:E111)&gt;0,IF(OR(LEN('03_payments_raw'!A111&amp;"")=0,LEN('03_payments_raw'!B111&amp;"")=0,LEN('03_payments_raw'!C111&amp;"")=0,LEN('03_payments_raw'!D111&amp;"")=0,LEN('03_payments_raw'!E111&amp;"")=0),"ERROR","OK"),"")</x:f>
        <x:v>OK</x:v>
      </x:c>
      <x:c r="E357" t="str">
        <x:f>IF(COUNTA('03_payments_raw'!A111:E111)&gt;0,IF(LEN('03_payments_raw'!B111&amp;"")=0,"SKIP",IF(COUNTIF('01_orders_raw'!$A$2:$A$181,'03_payments_raw'!B111)&lt;&gt;1,"ERROR","OK")),"")</x:f>
        <x:v>OK</x:v>
      </x:c>
      <x:c r="F357" t="str">
        <x:f>IF(COUNTA('03_payments_raw'!A111:E111)&gt;0,IF(OR(COUNTIF('01_orders_raw'!$A$2:$A$181,'03_payments_raw'!B111)&lt;&gt;1,LEN('03_payments_raw'!D111&amp;"")=0),"SKIP",IF(OR(NOT(ISNUMBER('03_payments_raw'!D111)),'03_payments_raw'!D111&lt;0,'03_payments_raw'!D111&gt;INDEX('01_orders_raw'!$I$2:$I$181,MATCH('03_payments_raw'!B111,'01_orders_raw'!$A$2:$A$181,0))+'09_parameters'!$B$3),"ERROR","OK")),"")</x:f>
        <x:v>OK</x:v>
      </x:c>
      <x:c r="G357" t="str">
        <x:f>IF(COUNTA('03_payments_raw'!A111:E111)&gt;0,"N/A","")</x:f>
        <x:v>N/A</x:v>
      </x:c>
      <x:c r="H357" t="str">
        <x:f>IF(COUNTA('03_payments_raw'!A111:E111)&gt;0,IF(LEN('03_payments_raw'!C111&amp;"")=0,"SKIP",IF(IF(OR(NOT(ISNUMBER('03_payments_raw'!C111)),'03_payments_raw'!C111&lt;=0,'03_payments_raw'!C111&gt;'09_parameters'!$B$2),"ERROR","OK")="ERROR","ERROR",IF(COUNTIF('01_orders_raw'!$A$2:$A$181,'03_payments_raw'!B111)&lt;&gt;1,"SKIP",IF('03_payments_raw'!C111&lt;INDEX('01_orders_raw'!$B$2:$B$181,MATCH('03_payments_raw'!B111,'01_orders_raw'!$A$2:$A$181,0)),"ERROR","OK")))),"")</x:f>
        <x:v>OK</x:v>
      </x:c>
      <x:c r="I357" t="str">
        <x:f>IF(COUNTA('03_payments_raw'!A111:E111)&gt;0,IF(LEN('03_payments_raw'!E111&amp;"")=0,"SKIP",IF(AND('03_payments_raw'!E111&lt;&gt;"Оплачено",'03_payments_raw'!E111&lt;&gt;"Частично оплачено",'03_payments_raw'!E111&lt;&gt;"Не оплачено"),"ERROR","OK")),"")</x:f>
        <x:v>OK</x:v>
      </x:c>
      <x:c r="J357" t="n">
        <x:f>COUNTIF(C357:I357,"ERROR")</x:f>
        <x:v>0</x:v>
      </x:c>
      <x:c r="K357" t="n">
        <x:f>IF(COUNTA('03_payments_raw'!A111:E111)&gt;0,111,"")</x:f>
        <x:v>111</x:v>
      </x:c>
    </x:row>
    <x:row r="358">
      <x:c r="A358" t="str">
        <x:f>IF(COUNTA('03_payments_raw'!A112:E112)&gt;0,"Payment","")</x:f>
        <x:v>Payment</x:v>
      </x:c>
      <x:c r="B358" t="str">
        <x:f>IF(COUNTA('03_payments_raw'!A112:E112)&gt;0,'03_payments_raw'!A112,"")</x:f>
        <x:v>P111</x:v>
      </x:c>
      <x:c r="C358" t="str">
        <x:f>IF(COUNTA('03_payments_raw'!A112:E112)&gt;0,IF(AND(LEN('03_payments_raw'!A112&amp;"")&gt;0,COUNTIF('03_payments_raw'!$A$2:$A$141,'03_payments_raw'!A112)&gt;1),"ERROR","OK"),"")</x:f>
        <x:v>OK</x:v>
      </x:c>
      <x:c r="D358" t="str">
        <x:f>IF(COUNTA('03_payments_raw'!A112:E112)&gt;0,IF(OR(LEN('03_payments_raw'!A112&amp;"")=0,LEN('03_payments_raw'!B112&amp;"")=0,LEN('03_payments_raw'!C112&amp;"")=0,LEN('03_payments_raw'!D112&amp;"")=0,LEN('03_payments_raw'!E112&amp;"")=0),"ERROR","OK"),"")</x:f>
        <x:v>OK</x:v>
      </x:c>
      <x:c r="E358" t="str">
        <x:f>IF(COUNTA('03_payments_raw'!A112:E112)&gt;0,IF(LEN('03_payments_raw'!B112&amp;"")=0,"SKIP",IF(COUNTIF('01_orders_raw'!$A$2:$A$181,'03_payments_raw'!B112)&lt;&gt;1,"ERROR","OK")),"")</x:f>
        <x:v>OK</x:v>
      </x:c>
      <x:c r="F358" t="str">
        <x:f>IF(COUNTA('03_payments_raw'!A112:E112)&gt;0,IF(OR(COUNTIF('01_orders_raw'!$A$2:$A$181,'03_payments_raw'!B112)&lt;&gt;1,LEN('03_payments_raw'!D112&amp;"")=0),"SKIP",IF(OR(NOT(ISNUMBER('03_payments_raw'!D112)),'03_payments_raw'!D112&lt;0,'03_payments_raw'!D112&gt;INDEX('01_orders_raw'!$I$2:$I$181,MATCH('03_payments_raw'!B112,'01_orders_raw'!$A$2:$A$181,0))+'09_parameters'!$B$3),"ERROR","OK")),"")</x:f>
        <x:v>OK</x:v>
      </x:c>
      <x:c r="G358" t="str">
        <x:f>IF(COUNTA('03_payments_raw'!A112:E112)&gt;0,"N/A","")</x:f>
        <x:v>N/A</x:v>
      </x:c>
      <x:c r="H358" t="str">
        <x:f>IF(COUNTA('03_payments_raw'!A112:E112)&gt;0,IF(LEN('03_payments_raw'!C112&amp;"")=0,"SKIP",IF(IF(OR(NOT(ISNUMBER('03_payments_raw'!C112)),'03_payments_raw'!C112&lt;=0,'03_payments_raw'!C112&gt;'09_parameters'!$B$2),"ERROR","OK")="ERROR","ERROR",IF(COUNTIF('01_orders_raw'!$A$2:$A$181,'03_payments_raw'!B112)&lt;&gt;1,"SKIP",IF('03_payments_raw'!C112&lt;INDEX('01_orders_raw'!$B$2:$B$181,MATCH('03_payments_raw'!B112,'01_orders_raw'!$A$2:$A$181,0)),"ERROR","OK")))),"")</x:f>
        <x:v>OK</x:v>
      </x:c>
      <x:c r="I358" t="str">
        <x:f>IF(COUNTA('03_payments_raw'!A112:E112)&gt;0,IF(LEN('03_payments_raw'!E112&amp;"")=0,"SKIP",IF(AND('03_payments_raw'!E112&lt;&gt;"Оплачено",'03_payments_raw'!E112&lt;&gt;"Частично оплачено",'03_payments_raw'!E112&lt;&gt;"Не оплачено"),"ERROR","OK")),"")</x:f>
        <x:v>OK</x:v>
      </x:c>
      <x:c r="J358" t="n">
        <x:f>COUNTIF(C358:I358,"ERROR")</x:f>
        <x:v>0</x:v>
      </x:c>
      <x:c r="K358" t="n">
        <x:f>IF(COUNTA('03_payments_raw'!A112:E112)&gt;0,112,"")</x:f>
        <x:v>112</x:v>
      </x:c>
    </x:row>
    <x:row r="359">
      <x:c r="A359" t="str">
        <x:f>IF(COUNTA('03_payments_raw'!A113:E113)&gt;0,"Payment","")</x:f>
        <x:v>Payment</x:v>
      </x:c>
      <x:c r="B359" t="str">
        <x:f>IF(COUNTA('03_payments_raw'!A113:E113)&gt;0,'03_payments_raw'!A113,"")</x:f>
        <x:v>P112</x:v>
      </x:c>
      <x:c r="C359" t="str">
        <x:f>IF(COUNTA('03_payments_raw'!A113:E113)&gt;0,IF(AND(LEN('03_payments_raw'!A113&amp;"")&gt;0,COUNTIF('03_payments_raw'!$A$2:$A$141,'03_payments_raw'!A113)&gt;1),"ERROR","OK"),"")</x:f>
        <x:v>OK</x:v>
      </x:c>
      <x:c r="D359" t="str">
        <x:f>IF(COUNTA('03_payments_raw'!A113:E113)&gt;0,IF(OR(LEN('03_payments_raw'!A113&amp;"")=0,LEN('03_payments_raw'!B113&amp;"")=0,LEN('03_payments_raw'!C113&amp;"")=0,LEN('03_payments_raw'!D113&amp;"")=0,LEN('03_payments_raw'!E113&amp;"")=0),"ERROR","OK"),"")</x:f>
        <x:v>OK</x:v>
      </x:c>
      <x:c r="E359" t="str">
        <x:f>IF(COUNTA('03_payments_raw'!A113:E113)&gt;0,IF(LEN('03_payments_raw'!B113&amp;"")=0,"SKIP",IF(COUNTIF('01_orders_raw'!$A$2:$A$181,'03_payments_raw'!B113)&lt;&gt;1,"ERROR","OK")),"")</x:f>
        <x:v>OK</x:v>
      </x:c>
      <x:c r="F359" t="str">
        <x:f>IF(COUNTA('03_payments_raw'!A113:E113)&gt;0,IF(OR(COUNTIF('01_orders_raw'!$A$2:$A$181,'03_payments_raw'!B113)&lt;&gt;1,LEN('03_payments_raw'!D113&amp;"")=0),"SKIP",IF(OR(NOT(ISNUMBER('03_payments_raw'!D113)),'03_payments_raw'!D113&lt;0,'03_payments_raw'!D113&gt;INDEX('01_orders_raw'!$I$2:$I$181,MATCH('03_payments_raw'!B113,'01_orders_raw'!$A$2:$A$181,0))+'09_parameters'!$B$3),"ERROR","OK")),"")</x:f>
        <x:v>OK</x:v>
      </x:c>
      <x:c r="G359" t="str">
        <x:f>IF(COUNTA('03_payments_raw'!A113:E113)&gt;0,"N/A","")</x:f>
        <x:v>N/A</x:v>
      </x:c>
      <x:c r="H359" t="str">
        <x:f>IF(COUNTA('03_payments_raw'!A113:E113)&gt;0,IF(LEN('03_payments_raw'!C113&amp;"")=0,"SKIP",IF(IF(OR(NOT(ISNUMBER('03_payments_raw'!C113)),'03_payments_raw'!C113&lt;=0,'03_payments_raw'!C113&gt;'09_parameters'!$B$2),"ERROR","OK")="ERROR","ERROR",IF(COUNTIF('01_orders_raw'!$A$2:$A$181,'03_payments_raw'!B113)&lt;&gt;1,"SKIP",IF('03_payments_raw'!C113&lt;INDEX('01_orders_raw'!$B$2:$B$181,MATCH('03_payments_raw'!B113,'01_orders_raw'!$A$2:$A$181,0)),"ERROR","OK")))),"")</x:f>
        <x:v>OK</x:v>
      </x:c>
      <x:c r="I359" t="str">
        <x:f>IF(COUNTA('03_payments_raw'!A113:E113)&gt;0,IF(LEN('03_payments_raw'!E113&amp;"")=0,"SKIP",IF(AND('03_payments_raw'!E113&lt;&gt;"Оплачено",'03_payments_raw'!E113&lt;&gt;"Частично оплачено",'03_payments_raw'!E113&lt;&gt;"Не оплачено"),"ERROR","OK")),"")</x:f>
        <x:v>OK</x:v>
      </x:c>
      <x:c r="J359" t="n">
        <x:f>COUNTIF(C359:I359,"ERROR")</x:f>
        <x:v>0</x:v>
      </x:c>
      <x:c r="K359" t="n">
        <x:f>IF(COUNTA('03_payments_raw'!A113:E113)&gt;0,113,"")</x:f>
        <x:v>113</x:v>
      </x:c>
    </x:row>
    <x:row r="360">
      <x:c r="A360" t="str">
        <x:f>IF(COUNTA('03_payments_raw'!A114:E114)&gt;0,"Payment","")</x:f>
        <x:v>Payment</x:v>
      </x:c>
      <x:c r="B360" t="str">
        <x:f>IF(COUNTA('03_payments_raw'!A114:E114)&gt;0,'03_payments_raw'!A114,"")</x:f>
        <x:v>P113</x:v>
      </x:c>
      <x:c r="C360" t="str">
        <x:f>IF(COUNTA('03_payments_raw'!A114:E114)&gt;0,IF(AND(LEN('03_payments_raw'!A114&amp;"")&gt;0,COUNTIF('03_payments_raw'!$A$2:$A$141,'03_payments_raw'!A114)&gt;1),"ERROR","OK"),"")</x:f>
        <x:v>OK</x:v>
      </x:c>
      <x:c r="D360" t="str">
        <x:f>IF(COUNTA('03_payments_raw'!A114:E114)&gt;0,IF(OR(LEN('03_payments_raw'!A114&amp;"")=0,LEN('03_payments_raw'!B114&amp;"")=0,LEN('03_payments_raw'!C114&amp;"")=0,LEN('03_payments_raw'!D114&amp;"")=0,LEN('03_payments_raw'!E114&amp;"")=0),"ERROR","OK"),"")</x:f>
        <x:v>OK</x:v>
      </x:c>
      <x:c r="E360" t="str">
        <x:f>IF(COUNTA('03_payments_raw'!A114:E114)&gt;0,IF(LEN('03_payments_raw'!B114&amp;"")=0,"SKIP",IF(COUNTIF('01_orders_raw'!$A$2:$A$181,'03_payments_raw'!B114)&lt;&gt;1,"ERROR","OK")),"")</x:f>
        <x:v>OK</x:v>
      </x:c>
      <x:c r="F360" t="str">
        <x:f>IF(COUNTA('03_payments_raw'!A114:E114)&gt;0,IF(OR(COUNTIF('01_orders_raw'!$A$2:$A$181,'03_payments_raw'!B114)&lt;&gt;1,LEN('03_payments_raw'!D114&amp;"")=0),"SKIP",IF(OR(NOT(ISNUMBER('03_payments_raw'!D114)),'03_payments_raw'!D114&lt;0,'03_payments_raw'!D114&gt;INDEX('01_orders_raw'!$I$2:$I$181,MATCH('03_payments_raw'!B114,'01_orders_raw'!$A$2:$A$181,0))+'09_parameters'!$B$3),"ERROR","OK")),"")</x:f>
        <x:v>OK</x:v>
      </x:c>
      <x:c r="G360" t="str">
        <x:f>IF(COUNTA('03_payments_raw'!A114:E114)&gt;0,"N/A","")</x:f>
        <x:v>N/A</x:v>
      </x:c>
      <x:c r="H360" t="str">
        <x:f>IF(COUNTA('03_payments_raw'!A114:E114)&gt;0,IF(LEN('03_payments_raw'!C114&amp;"")=0,"SKIP",IF(IF(OR(NOT(ISNUMBER('03_payments_raw'!C114)),'03_payments_raw'!C114&lt;=0,'03_payments_raw'!C114&gt;'09_parameters'!$B$2),"ERROR","OK")="ERROR","ERROR",IF(COUNTIF('01_orders_raw'!$A$2:$A$181,'03_payments_raw'!B114)&lt;&gt;1,"SKIP",IF('03_payments_raw'!C114&lt;INDEX('01_orders_raw'!$B$2:$B$181,MATCH('03_payments_raw'!B114,'01_orders_raw'!$A$2:$A$181,0)),"ERROR","OK")))),"")</x:f>
        <x:v>OK</x:v>
      </x:c>
      <x:c r="I360" t="str">
        <x:f>IF(COUNTA('03_payments_raw'!A114:E114)&gt;0,IF(LEN('03_payments_raw'!E114&amp;"")=0,"SKIP",IF(AND('03_payments_raw'!E114&lt;&gt;"Оплачено",'03_payments_raw'!E114&lt;&gt;"Частично оплачено",'03_payments_raw'!E114&lt;&gt;"Не оплачено"),"ERROR","OK")),"")</x:f>
        <x:v>OK</x:v>
      </x:c>
      <x:c r="J360" t="n">
        <x:f>COUNTIF(C360:I360,"ERROR")</x:f>
        <x:v>0</x:v>
      </x:c>
      <x:c r="K360" t="n">
        <x:f>IF(COUNTA('03_payments_raw'!A114:E114)&gt;0,114,"")</x:f>
        <x:v>114</x:v>
      </x:c>
    </x:row>
    <x:row r="361">
      <x:c r="A361" t="str">
        <x:f>IF(COUNTA('03_payments_raw'!A115:E115)&gt;0,"Payment","")</x:f>
        <x:v>Payment</x:v>
      </x:c>
      <x:c r="B361" t="str">
        <x:f>IF(COUNTA('03_payments_raw'!A115:E115)&gt;0,'03_payments_raw'!A115,"")</x:f>
        <x:v>P114</x:v>
      </x:c>
      <x:c r="C361" t="str">
        <x:f>IF(COUNTA('03_payments_raw'!A115:E115)&gt;0,IF(AND(LEN('03_payments_raw'!A115&amp;"")&gt;0,COUNTIF('03_payments_raw'!$A$2:$A$141,'03_payments_raw'!A115)&gt;1),"ERROR","OK"),"")</x:f>
        <x:v>OK</x:v>
      </x:c>
      <x:c r="D361" t="str">
        <x:f>IF(COUNTA('03_payments_raw'!A115:E115)&gt;0,IF(OR(LEN('03_payments_raw'!A115&amp;"")=0,LEN('03_payments_raw'!B115&amp;"")=0,LEN('03_payments_raw'!C115&amp;"")=0,LEN('03_payments_raw'!D115&amp;"")=0,LEN('03_payments_raw'!E115&amp;"")=0),"ERROR","OK"),"")</x:f>
        <x:v>OK</x:v>
      </x:c>
      <x:c r="E361" t="str">
        <x:f>IF(COUNTA('03_payments_raw'!A115:E115)&gt;0,IF(LEN('03_payments_raw'!B115&amp;"")=0,"SKIP",IF(COUNTIF('01_orders_raw'!$A$2:$A$181,'03_payments_raw'!B115)&lt;&gt;1,"ERROR","OK")),"")</x:f>
        <x:v>OK</x:v>
      </x:c>
      <x:c r="F361" t="str">
        <x:f>IF(COUNTA('03_payments_raw'!A115:E115)&gt;0,IF(OR(COUNTIF('01_orders_raw'!$A$2:$A$181,'03_payments_raw'!B115)&lt;&gt;1,LEN('03_payments_raw'!D115&amp;"")=0),"SKIP",IF(OR(NOT(ISNUMBER('03_payments_raw'!D115)),'03_payments_raw'!D115&lt;0,'03_payments_raw'!D115&gt;INDEX('01_orders_raw'!$I$2:$I$181,MATCH('03_payments_raw'!B115,'01_orders_raw'!$A$2:$A$181,0))+'09_parameters'!$B$3),"ERROR","OK")),"")</x:f>
        <x:v>OK</x:v>
      </x:c>
      <x:c r="G361" t="str">
        <x:f>IF(COUNTA('03_payments_raw'!A115:E115)&gt;0,"N/A","")</x:f>
        <x:v>N/A</x:v>
      </x:c>
      <x:c r="H361" t="str">
        <x:f>IF(COUNTA('03_payments_raw'!A115:E115)&gt;0,IF(LEN('03_payments_raw'!C115&amp;"")=0,"SKIP",IF(IF(OR(NOT(ISNUMBER('03_payments_raw'!C115)),'03_payments_raw'!C115&lt;=0,'03_payments_raw'!C115&gt;'09_parameters'!$B$2),"ERROR","OK")="ERROR","ERROR",IF(COUNTIF('01_orders_raw'!$A$2:$A$181,'03_payments_raw'!B115)&lt;&gt;1,"SKIP",IF('03_payments_raw'!C115&lt;INDEX('01_orders_raw'!$B$2:$B$181,MATCH('03_payments_raw'!B115,'01_orders_raw'!$A$2:$A$181,0)),"ERROR","OK")))),"")</x:f>
        <x:v>OK</x:v>
      </x:c>
      <x:c r="I361" t="str">
        <x:f>IF(COUNTA('03_payments_raw'!A115:E115)&gt;0,IF(LEN('03_payments_raw'!E115&amp;"")=0,"SKIP",IF(AND('03_payments_raw'!E115&lt;&gt;"Оплачено",'03_payments_raw'!E115&lt;&gt;"Частично оплачено",'03_payments_raw'!E115&lt;&gt;"Не оплачено"),"ERROR","OK")),"")</x:f>
        <x:v>OK</x:v>
      </x:c>
      <x:c r="J361" t="n">
        <x:f>COUNTIF(C361:I361,"ERROR")</x:f>
        <x:v>0</x:v>
      </x:c>
      <x:c r="K361" t="n">
        <x:f>IF(COUNTA('03_payments_raw'!A115:E115)&gt;0,115,"")</x:f>
        <x:v>115</x:v>
      </x:c>
    </x:row>
    <x:row r="362">
      <x:c r="A362" t="str">
        <x:f>IF(COUNTA('03_payments_raw'!A116:E116)&gt;0,"Payment","")</x:f>
        <x:v>Payment</x:v>
      </x:c>
      <x:c r="B362" t="str">
        <x:f>IF(COUNTA('03_payments_raw'!A116:E116)&gt;0,'03_payments_raw'!A116,"")</x:f>
        <x:v>P115</x:v>
      </x:c>
      <x:c r="C362" t="str">
        <x:f>IF(COUNTA('03_payments_raw'!A116:E116)&gt;0,IF(AND(LEN('03_payments_raw'!A116&amp;"")&gt;0,COUNTIF('03_payments_raw'!$A$2:$A$141,'03_payments_raw'!A116)&gt;1),"ERROR","OK"),"")</x:f>
        <x:v>OK</x:v>
      </x:c>
      <x:c r="D362" t="str">
        <x:f>IF(COUNTA('03_payments_raw'!A116:E116)&gt;0,IF(OR(LEN('03_payments_raw'!A116&amp;"")=0,LEN('03_payments_raw'!B116&amp;"")=0,LEN('03_payments_raw'!C116&amp;"")=0,LEN('03_payments_raw'!D116&amp;"")=0,LEN('03_payments_raw'!E116&amp;"")=0),"ERROR","OK"),"")</x:f>
        <x:v>OK</x:v>
      </x:c>
      <x:c r="E362" t="str">
        <x:f>IF(COUNTA('03_payments_raw'!A116:E116)&gt;0,IF(LEN('03_payments_raw'!B116&amp;"")=0,"SKIP",IF(COUNTIF('01_orders_raw'!$A$2:$A$181,'03_payments_raw'!B116)&lt;&gt;1,"ERROR","OK")),"")</x:f>
        <x:v>OK</x:v>
      </x:c>
      <x:c r="F362" t="str">
        <x:f>IF(COUNTA('03_payments_raw'!A116:E116)&gt;0,IF(OR(COUNTIF('01_orders_raw'!$A$2:$A$181,'03_payments_raw'!B116)&lt;&gt;1,LEN('03_payments_raw'!D116&amp;"")=0),"SKIP",IF(OR(NOT(ISNUMBER('03_payments_raw'!D116)),'03_payments_raw'!D116&lt;0,'03_payments_raw'!D116&gt;INDEX('01_orders_raw'!$I$2:$I$181,MATCH('03_payments_raw'!B116,'01_orders_raw'!$A$2:$A$181,0))+'09_parameters'!$B$3),"ERROR","OK")),"")</x:f>
        <x:v>OK</x:v>
      </x:c>
      <x:c r="G362" t="str">
        <x:f>IF(COUNTA('03_payments_raw'!A116:E116)&gt;0,"N/A","")</x:f>
        <x:v>N/A</x:v>
      </x:c>
      <x:c r="H362" t="str">
        <x:f>IF(COUNTA('03_payments_raw'!A116:E116)&gt;0,IF(LEN('03_payments_raw'!C116&amp;"")=0,"SKIP",IF(IF(OR(NOT(ISNUMBER('03_payments_raw'!C116)),'03_payments_raw'!C116&lt;=0,'03_payments_raw'!C116&gt;'09_parameters'!$B$2),"ERROR","OK")="ERROR","ERROR",IF(COUNTIF('01_orders_raw'!$A$2:$A$181,'03_payments_raw'!B116)&lt;&gt;1,"SKIP",IF('03_payments_raw'!C116&lt;INDEX('01_orders_raw'!$B$2:$B$181,MATCH('03_payments_raw'!B116,'01_orders_raw'!$A$2:$A$181,0)),"ERROR","OK")))),"")</x:f>
        <x:v>OK</x:v>
      </x:c>
      <x:c r="I362" t="str">
        <x:f>IF(COUNTA('03_payments_raw'!A116:E116)&gt;0,IF(LEN('03_payments_raw'!E116&amp;"")=0,"SKIP",IF(AND('03_payments_raw'!E116&lt;&gt;"Оплачено",'03_payments_raw'!E116&lt;&gt;"Частично оплачено",'03_payments_raw'!E116&lt;&gt;"Не оплачено"),"ERROR","OK")),"")</x:f>
        <x:v>OK</x:v>
      </x:c>
      <x:c r="J362" t="n">
        <x:f>COUNTIF(C362:I362,"ERROR")</x:f>
        <x:v>0</x:v>
      </x:c>
      <x:c r="K362" t="n">
        <x:f>IF(COUNTA('03_payments_raw'!A116:E116)&gt;0,116,"")</x:f>
        <x:v>116</x:v>
      </x:c>
    </x:row>
    <x:row r="363">
      <x:c r="A363" t="str">
        <x:f>IF(COUNTA('03_payments_raw'!A117:E117)&gt;0,"Payment","")</x:f>
        <x:v>Payment</x:v>
      </x:c>
      <x:c r="B363" t="str">
        <x:f>IF(COUNTA('03_payments_raw'!A117:E117)&gt;0,'03_payments_raw'!A117,"")</x:f>
        <x:v>P116</x:v>
      </x:c>
      <x:c r="C363" t="str">
        <x:f>IF(COUNTA('03_payments_raw'!A117:E117)&gt;0,IF(AND(LEN('03_payments_raw'!A117&amp;"")&gt;0,COUNTIF('03_payments_raw'!$A$2:$A$141,'03_payments_raw'!A117)&gt;1),"ERROR","OK"),"")</x:f>
        <x:v>OK</x:v>
      </x:c>
      <x:c r="D363" t="str">
        <x:f>IF(COUNTA('03_payments_raw'!A117:E117)&gt;0,IF(OR(LEN('03_payments_raw'!A117&amp;"")=0,LEN('03_payments_raw'!B117&amp;"")=0,LEN('03_payments_raw'!C117&amp;"")=0,LEN('03_payments_raw'!D117&amp;"")=0,LEN('03_payments_raw'!E117&amp;"")=0),"ERROR","OK"),"")</x:f>
        <x:v>OK</x:v>
      </x:c>
      <x:c r="E363" t="str">
        <x:f>IF(COUNTA('03_payments_raw'!A117:E117)&gt;0,IF(LEN('03_payments_raw'!B117&amp;"")=0,"SKIP",IF(COUNTIF('01_orders_raw'!$A$2:$A$181,'03_payments_raw'!B117)&lt;&gt;1,"ERROR","OK")),"")</x:f>
        <x:v>OK</x:v>
      </x:c>
      <x:c r="F363" t="str">
        <x:f>IF(COUNTA('03_payments_raw'!A117:E117)&gt;0,IF(OR(COUNTIF('01_orders_raw'!$A$2:$A$181,'03_payments_raw'!B117)&lt;&gt;1,LEN('03_payments_raw'!D117&amp;"")=0),"SKIP",IF(OR(NOT(ISNUMBER('03_payments_raw'!D117)),'03_payments_raw'!D117&lt;0,'03_payments_raw'!D117&gt;INDEX('01_orders_raw'!$I$2:$I$181,MATCH('03_payments_raw'!B117,'01_orders_raw'!$A$2:$A$181,0))+'09_parameters'!$B$3),"ERROR","OK")),"")</x:f>
        <x:v>OK</x:v>
      </x:c>
      <x:c r="G363" t="str">
        <x:f>IF(COUNTA('03_payments_raw'!A117:E117)&gt;0,"N/A","")</x:f>
        <x:v>N/A</x:v>
      </x:c>
      <x:c r="H363" t="str">
        <x:f>IF(COUNTA('03_payments_raw'!A117:E117)&gt;0,IF(LEN('03_payments_raw'!C117&amp;"")=0,"SKIP",IF(IF(OR(NOT(ISNUMBER('03_payments_raw'!C117)),'03_payments_raw'!C117&lt;=0,'03_payments_raw'!C117&gt;'09_parameters'!$B$2),"ERROR","OK")="ERROR","ERROR",IF(COUNTIF('01_orders_raw'!$A$2:$A$181,'03_payments_raw'!B117)&lt;&gt;1,"SKIP",IF('03_payments_raw'!C117&lt;INDEX('01_orders_raw'!$B$2:$B$181,MATCH('03_payments_raw'!B117,'01_orders_raw'!$A$2:$A$181,0)),"ERROR","OK")))),"")</x:f>
        <x:v>OK</x:v>
      </x:c>
      <x:c r="I363" t="str">
        <x:f>IF(COUNTA('03_payments_raw'!A117:E117)&gt;0,IF(LEN('03_payments_raw'!E117&amp;"")=0,"SKIP",IF(AND('03_payments_raw'!E117&lt;&gt;"Оплачено",'03_payments_raw'!E117&lt;&gt;"Частично оплачено",'03_payments_raw'!E117&lt;&gt;"Не оплачено"),"ERROR","OK")),"")</x:f>
        <x:v>OK</x:v>
      </x:c>
      <x:c r="J363" t="n">
        <x:f>COUNTIF(C363:I363,"ERROR")</x:f>
        <x:v>0</x:v>
      </x:c>
      <x:c r="K363" t="n">
        <x:f>IF(COUNTA('03_payments_raw'!A117:E117)&gt;0,117,"")</x:f>
        <x:v>117</x:v>
      </x:c>
    </x:row>
    <x:row r="364">
      <x:c r="A364" t="str">
        <x:f>IF(COUNTA('03_payments_raw'!A118:E118)&gt;0,"Payment","")</x:f>
        <x:v>Payment</x:v>
      </x:c>
      <x:c r="B364" t="str">
        <x:f>IF(COUNTA('03_payments_raw'!A118:E118)&gt;0,'03_payments_raw'!A118,"")</x:f>
        <x:v>P117</x:v>
      </x:c>
      <x:c r="C364" t="str">
        <x:f>IF(COUNTA('03_payments_raw'!A118:E118)&gt;0,IF(AND(LEN('03_payments_raw'!A118&amp;"")&gt;0,COUNTIF('03_payments_raw'!$A$2:$A$141,'03_payments_raw'!A118)&gt;1),"ERROR","OK"),"")</x:f>
        <x:v>OK</x:v>
      </x:c>
      <x:c r="D364" t="str">
        <x:f>IF(COUNTA('03_payments_raw'!A118:E118)&gt;0,IF(OR(LEN('03_payments_raw'!A118&amp;"")=0,LEN('03_payments_raw'!B118&amp;"")=0,LEN('03_payments_raw'!C118&amp;"")=0,LEN('03_payments_raw'!D118&amp;"")=0,LEN('03_payments_raw'!E118&amp;"")=0),"ERROR","OK"),"")</x:f>
        <x:v>OK</x:v>
      </x:c>
      <x:c r="E364" t="str">
        <x:f>IF(COUNTA('03_payments_raw'!A118:E118)&gt;0,IF(LEN('03_payments_raw'!B118&amp;"")=0,"SKIP",IF(COUNTIF('01_orders_raw'!$A$2:$A$181,'03_payments_raw'!B118)&lt;&gt;1,"ERROR","OK")),"")</x:f>
        <x:v>OK</x:v>
      </x:c>
      <x:c r="F364" t="str">
        <x:f>IF(COUNTA('03_payments_raw'!A118:E118)&gt;0,IF(OR(COUNTIF('01_orders_raw'!$A$2:$A$181,'03_payments_raw'!B118)&lt;&gt;1,LEN('03_payments_raw'!D118&amp;"")=0),"SKIP",IF(OR(NOT(ISNUMBER('03_payments_raw'!D118)),'03_payments_raw'!D118&lt;0,'03_payments_raw'!D118&gt;INDEX('01_orders_raw'!$I$2:$I$181,MATCH('03_payments_raw'!B118,'01_orders_raw'!$A$2:$A$181,0))+'09_parameters'!$B$3),"ERROR","OK")),"")</x:f>
        <x:v>OK</x:v>
      </x:c>
      <x:c r="G364" t="str">
        <x:f>IF(COUNTA('03_payments_raw'!A118:E118)&gt;0,"N/A","")</x:f>
        <x:v>N/A</x:v>
      </x:c>
      <x:c r="H364" t="str">
        <x:f>IF(COUNTA('03_payments_raw'!A118:E118)&gt;0,IF(LEN('03_payments_raw'!C118&amp;"")=0,"SKIP",IF(IF(OR(NOT(ISNUMBER('03_payments_raw'!C118)),'03_payments_raw'!C118&lt;=0,'03_payments_raw'!C118&gt;'09_parameters'!$B$2),"ERROR","OK")="ERROR","ERROR",IF(COUNTIF('01_orders_raw'!$A$2:$A$181,'03_payments_raw'!B118)&lt;&gt;1,"SKIP",IF('03_payments_raw'!C118&lt;INDEX('01_orders_raw'!$B$2:$B$181,MATCH('03_payments_raw'!B118,'01_orders_raw'!$A$2:$A$181,0)),"ERROR","OK")))),"")</x:f>
        <x:v>OK</x:v>
      </x:c>
      <x:c r="I364" t="str">
        <x:f>IF(COUNTA('03_payments_raw'!A118:E118)&gt;0,IF(LEN('03_payments_raw'!E118&amp;"")=0,"SKIP",IF(AND('03_payments_raw'!E118&lt;&gt;"Оплачено",'03_payments_raw'!E118&lt;&gt;"Частично оплачено",'03_payments_raw'!E118&lt;&gt;"Не оплачено"),"ERROR","OK")),"")</x:f>
        <x:v>OK</x:v>
      </x:c>
      <x:c r="J364" t="n">
        <x:f>COUNTIF(C364:I364,"ERROR")</x:f>
        <x:v>0</x:v>
      </x:c>
      <x:c r="K364" t="n">
        <x:f>IF(COUNTA('03_payments_raw'!A118:E118)&gt;0,118,"")</x:f>
        <x:v>118</x:v>
      </x:c>
    </x:row>
    <x:row r="365">
      <x:c r="A365" t="str">
        <x:f>IF(COUNTA('03_payments_raw'!A119:E119)&gt;0,"Payment","")</x:f>
        <x:v>Payment</x:v>
      </x:c>
      <x:c r="B365" t="str">
        <x:f>IF(COUNTA('03_payments_raw'!A119:E119)&gt;0,'03_payments_raw'!A119,"")</x:f>
        <x:v>P118</x:v>
      </x:c>
      <x:c r="C365" t="str">
        <x:f>IF(COUNTA('03_payments_raw'!A119:E119)&gt;0,IF(AND(LEN('03_payments_raw'!A119&amp;"")&gt;0,COUNTIF('03_payments_raw'!$A$2:$A$141,'03_payments_raw'!A119)&gt;1),"ERROR","OK"),"")</x:f>
        <x:v>OK</x:v>
      </x:c>
      <x:c r="D365" t="str">
        <x:f>IF(COUNTA('03_payments_raw'!A119:E119)&gt;0,IF(OR(LEN('03_payments_raw'!A119&amp;"")=0,LEN('03_payments_raw'!B119&amp;"")=0,LEN('03_payments_raw'!C119&amp;"")=0,LEN('03_payments_raw'!D119&amp;"")=0,LEN('03_payments_raw'!E119&amp;"")=0),"ERROR","OK"),"")</x:f>
        <x:v>OK</x:v>
      </x:c>
      <x:c r="E365" t="str">
        <x:f>IF(COUNTA('03_payments_raw'!A119:E119)&gt;0,IF(LEN('03_payments_raw'!B119&amp;"")=0,"SKIP",IF(COUNTIF('01_orders_raw'!$A$2:$A$181,'03_payments_raw'!B119)&lt;&gt;1,"ERROR","OK")),"")</x:f>
        <x:v>OK</x:v>
      </x:c>
      <x:c r="F365" t="str">
        <x:f>IF(COUNTA('03_payments_raw'!A119:E119)&gt;0,IF(OR(COUNTIF('01_orders_raw'!$A$2:$A$181,'03_payments_raw'!B119)&lt;&gt;1,LEN('03_payments_raw'!D119&amp;"")=0),"SKIP",IF(OR(NOT(ISNUMBER('03_payments_raw'!D119)),'03_payments_raw'!D119&lt;0,'03_payments_raw'!D119&gt;INDEX('01_orders_raw'!$I$2:$I$181,MATCH('03_payments_raw'!B119,'01_orders_raw'!$A$2:$A$181,0))+'09_parameters'!$B$3),"ERROR","OK")),"")</x:f>
        <x:v>OK</x:v>
      </x:c>
      <x:c r="G365" t="str">
        <x:f>IF(COUNTA('03_payments_raw'!A119:E119)&gt;0,"N/A","")</x:f>
        <x:v>N/A</x:v>
      </x:c>
      <x:c r="H365" t="str">
        <x:f>IF(COUNTA('03_payments_raw'!A119:E119)&gt;0,IF(LEN('03_payments_raw'!C119&amp;"")=0,"SKIP",IF(IF(OR(NOT(ISNUMBER('03_payments_raw'!C119)),'03_payments_raw'!C119&lt;=0,'03_payments_raw'!C119&gt;'09_parameters'!$B$2),"ERROR","OK")="ERROR","ERROR",IF(COUNTIF('01_orders_raw'!$A$2:$A$181,'03_payments_raw'!B119)&lt;&gt;1,"SKIP",IF('03_payments_raw'!C119&lt;INDEX('01_orders_raw'!$B$2:$B$181,MATCH('03_payments_raw'!B119,'01_orders_raw'!$A$2:$A$181,0)),"ERROR","OK")))),"")</x:f>
        <x:v>OK</x:v>
      </x:c>
      <x:c r="I365" t="str">
        <x:f>IF(COUNTA('03_payments_raw'!A119:E119)&gt;0,IF(LEN('03_payments_raw'!E119&amp;"")=0,"SKIP",IF(AND('03_payments_raw'!E119&lt;&gt;"Оплачено",'03_payments_raw'!E119&lt;&gt;"Частично оплачено",'03_payments_raw'!E119&lt;&gt;"Не оплачено"),"ERROR","OK")),"")</x:f>
        <x:v>OK</x:v>
      </x:c>
      <x:c r="J365" t="n">
        <x:f>COUNTIF(C365:I365,"ERROR")</x:f>
        <x:v>0</x:v>
      </x:c>
      <x:c r="K365" t="n">
        <x:f>IF(COUNTA('03_payments_raw'!A119:E119)&gt;0,119,"")</x:f>
        <x:v>119</x:v>
      </x:c>
    </x:row>
    <x:row r="366">
      <x:c r="A366" t="str">
        <x:f>IF(COUNTA('03_payments_raw'!A120:E120)&gt;0,"Payment","")</x:f>
        <x:v>Payment</x:v>
      </x:c>
      <x:c r="B366" t="str">
        <x:f>IF(COUNTA('03_payments_raw'!A120:E120)&gt;0,'03_payments_raw'!A120,"")</x:f>
        <x:v>P119</x:v>
      </x:c>
      <x:c r="C366" t="str">
        <x:f>IF(COUNTA('03_payments_raw'!A120:E120)&gt;0,IF(AND(LEN('03_payments_raw'!A120&amp;"")&gt;0,COUNTIF('03_payments_raw'!$A$2:$A$141,'03_payments_raw'!A120)&gt;1),"ERROR","OK"),"")</x:f>
        <x:v>OK</x:v>
      </x:c>
      <x:c r="D366" t="str">
        <x:f>IF(COUNTA('03_payments_raw'!A120:E120)&gt;0,IF(OR(LEN('03_payments_raw'!A120&amp;"")=0,LEN('03_payments_raw'!B120&amp;"")=0,LEN('03_payments_raw'!C120&amp;"")=0,LEN('03_payments_raw'!D120&amp;"")=0,LEN('03_payments_raw'!E120&amp;"")=0),"ERROR","OK"),"")</x:f>
        <x:v>OK</x:v>
      </x:c>
      <x:c r="E366" t="str">
        <x:f>IF(COUNTA('03_payments_raw'!A120:E120)&gt;0,IF(LEN('03_payments_raw'!B120&amp;"")=0,"SKIP",IF(COUNTIF('01_orders_raw'!$A$2:$A$181,'03_payments_raw'!B120)&lt;&gt;1,"ERROR","OK")),"")</x:f>
        <x:v>OK</x:v>
      </x:c>
      <x:c r="F366" t="str">
        <x:f>IF(COUNTA('03_payments_raw'!A120:E120)&gt;0,IF(OR(COUNTIF('01_orders_raw'!$A$2:$A$181,'03_payments_raw'!B120)&lt;&gt;1,LEN('03_payments_raw'!D120&amp;"")=0),"SKIP",IF(OR(NOT(ISNUMBER('03_payments_raw'!D120)),'03_payments_raw'!D120&lt;0,'03_payments_raw'!D120&gt;INDEX('01_orders_raw'!$I$2:$I$181,MATCH('03_payments_raw'!B120,'01_orders_raw'!$A$2:$A$181,0))+'09_parameters'!$B$3),"ERROR","OK")),"")</x:f>
        <x:v>OK</x:v>
      </x:c>
      <x:c r="G366" t="str">
        <x:f>IF(COUNTA('03_payments_raw'!A120:E120)&gt;0,"N/A","")</x:f>
        <x:v>N/A</x:v>
      </x:c>
      <x:c r="H366" t="str">
        <x:f>IF(COUNTA('03_payments_raw'!A120:E120)&gt;0,IF(LEN('03_payments_raw'!C120&amp;"")=0,"SKIP",IF(IF(OR(NOT(ISNUMBER('03_payments_raw'!C120)),'03_payments_raw'!C120&lt;=0,'03_payments_raw'!C120&gt;'09_parameters'!$B$2),"ERROR","OK")="ERROR","ERROR",IF(COUNTIF('01_orders_raw'!$A$2:$A$181,'03_payments_raw'!B120)&lt;&gt;1,"SKIP",IF('03_payments_raw'!C120&lt;INDEX('01_orders_raw'!$B$2:$B$181,MATCH('03_payments_raw'!B120,'01_orders_raw'!$A$2:$A$181,0)),"ERROR","OK")))),"")</x:f>
        <x:v>OK</x:v>
      </x:c>
      <x:c r="I366" t="str">
        <x:f>IF(COUNTA('03_payments_raw'!A120:E120)&gt;0,IF(LEN('03_payments_raw'!E120&amp;"")=0,"SKIP",IF(AND('03_payments_raw'!E120&lt;&gt;"Оплачено",'03_payments_raw'!E120&lt;&gt;"Частично оплачено",'03_payments_raw'!E120&lt;&gt;"Не оплачено"),"ERROR","OK")),"")</x:f>
        <x:v>OK</x:v>
      </x:c>
      <x:c r="J366" t="n">
        <x:f>COUNTIF(C366:I366,"ERROR")</x:f>
        <x:v>0</x:v>
      </x:c>
      <x:c r="K366" t="n">
        <x:f>IF(COUNTA('03_payments_raw'!A120:E120)&gt;0,120,"")</x:f>
        <x:v>120</x:v>
      </x:c>
    </x:row>
    <x:row r="367">
      <x:c r="A367" t="str">
        <x:f>IF(COUNTA('03_payments_raw'!A121:E121)&gt;0,"Payment","")</x:f>
        <x:v>Payment</x:v>
      </x:c>
      <x:c r="B367" t="str">
        <x:f>IF(COUNTA('03_payments_raw'!A121:E121)&gt;0,'03_payments_raw'!A121,"")</x:f>
        <x:v>P120</x:v>
      </x:c>
      <x:c r="C367" t="str">
        <x:f>IF(COUNTA('03_payments_raw'!A121:E121)&gt;0,IF(AND(LEN('03_payments_raw'!A121&amp;"")&gt;0,COUNTIF('03_payments_raw'!$A$2:$A$141,'03_payments_raw'!A121)&gt;1),"ERROR","OK"),"")</x:f>
        <x:v>OK</x:v>
      </x:c>
      <x:c r="D367" t="str">
        <x:f>IF(COUNTA('03_payments_raw'!A121:E121)&gt;0,IF(OR(LEN('03_payments_raw'!A121&amp;"")=0,LEN('03_payments_raw'!B121&amp;"")=0,LEN('03_payments_raw'!C121&amp;"")=0,LEN('03_payments_raw'!D121&amp;"")=0,LEN('03_payments_raw'!E121&amp;"")=0),"ERROR","OK"),"")</x:f>
        <x:v>OK</x:v>
      </x:c>
      <x:c r="E367" t="str">
        <x:f>IF(COUNTA('03_payments_raw'!A121:E121)&gt;0,IF(LEN('03_payments_raw'!B121&amp;"")=0,"SKIP",IF(COUNTIF('01_orders_raw'!$A$2:$A$181,'03_payments_raw'!B121)&lt;&gt;1,"ERROR","OK")),"")</x:f>
        <x:v>OK</x:v>
      </x:c>
      <x:c r="F367" t="str">
        <x:f>IF(COUNTA('03_payments_raw'!A121:E121)&gt;0,IF(OR(COUNTIF('01_orders_raw'!$A$2:$A$181,'03_payments_raw'!B121)&lt;&gt;1,LEN('03_payments_raw'!D121&amp;"")=0),"SKIP",IF(OR(NOT(ISNUMBER('03_payments_raw'!D121)),'03_payments_raw'!D121&lt;0,'03_payments_raw'!D121&gt;INDEX('01_orders_raw'!$I$2:$I$181,MATCH('03_payments_raw'!B121,'01_orders_raw'!$A$2:$A$181,0))+'09_parameters'!$B$3),"ERROR","OK")),"")</x:f>
        <x:v>OK</x:v>
      </x:c>
      <x:c r="G367" t="str">
        <x:f>IF(COUNTA('03_payments_raw'!A121:E121)&gt;0,"N/A","")</x:f>
        <x:v>N/A</x:v>
      </x:c>
      <x:c r="H367" t="str">
        <x:f>IF(COUNTA('03_payments_raw'!A121:E121)&gt;0,IF(LEN('03_payments_raw'!C121&amp;"")=0,"SKIP",IF(IF(OR(NOT(ISNUMBER('03_payments_raw'!C121)),'03_payments_raw'!C121&lt;=0,'03_payments_raw'!C121&gt;'09_parameters'!$B$2),"ERROR","OK")="ERROR","ERROR",IF(COUNTIF('01_orders_raw'!$A$2:$A$181,'03_payments_raw'!B121)&lt;&gt;1,"SKIP",IF('03_payments_raw'!C121&lt;INDEX('01_orders_raw'!$B$2:$B$181,MATCH('03_payments_raw'!B121,'01_orders_raw'!$A$2:$A$181,0)),"ERROR","OK")))),"")</x:f>
        <x:v>OK</x:v>
      </x:c>
      <x:c r="I367" t="str">
        <x:f>IF(COUNTA('03_payments_raw'!A121:E121)&gt;0,IF(LEN('03_payments_raw'!E121&amp;"")=0,"SKIP",IF(AND('03_payments_raw'!E121&lt;&gt;"Оплачено",'03_payments_raw'!E121&lt;&gt;"Частично оплачено",'03_payments_raw'!E121&lt;&gt;"Не оплачено"),"ERROR","OK")),"")</x:f>
        <x:v>OK</x:v>
      </x:c>
      <x:c r="J367" t="n">
        <x:f>COUNTIF(C367:I367,"ERROR")</x:f>
        <x:v>0</x:v>
      </x:c>
      <x:c r="K367" t="n">
        <x:f>IF(COUNTA('03_payments_raw'!A121:E121)&gt;0,121,"")</x:f>
        <x:v>121</x:v>
      </x:c>
    </x:row>
    <x:row r="368">
      <x:c r="A368" t="str">
        <x:f>IF(COUNTA('03_payments_raw'!A122:E122)&gt;0,"Payment","")</x:f>
      </x:c>
      <x:c r="B368" t="str">
        <x:f>IF(COUNTA('03_payments_raw'!A122:E122)&gt;0,'03_payments_raw'!A122,"")</x:f>
      </x:c>
      <x:c r="C368" t="str">
        <x:f>IF(COUNTA('03_payments_raw'!A122:E122)&gt;0,IF(AND(LEN('03_payments_raw'!A122&amp;"")&gt;0,COUNTIF('03_payments_raw'!$A$2:$A$141,'03_payments_raw'!A122)&gt;1),"ERROR","OK"),"")</x:f>
      </x:c>
      <x:c r="D368" t="str">
        <x:f>IF(COUNTA('03_payments_raw'!A122:E122)&gt;0,IF(OR(LEN('03_payments_raw'!A122&amp;"")=0,LEN('03_payments_raw'!B122&amp;"")=0,LEN('03_payments_raw'!C122&amp;"")=0,LEN('03_payments_raw'!D122&amp;"")=0,LEN('03_payments_raw'!E122&amp;"")=0),"ERROR","OK"),"")</x:f>
      </x:c>
      <x:c r="E368" t="str">
        <x:f>IF(COUNTA('03_payments_raw'!A122:E122)&gt;0,IF(LEN('03_payments_raw'!B122&amp;"")=0,"SKIP",IF(COUNTIF('01_orders_raw'!$A$2:$A$181,'03_payments_raw'!B122)&lt;&gt;1,"ERROR","OK")),"")</x:f>
      </x:c>
      <x:c r="F368" t="str">
        <x:f>IF(COUNTA('03_payments_raw'!A122:E122)&gt;0,IF(OR(COUNTIF('01_orders_raw'!$A$2:$A$181,'03_payments_raw'!B122)&lt;&gt;1,LEN('03_payments_raw'!D122&amp;"")=0),"SKIP",IF(OR(NOT(ISNUMBER('03_payments_raw'!D122)),'03_payments_raw'!D122&lt;0,'03_payments_raw'!D122&gt;INDEX('01_orders_raw'!$I$2:$I$181,MATCH('03_payments_raw'!B122,'01_orders_raw'!$A$2:$A$181,0))+'09_parameters'!$B$3),"ERROR","OK")),"")</x:f>
      </x:c>
      <x:c r="G368" t="str">
        <x:f>IF(COUNTA('03_payments_raw'!A122:E122)&gt;0,"N/A","")</x:f>
      </x:c>
      <x:c r="H368" t="str">
        <x:f>IF(COUNTA('03_payments_raw'!A122:E122)&gt;0,IF(LEN('03_payments_raw'!C122&amp;"")=0,"SKIP",IF(IF(OR(NOT(ISNUMBER('03_payments_raw'!C122)),'03_payments_raw'!C122&lt;=0,'03_payments_raw'!C122&gt;'09_parameters'!$B$2),"ERROR","OK")="ERROR","ERROR",IF(COUNTIF('01_orders_raw'!$A$2:$A$181,'03_payments_raw'!B122)&lt;&gt;1,"SKIP",IF('03_payments_raw'!C122&lt;INDEX('01_orders_raw'!$B$2:$B$181,MATCH('03_payments_raw'!B122,'01_orders_raw'!$A$2:$A$181,0)),"ERROR","OK")))),"")</x:f>
      </x:c>
      <x:c r="I368" t="str">
        <x:f>IF(COUNTA('03_payments_raw'!A122:E122)&gt;0,IF(LEN('03_payments_raw'!E122&amp;"")=0,"SKIP",IF(AND('03_payments_raw'!E122&lt;&gt;"Оплачено",'03_payments_raw'!E122&lt;&gt;"Частично оплачено",'03_payments_raw'!E122&lt;&gt;"Не оплачено"),"ERROR","OK")),"")</x:f>
      </x:c>
      <x:c r="J368" t="n">
        <x:f>COUNTIF(C368:I368,"ERROR")</x:f>
        <x:v>0</x:v>
      </x:c>
      <x:c r="K368" t="str">
        <x:f>IF(COUNTA('03_payments_raw'!A122:E122)&gt;0,122,"")</x:f>
      </x:c>
    </x:row>
    <x:row r="369">
      <x:c r="A369" t="str">
        <x:f>IF(COUNTA('03_payments_raw'!A123:E123)&gt;0,"Payment","")</x:f>
      </x:c>
      <x:c r="B369" t="str">
        <x:f>IF(COUNTA('03_payments_raw'!A123:E123)&gt;0,'03_payments_raw'!A123,"")</x:f>
      </x:c>
      <x:c r="C369" t="str">
        <x:f>IF(COUNTA('03_payments_raw'!A123:E123)&gt;0,IF(AND(LEN('03_payments_raw'!A123&amp;"")&gt;0,COUNTIF('03_payments_raw'!$A$2:$A$141,'03_payments_raw'!A123)&gt;1),"ERROR","OK"),"")</x:f>
      </x:c>
      <x:c r="D369" t="str">
        <x:f>IF(COUNTA('03_payments_raw'!A123:E123)&gt;0,IF(OR(LEN('03_payments_raw'!A123&amp;"")=0,LEN('03_payments_raw'!B123&amp;"")=0,LEN('03_payments_raw'!C123&amp;"")=0,LEN('03_payments_raw'!D123&amp;"")=0,LEN('03_payments_raw'!E123&amp;"")=0),"ERROR","OK"),"")</x:f>
      </x:c>
      <x:c r="E369" t="str">
        <x:f>IF(COUNTA('03_payments_raw'!A123:E123)&gt;0,IF(LEN('03_payments_raw'!B123&amp;"")=0,"SKIP",IF(COUNTIF('01_orders_raw'!$A$2:$A$181,'03_payments_raw'!B123)&lt;&gt;1,"ERROR","OK")),"")</x:f>
      </x:c>
      <x:c r="F369" t="str">
        <x:f>IF(COUNTA('03_payments_raw'!A123:E123)&gt;0,IF(OR(COUNTIF('01_orders_raw'!$A$2:$A$181,'03_payments_raw'!B123)&lt;&gt;1,LEN('03_payments_raw'!D123&amp;"")=0),"SKIP",IF(OR(NOT(ISNUMBER('03_payments_raw'!D123)),'03_payments_raw'!D123&lt;0,'03_payments_raw'!D123&gt;INDEX('01_orders_raw'!$I$2:$I$181,MATCH('03_payments_raw'!B123,'01_orders_raw'!$A$2:$A$181,0))+'09_parameters'!$B$3),"ERROR","OK")),"")</x:f>
      </x:c>
      <x:c r="G369" t="str">
        <x:f>IF(COUNTA('03_payments_raw'!A123:E123)&gt;0,"N/A","")</x:f>
      </x:c>
      <x:c r="H369" t="str">
        <x:f>IF(COUNTA('03_payments_raw'!A123:E123)&gt;0,IF(LEN('03_payments_raw'!C123&amp;"")=0,"SKIP",IF(IF(OR(NOT(ISNUMBER('03_payments_raw'!C123)),'03_payments_raw'!C123&lt;=0,'03_payments_raw'!C123&gt;'09_parameters'!$B$2),"ERROR","OK")="ERROR","ERROR",IF(COUNTIF('01_orders_raw'!$A$2:$A$181,'03_payments_raw'!B123)&lt;&gt;1,"SKIP",IF('03_payments_raw'!C123&lt;INDEX('01_orders_raw'!$B$2:$B$181,MATCH('03_payments_raw'!B123,'01_orders_raw'!$A$2:$A$181,0)),"ERROR","OK")))),"")</x:f>
      </x:c>
      <x:c r="I369" t="str">
        <x:f>IF(COUNTA('03_payments_raw'!A123:E123)&gt;0,IF(LEN('03_payments_raw'!E123&amp;"")=0,"SKIP",IF(AND('03_payments_raw'!E123&lt;&gt;"Оплачено",'03_payments_raw'!E123&lt;&gt;"Частично оплачено",'03_payments_raw'!E123&lt;&gt;"Не оплачено"),"ERROR","OK")),"")</x:f>
      </x:c>
      <x:c r="J369" t="n">
        <x:f>COUNTIF(C369:I369,"ERROR")</x:f>
        <x:v>0</x:v>
      </x:c>
      <x:c r="K369" t="str">
        <x:f>IF(COUNTA('03_payments_raw'!A123:E123)&gt;0,123,"")</x:f>
      </x:c>
    </x:row>
    <x:row r="370">
      <x:c r="A370" t="str">
        <x:f>IF(COUNTA('03_payments_raw'!A124:E124)&gt;0,"Payment","")</x:f>
      </x:c>
      <x:c r="B370" t="str">
        <x:f>IF(COUNTA('03_payments_raw'!A124:E124)&gt;0,'03_payments_raw'!A124,"")</x:f>
      </x:c>
      <x:c r="C370" t="str">
        <x:f>IF(COUNTA('03_payments_raw'!A124:E124)&gt;0,IF(AND(LEN('03_payments_raw'!A124&amp;"")&gt;0,COUNTIF('03_payments_raw'!$A$2:$A$141,'03_payments_raw'!A124)&gt;1),"ERROR","OK"),"")</x:f>
      </x:c>
      <x:c r="D370" t="str">
        <x:f>IF(COUNTA('03_payments_raw'!A124:E124)&gt;0,IF(OR(LEN('03_payments_raw'!A124&amp;"")=0,LEN('03_payments_raw'!B124&amp;"")=0,LEN('03_payments_raw'!C124&amp;"")=0,LEN('03_payments_raw'!D124&amp;"")=0,LEN('03_payments_raw'!E124&amp;"")=0),"ERROR","OK"),"")</x:f>
      </x:c>
      <x:c r="E370" t="str">
        <x:f>IF(COUNTA('03_payments_raw'!A124:E124)&gt;0,IF(LEN('03_payments_raw'!B124&amp;"")=0,"SKIP",IF(COUNTIF('01_orders_raw'!$A$2:$A$181,'03_payments_raw'!B124)&lt;&gt;1,"ERROR","OK")),"")</x:f>
      </x:c>
      <x:c r="F370" t="str">
        <x:f>IF(COUNTA('03_payments_raw'!A124:E124)&gt;0,IF(OR(COUNTIF('01_orders_raw'!$A$2:$A$181,'03_payments_raw'!B124)&lt;&gt;1,LEN('03_payments_raw'!D124&amp;"")=0),"SKIP",IF(OR(NOT(ISNUMBER('03_payments_raw'!D124)),'03_payments_raw'!D124&lt;0,'03_payments_raw'!D124&gt;INDEX('01_orders_raw'!$I$2:$I$181,MATCH('03_payments_raw'!B124,'01_orders_raw'!$A$2:$A$181,0))+'09_parameters'!$B$3),"ERROR","OK")),"")</x:f>
      </x:c>
      <x:c r="G370" t="str">
        <x:f>IF(COUNTA('03_payments_raw'!A124:E124)&gt;0,"N/A","")</x:f>
      </x:c>
      <x:c r="H370" t="str">
        <x:f>IF(COUNTA('03_payments_raw'!A124:E124)&gt;0,IF(LEN('03_payments_raw'!C124&amp;"")=0,"SKIP",IF(IF(OR(NOT(ISNUMBER('03_payments_raw'!C124)),'03_payments_raw'!C124&lt;=0,'03_payments_raw'!C124&gt;'09_parameters'!$B$2),"ERROR","OK")="ERROR","ERROR",IF(COUNTIF('01_orders_raw'!$A$2:$A$181,'03_payments_raw'!B124)&lt;&gt;1,"SKIP",IF('03_payments_raw'!C124&lt;INDEX('01_orders_raw'!$B$2:$B$181,MATCH('03_payments_raw'!B124,'01_orders_raw'!$A$2:$A$181,0)),"ERROR","OK")))),"")</x:f>
      </x:c>
      <x:c r="I370" t="str">
        <x:f>IF(COUNTA('03_payments_raw'!A124:E124)&gt;0,IF(LEN('03_payments_raw'!E124&amp;"")=0,"SKIP",IF(AND('03_payments_raw'!E124&lt;&gt;"Оплачено",'03_payments_raw'!E124&lt;&gt;"Частично оплачено",'03_payments_raw'!E124&lt;&gt;"Не оплачено"),"ERROR","OK")),"")</x:f>
      </x:c>
      <x:c r="J370" t="n">
        <x:f>COUNTIF(C370:I370,"ERROR")</x:f>
        <x:v>0</x:v>
      </x:c>
      <x:c r="K370" t="str">
        <x:f>IF(COUNTA('03_payments_raw'!A124:E124)&gt;0,124,"")</x:f>
      </x:c>
    </x:row>
    <x:row r="371">
      <x:c r="A371" t="str">
        <x:f>IF(COUNTA('03_payments_raw'!A125:E125)&gt;0,"Payment","")</x:f>
      </x:c>
      <x:c r="B371" t="str">
        <x:f>IF(COUNTA('03_payments_raw'!A125:E125)&gt;0,'03_payments_raw'!A125,"")</x:f>
      </x:c>
      <x:c r="C371" t="str">
        <x:f>IF(COUNTA('03_payments_raw'!A125:E125)&gt;0,IF(AND(LEN('03_payments_raw'!A125&amp;"")&gt;0,COUNTIF('03_payments_raw'!$A$2:$A$141,'03_payments_raw'!A125)&gt;1),"ERROR","OK"),"")</x:f>
      </x:c>
      <x:c r="D371" t="str">
        <x:f>IF(COUNTA('03_payments_raw'!A125:E125)&gt;0,IF(OR(LEN('03_payments_raw'!A125&amp;"")=0,LEN('03_payments_raw'!B125&amp;"")=0,LEN('03_payments_raw'!C125&amp;"")=0,LEN('03_payments_raw'!D125&amp;"")=0,LEN('03_payments_raw'!E125&amp;"")=0),"ERROR","OK"),"")</x:f>
      </x:c>
      <x:c r="E371" t="str">
        <x:f>IF(COUNTA('03_payments_raw'!A125:E125)&gt;0,IF(LEN('03_payments_raw'!B125&amp;"")=0,"SKIP",IF(COUNTIF('01_orders_raw'!$A$2:$A$181,'03_payments_raw'!B125)&lt;&gt;1,"ERROR","OK")),"")</x:f>
      </x:c>
      <x:c r="F371" t="str">
        <x:f>IF(COUNTA('03_payments_raw'!A125:E125)&gt;0,IF(OR(COUNTIF('01_orders_raw'!$A$2:$A$181,'03_payments_raw'!B125)&lt;&gt;1,LEN('03_payments_raw'!D125&amp;"")=0),"SKIP",IF(OR(NOT(ISNUMBER('03_payments_raw'!D125)),'03_payments_raw'!D125&lt;0,'03_payments_raw'!D125&gt;INDEX('01_orders_raw'!$I$2:$I$181,MATCH('03_payments_raw'!B125,'01_orders_raw'!$A$2:$A$181,0))+'09_parameters'!$B$3),"ERROR","OK")),"")</x:f>
      </x:c>
      <x:c r="G371" t="str">
        <x:f>IF(COUNTA('03_payments_raw'!A125:E125)&gt;0,"N/A","")</x:f>
      </x:c>
      <x:c r="H371" t="str">
        <x:f>IF(COUNTA('03_payments_raw'!A125:E125)&gt;0,IF(LEN('03_payments_raw'!C125&amp;"")=0,"SKIP",IF(IF(OR(NOT(ISNUMBER('03_payments_raw'!C125)),'03_payments_raw'!C125&lt;=0,'03_payments_raw'!C125&gt;'09_parameters'!$B$2),"ERROR","OK")="ERROR","ERROR",IF(COUNTIF('01_orders_raw'!$A$2:$A$181,'03_payments_raw'!B125)&lt;&gt;1,"SKIP",IF('03_payments_raw'!C125&lt;INDEX('01_orders_raw'!$B$2:$B$181,MATCH('03_payments_raw'!B125,'01_orders_raw'!$A$2:$A$181,0)),"ERROR","OK")))),"")</x:f>
      </x:c>
      <x:c r="I371" t="str">
        <x:f>IF(COUNTA('03_payments_raw'!A125:E125)&gt;0,IF(LEN('03_payments_raw'!E125&amp;"")=0,"SKIP",IF(AND('03_payments_raw'!E125&lt;&gt;"Оплачено",'03_payments_raw'!E125&lt;&gt;"Частично оплачено",'03_payments_raw'!E125&lt;&gt;"Не оплачено"),"ERROR","OK")),"")</x:f>
      </x:c>
      <x:c r="J371" t="n">
        <x:f>COUNTIF(C371:I371,"ERROR")</x:f>
        <x:v>0</x:v>
      </x:c>
      <x:c r="K371" t="str">
        <x:f>IF(COUNTA('03_payments_raw'!A125:E125)&gt;0,125,"")</x:f>
      </x:c>
    </x:row>
    <x:row r="372">
      <x:c r="A372" t="str">
        <x:f>IF(COUNTA('03_payments_raw'!A126:E126)&gt;0,"Payment","")</x:f>
      </x:c>
      <x:c r="B372" t="str">
        <x:f>IF(COUNTA('03_payments_raw'!A126:E126)&gt;0,'03_payments_raw'!A126,"")</x:f>
      </x:c>
      <x:c r="C372" t="str">
        <x:f>IF(COUNTA('03_payments_raw'!A126:E126)&gt;0,IF(AND(LEN('03_payments_raw'!A126&amp;"")&gt;0,COUNTIF('03_payments_raw'!$A$2:$A$141,'03_payments_raw'!A126)&gt;1),"ERROR","OK"),"")</x:f>
      </x:c>
      <x:c r="D372" t="str">
        <x:f>IF(COUNTA('03_payments_raw'!A126:E126)&gt;0,IF(OR(LEN('03_payments_raw'!A126&amp;"")=0,LEN('03_payments_raw'!B126&amp;"")=0,LEN('03_payments_raw'!C126&amp;"")=0,LEN('03_payments_raw'!D126&amp;"")=0,LEN('03_payments_raw'!E126&amp;"")=0),"ERROR","OK"),"")</x:f>
      </x:c>
      <x:c r="E372" t="str">
        <x:f>IF(COUNTA('03_payments_raw'!A126:E126)&gt;0,IF(LEN('03_payments_raw'!B126&amp;"")=0,"SKIP",IF(COUNTIF('01_orders_raw'!$A$2:$A$181,'03_payments_raw'!B126)&lt;&gt;1,"ERROR","OK")),"")</x:f>
      </x:c>
      <x:c r="F372" t="str">
        <x:f>IF(COUNTA('03_payments_raw'!A126:E126)&gt;0,IF(OR(COUNTIF('01_orders_raw'!$A$2:$A$181,'03_payments_raw'!B126)&lt;&gt;1,LEN('03_payments_raw'!D126&amp;"")=0),"SKIP",IF(OR(NOT(ISNUMBER('03_payments_raw'!D126)),'03_payments_raw'!D126&lt;0,'03_payments_raw'!D126&gt;INDEX('01_orders_raw'!$I$2:$I$181,MATCH('03_payments_raw'!B126,'01_orders_raw'!$A$2:$A$181,0))+'09_parameters'!$B$3),"ERROR","OK")),"")</x:f>
      </x:c>
      <x:c r="G372" t="str">
        <x:f>IF(COUNTA('03_payments_raw'!A126:E126)&gt;0,"N/A","")</x:f>
      </x:c>
      <x:c r="H372" t="str">
        <x:f>IF(COUNTA('03_payments_raw'!A126:E126)&gt;0,IF(LEN('03_payments_raw'!C126&amp;"")=0,"SKIP",IF(IF(OR(NOT(ISNUMBER('03_payments_raw'!C126)),'03_payments_raw'!C126&lt;=0,'03_payments_raw'!C126&gt;'09_parameters'!$B$2),"ERROR","OK")="ERROR","ERROR",IF(COUNTIF('01_orders_raw'!$A$2:$A$181,'03_payments_raw'!B126)&lt;&gt;1,"SKIP",IF('03_payments_raw'!C126&lt;INDEX('01_orders_raw'!$B$2:$B$181,MATCH('03_payments_raw'!B126,'01_orders_raw'!$A$2:$A$181,0)),"ERROR","OK")))),"")</x:f>
      </x:c>
      <x:c r="I372" t="str">
        <x:f>IF(COUNTA('03_payments_raw'!A126:E126)&gt;0,IF(LEN('03_payments_raw'!E126&amp;"")=0,"SKIP",IF(AND('03_payments_raw'!E126&lt;&gt;"Оплачено",'03_payments_raw'!E126&lt;&gt;"Частично оплачено",'03_payments_raw'!E126&lt;&gt;"Не оплачено"),"ERROR","OK")),"")</x:f>
      </x:c>
      <x:c r="J372" t="n">
        <x:f>COUNTIF(C372:I372,"ERROR")</x:f>
        <x:v>0</x:v>
      </x:c>
      <x:c r="K372" t="str">
        <x:f>IF(COUNTA('03_payments_raw'!A126:E126)&gt;0,126,"")</x:f>
      </x:c>
    </x:row>
    <x:row r="373">
      <x:c r="A373" t="str">
        <x:f>IF(COUNTA('03_payments_raw'!A127:E127)&gt;0,"Payment","")</x:f>
      </x:c>
      <x:c r="B373" t="str">
        <x:f>IF(COUNTA('03_payments_raw'!A127:E127)&gt;0,'03_payments_raw'!A127,"")</x:f>
      </x:c>
      <x:c r="C373" t="str">
        <x:f>IF(COUNTA('03_payments_raw'!A127:E127)&gt;0,IF(AND(LEN('03_payments_raw'!A127&amp;"")&gt;0,COUNTIF('03_payments_raw'!$A$2:$A$141,'03_payments_raw'!A127)&gt;1),"ERROR","OK"),"")</x:f>
      </x:c>
      <x:c r="D373" t="str">
        <x:f>IF(COUNTA('03_payments_raw'!A127:E127)&gt;0,IF(OR(LEN('03_payments_raw'!A127&amp;"")=0,LEN('03_payments_raw'!B127&amp;"")=0,LEN('03_payments_raw'!C127&amp;"")=0,LEN('03_payments_raw'!D127&amp;"")=0,LEN('03_payments_raw'!E127&amp;"")=0),"ERROR","OK"),"")</x:f>
      </x:c>
      <x:c r="E373" t="str">
        <x:f>IF(COUNTA('03_payments_raw'!A127:E127)&gt;0,IF(LEN('03_payments_raw'!B127&amp;"")=0,"SKIP",IF(COUNTIF('01_orders_raw'!$A$2:$A$181,'03_payments_raw'!B127)&lt;&gt;1,"ERROR","OK")),"")</x:f>
      </x:c>
      <x:c r="F373" t="str">
        <x:f>IF(COUNTA('03_payments_raw'!A127:E127)&gt;0,IF(OR(COUNTIF('01_orders_raw'!$A$2:$A$181,'03_payments_raw'!B127)&lt;&gt;1,LEN('03_payments_raw'!D127&amp;"")=0),"SKIP",IF(OR(NOT(ISNUMBER('03_payments_raw'!D127)),'03_payments_raw'!D127&lt;0,'03_payments_raw'!D127&gt;INDEX('01_orders_raw'!$I$2:$I$181,MATCH('03_payments_raw'!B127,'01_orders_raw'!$A$2:$A$181,0))+'09_parameters'!$B$3),"ERROR","OK")),"")</x:f>
      </x:c>
      <x:c r="G373" t="str">
        <x:f>IF(COUNTA('03_payments_raw'!A127:E127)&gt;0,"N/A","")</x:f>
      </x:c>
      <x:c r="H373" t="str">
        <x:f>IF(COUNTA('03_payments_raw'!A127:E127)&gt;0,IF(LEN('03_payments_raw'!C127&amp;"")=0,"SKIP",IF(IF(OR(NOT(ISNUMBER('03_payments_raw'!C127)),'03_payments_raw'!C127&lt;=0,'03_payments_raw'!C127&gt;'09_parameters'!$B$2),"ERROR","OK")="ERROR","ERROR",IF(COUNTIF('01_orders_raw'!$A$2:$A$181,'03_payments_raw'!B127)&lt;&gt;1,"SKIP",IF('03_payments_raw'!C127&lt;INDEX('01_orders_raw'!$B$2:$B$181,MATCH('03_payments_raw'!B127,'01_orders_raw'!$A$2:$A$181,0)),"ERROR","OK")))),"")</x:f>
      </x:c>
      <x:c r="I373" t="str">
        <x:f>IF(COUNTA('03_payments_raw'!A127:E127)&gt;0,IF(LEN('03_payments_raw'!E127&amp;"")=0,"SKIP",IF(AND('03_payments_raw'!E127&lt;&gt;"Оплачено",'03_payments_raw'!E127&lt;&gt;"Частично оплачено",'03_payments_raw'!E127&lt;&gt;"Не оплачено"),"ERROR","OK")),"")</x:f>
      </x:c>
      <x:c r="J373" t="n">
        <x:f>COUNTIF(C373:I373,"ERROR")</x:f>
        <x:v>0</x:v>
      </x:c>
      <x:c r="K373" t="str">
        <x:f>IF(COUNTA('03_payments_raw'!A127:E127)&gt;0,127,"")</x:f>
      </x:c>
    </x:row>
    <x:row r="374">
      <x:c r="A374" t="str">
        <x:f>IF(COUNTA('03_payments_raw'!A128:E128)&gt;0,"Payment","")</x:f>
      </x:c>
      <x:c r="B374" t="str">
        <x:f>IF(COUNTA('03_payments_raw'!A128:E128)&gt;0,'03_payments_raw'!A128,"")</x:f>
      </x:c>
      <x:c r="C374" t="str">
        <x:f>IF(COUNTA('03_payments_raw'!A128:E128)&gt;0,IF(AND(LEN('03_payments_raw'!A128&amp;"")&gt;0,COUNTIF('03_payments_raw'!$A$2:$A$141,'03_payments_raw'!A128)&gt;1),"ERROR","OK"),"")</x:f>
      </x:c>
      <x:c r="D374" t="str">
        <x:f>IF(COUNTA('03_payments_raw'!A128:E128)&gt;0,IF(OR(LEN('03_payments_raw'!A128&amp;"")=0,LEN('03_payments_raw'!B128&amp;"")=0,LEN('03_payments_raw'!C128&amp;"")=0,LEN('03_payments_raw'!D128&amp;"")=0,LEN('03_payments_raw'!E128&amp;"")=0),"ERROR","OK"),"")</x:f>
      </x:c>
      <x:c r="E374" t="str">
        <x:f>IF(COUNTA('03_payments_raw'!A128:E128)&gt;0,IF(LEN('03_payments_raw'!B128&amp;"")=0,"SKIP",IF(COUNTIF('01_orders_raw'!$A$2:$A$181,'03_payments_raw'!B128)&lt;&gt;1,"ERROR","OK")),"")</x:f>
      </x:c>
      <x:c r="F374" t="str">
        <x:f>IF(COUNTA('03_payments_raw'!A128:E128)&gt;0,IF(OR(COUNTIF('01_orders_raw'!$A$2:$A$181,'03_payments_raw'!B128)&lt;&gt;1,LEN('03_payments_raw'!D128&amp;"")=0),"SKIP",IF(OR(NOT(ISNUMBER('03_payments_raw'!D128)),'03_payments_raw'!D128&lt;0,'03_payments_raw'!D128&gt;INDEX('01_orders_raw'!$I$2:$I$181,MATCH('03_payments_raw'!B128,'01_orders_raw'!$A$2:$A$181,0))+'09_parameters'!$B$3),"ERROR","OK")),"")</x:f>
      </x:c>
      <x:c r="G374" t="str">
        <x:f>IF(COUNTA('03_payments_raw'!A128:E128)&gt;0,"N/A","")</x:f>
      </x:c>
      <x:c r="H374" t="str">
        <x:f>IF(COUNTA('03_payments_raw'!A128:E128)&gt;0,IF(LEN('03_payments_raw'!C128&amp;"")=0,"SKIP",IF(IF(OR(NOT(ISNUMBER('03_payments_raw'!C128)),'03_payments_raw'!C128&lt;=0,'03_payments_raw'!C128&gt;'09_parameters'!$B$2),"ERROR","OK")="ERROR","ERROR",IF(COUNTIF('01_orders_raw'!$A$2:$A$181,'03_payments_raw'!B128)&lt;&gt;1,"SKIP",IF('03_payments_raw'!C128&lt;INDEX('01_orders_raw'!$B$2:$B$181,MATCH('03_payments_raw'!B128,'01_orders_raw'!$A$2:$A$181,0)),"ERROR","OK")))),"")</x:f>
      </x:c>
      <x:c r="I374" t="str">
        <x:f>IF(COUNTA('03_payments_raw'!A128:E128)&gt;0,IF(LEN('03_payments_raw'!E128&amp;"")=0,"SKIP",IF(AND('03_payments_raw'!E128&lt;&gt;"Оплачено",'03_payments_raw'!E128&lt;&gt;"Частично оплачено",'03_payments_raw'!E128&lt;&gt;"Не оплачено"),"ERROR","OK")),"")</x:f>
      </x:c>
      <x:c r="J374" t="n">
        <x:f>COUNTIF(C374:I374,"ERROR")</x:f>
        <x:v>0</x:v>
      </x:c>
      <x:c r="K374" t="str">
        <x:f>IF(COUNTA('03_payments_raw'!A128:E128)&gt;0,128,"")</x:f>
      </x:c>
    </x:row>
    <x:row r="375">
      <x:c r="A375" t="str">
        <x:f>IF(COUNTA('03_payments_raw'!A129:E129)&gt;0,"Payment","")</x:f>
      </x:c>
      <x:c r="B375" t="str">
        <x:f>IF(COUNTA('03_payments_raw'!A129:E129)&gt;0,'03_payments_raw'!A129,"")</x:f>
      </x:c>
      <x:c r="C375" t="str">
        <x:f>IF(COUNTA('03_payments_raw'!A129:E129)&gt;0,IF(AND(LEN('03_payments_raw'!A129&amp;"")&gt;0,COUNTIF('03_payments_raw'!$A$2:$A$141,'03_payments_raw'!A129)&gt;1),"ERROR","OK"),"")</x:f>
      </x:c>
      <x:c r="D375" t="str">
        <x:f>IF(COUNTA('03_payments_raw'!A129:E129)&gt;0,IF(OR(LEN('03_payments_raw'!A129&amp;"")=0,LEN('03_payments_raw'!B129&amp;"")=0,LEN('03_payments_raw'!C129&amp;"")=0,LEN('03_payments_raw'!D129&amp;"")=0,LEN('03_payments_raw'!E129&amp;"")=0),"ERROR","OK"),"")</x:f>
      </x:c>
      <x:c r="E375" t="str">
        <x:f>IF(COUNTA('03_payments_raw'!A129:E129)&gt;0,IF(LEN('03_payments_raw'!B129&amp;"")=0,"SKIP",IF(COUNTIF('01_orders_raw'!$A$2:$A$181,'03_payments_raw'!B129)&lt;&gt;1,"ERROR","OK")),"")</x:f>
      </x:c>
      <x:c r="F375" t="str">
        <x:f>IF(COUNTA('03_payments_raw'!A129:E129)&gt;0,IF(OR(COUNTIF('01_orders_raw'!$A$2:$A$181,'03_payments_raw'!B129)&lt;&gt;1,LEN('03_payments_raw'!D129&amp;"")=0),"SKIP",IF(OR(NOT(ISNUMBER('03_payments_raw'!D129)),'03_payments_raw'!D129&lt;0,'03_payments_raw'!D129&gt;INDEX('01_orders_raw'!$I$2:$I$181,MATCH('03_payments_raw'!B129,'01_orders_raw'!$A$2:$A$181,0))+'09_parameters'!$B$3),"ERROR","OK")),"")</x:f>
      </x:c>
      <x:c r="G375" t="str">
        <x:f>IF(COUNTA('03_payments_raw'!A129:E129)&gt;0,"N/A","")</x:f>
      </x:c>
      <x:c r="H375" t="str">
        <x:f>IF(COUNTA('03_payments_raw'!A129:E129)&gt;0,IF(LEN('03_payments_raw'!C129&amp;"")=0,"SKIP",IF(IF(OR(NOT(ISNUMBER('03_payments_raw'!C129)),'03_payments_raw'!C129&lt;=0,'03_payments_raw'!C129&gt;'09_parameters'!$B$2),"ERROR","OK")="ERROR","ERROR",IF(COUNTIF('01_orders_raw'!$A$2:$A$181,'03_payments_raw'!B129)&lt;&gt;1,"SKIP",IF('03_payments_raw'!C129&lt;INDEX('01_orders_raw'!$B$2:$B$181,MATCH('03_payments_raw'!B129,'01_orders_raw'!$A$2:$A$181,0)),"ERROR","OK")))),"")</x:f>
      </x:c>
      <x:c r="I375" t="str">
        <x:f>IF(COUNTA('03_payments_raw'!A129:E129)&gt;0,IF(LEN('03_payments_raw'!E129&amp;"")=0,"SKIP",IF(AND('03_payments_raw'!E129&lt;&gt;"Оплачено",'03_payments_raw'!E129&lt;&gt;"Частично оплачено",'03_payments_raw'!E129&lt;&gt;"Не оплачено"),"ERROR","OK")),"")</x:f>
      </x:c>
      <x:c r="J375" t="n">
        <x:f>COUNTIF(C375:I375,"ERROR")</x:f>
        <x:v>0</x:v>
      </x:c>
      <x:c r="K375" t="str">
        <x:f>IF(COUNTA('03_payments_raw'!A129:E129)&gt;0,129,"")</x:f>
      </x:c>
    </x:row>
    <x:row r="376">
      <x:c r="A376" t="str">
        <x:f>IF(COUNTA('03_payments_raw'!A130:E130)&gt;0,"Payment","")</x:f>
      </x:c>
      <x:c r="B376" t="str">
        <x:f>IF(COUNTA('03_payments_raw'!A130:E130)&gt;0,'03_payments_raw'!A130,"")</x:f>
      </x:c>
      <x:c r="C376" t="str">
        <x:f>IF(COUNTA('03_payments_raw'!A130:E130)&gt;0,IF(AND(LEN('03_payments_raw'!A130&amp;"")&gt;0,COUNTIF('03_payments_raw'!$A$2:$A$141,'03_payments_raw'!A130)&gt;1),"ERROR","OK"),"")</x:f>
      </x:c>
      <x:c r="D376" t="str">
        <x:f>IF(COUNTA('03_payments_raw'!A130:E130)&gt;0,IF(OR(LEN('03_payments_raw'!A130&amp;"")=0,LEN('03_payments_raw'!B130&amp;"")=0,LEN('03_payments_raw'!C130&amp;"")=0,LEN('03_payments_raw'!D130&amp;"")=0,LEN('03_payments_raw'!E130&amp;"")=0),"ERROR","OK"),"")</x:f>
      </x:c>
      <x:c r="E376" t="str">
        <x:f>IF(COUNTA('03_payments_raw'!A130:E130)&gt;0,IF(LEN('03_payments_raw'!B130&amp;"")=0,"SKIP",IF(COUNTIF('01_orders_raw'!$A$2:$A$181,'03_payments_raw'!B130)&lt;&gt;1,"ERROR","OK")),"")</x:f>
      </x:c>
      <x:c r="F376" t="str">
        <x:f>IF(COUNTA('03_payments_raw'!A130:E130)&gt;0,IF(OR(COUNTIF('01_orders_raw'!$A$2:$A$181,'03_payments_raw'!B130)&lt;&gt;1,LEN('03_payments_raw'!D130&amp;"")=0),"SKIP",IF(OR(NOT(ISNUMBER('03_payments_raw'!D130)),'03_payments_raw'!D130&lt;0,'03_payments_raw'!D130&gt;INDEX('01_orders_raw'!$I$2:$I$181,MATCH('03_payments_raw'!B130,'01_orders_raw'!$A$2:$A$181,0))+'09_parameters'!$B$3),"ERROR","OK")),"")</x:f>
      </x:c>
      <x:c r="G376" t="str">
        <x:f>IF(COUNTA('03_payments_raw'!A130:E130)&gt;0,"N/A","")</x:f>
      </x:c>
      <x:c r="H376" t="str">
        <x:f>IF(COUNTA('03_payments_raw'!A130:E130)&gt;0,IF(LEN('03_payments_raw'!C130&amp;"")=0,"SKIP",IF(IF(OR(NOT(ISNUMBER('03_payments_raw'!C130)),'03_payments_raw'!C130&lt;=0,'03_payments_raw'!C130&gt;'09_parameters'!$B$2),"ERROR","OK")="ERROR","ERROR",IF(COUNTIF('01_orders_raw'!$A$2:$A$181,'03_payments_raw'!B130)&lt;&gt;1,"SKIP",IF('03_payments_raw'!C130&lt;INDEX('01_orders_raw'!$B$2:$B$181,MATCH('03_payments_raw'!B130,'01_orders_raw'!$A$2:$A$181,0)),"ERROR","OK")))),"")</x:f>
      </x:c>
      <x:c r="I376" t="str">
        <x:f>IF(COUNTA('03_payments_raw'!A130:E130)&gt;0,IF(LEN('03_payments_raw'!E130&amp;"")=0,"SKIP",IF(AND('03_payments_raw'!E130&lt;&gt;"Оплачено",'03_payments_raw'!E130&lt;&gt;"Частично оплачено",'03_payments_raw'!E130&lt;&gt;"Не оплачено"),"ERROR","OK")),"")</x:f>
      </x:c>
      <x:c r="J376" t="n">
        <x:f>COUNTIF(C376:I376,"ERROR")</x:f>
        <x:v>0</x:v>
      </x:c>
      <x:c r="K376" t="str">
        <x:f>IF(COUNTA('03_payments_raw'!A130:E130)&gt;0,130,"")</x:f>
      </x:c>
    </x:row>
    <x:row r="377">
      <x:c r="A377" t="str">
        <x:f>IF(COUNTA('03_payments_raw'!A131:E131)&gt;0,"Payment","")</x:f>
      </x:c>
      <x:c r="B377" t="str">
        <x:f>IF(COUNTA('03_payments_raw'!A131:E131)&gt;0,'03_payments_raw'!A131,"")</x:f>
      </x:c>
      <x:c r="C377" t="str">
        <x:f>IF(COUNTA('03_payments_raw'!A131:E131)&gt;0,IF(AND(LEN('03_payments_raw'!A131&amp;"")&gt;0,COUNTIF('03_payments_raw'!$A$2:$A$141,'03_payments_raw'!A131)&gt;1),"ERROR","OK"),"")</x:f>
      </x:c>
      <x:c r="D377" t="str">
        <x:f>IF(COUNTA('03_payments_raw'!A131:E131)&gt;0,IF(OR(LEN('03_payments_raw'!A131&amp;"")=0,LEN('03_payments_raw'!B131&amp;"")=0,LEN('03_payments_raw'!C131&amp;"")=0,LEN('03_payments_raw'!D131&amp;"")=0,LEN('03_payments_raw'!E131&amp;"")=0),"ERROR","OK"),"")</x:f>
      </x:c>
      <x:c r="E377" t="str">
        <x:f>IF(COUNTA('03_payments_raw'!A131:E131)&gt;0,IF(LEN('03_payments_raw'!B131&amp;"")=0,"SKIP",IF(COUNTIF('01_orders_raw'!$A$2:$A$181,'03_payments_raw'!B131)&lt;&gt;1,"ERROR","OK")),"")</x:f>
      </x:c>
      <x:c r="F377" t="str">
        <x:f>IF(COUNTA('03_payments_raw'!A131:E131)&gt;0,IF(OR(COUNTIF('01_orders_raw'!$A$2:$A$181,'03_payments_raw'!B131)&lt;&gt;1,LEN('03_payments_raw'!D131&amp;"")=0),"SKIP",IF(OR(NOT(ISNUMBER('03_payments_raw'!D131)),'03_payments_raw'!D131&lt;0,'03_payments_raw'!D131&gt;INDEX('01_orders_raw'!$I$2:$I$181,MATCH('03_payments_raw'!B131,'01_orders_raw'!$A$2:$A$181,0))+'09_parameters'!$B$3),"ERROR","OK")),"")</x:f>
      </x:c>
      <x:c r="G377" t="str">
        <x:f>IF(COUNTA('03_payments_raw'!A131:E131)&gt;0,"N/A","")</x:f>
      </x:c>
      <x:c r="H377" t="str">
        <x:f>IF(COUNTA('03_payments_raw'!A131:E131)&gt;0,IF(LEN('03_payments_raw'!C131&amp;"")=0,"SKIP",IF(IF(OR(NOT(ISNUMBER('03_payments_raw'!C131)),'03_payments_raw'!C131&lt;=0,'03_payments_raw'!C131&gt;'09_parameters'!$B$2),"ERROR","OK")="ERROR","ERROR",IF(COUNTIF('01_orders_raw'!$A$2:$A$181,'03_payments_raw'!B131)&lt;&gt;1,"SKIP",IF('03_payments_raw'!C131&lt;INDEX('01_orders_raw'!$B$2:$B$181,MATCH('03_payments_raw'!B131,'01_orders_raw'!$A$2:$A$181,0)),"ERROR","OK")))),"")</x:f>
      </x:c>
      <x:c r="I377" t="str">
        <x:f>IF(COUNTA('03_payments_raw'!A131:E131)&gt;0,IF(LEN('03_payments_raw'!E131&amp;"")=0,"SKIP",IF(AND('03_payments_raw'!E131&lt;&gt;"Оплачено",'03_payments_raw'!E131&lt;&gt;"Частично оплачено",'03_payments_raw'!E131&lt;&gt;"Не оплачено"),"ERROR","OK")),"")</x:f>
      </x:c>
      <x:c r="J377" t="n">
        <x:f>COUNTIF(C377:I377,"ERROR")</x:f>
        <x:v>0</x:v>
      </x:c>
      <x:c r="K377" t="str">
        <x:f>IF(COUNTA('03_payments_raw'!A131:E131)&gt;0,131,"")</x:f>
      </x:c>
    </x:row>
    <x:row r="378">
      <x:c r="A378" t="str">
        <x:f>IF(COUNTA('03_payments_raw'!A132:E132)&gt;0,"Payment","")</x:f>
      </x:c>
      <x:c r="B378" t="str">
        <x:f>IF(COUNTA('03_payments_raw'!A132:E132)&gt;0,'03_payments_raw'!A132,"")</x:f>
      </x:c>
      <x:c r="C378" t="str">
        <x:f>IF(COUNTA('03_payments_raw'!A132:E132)&gt;0,IF(AND(LEN('03_payments_raw'!A132&amp;"")&gt;0,COUNTIF('03_payments_raw'!$A$2:$A$141,'03_payments_raw'!A132)&gt;1),"ERROR","OK"),"")</x:f>
      </x:c>
      <x:c r="D378" t="str">
        <x:f>IF(COUNTA('03_payments_raw'!A132:E132)&gt;0,IF(OR(LEN('03_payments_raw'!A132&amp;"")=0,LEN('03_payments_raw'!B132&amp;"")=0,LEN('03_payments_raw'!C132&amp;"")=0,LEN('03_payments_raw'!D132&amp;"")=0,LEN('03_payments_raw'!E132&amp;"")=0),"ERROR","OK"),"")</x:f>
      </x:c>
      <x:c r="E378" t="str">
        <x:f>IF(COUNTA('03_payments_raw'!A132:E132)&gt;0,IF(LEN('03_payments_raw'!B132&amp;"")=0,"SKIP",IF(COUNTIF('01_orders_raw'!$A$2:$A$181,'03_payments_raw'!B132)&lt;&gt;1,"ERROR","OK")),"")</x:f>
      </x:c>
      <x:c r="F378" t="str">
        <x:f>IF(COUNTA('03_payments_raw'!A132:E132)&gt;0,IF(OR(COUNTIF('01_orders_raw'!$A$2:$A$181,'03_payments_raw'!B132)&lt;&gt;1,LEN('03_payments_raw'!D132&amp;"")=0),"SKIP",IF(OR(NOT(ISNUMBER('03_payments_raw'!D132)),'03_payments_raw'!D132&lt;0,'03_payments_raw'!D132&gt;INDEX('01_orders_raw'!$I$2:$I$181,MATCH('03_payments_raw'!B132,'01_orders_raw'!$A$2:$A$181,0))+'09_parameters'!$B$3),"ERROR","OK")),"")</x:f>
      </x:c>
      <x:c r="G378" t="str">
        <x:f>IF(COUNTA('03_payments_raw'!A132:E132)&gt;0,"N/A","")</x:f>
      </x:c>
      <x:c r="H378" t="str">
        <x:f>IF(COUNTA('03_payments_raw'!A132:E132)&gt;0,IF(LEN('03_payments_raw'!C132&amp;"")=0,"SKIP",IF(IF(OR(NOT(ISNUMBER('03_payments_raw'!C132)),'03_payments_raw'!C132&lt;=0,'03_payments_raw'!C132&gt;'09_parameters'!$B$2),"ERROR","OK")="ERROR","ERROR",IF(COUNTIF('01_orders_raw'!$A$2:$A$181,'03_payments_raw'!B132)&lt;&gt;1,"SKIP",IF('03_payments_raw'!C132&lt;INDEX('01_orders_raw'!$B$2:$B$181,MATCH('03_payments_raw'!B132,'01_orders_raw'!$A$2:$A$181,0)),"ERROR","OK")))),"")</x:f>
      </x:c>
      <x:c r="I378" t="str">
        <x:f>IF(COUNTA('03_payments_raw'!A132:E132)&gt;0,IF(LEN('03_payments_raw'!E132&amp;"")=0,"SKIP",IF(AND('03_payments_raw'!E132&lt;&gt;"Оплачено",'03_payments_raw'!E132&lt;&gt;"Частично оплачено",'03_payments_raw'!E132&lt;&gt;"Не оплачено"),"ERROR","OK")),"")</x:f>
      </x:c>
      <x:c r="J378" t="n">
        <x:f>COUNTIF(C378:I378,"ERROR")</x:f>
        <x:v>0</x:v>
      </x:c>
      <x:c r="K378" t="str">
        <x:f>IF(COUNTA('03_payments_raw'!A132:E132)&gt;0,132,"")</x:f>
      </x:c>
    </x:row>
    <x:row r="379">
      <x:c r="A379" t="str">
        <x:f>IF(COUNTA('03_payments_raw'!A133:E133)&gt;0,"Payment","")</x:f>
      </x:c>
      <x:c r="B379" t="str">
        <x:f>IF(COUNTA('03_payments_raw'!A133:E133)&gt;0,'03_payments_raw'!A133,"")</x:f>
      </x:c>
      <x:c r="C379" t="str">
        <x:f>IF(COUNTA('03_payments_raw'!A133:E133)&gt;0,IF(AND(LEN('03_payments_raw'!A133&amp;"")&gt;0,COUNTIF('03_payments_raw'!$A$2:$A$141,'03_payments_raw'!A133)&gt;1),"ERROR","OK"),"")</x:f>
      </x:c>
      <x:c r="D379" t="str">
        <x:f>IF(COUNTA('03_payments_raw'!A133:E133)&gt;0,IF(OR(LEN('03_payments_raw'!A133&amp;"")=0,LEN('03_payments_raw'!B133&amp;"")=0,LEN('03_payments_raw'!C133&amp;"")=0,LEN('03_payments_raw'!D133&amp;"")=0,LEN('03_payments_raw'!E133&amp;"")=0),"ERROR","OK"),"")</x:f>
      </x:c>
      <x:c r="E379" t="str">
        <x:f>IF(COUNTA('03_payments_raw'!A133:E133)&gt;0,IF(LEN('03_payments_raw'!B133&amp;"")=0,"SKIP",IF(COUNTIF('01_orders_raw'!$A$2:$A$181,'03_payments_raw'!B133)&lt;&gt;1,"ERROR","OK")),"")</x:f>
      </x:c>
      <x:c r="F379" t="str">
        <x:f>IF(COUNTA('03_payments_raw'!A133:E133)&gt;0,IF(OR(COUNTIF('01_orders_raw'!$A$2:$A$181,'03_payments_raw'!B133)&lt;&gt;1,LEN('03_payments_raw'!D133&amp;"")=0),"SKIP",IF(OR(NOT(ISNUMBER('03_payments_raw'!D133)),'03_payments_raw'!D133&lt;0,'03_payments_raw'!D133&gt;INDEX('01_orders_raw'!$I$2:$I$181,MATCH('03_payments_raw'!B133,'01_orders_raw'!$A$2:$A$181,0))+'09_parameters'!$B$3),"ERROR","OK")),"")</x:f>
      </x:c>
      <x:c r="G379" t="str">
        <x:f>IF(COUNTA('03_payments_raw'!A133:E133)&gt;0,"N/A","")</x:f>
      </x:c>
      <x:c r="H379" t="str">
        <x:f>IF(COUNTA('03_payments_raw'!A133:E133)&gt;0,IF(LEN('03_payments_raw'!C133&amp;"")=0,"SKIP",IF(IF(OR(NOT(ISNUMBER('03_payments_raw'!C133)),'03_payments_raw'!C133&lt;=0,'03_payments_raw'!C133&gt;'09_parameters'!$B$2),"ERROR","OK")="ERROR","ERROR",IF(COUNTIF('01_orders_raw'!$A$2:$A$181,'03_payments_raw'!B133)&lt;&gt;1,"SKIP",IF('03_payments_raw'!C133&lt;INDEX('01_orders_raw'!$B$2:$B$181,MATCH('03_payments_raw'!B133,'01_orders_raw'!$A$2:$A$181,0)),"ERROR","OK")))),"")</x:f>
      </x:c>
      <x:c r="I379" t="str">
        <x:f>IF(COUNTA('03_payments_raw'!A133:E133)&gt;0,IF(LEN('03_payments_raw'!E133&amp;"")=0,"SKIP",IF(AND('03_payments_raw'!E133&lt;&gt;"Оплачено",'03_payments_raw'!E133&lt;&gt;"Частично оплачено",'03_payments_raw'!E133&lt;&gt;"Не оплачено"),"ERROR","OK")),"")</x:f>
      </x:c>
      <x:c r="J379" t="n">
        <x:f>COUNTIF(C379:I379,"ERROR")</x:f>
        <x:v>0</x:v>
      </x:c>
      <x:c r="K379" t="str">
        <x:f>IF(COUNTA('03_payments_raw'!A133:E133)&gt;0,133,"")</x:f>
      </x:c>
    </x:row>
    <x:row r="380">
      <x:c r="A380" t="str">
        <x:f>IF(COUNTA('03_payments_raw'!A134:E134)&gt;0,"Payment","")</x:f>
      </x:c>
      <x:c r="B380" t="str">
        <x:f>IF(COUNTA('03_payments_raw'!A134:E134)&gt;0,'03_payments_raw'!A134,"")</x:f>
      </x:c>
      <x:c r="C380" t="str">
        <x:f>IF(COUNTA('03_payments_raw'!A134:E134)&gt;0,IF(AND(LEN('03_payments_raw'!A134&amp;"")&gt;0,COUNTIF('03_payments_raw'!$A$2:$A$141,'03_payments_raw'!A134)&gt;1),"ERROR","OK"),"")</x:f>
      </x:c>
      <x:c r="D380" t="str">
        <x:f>IF(COUNTA('03_payments_raw'!A134:E134)&gt;0,IF(OR(LEN('03_payments_raw'!A134&amp;"")=0,LEN('03_payments_raw'!B134&amp;"")=0,LEN('03_payments_raw'!C134&amp;"")=0,LEN('03_payments_raw'!D134&amp;"")=0,LEN('03_payments_raw'!E134&amp;"")=0),"ERROR","OK"),"")</x:f>
      </x:c>
      <x:c r="E380" t="str">
        <x:f>IF(COUNTA('03_payments_raw'!A134:E134)&gt;0,IF(LEN('03_payments_raw'!B134&amp;"")=0,"SKIP",IF(COUNTIF('01_orders_raw'!$A$2:$A$181,'03_payments_raw'!B134)&lt;&gt;1,"ERROR","OK")),"")</x:f>
      </x:c>
      <x:c r="F380" t="str">
        <x:f>IF(COUNTA('03_payments_raw'!A134:E134)&gt;0,IF(OR(COUNTIF('01_orders_raw'!$A$2:$A$181,'03_payments_raw'!B134)&lt;&gt;1,LEN('03_payments_raw'!D134&amp;"")=0),"SKIP",IF(OR(NOT(ISNUMBER('03_payments_raw'!D134)),'03_payments_raw'!D134&lt;0,'03_payments_raw'!D134&gt;INDEX('01_orders_raw'!$I$2:$I$181,MATCH('03_payments_raw'!B134,'01_orders_raw'!$A$2:$A$181,0))+'09_parameters'!$B$3),"ERROR","OK")),"")</x:f>
      </x:c>
      <x:c r="G380" t="str">
        <x:f>IF(COUNTA('03_payments_raw'!A134:E134)&gt;0,"N/A","")</x:f>
      </x:c>
      <x:c r="H380" t="str">
        <x:f>IF(COUNTA('03_payments_raw'!A134:E134)&gt;0,IF(LEN('03_payments_raw'!C134&amp;"")=0,"SKIP",IF(IF(OR(NOT(ISNUMBER('03_payments_raw'!C134)),'03_payments_raw'!C134&lt;=0,'03_payments_raw'!C134&gt;'09_parameters'!$B$2),"ERROR","OK")="ERROR","ERROR",IF(COUNTIF('01_orders_raw'!$A$2:$A$181,'03_payments_raw'!B134)&lt;&gt;1,"SKIP",IF('03_payments_raw'!C134&lt;INDEX('01_orders_raw'!$B$2:$B$181,MATCH('03_payments_raw'!B134,'01_orders_raw'!$A$2:$A$181,0)),"ERROR","OK")))),"")</x:f>
      </x:c>
      <x:c r="I380" t="str">
        <x:f>IF(COUNTA('03_payments_raw'!A134:E134)&gt;0,IF(LEN('03_payments_raw'!E134&amp;"")=0,"SKIP",IF(AND('03_payments_raw'!E134&lt;&gt;"Оплачено",'03_payments_raw'!E134&lt;&gt;"Частично оплачено",'03_payments_raw'!E134&lt;&gt;"Не оплачено"),"ERROR","OK")),"")</x:f>
      </x:c>
      <x:c r="J380" t="n">
        <x:f>COUNTIF(C380:I380,"ERROR")</x:f>
        <x:v>0</x:v>
      </x:c>
      <x:c r="K380" t="str">
        <x:f>IF(COUNTA('03_payments_raw'!A134:E134)&gt;0,134,"")</x:f>
      </x:c>
    </x:row>
    <x:row r="381">
      <x:c r="A381" t="str">
        <x:f>IF(COUNTA('03_payments_raw'!A135:E135)&gt;0,"Payment","")</x:f>
      </x:c>
      <x:c r="B381" t="str">
        <x:f>IF(COUNTA('03_payments_raw'!A135:E135)&gt;0,'03_payments_raw'!A135,"")</x:f>
      </x:c>
      <x:c r="C381" t="str">
        <x:f>IF(COUNTA('03_payments_raw'!A135:E135)&gt;0,IF(AND(LEN('03_payments_raw'!A135&amp;"")&gt;0,COUNTIF('03_payments_raw'!$A$2:$A$141,'03_payments_raw'!A135)&gt;1),"ERROR","OK"),"")</x:f>
      </x:c>
      <x:c r="D381" t="str">
        <x:f>IF(COUNTA('03_payments_raw'!A135:E135)&gt;0,IF(OR(LEN('03_payments_raw'!A135&amp;"")=0,LEN('03_payments_raw'!B135&amp;"")=0,LEN('03_payments_raw'!C135&amp;"")=0,LEN('03_payments_raw'!D135&amp;"")=0,LEN('03_payments_raw'!E135&amp;"")=0),"ERROR","OK"),"")</x:f>
      </x:c>
      <x:c r="E381" t="str">
        <x:f>IF(COUNTA('03_payments_raw'!A135:E135)&gt;0,IF(LEN('03_payments_raw'!B135&amp;"")=0,"SKIP",IF(COUNTIF('01_orders_raw'!$A$2:$A$181,'03_payments_raw'!B135)&lt;&gt;1,"ERROR","OK")),"")</x:f>
      </x:c>
      <x:c r="F381" t="str">
        <x:f>IF(COUNTA('03_payments_raw'!A135:E135)&gt;0,IF(OR(COUNTIF('01_orders_raw'!$A$2:$A$181,'03_payments_raw'!B135)&lt;&gt;1,LEN('03_payments_raw'!D135&amp;"")=0),"SKIP",IF(OR(NOT(ISNUMBER('03_payments_raw'!D135)),'03_payments_raw'!D135&lt;0,'03_payments_raw'!D135&gt;INDEX('01_orders_raw'!$I$2:$I$181,MATCH('03_payments_raw'!B135,'01_orders_raw'!$A$2:$A$181,0))+'09_parameters'!$B$3),"ERROR","OK")),"")</x:f>
      </x:c>
      <x:c r="G381" t="str">
        <x:f>IF(COUNTA('03_payments_raw'!A135:E135)&gt;0,"N/A","")</x:f>
      </x:c>
      <x:c r="H381" t="str">
        <x:f>IF(COUNTA('03_payments_raw'!A135:E135)&gt;0,IF(LEN('03_payments_raw'!C135&amp;"")=0,"SKIP",IF(IF(OR(NOT(ISNUMBER('03_payments_raw'!C135)),'03_payments_raw'!C135&lt;=0,'03_payments_raw'!C135&gt;'09_parameters'!$B$2),"ERROR","OK")="ERROR","ERROR",IF(COUNTIF('01_orders_raw'!$A$2:$A$181,'03_payments_raw'!B135)&lt;&gt;1,"SKIP",IF('03_payments_raw'!C135&lt;INDEX('01_orders_raw'!$B$2:$B$181,MATCH('03_payments_raw'!B135,'01_orders_raw'!$A$2:$A$181,0)),"ERROR","OK")))),"")</x:f>
      </x:c>
      <x:c r="I381" t="str">
        <x:f>IF(COUNTA('03_payments_raw'!A135:E135)&gt;0,IF(LEN('03_payments_raw'!E135&amp;"")=0,"SKIP",IF(AND('03_payments_raw'!E135&lt;&gt;"Оплачено",'03_payments_raw'!E135&lt;&gt;"Частично оплачено",'03_payments_raw'!E135&lt;&gt;"Не оплачено"),"ERROR","OK")),"")</x:f>
      </x:c>
      <x:c r="J381" t="n">
        <x:f>COUNTIF(C381:I381,"ERROR")</x:f>
        <x:v>0</x:v>
      </x:c>
      <x:c r="K381" t="str">
        <x:f>IF(COUNTA('03_payments_raw'!A135:E135)&gt;0,135,"")</x:f>
      </x:c>
    </x:row>
    <x:row r="382">
      <x:c r="A382" t="str">
        <x:f>IF(COUNTA('03_payments_raw'!A136:E136)&gt;0,"Payment","")</x:f>
      </x:c>
      <x:c r="B382" t="str">
        <x:f>IF(COUNTA('03_payments_raw'!A136:E136)&gt;0,'03_payments_raw'!A136,"")</x:f>
      </x:c>
      <x:c r="C382" t="str">
        <x:f>IF(COUNTA('03_payments_raw'!A136:E136)&gt;0,IF(AND(LEN('03_payments_raw'!A136&amp;"")&gt;0,COUNTIF('03_payments_raw'!$A$2:$A$141,'03_payments_raw'!A136)&gt;1),"ERROR","OK"),"")</x:f>
      </x:c>
      <x:c r="D382" t="str">
        <x:f>IF(COUNTA('03_payments_raw'!A136:E136)&gt;0,IF(OR(LEN('03_payments_raw'!A136&amp;"")=0,LEN('03_payments_raw'!B136&amp;"")=0,LEN('03_payments_raw'!C136&amp;"")=0,LEN('03_payments_raw'!D136&amp;"")=0,LEN('03_payments_raw'!E136&amp;"")=0),"ERROR","OK"),"")</x:f>
      </x:c>
      <x:c r="E382" t="str">
        <x:f>IF(COUNTA('03_payments_raw'!A136:E136)&gt;0,IF(LEN('03_payments_raw'!B136&amp;"")=0,"SKIP",IF(COUNTIF('01_orders_raw'!$A$2:$A$181,'03_payments_raw'!B136)&lt;&gt;1,"ERROR","OK")),"")</x:f>
      </x:c>
      <x:c r="F382" t="str">
        <x:f>IF(COUNTA('03_payments_raw'!A136:E136)&gt;0,IF(OR(COUNTIF('01_orders_raw'!$A$2:$A$181,'03_payments_raw'!B136)&lt;&gt;1,LEN('03_payments_raw'!D136&amp;"")=0),"SKIP",IF(OR(NOT(ISNUMBER('03_payments_raw'!D136)),'03_payments_raw'!D136&lt;0,'03_payments_raw'!D136&gt;INDEX('01_orders_raw'!$I$2:$I$181,MATCH('03_payments_raw'!B136,'01_orders_raw'!$A$2:$A$181,0))+'09_parameters'!$B$3),"ERROR","OK")),"")</x:f>
      </x:c>
      <x:c r="G382" t="str">
        <x:f>IF(COUNTA('03_payments_raw'!A136:E136)&gt;0,"N/A","")</x:f>
      </x:c>
      <x:c r="H382" t="str">
        <x:f>IF(COUNTA('03_payments_raw'!A136:E136)&gt;0,IF(LEN('03_payments_raw'!C136&amp;"")=0,"SKIP",IF(IF(OR(NOT(ISNUMBER('03_payments_raw'!C136)),'03_payments_raw'!C136&lt;=0,'03_payments_raw'!C136&gt;'09_parameters'!$B$2),"ERROR","OK")="ERROR","ERROR",IF(COUNTIF('01_orders_raw'!$A$2:$A$181,'03_payments_raw'!B136)&lt;&gt;1,"SKIP",IF('03_payments_raw'!C136&lt;INDEX('01_orders_raw'!$B$2:$B$181,MATCH('03_payments_raw'!B136,'01_orders_raw'!$A$2:$A$181,0)),"ERROR","OK")))),"")</x:f>
      </x:c>
      <x:c r="I382" t="str">
        <x:f>IF(COUNTA('03_payments_raw'!A136:E136)&gt;0,IF(LEN('03_payments_raw'!E136&amp;"")=0,"SKIP",IF(AND('03_payments_raw'!E136&lt;&gt;"Оплачено",'03_payments_raw'!E136&lt;&gt;"Частично оплачено",'03_payments_raw'!E136&lt;&gt;"Не оплачено"),"ERROR","OK")),"")</x:f>
      </x:c>
      <x:c r="J382" t="n">
        <x:f>COUNTIF(C382:I382,"ERROR")</x:f>
        <x:v>0</x:v>
      </x:c>
      <x:c r="K382" t="str">
        <x:f>IF(COUNTA('03_payments_raw'!A136:E136)&gt;0,136,"")</x:f>
      </x:c>
    </x:row>
    <x:row r="383">
      <x:c r="A383" t="str">
        <x:f>IF(COUNTA('03_payments_raw'!A137:E137)&gt;0,"Payment","")</x:f>
      </x:c>
      <x:c r="B383" t="str">
        <x:f>IF(COUNTA('03_payments_raw'!A137:E137)&gt;0,'03_payments_raw'!A137,"")</x:f>
      </x:c>
      <x:c r="C383" t="str">
        <x:f>IF(COUNTA('03_payments_raw'!A137:E137)&gt;0,IF(AND(LEN('03_payments_raw'!A137&amp;"")&gt;0,COUNTIF('03_payments_raw'!$A$2:$A$141,'03_payments_raw'!A137)&gt;1),"ERROR","OK"),"")</x:f>
      </x:c>
      <x:c r="D383" t="str">
        <x:f>IF(COUNTA('03_payments_raw'!A137:E137)&gt;0,IF(OR(LEN('03_payments_raw'!A137&amp;"")=0,LEN('03_payments_raw'!B137&amp;"")=0,LEN('03_payments_raw'!C137&amp;"")=0,LEN('03_payments_raw'!D137&amp;"")=0,LEN('03_payments_raw'!E137&amp;"")=0),"ERROR","OK"),"")</x:f>
      </x:c>
      <x:c r="E383" t="str">
        <x:f>IF(COUNTA('03_payments_raw'!A137:E137)&gt;0,IF(LEN('03_payments_raw'!B137&amp;"")=0,"SKIP",IF(COUNTIF('01_orders_raw'!$A$2:$A$181,'03_payments_raw'!B137)&lt;&gt;1,"ERROR","OK")),"")</x:f>
      </x:c>
      <x:c r="F383" t="str">
        <x:f>IF(COUNTA('03_payments_raw'!A137:E137)&gt;0,IF(OR(COUNTIF('01_orders_raw'!$A$2:$A$181,'03_payments_raw'!B137)&lt;&gt;1,LEN('03_payments_raw'!D137&amp;"")=0),"SKIP",IF(OR(NOT(ISNUMBER('03_payments_raw'!D137)),'03_payments_raw'!D137&lt;0,'03_payments_raw'!D137&gt;INDEX('01_orders_raw'!$I$2:$I$181,MATCH('03_payments_raw'!B137,'01_orders_raw'!$A$2:$A$181,0))+'09_parameters'!$B$3),"ERROR","OK")),"")</x:f>
      </x:c>
      <x:c r="G383" t="str">
        <x:f>IF(COUNTA('03_payments_raw'!A137:E137)&gt;0,"N/A","")</x:f>
      </x:c>
      <x:c r="H383" t="str">
        <x:f>IF(COUNTA('03_payments_raw'!A137:E137)&gt;0,IF(LEN('03_payments_raw'!C137&amp;"")=0,"SKIP",IF(IF(OR(NOT(ISNUMBER('03_payments_raw'!C137)),'03_payments_raw'!C137&lt;=0,'03_payments_raw'!C137&gt;'09_parameters'!$B$2),"ERROR","OK")="ERROR","ERROR",IF(COUNTIF('01_orders_raw'!$A$2:$A$181,'03_payments_raw'!B137)&lt;&gt;1,"SKIP",IF('03_payments_raw'!C137&lt;INDEX('01_orders_raw'!$B$2:$B$181,MATCH('03_payments_raw'!B137,'01_orders_raw'!$A$2:$A$181,0)),"ERROR","OK")))),"")</x:f>
      </x:c>
      <x:c r="I383" t="str">
        <x:f>IF(COUNTA('03_payments_raw'!A137:E137)&gt;0,IF(LEN('03_payments_raw'!E137&amp;"")=0,"SKIP",IF(AND('03_payments_raw'!E137&lt;&gt;"Оплачено",'03_payments_raw'!E137&lt;&gt;"Частично оплачено",'03_payments_raw'!E137&lt;&gt;"Не оплачено"),"ERROR","OK")),"")</x:f>
      </x:c>
      <x:c r="J383" t="n">
        <x:f>COUNTIF(C383:I383,"ERROR")</x:f>
        <x:v>0</x:v>
      </x:c>
      <x:c r="K383" t="str">
        <x:f>IF(COUNTA('03_payments_raw'!A137:E137)&gt;0,137,"")</x:f>
      </x:c>
    </x:row>
    <x:row r="384">
      <x:c r="A384" t="str">
        <x:f>IF(COUNTA('03_payments_raw'!A138:E138)&gt;0,"Payment","")</x:f>
      </x:c>
      <x:c r="B384" t="str">
        <x:f>IF(COUNTA('03_payments_raw'!A138:E138)&gt;0,'03_payments_raw'!A138,"")</x:f>
      </x:c>
      <x:c r="C384" t="str">
        <x:f>IF(COUNTA('03_payments_raw'!A138:E138)&gt;0,IF(AND(LEN('03_payments_raw'!A138&amp;"")&gt;0,COUNTIF('03_payments_raw'!$A$2:$A$141,'03_payments_raw'!A138)&gt;1),"ERROR","OK"),"")</x:f>
      </x:c>
      <x:c r="D384" t="str">
        <x:f>IF(COUNTA('03_payments_raw'!A138:E138)&gt;0,IF(OR(LEN('03_payments_raw'!A138&amp;"")=0,LEN('03_payments_raw'!B138&amp;"")=0,LEN('03_payments_raw'!C138&amp;"")=0,LEN('03_payments_raw'!D138&amp;"")=0,LEN('03_payments_raw'!E138&amp;"")=0),"ERROR","OK"),"")</x:f>
      </x:c>
      <x:c r="E384" t="str">
        <x:f>IF(COUNTA('03_payments_raw'!A138:E138)&gt;0,IF(LEN('03_payments_raw'!B138&amp;"")=0,"SKIP",IF(COUNTIF('01_orders_raw'!$A$2:$A$181,'03_payments_raw'!B138)&lt;&gt;1,"ERROR","OK")),"")</x:f>
      </x:c>
      <x:c r="F384" t="str">
        <x:f>IF(COUNTA('03_payments_raw'!A138:E138)&gt;0,IF(OR(COUNTIF('01_orders_raw'!$A$2:$A$181,'03_payments_raw'!B138)&lt;&gt;1,LEN('03_payments_raw'!D138&amp;"")=0),"SKIP",IF(OR(NOT(ISNUMBER('03_payments_raw'!D138)),'03_payments_raw'!D138&lt;0,'03_payments_raw'!D138&gt;INDEX('01_orders_raw'!$I$2:$I$181,MATCH('03_payments_raw'!B138,'01_orders_raw'!$A$2:$A$181,0))+'09_parameters'!$B$3),"ERROR","OK")),"")</x:f>
      </x:c>
      <x:c r="G384" t="str">
        <x:f>IF(COUNTA('03_payments_raw'!A138:E138)&gt;0,"N/A","")</x:f>
      </x:c>
      <x:c r="H384" t="str">
        <x:f>IF(COUNTA('03_payments_raw'!A138:E138)&gt;0,IF(LEN('03_payments_raw'!C138&amp;"")=0,"SKIP",IF(IF(OR(NOT(ISNUMBER('03_payments_raw'!C138)),'03_payments_raw'!C138&lt;=0,'03_payments_raw'!C138&gt;'09_parameters'!$B$2),"ERROR","OK")="ERROR","ERROR",IF(COUNTIF('01_orders_raw'!$A$2:$A$181,'03_payments_raw'!B138)&lt;&gt;1,"SKIP",IF('03_payments_raw'!C138&lt;INDEX('01_orders_raw'!$B$2:$B$181,MATCH('03_payments_raw'!B138,'01_orders_raw'!$A$2:$A$181,0)),"ERROR","OK")))),"")</x:f>
      </x:c>
      <x:c r="I384" t="str">
        <x:f>IF(COUNTA('03_payments_raw'!A138:E138)&gt;0,IF(LEN('03_payments_raw'!E138&amp;"")=0,"SKIP",IF(AND('03_payments_raw'!E138&lt;&gt;"Оплачено",'03_payments_raw'!E138&lt;&gt;"Частично оплачено",'03_payments_raw'!E138&lt;&gt;"Не оплачено"),"ERROR","OK")),"")</x:f>
      </x:c>
      <x:c r="J384" t="n">
        <x:f>COUNTIF(C384:I384,"ERROR")</x:f>
        <x:v>0</x:v>
      </x:c>
      <x:c r="K384" t="str">
        <x:f>IF(COUNTA('03_payments_raw'!A138:E138)&gt;0,138,"")</x:f>
      </x:c>
    </x:row>
    <x:row r="385">
      <x:c r="A385" t="str">
        <x:f>IF(COUNTA('03_payments_raw'!A139:E139)&gt;0,"Payment","")</x:f>
      </x:c>
      <x:c r="B385" t="str">
        <x:f>IF(COUNTA('03_payments_raw'!A139:E139)&gt;0,'03_payments_raw'!A139,"")</x:f>
      </x:c>
      <x:c r="C385" t="str">
        <x:f>IF(COUNTA('03_payments_raw'!A139:E139)&gt;0,IF(AND(LEN('03_payments_raw'!A139&amp;"")&gt;0,COUNTIF('03_payments_raw'!$A$2:$A$141,'03_payments_raw'!A139)&gt;1),"ERROR","OK"),"")</x:f>
      </x:c>
      <x:c r="D385" t="str">
        <x:f>IF(COUNTA('03_payments_raw'!A139:E139)&gt;0,IF(OR(LEN('03_payments_raw'!A139&amp;"")=0,LEN('03_payments_raw'!B139&amp;"")=0,LEN('03_payments_raw'!C139&amp;"")=0,LEN('03_payments_raw'!D139&amp;"")=0,LEN('03_payments_raw'!E139&amp;"")=0),"ERROR","OK"),"")</x:f>
      </x:c>
      <x:c r="E385" t="str">
        <x:f>IF(COUNTA('03_payments_raw'!A139:E139)&gt;0,IF(LEN('03_payments_raw'!B139&amp;"")=0,"SKIP",IF(COUNTIF('01_orders_raw'!$A$2:$A$181,'03_payments_raw'!B139)&lt;&gt;1,"ERROR","OK")),"")</x:f>
      </x:c>
      <x:c r="F385" t="str">
        <x:f>IF(COUNTA('03_payments_raw'!A139:E139)&gt;0,IF(OR(COUNTIF('01_orders_raw'!$A$2:$A$181,'03_payments_raw'!B139)&lt;&gt;1,LEN('03_payments_raw'!D139&amp;"")=0),"SKIP",IF(OR(NOT(ISNUMBER('03_payments_raw'!D139)),'03_payments_raw'!D139&lt;0,'03_payments_raw'!D139&gt;INDEX('01_orders_raw'!$I$2:$I$181,MATCH('03_payments_raw'!B139,'01_orders_raw'!$A$2:$A$181,0))+'09_parameters'!$B$3),"ERROR","OK")),"")</x:f>
      </x:c>
      <x:c r="G385" t="str">
        <x:f>IF(COUNTA('03_payments_raw'!A139:E139)&gt;0,"N/A","")</x:f>
      </x:c>
      <x:c r="H385" t="str">
        <x:f>IF(COUNTA('03_payments_raw'!A139:E139)&gt;0,IF(LEN('03_payments_raw'!C139&amp;"")=0,"SKIP",IF(IF(OR(NOT(ISNUMBER('03_payments_raw'!C139)),'03_payments_raw'!C139&lt;=0,'03_payments_raw'!C139&gt;'09_parameters'!$B$2),"ERROR","OK")="ERROR","ERROR",IF(COUNTIF('01_orders_raw'!$A$2:$A$181,'03_payments_raw'!B139)&lt;&gt;1,"SKIP",IF('03_payments_raw'!C139&lt;INDEX('01_orders_raw'!$B$2:$B$181,MATCH('03_payments_raw'!B139,'01_orders_raw'!$A$2:$A$181,0)),"ERROR","OK")))),"")</x:f>
      </x:c>
      <x:c r="I385" t="str">
        <x:f>IF(COUNTA('03_payments_raw'!A139:E139)&gt;0,IF(LEN('03_payments_raw'!E139&amp;"")=0,"SKIP",IF(AND('03_payments_raw'!E139&lt;&gt;"Оплачено",'03_payments_raw'!E139&lt;&gt;"Частично оплачено",'03_payments_raw'!E139&lt;&gt;"Не оплачено"),"ERROR","OK")),"")</x:f>
      </x:c>
      <x:c r="J385" t="n">
        <x:f>COUNTIF(C385:I385,"ERROR")</x:f>
        <x:v>0</x:v>
      </x:c>
      <x:c r="K385" t="str">
        <x:f>IF(COUNTA('03_payments_raw'!A139:E139)&gt;0,139,"")</x:f>
      </x:c>
    </x:row>
    <x:row r="386">
      <x:c r="A386" t="str">
        <x:f>IF(COUNTA('03_payments_raw'!A140:E140)&gt;0,"Payment","")</x:f>
      </x:c>
      <x:c r="B386" t="str">
        <x:f>IF(COUNTA('03_payments_raw'!A140:E140)&gt;0,'03_payments_raw'!A140,"")</x:f>
      </x:c>
      <x:c r="C386" t="str">
        <x:f>IF(COUNTA('03_payments_raw'!A140:E140)&gt;0,IF(AND(LEN('03_payments_raw'!A140&amp;"")&gt;0,COUNTIF('03_payments_raw'!$A$2:$A$141,'03_payments_raw'!A140)&gt;1),"ERROR","OK"),"")</x:f>
      </x:c>
      <x:c r="D386" t="str">
        <x:f>IF(COUNTA('03_payments_raw'!A140:E140)&gt;0,IF(OR(LEN('03_payments_raw'!A140&amp;"")=0,LEN('03_payments_raw'!B140&amp;"")=0,LEN('03_payments_raw'!C140&amp;"")=0,LEN('03_payments_raw'!D140&amp;"")=0,LEN('03_payments_raw'!E140&amp;"")=0),"ERROR","OK"),"")</x:f>
      </x:c>
      <x:c r="E386" t="str">
        <x:f>IF(COUNTA('03_payments_raw'!A140:E140)&gt;0,IF(LEN('03_payments_raw'!B140&amp;"")=0,"SKIP",IF(COUNTIF('01_orders_raw'!$A$2:$A$181,'03_payments_raw'!B140)&lt;&gt;1,"ERROR","OK")),"")</x:f>
      </x:c>
      <x:c r="F386" t="str">
        <x:f>IF(COUNTA('03_payments_raw'!A140:E140)&gt;0,IF(OR(COUNTIF('01_orders_raw'!$A$2:$A$181,'03_payments_raw'!B140)&lt;&gt;1,LEN('03_payments_raw'!D140&amp;"")=0),"SKIP",IF(OR(NOT(ISNUMBER('03_payments_raw'!D140)),'03_payments_raw'!D140&lt;0,'03_payments_raw'!D140&gt;INDEX('01_orders_raw'!$I$2:$I$181,MATCH('03_payments_raw'!B140,'01_orders_raw'!$A$2:$A$181,0))+'09_parameters'!$B$3),"ERROR","OK")),"")</x:f>
      </x:c>
      <x:c r="G386" t="str">
        <x:f>IF(COUNTA('03_payments_raw'!A140:E140)&gt;0,"N/A","")</x:f>
      </x:c>
      <x:c r="H386" t="str">
        <x:f>IF(COUNTA('03_payments_raw'!A140:E140)&gt;0,IF(LEN('03_payments_raw'!C140&amp;"")=0,"SKIP",IF(IF(OR(NOT(ISNUMBER('03_payments_raw'!C140)),'03_payments_raw'!C140&lt;=0,'03_payments_raw'!C140&gt;'09_parameters'!$B$2),"ERROR","OK")="ERROR","ERROR",IF(COUNTIF('01_orders_raw'!$A$2:$A$181,'03_payments_raw'!B140)&lt;&gt;1,"SKIP",IF('03_payments_raw'!C140&lt;INDEX('01_orders_raw'!$B$2:$B$181,MATCH('03_payments_raw'!B140,'01_orders_raw'!$A$2:$A$181,0)),"ERROR","OK")))),"")</x:f>
      </x:c>
      <x:c r="I386" t="str">
        <x:f>IF(COUNTA('03_payments_raw'!A140:E140)&gt;0,IF(LEN('03_payments_raw'!E140&amp;"")=0,"SKIP",IF(AND('03_payments_raw'!E140&lt;&gt;"Оплачено",'03_payments_raw'!E140&lt;&gt;"Частично оплачено",'03_payments_raw'!E140&lt;&gt;"Не оплачено"),"ERROR","OK")),"")</x:f>
      </x:c>
      <x:c r="J386" t="n">
        <x:f>COUNTIF(C386:I386,"ERROR")</x:f>
        <x:v>0</x:v>
      </x:c>
      <x:c r="K386" t="str">
        <x:f>IF(COUNTA('03_payments_raw'!A140:E140)&gt;0,140,"")</x:f>
      </x:c>
    </x:row>
    <x:row r="387">
      <x:c r="A387" t="str">
        <x:f>IF(COUNTA('03_payments_raw'!A141:E141)&gt;0,"Payment","")</x:f>
      </x:c>
      <x:c r="B387" t="str">
        <x:f>IF(COUNTA('03_payments_raw'!A141:E141)&gt;0,'03_payments_raw'!A141,"")</x:f>
      </x:c>
      <x:c r="C387" t="str">
        <x:f>IF(COUNTA('03_payments_raw'!A141:E141)&gt;0,IF(AND(LEN('03_payments_raw'!A141&amp;"")&gt;0,COUNTIF('03_payments_raw'!$A$2:$A$141,'03_payments_raw'!A141)&gt;1),"ERROR","OK"),"")</x:f>
      </x:c>
      <x:c r="D387" t="str">
        <x:f>IF(COUNTA('03_payments_raw'!A141:E141)&gt;0,IF(OR(LEN('03_payments_raw'!A141&amp;"")=0,LEN('03_payments_raw'!B141&amp;"")=0,LEN('03_payments_raw'!C141&amp;"")=0,LEN('03_payments_raw'!D141&amp;"")=0,LEN('03_payments_raw'!E141&amp;"")=0),"ERROR","OK"),"")</x:f>
      </x:c>
      <x:c r="E387" t="str">
        <x:f>IF(COUNTA('03_payments_raw'!A141:E141)&gt;0,IF(LEN('03_payments_raw'!B141&amp;"")=0,"SKIP",IF(COUNTIF('01_orders_raw'!$A$2:$A$181,'03_payments_raw'!B141)&lt;&gt;1,"ERROR","OK")),"")</x:f>
      </x:c>
      <x:c r="F387" t="str">
        <x:f>IF(COUNTA('03_payments_raw'!A141:E141)&gt;0,IF(OR(COUNTIF('01_orders_raw'!$A$2:$A$181,'03_payments_raw'!B141)&lt;&gt;1,LEN('03_payments_raw'!D141&amp;"")=0),"SKIP",IF(OR(NOT(ISNUMBER('03_payments_raw'!D141)),'03_payments_raw'!D141&lt;0,'03_payments_raw'!D141&gt;INDEX('01_orders_raw'!$I$2:$I$181,MATCH('03_payments_raw'!B141,'01_orders_raw'!$A$2:$A$181,0))+'09_parameters'!$B$3),"ERROR","OK")),"")</x:f>
      </x:c>
      <x:c r="G387" t="str">
        <x:f>IF(COUNTA('03_payments_raw'!A141:E141)&gt;0,"N/A","")</x:f>
      </x:c>
      <x:c r="H387" t="str">
        <x:f>IF(COUNTA('03_payments_raw'!A141:E141)&gt;0,IF(LEN('03_payments_raw'!C141&amp;"")=0,"SKIP",IF(IF(OR(NOT(ISNUMBER('03_payments_raw'!C141)),'03_payments_raw'!C141&lt;=0,'03_payments_raw'!C141&gt;'09_parameters'!$B$2),"ERROR","OK")="ERROR","ERROR",IF(COUNTIF('01_orders_raw'!$A$2:$A$181,'03_payments_raw'!B141)&lt;&gt;1,"SKIP",IF('03_payments_raw'!C141&lt;INDEX('01_orders_raw'!$B$2:$B$181,MATCH('03_payments_raw'!B141,'01_orders_raw'!$A$2:$A$181,0)),"ERROR","OK")))),"")</x:f>
      </x:c>
      <x:c r="I387" t="str">
        <x:f>IF(COUNTA('03_payments_raw'!A141:E141)&gt;0,IF(LEN('03_payments_raw'!E141&amp;"")=0,"SKIP",IF(AND('03_payments_raw'!E141&lt;&gt;"Оплачено",'03_payments_raw'!E141&lt;&gt;"Частично оплачено",'03_payments_raw'!E141&lt;&gt;"Не оплачено"),"ERROR","OK")),"")</x:f>
      </x:c>
      <x:c r="J387" t="n">
        <x:f>COUNTIF(C387:I387,"ERROR")</x:f>
        <x:v>0</x:v>
      </x:c>
      <x:c r="K387" t="str">
        <x:f>IF(COUNTA('03_payments_raw'!A141:E141)&gt;0,141,"")</x:f>
      </x:c>
    </x:row>
  </x:sheetData>
  <x:conditionalFormatting sqref="C2:I327">
    <x:cfRule type="containsText" dxfId="0" priority="1" operator="containsText" text="ERROR">
      <x:formula>NOT(ISERROR(SEARCH("ERROR",C2)))</x:formula>
    </x:cfRule>
  </x:conditionalFormatting>
  <x:conditionalFormatting sqref="C2:I387">
    <x:cfRule type="containsText" dxfId="1" priority="2" operator="containsText" text="ERROR"/>
  </x:conditionalFormatting>
  <x:pageMargins left="0.7" right="0.7" top="0.75" bottom="0.75" header="0.3" footer="0.3"/>
  <x:tableParts count="1">
    <x:tablePart xmlns:r="http://schemas.openxmlformats.org/officeDocument/2006/relationships" r:id="R69a7a92324b54a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2" width="14.7109375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76" hidden="0" customWidth="1"/>
    <x:col min="1" max="1" width="15" hidden="0" customWidth="1"/>
    <x:col min="2" max="2" width="15" hidden="0" customWidth="1"/>
  </x:cols>
  <x:sheetData>
    <x:row r="1" ht="42" customHeight="1">
      <x:c r="A1" s="12" t="str">
        <x:v>entity</x:v>
      </x:c>
      <x:c r="B1" s="12" t="str">
        <x:v>record_id</x:v>
      </x:c>
      <x:c r="C1" s="12" t="str">
        <x:v>source_row</x:v>
      </x:c>
      <x:c r="D1" s="12" t="str">
        <x:v>error_type</x:v>
      </x:c>
      <x:c r="E1" s="12" t="str">
        <x:v>criticality</x:v>
      </x:c>
      <x:c r="F1" s="12" t="str">
        <x:v>source_field</x:v>
      </x:c>
      <x:c r="G1" s="12" t="str">
        <x:v>recommendation</x:v>
      </x:c>
      <x:c r="H1" s="15"/>
      <x:c r="I1" s="15"/>
      <x:c r="J1" s="15"/>
      <x:c r="K1" s="15"/>
    </x:row>
    <x:row r="2" ht="25" customHeight="1">
      <x:c r="A2" s="2" t="str">
        <x:f>IF(1&gt;'10_events'!$K$2703,"",INDEX('10_events'!$A$2:$A$2703,$H2))</x:f>
        <x:v>Order</x:v>
      </x:c>
      <x:c r="B2" s="2" t="n">
        <x:f>IF(1&gt;'10_events'!$K$2703,"",INDEX('10_events'!$B$2:$B$2703,$H2))</x:f>
        <x:v>1007</x:v>
      </x:c>
      <x:c r="C2" s="2" t="n">
        <x:f>IF(1&gt;'10_events'!$K$2703,"",INDEX('10_events'!$C$2:$C$2703,$H2))</x:f>
        <x:v>8</x:v>
      </x:c>
      <x:c r="D2" s="2" t="str">
        <x:f>IF(1&gt;'10_events'!$K$2703,"",INDEX('10_events'!$F$2:$F$2703,$H2))</x:f>
        <x:v>Дубль</x:v>
      </x:c>
      <x:c r="E2" s="2" t="str">
        <x:f>IF(1&gt;'10_events'!$K$2703,"",INDEX('10_events'!$G$2:$G$2703,$H2))</x:f>
        <x:v>High</x:v>
      </x:c>
      <x:c r="F2" s="2" t="str">
        <x:f>IF(1&gt;'10_events'!$K$2703,"",INDEX('10_events'!$H$2:$H$2703,$H2))</x:f>
        <x:v>order_id</x:v>
      </x:c>
      <x:c r="G2" s="18" t="str">
        <x:f>IF(1&gt;'10_events'!$K$2703,"",INDEX('10_events'!$I$2:$I$2703,$H2))</x:f>
        <x:v>Проверить уникальность ID в источнике; не удалять записи автоматически</x:v>
      </x:c>
      <x:c r="H2" t="n">
        <x:f>IF(1&gt;'10_events'!$K$2703,0,MATCH(1,'10_events'!$J$2:$J$2703,0))</x:f>
        <x:v>43</x:v>
      </x:c>
    </x:row>
    <x:row r="3" ht="25" customHeight="1">
      <x:c r="A3" s="2" t="str">
        <x:f>IF(2&gt;'10_events'!$K$2703,"",INDEX('10_events'!$A$2:$A$2703,$H3))</x:f>
        <x:v>Order</x:v>
      </x:c>
      <x:c r="B3" s="2" t="n">
        <x:f>IF(2&gt;'10_events'!$K$2703,"",INDEX('10_events'!$B$2:$B$2703,$H3))</x:f>
        <x:v>1007</x:v>
      </x:c>
      <x:c r="C3" s="2" t="n">
        <x:f>IF(2&gt;'10_events'!$K$2703,"",INDEX('10_events'!$C$2:$C$2703,$H3))</x:f>
        <x:v>9</x:v>
      </x:c>
      <x:c r="D3" s="2" t="str">
        <x:f>IF(2&gt;'10_events'!$K$2703,"",INDEX('10_events'!$F$2:$F$2703,$H3))</x:f>
        <x:v>Дубль</x:v>
      </x:c>
      <x:c r="E3" s="2" t="str">
        <x:f>IF(2&gt;'10_events'!$K$2703,"",INDEX('10_events'!$G$2:$G$2703,$H3))</x:f>
        <x:v>High</x:v>
      </x:c>
      <x:c r="F3" s="2" t="str">
        <x:f>IF(2&gt;'10_events'!$K$2703,"",INDEX('10_events'!$H$2:$H$2703,$H3))</x:f>
        <x:v>order_id</x:v>
      </x:c>
      <x:c r="G3" s="18" t="str">
        <x:f>IF(2&gt;'10_events'!$K$2703,"",INDEX('10_events'!$I$2:$I$2703,$H3))</x:f>
        <x:v>Проверить уникальность ID в источнике; не удалять записи автоматически</x:v>
      </x:c>
      <x:c r="H3" t="n">
        <x:f>IF(2&gt;'10_events'!$K$2703,0,MATCH(2,'10_events'!$J$2:$J$2703,0))</x:f>
        <x:v>50</x:v>
      </x:c>
    </x:row>
    <x:row r="4" ht="25" customHeight="1">
      <x:c r="A4" s="2" t="str">
        <x:f>IF(3&gt;'10_events'!$K$2703,"",INDEX('10_events'!$A$2:$A$2703,$H4))</x:f>
        <x:v>Order</x:v>
      </x:c>
      <x:c r="B4" s="2" t="n">
        <x:f>IF(3&gt;'10_events'!$K$2703,"",INDEX('10_events'!$B$2:$B$2703,$H4))</x:f>
        <x:v>1016</x:v>
      </x:c>
      <x:c r="C4" s="2" t="n">
        <x:f>IF(3&gt;'10_events'!$K$2703,"",INDEX('10_events'!$C$2:$C$2703,$H4))</x:f>
        <x:v>17</x:v>
      </x:c>
      <x:c r="D4" s="2" t="str">
        <x:f>IF(3&gt;'10_events'!$K$2703,"",INDEX('10_events'!$F$2:$F$2703,$H4))</x:f>
        <x:v>Пустое поле</x:v>
      </x:c>
      <x:c r="E4" s="2" t="str">
        <x:f>IF(3&gt;'10_events'!$K$2703,"",INDEX('10_events'!$G$2:$G$2703,$H4))</x:f>
        <x:v>High</x:v>
      </x:c>
      <x:c r="F4" s="2" t="str">
        <x:f>IF(3&gt;'10_events'!$K$2703,"",INDEX('10_events'!$H$2:$H$2703,$H4))</x:f>
        <x:v>required_fields</x:v>
      </x:c>
      <x:c r="G4" s="18" t="str">
        <x:f>IF(3&gt;'10_events'!$K$2703,"",INDEX('10_events'!$I$2:$I$2703,$H4))</x:f>
        <x:v>Дополнить обязательные поля в источнике</x:v>
      </x:c>
      <x:c r="H4" t="n">
        <x:f>IF(3&gt;'10_events'!$K$2703,0,MATCH(3,'10_events'!$J$2:$J$2703,0))</x:f>
        <x:v>107</x:v>
      </x:c>
    </x:row>
    <x:row r="5" ht="25" customHeight="1">
      <x:c r="A5" s="2" t="str">
        <x:f>IF(4&gt;'10_events'!$K$2703,"",INDEX('10_events'!$A$2:$A$2703,$H5))</x:f>
        <x:v>Order</x:v>
      </x:c>
      <x:c r="B5" s="2" t="n">
        <x:f>IF(4&gt;'10_events'!$K$2703,"",INDEX('10_events'!$B$2:$B$2703,$H5))</x:f>
        <x:v>1029</x:v>
      </x:c>
      <x:c r="C5" s="2" t="n">
        <x:f>IF(4&gt;'10_events'!$K$2703,"",INDEX('10_events'!$C$2:$C$2703,$H5))</x:f>
        <x:v>30</x:v>
      </x:c>
      <x:c r="D5" s="2" t="str">
        <x:f>IF(4&gt;'10_events'!$K$2703,"",INDEX('10_events'!$F$2:$F$2703,$H5))</x:f>
        <x:v>Пустое поле</x:v>
      </x:c>
      <x:c r="E5" s="2" t="str">
        <x:f>IF(4&gt;'10_events'!$K$2703,"",INDEX('10_events'!$G$2:$G$2703,$H5))</x:f>
        <x:v>High</x:v>
      </x:c>
      <x:c r="F5" s="2" t="str">
        <x:f>IF(4&gt;'10_events'!$K$2703,"",INDEX('10_events'!$H$2:$H$2703,$H5))</x:f>
        <x:v>required_fields</x:v>
      </x:c>
      <x:c r="G5" s="18" t="str">
        <x:f>IF(4&gt;'10_events'!$K$2703,"",INDEX('10_events'!$I$2:$I$2703,$H5))</x:f>
        <x:v>Дополнить обязательные поля в источнике</x:v>
      </x:c>
      <x:c r="H5" t="n">
        <x:f>IF(4&gt;'10_events'!$K$2703,0,MATCH(4,'10_events'!$J$2:$J$2703,0))</x:f>
        <x:v>198</x:v>
      </x:c>
    </x:row>
    <x:row r="6" ht="25" customHeight="1">
      <x:c r="A6" s="2" t="str">
        <x:f>IF(5&gt;'10_events'!$K$2703,"",INDEX('10_events'!$A$2:$A$2703,$H6))</x:f>
        <x:v>Order</x:v>
      </x:c>
      <x:c r="B6" s="2" t="n">
        <x:f>IF(5&gt;'10_events'!$K$2703,"",INDEX('10_events'!$B$2:$B$2703,$H6))</x:f>
        <x:v>1038</x:v>
      </x:c>
      <x:c r="C6" s="2" t="n">
        <x:f>IF(5&gt;'10_events'!$K$2703,"",INDEX('10_events'!$C$2:$C$2703,$H6))</x:f>
        <x:v>39</x:v>
      </x:c>
      <x:c r="D6" s="2" t="str">
        <x:f>IF(5&gt;'10_events'!$K$2703,"",INDEX('10_events'!$F$2:$F$2703,$H6))</x:f>
        <x:v>Неоднозначная связь</x:v>
      </x:c>
      <x:c r="E6" s="2" t="str">
        <x:f>IF(5&gt;'10_events'!$K$2703,"",INDEX('10_events'!$G$2:$G$2703,$H6))</x:f>
        <x:v>High</x:v>
      </x:c>
      <x:c r="F6" s="2" t="str">
        <x:f>IF(5&gt;'10_events'!$K$2703,"",INDEX('10_events'!$H$2:$H$2703,$H6))</x:f>
        <x:v>client_id</x:v>
      </x:c>
      <x:c r="G6" s="18" t="str">
        <x:f>IF(5&gt;'10_events'!$K$2703,"",INDEX('10_events'!$I$2:$I$2703,$H6))</x:f>
        <x:v>Исправить ссылку или разрешить дубли связанного ID</x:v>
      </x:c>
      <x:c r="H6" t="n">
        <x:f>IF(5&gt;'10_events'!$K$2703,0,MATCH(5,'10_events'!$J$2:$J$2703,0))</x:f>
        <x:v>262</x:v>
      </x:c>
    </x:row>
    <x:row r="7" ht="25" customHeight="1">
      <x:c r="A7" s="2" t="str">
        <x:f>IF(6&gt;'10_events'!$K$2703,"",INDEX('10_events'!$A$2:$A$2703,$H7))</x:f>
        <x:v>Order</x:v>
      </x:c>
      <x:c r="B7" s="2" t="n">
        <x:f>IF(6&gt;'10_events'!$K$2703,"",INDEX('10_events'!$B$2:$B$2703,$H7))</x:f>
        <x:v>1040</x:v>
      </x:c>
      <x:c r="C7" s="2" t="n">
        <x:f>IF(6&gt;'10_events'!$K$2703,"",INDEX('10_events'!$C$2:$C$2703,$H7))</x:f>
        <x:v>41</x:v>
      </x:c>
      <x:c r="D7" s="2" t="str">
        <x:f>IF(6&gt;'10_events'!$K$2703,"",INDEX('10_events'!$F$2:$F$2703,$H7))</x:f>
        <x:v>Ошибка расчета</x:v>
      </x:c>
      <x:c r="E7" s="2" t="str">
        <x:f>IF(6&gt;'10_events'!$K$2703,"",INDEX('10_events'!$G$2:$G$2703,$H7))</x:f>
        <x:v>High</x:v>
      </x:c>
      <x:c r="F7" s="2" t="str">
        <x:f>IF(6&gt;'10_events'!$K$2703,"",INDEX('10_events'!$H$2:$H$2703,$H7))</x:f>
        <x:v>quantity/price/order_sum</x:v>
      </x:c>
      <x:c r="G7" s="18" t="str">
        <x:f>IF(6&gt;'10_events'!$K$2703,"",INDEX('10_events'!$I$2:$I$2703,$H7))</x:f>
        <x:v>Сверить исходные значения и правило расчёта</x:v>
      </x:c>
      <x:c r="H7" t="n">
        <x:f>IF(6&gt;'10_events'!$K$2703,0,MATCH(6,'10_events'!$J$2:$J$2703,0))</x:f>
        <x:v>277</x:v>
      </x:c>
    </x:row>
    <x:row r="8" ht="25" customHeight="1">
      <x:c r="A8" s="2" t="str">
        <x:f>IF(7&gt;'10_events'!$K$2703,"",INDEX('10_events'!$A$2:$A$2703,$H8))</x:f>
        <x:v>Order</x:v>
      </x:c>
      <x:c r="B8" s="2" t="n">
        <x:f>IF(7&gt;'10_events'!$K$2703,"",INDEX('10_events'!$B$2:$B$2703,$H8))</x:f>
        <x:v>1053</x:v>
      </x:c>
      <x:c r="C8" s="2" t="n">
        <x:f>IF(7&gt;'10_events'!$K$2703,"",INDEX('10_events'!$C$2:$C$2703,$H8))</x:f>
        <x:v>54</x:v>
      </x:c>
      <x:c r="D8" s="2" t="str">
        <x:f>IF(7&gt;'10_events'!$K$2703,"",INDEX('10_events'!$F$2:$F$2703,$H8))</x:f>
        <x:v>Отрицательная цена</x:v>
      </x:c>
      <x:c r="E8" s="2" t="str">
        <x:f>IF(7&gt;'10_events'!$K$2703,"",INDEX('10_events'!$G$2:$G$2703,$H8))</x:f>
        <x:v>High</x:v>
      </x:c>
      <x:c r="F8" s="2" t="str">
        <x:f>IF(7&gt;'10_events'!$K$2703,"",INDEX('10_events'!$H$2:$H$2703,$H8))</x:f>
        <x:v>price</x:v>
      </x:c>
      <x:c r="G8" s="18" t="str">
        <x:f>IF(7&gt;'10_events'!$K$2703,"",INDEX('10_events'!$I$2:$I$2703,$H8))</x:f>
        <x:v>Проверить цену в источнике</x:v>
      </x:c>
      <x:c r="H8" t="n">
        <x:f>IF(7&gt;'10_events'!$K$2703,0,MATCH(7,'10_events'!$J$2:$J$2703,0))</x:f>
        <x:v>369</x:v>
      </x:c>
    </x:row>
    <x:row r="9" ht="25" customHeight="1">
      <x:c r="A9" s="2" t="str">
        <x:f>IF(8&gt;'10_events'!$K$2703,"",INDEX('10_events'!$A$2:$A$2703,$H9))</x:f>
        <x:v>Order</x:v>
      </x:c>
      <x:c r="B9" s="2" t="n">
        <x:f>IF(8&gt;'10_events'!$K$2703,"",INDEX('10_events'!$B$2:$B$2703,$H9))</x:f>
        <x:v>1067</x:v>
      </x:c>
      <x:c r="C9" s="2" t="n">
        <x:f>IF(8&gt;'10_events'!$K$2703,"",INDEX('10_events'!$C$2:$C$2703,$H9))</x:f>
        <x:v>68</x:v>
      </x:c>
      <x:c r="D9" s="2" t="str">
        <x:f>IF(8&gt;'10_events'!$K$2703,"",INDEX('10_events'!$F$2:$F$2703,$H9))</x:f>
        <x:v>Неоднозначная связь</x:v>
      </x:c>
      <x:c r="E9" s="2" t="str">
        <x:f>IF(8&gt;'10_events'!$K$2703,"",INDEX('10_events'!$G$2:$G$2703,$H9))</x:f>
        <x:v>High</x:v>
      </x:c>
      <x:c r="F9" s="2" t="str">
        <x:f>IF(8&gt;'10_events'!$K$2703,"",INDEX('10_events'!$H$2:$H$2703,$H9))</x:f>
        <x:v>client_id</x:v>
      </x:c>
      <x:c r="G9" s="18" t="str">
        <x:f>IF(8&gt;'10_events'!$K$2703,"",INDEX('10_events'!$I$2:$I$2703,$H9))</x:f>
        <x:v>Исправить ссылку или разрешить дубли связанного ID</x:v>
      </x:c>
      <x:c r="H9" t="n">
        <x:f>IF(8&gt;'10_events'!$K$2703,0,MATCH(8,'10_events'!$J$2:$J$2703,0))</x:f>
        <x:v>465</x:v>
      </x:c>
    </x:row>
    <x:row r="10" ht="25" customHeight="1">
      <x:c r="A10" s="2" t="str">
        <x:f>IF(9&gt;'10_events'!$K$2703,"",INDEX('10_events'!$A$2:$A$2703,$H10))</x:f>
        <x:v>Order</x:v>
      </x:c>
      <x:c r="B10" s="2" t="n">
        <x:f>IF(9&gt;'10_events'!$K$2703,"",INDEX('10_events'!$B$2:$B$2703,$H10))</x:f>
        <x:v>1074</x:v>
      </x:c>
      <x:c r="C10" s="2" t="n">
        <x:f>IF(9&gt;'10_events'!$K$2703,"",INDEX('10_events'!$C$2:$C$2703,$H10))</x:f>
        <x:v>75</x:v>
      </x:c>
      <x:c r="D10" s="2" t="str">
        <x:f>IF(9&gt;'10_events'!$K$2703,"",INDEX('10_events'!$F$2:$F$2703,$H10))</x:f>
        <x:v>Дата</x:v>
      </x:c>
      <x:c r="E10" s="2" t="str">
        <x:f>IF(9&gt;'10_events'!$K$2703,"",INDEX('10_events'!$G$2:$G$2703,$H10))</x:f>
        <x:v>Medium</x:v>
      </x:c>
      <x:c r="F10" s="2" t="str">
        <x:f>IF(9&gt;'10_events'!$K$2703,"",INDEX('10_events'!$H$2:$H$2703,$H10))</x:f>
        <x:v>order_date</x:v>
      </x:c>
      <x:c r="G10" s="18" t="str">
        <x:f>IF(9&gt;'10_events'!$K$2703,"",INDEX('10_events'!$I$2:$I$2703,$H10))</x:f>
        <x:v>Сверить дату со срезом и исходной записью</x:v>
      </x:c>
      <x:c r="H10" t="n">
        <x:f>IF(9&gt;'10_events'!$K$2703,0,MATCH(9,'10_events'!$J$2:$J$2703,0))</x:f>
        <x:v>517</x:v>
      </x:c>
    </x:row>
    <x:row r="11" ht="25" customHeight="1">
      <x:c r="A11" s="2" t="str">
        <x:f>IF(10&gt;'10_events'!$K$2703,"",INDEX('10_events'!$A$2:$A$2703,$H11))</x:f>
        <x:v>Order</x:v>
      </x:c>
      <x:c r="B11" s="2" t="n">
        <x:f>IF(10&gt;'10_events'!$K$2703,"",INDEX('10_events'!$B$2:$B$2703,$H11))</x:f>
        <x:v>1092</x:v>
      </x:c>
      <x:c r="C11" s="2" t="n">
        <x:f>IF(10&gt;'10_events'!$K$2703,"",INDEX('10_events'!$C$2:$C$2703,$H11))</x:f>
        <x:v>93</x:v>
      </x:c>
      <x:c r="D11" s="2" t="str">
        <x:f>IF(10&gt;'10_events'!$K$2703,"",INDEX('10_events'!$F$2:$F$2703,$H11))</x:f>
        <x:v>Статус</x:v>
      </x:c>
      <x:c r="E11" s="2" t="str">
        <x:f>IF(10&gt;'10_events'!$K$2703,"",INDEX('10_events'!$G$2:$G$2703,$H11))</x:f>
        <x:v>Medium</x:v>
      </x:c>
      <x:c r="F11" s="2" t="str">
        <x:f>IF(10&gt;'10_events'!$K$2703,"",INDEX('10_events'!$H$2:$H$2703,$H11))</x:f>
        <x:v>status</x:v>
      </x:c>
      <x:c r="G11" s="18" t="str">
        <x:f>IF(10&gt;'10_events'!$K$2703,"",INDEX('10_events'!$I$2:$I$2703,$H11))</x:f>
        <x:v>Выбрать допустимый статус</x:v>
      </x:c>
      <x:c r="H11" t="n">
        <x:f>IF(10&gt;'10_events'!$K$2703,0,MATCH(10,'10_events'!$J$2:$J$2703,0))</x:f>
        <x:v>644</x:v>
      </x:c>
    </x:row>
    <x:row r="12" ht="25" customHeight="1">
      <x:c r="A12" s="2" t="str">
        <x:f>IF(11&gt;'10_events'!$K$2703,"",INDEX('10_events'!$A$2:$A$2703,$H12))</x:f>
        <x:v>Order</x:v>
      </x:c>
      <x:c r="B12" s="2" t="n">
        <x:f>IF(11&gt;'10_events'!$K$2703,"",INDEX('10_events'!$B$2:$B$2703,$H12))</x:f>
        <x:v>1117</x:v>
      </x:c>
      <x:c r="C12" s="2" t="n">
        <x:f>IF(11&gt;'10_events'!$K$2703,"",INDEX('10_events'!$C$2:$C$2703,$H12))</x:f>
        <x:v>118</x:v>
      </x:c>
      <x:c r="D12" s="2" t="str">
        <x:f>IF(11&gt;'10_events'!$K$2703,"",INDEX('10_events'!$F$2:$F$2703,$H12))</x:f>
        <x:v>Нет связи</x:v>
      </x:c>
      <x:c r="E12" s="2" t="str">
        <x:f>IF(11&gt;'10_events'!$K$2703,"",INDEX('10_events'!$G$2:$G$2703,$H12))</x:f>
        <x:v>High</x:v>
      </x:c>
      <x:c r="F12" s="2" t="str">
        <x:f>IF(11&gt;'10_events'!$K$2703,"",INDEX('10_events'!$H$2:$H$2703,$H12))</x:f>
        <x:v>client_id</x:v>
      </x:c>
      <x:c r="G12" s="18" t="str">
        <x:f>IF(11&gt;'10_events'!$K$2703,"",INDEX('10_events'!$I$2:$I$2703,$H12))</x:f>
        <x:v>Исправить ссылку или разрешить дубли связанного ID</x:v>
      </x:c>
      <x:c r="H12" t="n">
        <x:f>IF(11&gt;'10_events'!$K$2703,0,MATCH(11,'10_events'!$J$2:$J$2703,0))</x:f>
        <x:v>815</x:v>
      </x:c>
    </x:row>
    <x:row r="13" ht="25" customHeight="1">
      <x:c r="A13" s="2" t="str">
        <x:f>IF(12&gt;'10_events'!$K$2703,"",INDEX('10_events'!$A$2:$A$2703,$H13))</x:f>
        <x:v>Order</x:v>
      </x:c>
      <x:c r="B13" s="2" t="n">
        <x:f>IF(12&gt;'10_events'!$K$2703,"",INDEX('10_events'!$B$2:$B$2703,$H13))</x:f>
        <x:v>1131</x:v>
      </x:c>
      <x:c r="C13" s="2" t="n">
        <x:f>IF(12&gt;'10_events'!$K$2703,"",INDEX('10_events'!$C$2:$C$2703,$H13))</x:f>
        <x:v>132</x:v>
      </x:c>
      <x:c r="D13" s="2" t="str">
        <x:f>IF(12&gt;'10_events'!$K$2703,"",INDEX('10_events'!$F$2:$F$2703,$H13))</x:f>
        <x:v>Пустое поле</x:v>
      </x:c>
      <x:c r="E13" s="2" t="str">
        <x:f>IF(12&gt;'10_events'!$K$2703,"",INDEX('10_events'!$G$2:$G$2703,$H13))</x:f>
        <x:v>High</x:v>
      </x:c>
      <x:c r="F13" s="2" t="str">
        <x:f>IF(12&gt;'10_events'!$K$2703,"",INDEX('10_events'!$H$2:$H$2703,$H13))</x:f>
        <x:v>required_fields</x:v>
      </x:c>
      <x:c r="G13" s="18" t="str">
        <x:f>IF(12&gt;'10_events'!$K$2703,"",INDEX('10_events'!$I$2:$I$2703,$H13))</x:f>
        <x:v>Дополнить обязательные поля в источнике</x:v>
      </x:c>
      <x:c r="H13" t="n">
        <x:f>IF(12&gt;'10_events'!$K$2703,0,MATCH(12,'10_events'!$J$2:$J$2703,0))</x:f>
        <x:v>912</x:v>
      </x:c>
    </x:row>
    <x:row r="14" ht="25" customHeight="1">
      <x:c r="A14" s="2" t="str">
        <x:f>IF(13&gt;'10_events'!$K$2703,"",INDEX('10_events'!$A$2:$A$2703,$H14))</x:f>
        <x:v>Order</x:v>
      </x:c>
      <x:c r="B14" s="2" t="n">
        <x:f>IF(13&gt;'10_events'!$K$2703,"",INDEX('10_events'!$B$2:$B$2703,$H14))</x:f>
        <x:v>1153</x:v>
      </x:c>
      <x:c r="C14" s="2" t="n">
        <x:f>IF(13&gt;'10_events'!$K$2703,"",INDEX('10_events'!$C$2:$C$2703,$H14))</x:f>
        <x:v>154</x:v>
      </x:c>
      <x:c r="D14" s="2" t="str">
        <x:f>IF(13&gt;'10_events'!$K$2703,"",INDEX('10_events'!$F$2:$F$2703,$H14))</x:f>
        <x:v>Неоднозначная связь</x:v>
      </x:c>
      <x:c r="E14" s="2" t="str">
        <x:f>IF(13&gt;'10_events'!$K$2703,"",INDEX('10_events'!$G$2:$G$2703,$H14))</x:f>
        <x:v>High</x:v>
      </x:c>
      <x:c r="F14" s="2" t="str">
        <x:f>IF(13&gt;'10_events'!$K$2703,"",INDEX('10_events'!$H$2:$H$2703,$H14))</x:f>
        <x:v>client_id</x:v>
      </x:c>
      <x:c r="G14" s="18" t="str">
        <x:f>IF(13&gt;'10_events'!$K$2703,"",INDEX('10_events'!$I$2:$I$2703,$H14))</x:f>
        <x:v>Исправить ссылку или разрешить дубли связанного ID</x:v>
      </x:c>
      <x:c r="H14" t="n">
        <x:f>IF(13&gt;'10_events'!$K$2703,0,MATCH(13,'10_events'!$J$2:$J$2703,0))</x:f>
        <x:v>1067</x:v>
      </x:c>
    </x:row>
    <x:row r="15" ht="25" customHeight="1">
      <x:c r="A15" s="2" t="str">
        <x:f>IF(14&gt;'10_events'!$K$2703,"",INDEX('10_events'!$A$2:$A$2703,$H15))</x:f>
        <x:v>Client</x:v>
      </x:c>
      <x:c r="B15" s="2" t="str">
        <x:f>IF(14&gt;'10_events'!$K$2703,"",INDEX('10_events'!$B$2:$B$2703,$H15))</x:f>
        <x:v>C005</x:v>
      </x:c>
      <x:c r="C15" s="2" t="n">
        <x:f>IF(14&gt;'10_events'!$K$2703,"",INDEX('10_events'!$C$2:$C$2703,$H15))</x:f>
        <x:v>6</x:v>
      </x:c>
      <x:c r="D15" s="2" t="str">
        <x:f>IF(14&gt;'10_events'!$K$2703,"",INDEX('10_events'!$F$2:$F$2703,$H15))</x:f>
        <x:v>Пустое поле</x:v>
      </x:c>
      <x:c r="E15" s="2" t="str">
        <x:f>IF(14&gt;'10_events'!$K$2703,"",INDEX('10_events'!$G$2:$G$2703,$H15))</x:f>
        <x:v>High</x:v>
      </x:c>
      <x:c r="F15" s="2" t="str">
        <x:f>IF(14&gt;'10_events'!$K$2703,"",INDEX('10_events'!$H$2:$H$2703,$H15))</x:f>
        <x:v>required_fields</x:v>
      </x:c>
      <x:c r="G15" s="18" t="str">
        <x:f>IF(14&gt;'10_events'!$K$2703,"",INDEX('10_events'!$I$2:$I$2703,$H15))</x:f>
        <x:v>Дополнить обязательные поля в источнике</x:v>
      </x:c>
      <x:c r="H15" t="n">
        <x:f>IF(14&gt;'10_events'!$K$2703,0,MATCH(14,'10_events'!$J$2:$J$2703,0))</x:f>
        <x:v>1290</x:v>
      </x:c>
    </x:row>
    <x:row r="16" ht="25" customHeight="1">
      <x:c r="A16" s="2" t="str">
        <x:f>IF(15&gt;'10_events'!$K$2703,"",INDEX('10_events'!$A$2:$A$2703,$H16))</x:f>
        <x:v>Client</x:v>
      </x:c>
      <x:c r="B16" s="2" t="str">
        <x:f>IF(15&gt;'10_events'!$K$2703,"",INDEX('10_events'!$B$2:$B$2703,$H16))</x:f>
        <x:v>C009</x:v>
      </x:c>
      <x:c r="C16" s="2" t="n">
        <x:f>IF(15&gt;'10_events'!$K$2703,"",INDEX('10_events'!$C$2:$C$2703,$H16))</x:f>
        <x:v>10</x:v>
      </x:c>
      <x:c r="D16" s="2" t="str">
        <x:f>IF(15&gt;'10_events'!$K$2703,"",INDEX('10_events'!$F$2:$F$2703,$H16))</x:f>
        <x:v>Дубль</x:v>
      </x:c>
      <x:c r="E16" s="2" t="str">
        <x:f>IF(15&gt;'10_events'!$K$2703,"",INDEX('10_events'!$G$2:$G$2703,$H16))</x:f>
        <x:v>High</x:v>
      </x:c>
      <x:c r="F16" s="2" t="str">
        <x:f>IF(15&gt;'10_events'!$K$2703,"",INDEX('10_events'!$H$2:$H$2703,$H16))</x:f>
        <x:v>client_id</x:v>
      </x:c>
      <x:c r="G16" s="18" t="str">
        <x:f>IF(15&gt;'10_events'!$K$2703,"",INDEX('10_events'!$I$2:$I$2703,$H16))</x:f>
        <x:v>Проверить уникальность ID в источнике; не удалять записи автоматически</x:v>
      </x:c>
      <x:c r="H16" t="n">
        <x:f>IF(15&gt;'10_events'!$K$2703,0,MATCH(15,'10_events'!$J$2:$J$2703,0))</x:f>
        <x:v>1317</x:v>
      </x:c>
    </x:row>
    <x:row r="17" ht="25" customHeight="1">
      <x:c r="A17" s="2" t="str">
        <x:f>IF(16&gt;'10_events'!$K$2703,"",INDEX('10_events'!$A$2:$A$2703,$H17))</x:f>
        <x:v>Client</x:v>
      </x:c>
      <x:c r="B17" s="2" t="str">
        <x:f>IF(16&gt;'10_events'!$K$2703,"",INDEX('10_events'!$B$2:$B$2703,$H17))</x:f>
        <x:v>C012</x:v>
      </x:c>
      <x:c r="C17" s="2" t="n">
        <x:f>IF(16&gt;'10_events'!$K$2703,"",INDEX('10_events'!$C$2:$C$2703,$H17))</x:f>
        <x:v>13</x:v>
      </x:c>
      <x:c r="D17" s="2" t="str">
        <x:f>IF(16&gt;'10_events'!$K$2703,"",INDEX('10_events'!$F$2:$F$2703,$H17))</x:f>
        <x:v>Формат ИНН</x:v>
      </x:c>
      <x:c r="E17" s="2" t="str">
        <x:f>IF(16&gt;'10_events'!$K$2703,"",INDEX('10_events'!$G$2:$G$2703,$H17))</x:f>
        <x:v>High</x:v>
      </x:c>
      <x:c r="F17" s="2" t="str">
        <x:f>IF(16&gt;'10_events'!$K$2703,"",INDEX('10_events'!$H$2:$H$2703,$H17))</x:f>
        <x:v>inn</x:v>
      </x:c>
      <x:c r="G17" s="18" t="str">
        <x:f>IF(16&gt;'10_events'!$K$2703,"",INDEX('10_events'!$I$2:$I$2703,$H17))</x:f>
        <x:v>Сверить длину ИНН 10/12 цифр с источником</x:v>
      </x:c>
      <x:c r="H17" t="n">
        <x:f>IF(16&gt;'10_events'!$K$2703,0,MATCH(16,'10_events'!$J$2:$J$2703,0))</x:f>
        <x:v>1341</x:v>
      </x:c>
    </x:row>
    <x:row r="18" ht="25" customHeight="1">
      <x:c r="A18" s="2" t="str">
        <x:f>IF(17&gt;'10_events'!$K$2703,"",INDEX('10_events'!$A$2:$A$2703,$H18))</x:f>
        <x:v>Client</x:v>
      </x:c>
      <x:c r="B18" s="2" t="str">
        <x:f>IF(17&gt;'10_events'!$K$2703,"",INDEX('10_events'!$B$2:$B$2703,$H18))</x:f>
        <x:v>C018</x:v>
      </x:c>
      <x:c r="C18" s="2" t="n">
        <x:f>IF(17&gt;'10_events'!$K$2703,"",INDEX('10_events'!$C$2:$C$2703,$H18))</x:f>
        <x:v>19</x:v>
      </x:c>
      <x:c r="D18" s="2" t="str">
        <x:f>IF(17&gt;'10_events'!$K$2703,"",INDEX('10_events'!$F$2:$F$2703,$H18))</x:f>
        <x:v>Пустое поле</x:v>
      </x:c>
      <x:c r="E18" s="2" t="str">
        <x:f>IF(17&gt;'10_events'!$K$2703,"",INDEX('10_events'!$G$2:$G$2703,$H18))</x:f>
        <x:v>High</x:v>
      </x:c>
      <x:c r="F18" s="2" t="str">
        <x:f>IF(17&gt;'10_events'!$K$2703,"",INDEX('10_events'!$H$2:$H$2703,$H18))</x:f>
        <x:v>required_fields</x:v>
      </x:c>
      <x:c r="G18" s="18" t="str">
        <x:f>IF(17&gt;'10_events'!$K$2703,"",INDEX('10_events'!$I$2:$I$2703,$H18))</x:f>
        <x:v>Дополнить обязательные поля в источнике</x:v>
      </x:c>
      <x:c r="H18" t="n">
        <x:f>IF(17&gt;'10_events'!$K$2703,0,MATCH(17,'10_events'!$J$2:$J$2703,0))</x:f>
        <x:v>1381</x:v>
      </x:c>
    </x:row>
    <x:row r="19" ht="25" customHeight="1">
      <x:c r="A19" s="2" t="str">
        <x:f>IF(18&gt;'10_events'!$K$2703,"",INDEX('10_events'!$A$2:$A$2703,$H19))</x:f>
        <x:v>Client</x:v>
      </x:c>
      <x:c r="B19" s="2" t="str">
        <x:f>IF(18&gt;'10_events'!$K$2703,"",INDEX('10_events'!$B$2:$B$2703,$H19))</x:f>
        <x:v>C025</x:v>
      </x:c>
      <x:c r="C19" s="2" t="n">
        <x:f>IF(18&gt;'10_events'!$K$2703,"",INDEX('10_events'!$C$2:$C$2703,$H19))</x:f>
        <x:v>26</x:v>
      </x:c>
      <x:c r="D19" s="2" t="str">
        <x:f>IF(18&gt;'10_events'!$K$2703,"",INDEX('10_events'!$F$2:$F$2703,$H19))</x:f>
        <x:v>Пустое поле</x:v>
      </x:c>
      <x:c r="E19" s="2" t="str">
        <x:f>IF(18&gt;'10_events'!$K$2703,"",INDEX('10_events'!$G$2:$G$2703,$H19))</x:f>
        <x:v>High</x:v>
      </x:c>
      <x:c r="F19" s="2" t="str">
        <x:f>IF(18&gt;'10_events'!$K$2703,"",INDEX('10_events'!$H$2:$H$2703,$H19))</x:f>
        <x:v>required_fields</x:v>
      </x:c>
      <x:c r="G19" s="18" t="str">
        <x:f>IF(18&gt;'10_events'!$K$2703,"",INDEX('10_events'!$I$2:$I$2703,$H19))</x:f>
        <x:v>Дополнить обязательные поля в источнике</x:v>
      </x:c>
      <x:c r="H19" t="n">
        <x:f>IF(18&gt;'10_events'!$K$2703,0,MATCH(18,'10_events'!$J$2:$J$2703,0))</x:f>
        <x:v>1430</x:v>
      </x:c>
    </x:row>
    <x:row r="20" ht="25" customHeight="1">
      <x:c r="A20" s="2" t="str">
        <x:f>IF(19&gt;'10_events'!$K$2703,"",INDEX('10_events'!$A$2:$A$2703,$H20))</x:f>
        <x:v>Client</x:v>
      </x:c>
      <x:c r="B20" s="2" t="str">
        <x:f>IF(19&gt;'10_events'!$K$2703,"",INDEX('10_events'!$B$2:$B$2703,$H20))</x:f>
        <x:v>C009</x:v>
      </x:c>
      <x:c r="C20" s="2" t="n">
        <x:f>IF(19&gt;'10_events'!$K$2703,"",INDEX('10_events'!$C$2:$C$2703,$H20))</x:f>
        <x:v>47</x:v>
      </x:c>
      <x:c r="D20" s="2" t="str">
        <x:f>IF(19&gt;'10_events'!$K$2703,"",INDEX('10_events'!$F$2:$F$2703,$H20))</x:f>
        <x:v>Дубль</x:v>
      </x:c>
      <x:c r="E20" s="2" t="str">
        <x:f>IF(19&gt;'10_events'!$K$2703,"",INDEX('10_events'!$G$2:$G$2703,$H20))</x:f>
        <x:v>High</x:v>
      </x:c>
      <x:c r="F20" s="2" t="str">
        <x:f>IF(19&gt;'10_events'!$K$2703,"",INDEX('10_events'!$H$2:$H$2703,$H20))</x:f>
        <x:v>client_id</x:v>
      </x:c>
      <x:c r="G20" s="18" t="str">
        <x:f>IF(19&gt;'10_events'!$K$2703,"",INDEX('10_events'!$I$2:$I$2703,$H20))</x:f>
        <x:v>Проверить уникальность ID в источнике; не удалять записи автоматически</x:v>
      </x:c>
      <x:c r="H20" t="n">
        <x:f>IF(19&gt;'10_events'!$K$2703,0,MATCH(19,'10_events'!$J$2:$J$2703,0))</x:f>
        <x:v>1576</x:v>
      </x:c>
    </x:row>
    <x:row r="21" ht="25" customHeight="1">
      <x:c r="A21" s="2" t="str">
        <x:f>IF(20&gt;'10_events'!$K$2703,"",INDEX('10_events'!$A$2:$A$2703,$H21))</x:f>
        <x:v>Payment</x:v>
      </x:c>
      <x:c r="B21" s="2" t="str">
        <x:f>IF(20&gt;'10_events'!$K$2703,"",INDEX('10_events'!$B$2:$B$2703,$H21))</x:f>
        <x:v>P008</x:v>
      </x:c>
      <x:c r="C21" s="2" t="n">
        <x:f>IF(20&gt;'10_events'!$K$2703,"",INDEX('10_events'!$C$2:$C$2703,$H21))</x:f>
        <x:v>9</x:v>
      </x:c>
      <x:c r="D21" s="2" t="str">
        <x:f>IF(20&gt;'10_events'!$K$2703,"",INDEX('10_events'!$F$2:$F$2703,$H21))</x:f>
        <x:v>Неоднозначная связь</x:v>
      </x:c>
      <x:c r="E21" s="2" t="str">
        <x:f>IF(20&gt;'10_events'!$K$2703,"",INDEX('10_events'!$G$2:$G$2703,$H21))</x:f>
        <x:v>High</x:v>
      </x:c>
      <x:c r="F21" s="2" t="str">
        <x:f>IF(20&gt;'10_events'!$K$2703,"",INDEX('10_events'!$H$2:$H$2703,$H21))</x:f>
        <x:v>order_id</x:v>
      </x:c>
      <x:c r="G21" s="18" t="str">
        <x:f>IF(20&gt;'10_events'!$K$2703,"",INDEX('10_events'!$I$2:$I$2703,$H21))</x:f>
        <x:v>Исправить ссылку или разрешить дубли связанного ID</x:v>
      </x:c>
      <x:c r="H21" t="n">
        <x:f>IF(20&gt;'10_events'!$K$2703,0,MATCH(20,'10_events'!$J$2:$J$2703,0))</x:f>
        <x:v>1774</x:v>
      </x:c>
    </x:row>
    <x:row r="22" ht="25" customHeight="1">
      <x:c r="A22" s="2" t="str">
        <x:f>IF(21&gt;'10_events'!$K$2703,"",INDEX('10_events'!$A$2:$A$2703,$H22))</x:f>
        <x:v>Payment</x:v>
      </x:c>
      <x:c r="B22" s="2" t="str">
        <x:f>IF(21&gt;'10_events'!$K$2703,"",INDEX('10_events'!$B$2:$B$2703,$H22))</x:f>
        <x:v>P010</x:v>
      </x:c>
      <x:c r="C22" s="2" t="n">
        <x:f>IF(21&gt;'10_events'!$K$2703,"",INDEX('10_events'!$C$2:$C$2703,$H22))</x:f>
        <x:v>11</x:v>
      </x:c>
      <x:c r="D22" s="2" t="str">
        <x:f>IF(21&gt;'10_events'!$K$2703,"",INDEX('10_events'!$F$2:$F$2703,$H22))</x:f>
        <x:v>Нет связи</x:v>
      </x:c>
      <x:c r="E22" s="2" t="str">
        <x:f>IF(21&gt;'10_events'!$K$2703,"",INDEX('10_events'!$G$2:$G$2703,$H22))</x:f>
        <x:v>High</x:v>
      </x:c>
      <x:c r="F22" s="2" t="str">
        <x:f>IF(21&gt;'10_events'!$K$2703,"",INDEX('10_events'!$H$2:$H$2703,$H22))</x:f>
        <x:v>order_id</x:v>
      </x:c>
      <x:c r="G22" s="18" t="str">
        <x:f>IF(21&gt;'10_events'!$K$2703,"",INDEX('10_events'!$I$2:$I$2703,$H22))</x:f>
        <x:v>Исправить ссылку или разрешить дубли связанного ID</x:v>
      </x:c>
      <x:c r="H22" t="n">
        <x:f>IF(21&gt;'10_events'!$K$2703,0,MATCH(21,'10_events'!$J$2:$J$2703,0))</x:f>
        <x:v>1788</x:v>
      </x:c>
    </x:row>
    <x:row r="23" ht="25" customHeight="1">
      <x:c r="A23" s="2" t="str">
        <x:f>IF(22&gt;'10_events'!$K$2703,"",INDEX('10_events'!$A$2:$A$2703,$H23))</x:f>
        <x:v>Payment</x:v>
      </x:c>
      <x:c r="B23" s="2" t="str">
        <x:f>IF(22&gt;'10_events'!$K$2703,"",INDEX('10_events'!$B$2:$B$2703,$H23))</x:f>
        <x:v>P019</x:v>
      </x:c>
      <x:c r="C23" s="2" t="n">
        <x:f>IF(22&gt;'10_events'!$K$2703,"",INDEX('10_events'!$C$2:$C$2703,$H23))</x:f>
        <x:v>20</x:v>
      </x:c>
      <x:c r="D23" s="2" t="str">
        <x:f>IF(22&gt;'10_events'!$K$2703,"",INDEX('10_events'!$F$2:$F$2703,$H23))</x:f>
        <x:v>Ошибка расчета</x:v>
      </x:c>
      <x:c r="E23" s="2" t="str">
        <x:f>IF(22&gt;'10_events'!$K$2703,"",INDEX('10_events'!$G$2:$G$2703,$H23))</x:f>
        <x:v>High</x:v>
      </x:c>
      <x:c r="F23" s="2" t="str">
        <x:f>IF(22&gt;'10_events'!$K$2703,"",INDEX('10_events'!$H$2:$H$2703,$H23))</x:f>
        <x:v>payment_sum</x:v>
      </x:c>
      <x:c r="G23" s="18" t="str">
        <x:f>IF(22&gt;'10_events'!$K$2703,"",INDEX('10_events'!$I$2:$I$2703,$H23))</x:f>
        <x:v>Сверить исходные значения и правило расчёта</x:v>
      </x:c>
      <x:c r="H23" t="n">
        <x:f>IF(22&gt;'10_events'!$K$2703,0,MATCH(22,'10_events'!$J$2:$J$2703,0))</x:f>
        <x:v>1852</x:v>
      </x:c>
    </x:row>
    <x:row r="24" ht="25" customHeight="1">
      <x:c r="A24" s="2" t="str">
        <x:f>IF(23&gt;'10_events'!$K$2703,"",INDEX('10_events'!$A$2:$A$2703,$H24))</x:f>
        <x:v>Payment</x:v>
      </x:c>
      <x:c r="B24" s="2" t="str">
        <x:f>IF(23&gt;'10_events'!$K$2703,"",INDEX('10_events'!$B$2:$B$2703,$H24))</x:f>
        <x:v>P027</x:v>
      </x:c>
      <x:c r="C24" s="2" t="n">
        <x:f>IF(23&gt;'10_events'!$K$2703,"",INDEX('10_events'!$C$2:$C$2703,$H24))</x:f>
        <x:v>28</x:v>
      </x:c>
      <x:c r="D24" s="2" t="str">
        <x:f>IF(23&gt;'10_events'!$K$2703,"",INDEX('10_events'!$F$2:$F$2703,$H24))</x:f>
        <x:v>Пустое поле</x:v>
      </x:c>
      <x:c r="E24" s="2" t="str">
        <x:f>IF(23&gt;'10_events'!$K$2703,"",INDEX('10_events'!$G$2:$G$2703,$H24))</x:f>
        <x:v>High</x:v>
      </x:c>
      <x:c r="F24" s="2" t="str">
        <x:f>IF(23&gt;'10_events'!$K$2703,"",INDEX('10_events'!$H$2:$H$2703,$H24))</x:f>
        <x:v>required_fields</x:v>
      </x:c>
      <x:c r="G24" s="18" t="str">
        <x:f>IF(23&gt;'10_events'!$K$2703,"",INDEX('10_events'!$I$2:$I$2703,$H24))</x:f>
        <x:v>Дополнить обязательные поля в источнике</x:v>
      </x:c>
      <x:c r="H24" t="n">
        <x:f>IF(23&gt;'10_events'!$K$2703,0,MATCH(23,'10_events'!$J$2:$J$2703,0))</x:f>
        <x:v>1906</x:v>
      </x:c>
    </x:row>
    <x:row r="25" ht="25" customHeight="1">
      <x:c r="A25" s="2" t="str">
        <x:f>IF(24&gt;'10_events'!$K$2703,"",INDEX('10_events'!$A$2:$A$2703,$H25))</x:f>
        <x:v>Payment</x:v>
      </x:c>
      <x:c r="B25" s="2" t="str">
        <x:f>IF(24&gt;'10_events'!$K$2703,"",INDEX('10_events'!$B$2:$B$2703,$H25))</x:f>
        <x:v>P038</x:v>
      </x:c>
      <x:c r="C25" s="2" t="n">
        <x:f>IF(24&gt;'10_events'!$K$2703,"",INDEX('10_events'!$C$2:$C$2703,$H25))</x:f>
        <x:v>39</x:v>
      </x:c>
      <x:c r="D25" s="2" t="str">
        <x:f>IF(24&gt;'10_events'!$K$2703,"",INDEX('10_events'!$F$2:$F$2703,$H25))</x:f>
        <x:v>Дата</x:v>
      </x:c>
      <x:c r="E25" s="2" t="str">
        <x:f>IF(24&gt;'10_events'!$K$2703,"",INDEX('10_events'!$G$2:$G$2703,$H25))</x:f>
        <x:v>Medium</x:v>
      </x:c>
      <x:c r="F25" s="2" t="str">
        <x:f>IF(24&gt;'10_events'!$K$2703,"",INDEX('10_events'!$H$2:$H$2703,$H25))</x:f>
        <x:v>payment_date</x:v>
      </x:c>
      <x:c r="G25" s="18" t="str">
        <x:f>IF(24&gt;'10_events'!$K$2703,"",INDEX('10_events'!$I$2:$I$2703,$H25))</x:f>
        <x:v>Сверить дату со срезом и исходной записью</x:v>
      </x:c>
      <x:c r="H25" t="n">
        <x:f>IF(24&gt;'10_events'!$K$2703,0,MATCH(24,'10_events'!$J$2:$J$2703,0))</x:f>
        <x:v>1987</x:v>
      </x:c>
    </x:row>
    <x:row r="26" ht="25" customHeight="1">
      <x:c r="A26" t="str">
        <x:f>IF(25&gt;'10_events'!$K$2703,"",INDEX('10_events'!$A$2:$A$2703,$H26))</x:f>
        <x:v>Payment</x:v>
      </x:c>
      <x:c r="B26" t="str">
        <x:f>IF(25&gt;'10_events'!$K$2703,"",INDEX('10_events'!$B$2:$B$2703,$H26))</x:f>
        <x:v>P050</x:v>
      </x:c>
      <x:c r="C26" t="n">
        <x:f>IF(25&gt;'10_events'!$K$2703,"",INDEX('10_events'!$C$2:$C$2703,$H26))</x:f>
        <x:v>51</x:v>
      </x:c>
      <x:c r="D26" t="str">
        <x:f>IF(25&gt;'10_events'!$K$2703,"",INDEX('10_events'!$F$2:$F$2703,$H26))</x:f>
        <x:v>Неоднозначная связь</x:v>
      </x:c>
      <x:c r="E26" t="str">
        <x:f>IF(25&gt;'10_events'!$K$2703,"",INDEX('10_events'!$G$2:$G$2703,$H26))</x:f>
        <x:v>High</x:v>
      </x:c>
      <x:c r="F26" t="str">
        <x:f>IF(25&gt;'10_events'!$K$2703,"",INDEX('10_events'!$H$2:$H$2703,$H26))</x:f>
        <x:v>order_id</x:v>
      </x:c>
      <x:c r="G26" s="16" t="str">
        <x:f>IF(25&gt;'10_events'!$K$2703,"",INDEX('10_events'!$I$2:$I$2703,$H26))</x:f>
        <x:v>Исправить ссылку или разрешить дубли связанного ID</x:v>
      </x:c>
      <x:c r="H26" t="n">
        <x:f>IF(25&gt;'10_events'!$K$2703,0,MATCH(25,'10_events'!$J$2:$J$2703,0))</x:f>
        <x:v>2068</x:v>
      </x:c>
    </x:row>
    <x:row r="27" ht="25" customHeight="1">
      <x:c r="A27" t="str">
        <x:f>IF(26&gt;'10_events'!$K$2703,"",INDEX('10_events'!$A$2:$A$2703,$H27))</x:f>
        <x:v>Payment</x:v>
      </x:c>
      <x:c r="B27" t="str">
        <x:f>IF(26&gt;'10_events'!$K$2703,"",INDEX('10_events'!$B$2:$B$2703,$H27))</x:f>
        <x:v>P100</x:v>
      </x:c>
      <x:c r="C27" t="n">
        <x:f>IF(26&gt;'10_events'!$K$2703,"",INDEX('10_events'!$C$2:$C$2703,$H27))</x:f>
        <x:v>101</x:v>
      </x:c>
      <x:c r="D27" t="str">
        <x:f>IF(26&gt;'10_events'!$K$2703,"",INDEX('10_events'!$F$2:$F$2703,$H27))</x:f>
        <x:v>Неоднозначная связь</x:v>
      </x:c>
      <x:c r="E27" t="str">
        <x:f>IF(26&gt;'10_events'!$K$2703,"",INDEX('10_events'!$G$2:$G$2703,$H27))</x:f>
        <x:v>High</x:v>
      </x:c>
      <x:c r="F27" t="str">
        <x:f>IF(26&gt;'10_events'!$K$2703,"",INDEX('10_events'!$H$2:$H$2703,$H27))</x:f>
        <x:v>order_id</x:v>
      </x:c>
      <x:c r="G27" s="16" t="str">
        <x:f>IF(26&gt;'10_events'!$K$2703,"",INDEX('10_events'!$I$2:$I$2703,$H27))</x:f>
        <x:v>Исправить ссылку или разрешить дубли связанного ID</x:v>
      </x:c>
      <x:c r="H27" t="n">
        <x:f>IF(26&gt;'10_events'!$K$2703,0,MATCH(26,'10_events'!$J$2:$J$2703,0))</x:f>
        <x:v>2418</x:v>
      </x:c>
    </x:row>
    <x:row r="28" ht="25" customHeight="1">
      <x:c r="A28" t="str">
        <x:f>IF(27&gt;'10_events'!$K$2703,"",INDEX('10_events'!$A$2:$A$2703,$H28))</x:f>
      </x:c>
      <x:c r="B28" t="str">
        <x:f>IF(27&gt;'10_events'!$K$2703,"",INDEX('10_events'!$B$2:$B$2703,$H28))</x:f>
      </x:c>
      <x:c r="C28" t="str">
        <x:f>IF(27&gt;'10_events'!$K$2703,"",INDEX('10_events'!$C$2:$C$2703,$H28))</x:f>
      </x:c>
      <x:c r="D28" t="str">
        <x:f>IF(27&gt;'10_events'!$K$2703,"",INDEX('10_events'!$F$2:$F$2703,$H28))</x:f>
      </x:c>
      <x:c r="E28" t="str">
        <x:f>IF(27&gt;'10_events'!$K$2703,"",INDEX('10_events'!$G$2:$G$2703,$H28))</x:f>
      </x:c>
      <x:c r="F28" t="str">
        <x:f>IF(27&gt;'10_events'!$K$2703,"",INDEX('10_events'!$H$2:$H$2703,$H28))</x:f>
      </x:c>
      <x:c r="G28" s="16" t="str">
        <x:f>IF(27&gt;'10_events'!$K$2703,"",INDEX('10_events'!$I$2:$I$2703,$H28))</x:f>
      </x:c>
      <x:c r="H28" t="n">
        <x:f>IF(27&gt;'10_events'!$K$2703,0,MATCH(27,'10_events'!$J$2:$J$2703,0))</x:f>
        <x:v>0</x:v>
      </x:c>
    </x:row>
    <x:row r="29" ht="25" customHeight="1">
      <x:c r="A29" t="str">
        <x:f>IF(28&gt;'10_events'!$K$2703,"",INDEX('10_events'!$A$2:$A$2703,$H29))</x:f>
      </x:c>
      <x:c r="B29" t="str">
        <x:f>IF(28&gt;'10_events'!$K$2703,"",INDEX('10_events'!$B$2:$B$2703,$H29))</x:f>
      </x:c>
      <x:c r="C29" t="str">
        <x:f>IF(28&gt;'10_events'!$K$2703,"",INDEX('10_events'!$C$2:$C$2703,$H29))</x:f>
      </x:c>
      <x:c r="D29" t="str">
        <x:f>IF(28&gt;'10_events'!$K$2703,"",INDEX('10_events'!$F$2:$F$2703,$H29))</x:f>
      </x:c>
      <x:c r="E29" t="str">
        <x:f>IF(28&gt;'10_events'!$K$2703,"",INDEX('10_events'!$G$2:$G$2703,$H29))</x:f>
      </x:c>
      <x:c r="F29" t="str">
        <x:f>IF(28&gt;'10_events'!$K$2703,"",INDEX('10_events'!$H$2:$H$2703,$H29))</x:f>
      </x:c>
      <x:c r="G29" s="16" t="str">
        <x:f>IF(28&gt;'10_events'!$K$2703,"",INDEX('10_events'!$I$2:$I$2703,$H29))</x:f>
      </x:c>
      <x:c r="H29" t="n">
        <x:f>IF(28&gt;'10_events'!$K$2703,0,MATCH(28,'10_events'!$J$2:$J$2703,0))</x:f>
        <x:v>0</x:v>
      </x:c>
    </x:row>
    <x:row r="30" ht="25" customHeight="1">
      <x:c r="A30" t="str">
        <x:f>IF(29&gt;'10_events'!$K$2703,"",INDEX('10_events'!$A$2:$A$2703,$H30))</x:f>
      </x:c>
      <x:c r="B30" t="str">
        <x:f>IF(29&gt;'10_events'!$K$2703,"",INDEX('10_events'!$B$2:$B$2703,$H30))</x:f>
      </x:c>
      <x:c r="C30" t="str">
        <x:f>IF(29&gt;'10_events'!$K$2703,"",INDEX('10_events'!$C$2:$C$2703,$H30))</x:f>
      </x:c>
      <x:c r="D30" t="str">
        <x:f>IF(29&gt;'10_events'!$K$2703,"",INDEX('10_events'!$F$2:$F$2703,$H30))</x:f>
      </x:c>
      <x:c r="E30" t="str">
        <x:f>IF(29&gt;'10_events'!$K$2703,"",INDEX('10_events'!$G$2:$G$2703,$H30))</x:f>
      </x:c>
      <x:c r="F30" t="str">
        <x:f>IF(29&gt;'10_events'!$K$2703,"",INDEX('10_events'!$H$2:$H$2703,$H30))</x:f>
      </x:c>
      <x:c r="G30" s="16" t="str">
        <x:f>IF(29&gt;'10_events'!$K$2703,"",INDEX('10_events'!$I$2:$I$2703,$H30))</x:f>
      </x:c>
      <x:c r="H30" t="n">
        <x:f>IF(29&gt;'10_events'!$K$2703,0,MATCH(29,'10_events'!$J$2:$J$2703,0))</x:f>
        <x:v>0</x:v>
      </x:c>
    </x:row>
    <x:row r="31" ht="25" customHeight="1">
      <x:c r="A31" t="str">
        <x:f>IF(30&gt;'10_events'!$K$2703,"",INDEX('10_events'!$A$2:$A$2703,$H31))</x:f>
      </x:c>
      <x:c r="B31" t="str">
        <x:f>IF(30&gt;'10_events'!$K$2703,"",INDEX('10_events'!$B$2:$B$2703,$H31))</x:f>
      </x:c>
      <x:c r="C31" t="str">
        <x:f>IF(30&gt;'10_events'!$K$2703,"",INDEX('10_events'!$C$2:$C$2703,$H31))</x:f>
      </x:c>
      <x:c r="D31" t="str">
        <x:f>IF(30&gt;'10_events'!$K$2703,"",INDEX('10_events'!$F$2:$F$2703,$H31))</x:f>
      </x:c>
      <x:c r="E31" t="str">
        <x:f>IF(30&gt;'10_events'!$K$2703,"",INDEX('10_events'!$G$2:$G$2703,$H31))</x:f>
      </x:c>
      <x:c r="F31" t="str">
        <x:f>IF(30&gt;'10_events'!$K$2703,"",INDEX('10_events'!$H$2:$H$2703,$H31))</x:f>
      </x:c>
      <x:c r="G31" s="16" t="str">
        <x:f>IF(30&gt;'10_events'!$K$2703,"",INDEX('10_events'!$I$2:$I$2703,$H31))</x:f>
      </x:c>
      <x:c r="H31" t="n">
        <x:f>IF(30&gt;'10_events'!$K$2703,0,MATCH(30,'10_events'!$J$2:$J$2703,0))</x:f>
        <x:v>0</x:v>
      </x:c>
    </x:row>
    <x:row r="32" ht="25" customHeight="1">
      <x:c r="A32" t="str">
        <x:f>IF(31&gt;'10_events'!$K$2703,"",INDEX('10_events'!$A$2:$A$2703,$H32))</x:f>
      </x:c>
      <x:c r="B32" t="str">
        <x:f>IF(31&gt;'10_events'!$K$2703,"",INDEX('10_events'!$B$2:$B$2703,$H32))</x:f>
      </x:c>
      <x:c r="C32" t="str">
        <x:f>IF(31&gt;'10_events'!$K$2703,"",INDEX('10_events'!$C$2:$C$2703,$H32))</x:f>
      </x:c>
      <x:c r="D32" t="str">
        <x:f>IF(31&gt;'10_events'!$K$2703,"",INDEX('10_events'!$F$2:$F$2703,$H32))</x:f>
      </x:c>
      <x:c r="E32" t="str">
        <x:f>IF(31&gt;'10_events'!$K$2703,"",INDEX('10_events'!$G$2:$G$2703,$H32))</x:f>
      </x:c>
      <x:c r="F32" t="str">
        <x:f>IF(31&gt;'10_events'!$K$2703,"",INDEX('10_events'!$H$2:$H$2703,$H32))</x:f>
      </x:c>
      <x:c r="G32" s="16" t="str">
        <x:f>IF(31&gt;'10_events'!$K$2703,"",INDEX('10_events'!$I$2:$I$2703,$H32))</x:f>
      </x:c>
      <x:c r="H32" t="n">
        <x:f>IF(31&gt;'10_events'!$K$2703,0,MATCH(31,'10_events'!$J$2:$J$2703,0))</x:f>
        <x:v>0</x:v>
      </x:c>
    </x:row>
    <x:row r="33" ht="25" customHeight="1">
      <x:c r="A33" t="str">
        <x:f>IF(32&gt;'10_events'!$K$2703,"",INDEX('10_events'!$A$2:$A$2703,$H33))</x:f>
      </x:c>
      <x:c r="B33" t="str">
        <x:f>IF(32&gt;'10_events'!$K$2703,"",INDEX('10_events'!$B$2:$B$2703,$H33))</x:f>
      </x:c>
      <x:c r="C33" t="str">
        <x:f>IF(32&gt;'10_events'!$K$2703,"",INDEX('10_events'!$C$2:$C$2703,$H33))</x:f>
      </x:c>
      <x:c r="D33" t="str">
        <x:f>IF(32&gt;'10_events'!$K$2703,"",INDEX('10_events'!$F$2:$F$2703,$H33))</x:f>
      </x:c>
      <x:c r="E33" t="str">
        <x:f>IF(32&gt;'10_events'!$K$2703,"",INDEX('10_events'!$G$2:$G$2703,$H33))</x:f>
      </x:c>
      <x:c r="F33" t="str">
        <x:f>IF(32&gt;'10_events'!$K$2703,"",INDEX('10_events'!$H$2:$H$2703,$H33))</x:f>
      </x:c>
      <x:c r="G33" s="16" t="str">
        <x:f>IF(32&gt;'10_events'!$K$2703,"",INDEX('10_events'!$I$2:$I$2703,$H33))</x:f>
      </x:c>
      <x:c r="H33" t="n">
        <x:f>IF(32&gt;'10_events'!$K$2703,0,MATCH(32,'10_events'!$J$2:$J$2703,0))</x:f>
        <x:v>0</x:v>
      </x:c>
    </x:row>
    <x:row r="34" ht="25" customHeight="1">
      <x:c r="A34" t="str">
        <x:f>IF(33&gt;'10_events'!$K$2703,"",INDEX('10_events'!$A$2:$A$2703,$H34))</x:f>
      </x:c>
      <x:c r="B34" t="str">
        <x:f>IF(33&gt;'10_events'!$K$2703,"",INDEX('10_events'!$B$2:$B$2703,$H34))</x:f>
      </x:c>
      <x:c r="C34" t="str">
        <x:f>IF(33&gt;'10_events'!$K$2703,"",INDEX('10_events'!$C$2:$C$2703,$H34))</x:f>
      </x:c>
      <x:c r="D34" t="str">
        <x:f>IF(33&gt;'10_events'!$K$2703,"",INDEX('10_events'!$F$2:$F$2703,$H34))</x:f>
      </x:c>
      <x:c r="E34" t="str">
        <x:f>IF(33&gt;'10_events'!$K$2703,"",INDEX('10_events'!$G$2:$G$2703,$H34))</x:f>
      </x:c>
      <x:c r="F34" t="str">
        <x:f>IF(33&gt;'10_events'!$K$2703,"",INDEX('10_events'!$H$2:$H$2703,$H34))</x:f>
      </x:c>
      <x:c r="G34" s="16" t="str">
        <x:f>IF(33&gt;'10_events'!$K$2703,"",INDEX('10_events'!$I$2:$I$2703,$H34))</x:f>
      </x:c>
      <x:c r="H34" t="n">
        <x:f>IF(33&gt;'10_events'!$K$2703,0,MATCH(33,'10_events'!$J$2:$J$2703,0))</x:f>
        <x:v>0</x:v>
      </x:c>
    </x:row>
    <x:row r="35" ht="25" customHeight="1">
      <x:c r="A35" t="str">
        <x:f>IF(34&gt;'10_events'!$K$2703,"",INDEX('10_events'!$A$2:$A$2703,$H35))</x:f>
      </x:c>
      <x:c r="B35" t="str">
        <x:f>IF(34&gt;'10_events'!$K$2703,"",INDEX('10_events'!$B$2:$B$2703,$H35))</x:f>
      </x:c>
      <x:c r="C35" t="str">
        <x:f>IF(34&gt;'10_events'!$K$2703,"",INDEX('10_events'!$C$2:$C$2703,$H35))</x:f>
      </x:c>
      <x:c r="D35" t="str">
        <x:f>IF(34&gt;'10_events'!$K$2703,"",INDEX('10_events'!$F$2:$F$2703,$H35))</x:f>
      </x:c>
      <x:c r="E35" t="str">
        <x:f>IF(34&gt;'10_events'!$K$2703,"",INDEX('10_events'!$G$2:$G$2703,$H35))</x:f>
      </x:c>
      <x:c r="F35" t="str">
        <x:f>IF(34&gt;'10_events'!$K$2703,"",INDEX('10_events'!$H$2:$H$2703,$H35))</x:f>
      </x:c>
      <x:c r="G35" s="16" t="str">
        <x:f>IF(34&gt;'10_events'!$K$2703,"",INDEX('10_events'!$I$2:$I$2703,$H35))</x:f>
      </x:c>
      <x:c r="H35" t="n">
        <x:f>IF(34&gt;'10_events'!$K$2703,0,MATCH(34,'10_events'!$J$2:$J$2703,0))</x:f>
        <x:v>0</x:v>
      </x:c>
    </x:row>
    <x:row r="36" ht="25" customHeight="1">
      <x:c r="A36" t="str">
        <x:f>IF(35&gt;'10_events'!$K$2703,"",INDEX('10_events'!$A$2:$A$2703,$H36))</x:f>
      </x:c>
      <x:c r="B36" t="str">
        <x:f>IF(35&gt;'10_events'!$K$2703,"",INDEX('10_events'!$B$2:$B$2703,$H36))</x:f>
      </x:c>
      <x:c r="C36" t="str">
        <x:f>IF(35&gt;'10_events'!$K$2703,"",INDEX('10_events'!$C$2:$C$2703,$H36))</x:f>
      </x:c>
      <x:c r="D36" t="str">
        <x:f>IF(35&gt;'10_events'!$K$2703,"",INDEX('10_events'!$F$2:$F$2703,$H36))</x:f>
      </x:c>
      <x:c r="E36" t="str">
        <x:f>IF(35&gt;'10_events'!$K$2703,"",INDEX('10_events'!$G$2:$G$2703,$H36))</x:f>
      </x:c>
      <x:c r="F36" t="str">
        <x:f>IF(35&gt;'10_events'!$K$2703,"",INDEX('10_events'!$H$2:$H$2703,$H36))</x:f>
      </x:c>
      <x:c r="G36" s="16" t="str">
        <x:f>IF(35&gt;'10_events'!$K$2703,"",INDEX('10_events'!$I$2:$I$2703,$H36))</x:f>
      </x:c>
      <x:c r="H36" t="n">
        <x:f>IF(35&gt;'10_events'!$K$2703,0,MATCH(35,'10_events'!$J$2:$J$2703,0))</x:f>
        <x:v>0</x:v>
      </x:c>
    </x:row>
    <x:row r="37" ht="25" customHeight="1">
      <x:c r="A37" t="str">
        <x:f>IF(36&gt;'10_events'!$K$2703,"",INDEX('10_events'!$A$2:$A$2703,$H37))</x:f>
      </x:c>
      <x:c r="B37" t="str">
        <x:f>IF(36&gt;'10_events'!$K$2703,"",INDEX('10_events'!$B$2:$B$2703,$H37))</x:f>
      </x:c>
      <x:c r="C37" t="str">
        <x:f>IF(36&gt;'10_events'!$K$2703,"",INDEX('10_events'!$C$2:$C$2703,$H37))</x:f>
      </x:c>
      <x:c r="D37" t="str">
        <x:f>IF(36&gt;'10_events'!$K$2703,"",INDEX('10_events'!$F$2:$F$2703,$H37))</x:f>
      </x:c>
      <x:c r="E37" t="str">
        <x:f>IF(36&gt;'10_events'!$K$2703,"",INDEX('10_events'!$G$2:$G$2703,$H37))</x:f>
      </x:c>
      <x:c r="F37" t="str">
        <x:f>IF(36&gt;'10_events'!$K$2703,"",INDEX('10_events'!$H$2:$H$2703,$H37))</x:f>
      </x:c>
      <x:c r="G37" s="16" t="str">
        <x:f>IF(36&gt;'10_events'!$K$2703,"",INDEX('10_events'!$I$2:$I$2703,$H37))</x:f>
      </x:c>
      <x:c r="H37" t="n">
        <x:f>IF(36&gt;'10_events'!$K$2703,0,MATCH(36,'10_events'!$J$2:$J$2703,0))</x:f>
        <x:v>0</x:v>
      </x:c>
    </x:row>
    <x:row r="38" ht="25" customHeight="1">
      <x:c r="A38" t="str">
        <x:f>IF(37&gt;'10_events'!$K$2703,"",INDEX('10_events'!$A$2:$A$2703,$H38))</x:f>
      </x:c>
      <x:c r="B38" t="str">
        <x:f>IF(37&gt;'10_events'!$K$2703,"",INDEX('10_events'!$B$2:$B$2703,$H38))</x:f>
      </x:c>
      <x:c r="C38" t="str">
        <x:f>IF(37&gt;'10_events'!$K$2703,"",INDEX('10_events'!$C$2:$C$2703,$H38))</x:f>
      </x:c>
      <x:c r="D38" t="str">
        <x:f>IF(37&gt;'10_events'!$K$2703,"",INDEX('10_events'!$F$2:$F$2703,$H38))</x:f>
      </x:c>
      <x:c r="E38" t="str">
        <x:f>IF(37&gt;'10_events'!$K$2703,"",INDEX('10_events'!$G$2:$G$2703,$H38))</x:f>
      </x:c>
      <x:c r="F38" t="str">
        <x:f>IF(37&gt;'10_events'!$K$2703,"",INDEX('10_events'!$H$2:$H$2703,$H38))</x:f>
      </x:c>
      <x:c r="G38" s="16" t="str">
        <x:f>IF(37&gt;'10_events'!$K$2703,"",INDEX('10_events'!$I$2:$I$2703,$H38))</x:f>
      </x:c>
      <x:c r="H38" t="n">
        <x:f>IF(37&gt;'10_events'!$K$2703,0,MATCH(37,'10_events'!$J$2:$J$2703,0))</x:f>
        <x:v>0</x:v>
      </x:c>
    </x:row>
    <x:row r="39" ht="25" customHeight="1">
      <x:c r="A39" t="str">
        <x:f>IF(38&gt;'10_events'!$K$2703,"",INDEX('10_events'!$A$2:$A$2703,$H39))</x:f>
      </x:c>
      <x:c r="B39" t="str">
        <x:f>IF(38&gt;'10_events'!$K$2703,"",INDEX('10_events'!$B$2:$B$2703,$H39))</x:f>
      </x:c>
      <x:c r="C39" t="str">
        <x:f>IF(38&gt;'10_events'!$K$2703,"",INDEX('10_events'!$C$2:$C$2703,$H39))</x:f>
      </x:c>
      <x:c r="D39" t="str">
        <x:f>IF(38&gt;'10_events'!$K$2703,"",INDEX('10_events'!$F$2:$F$2703,$H39))</x:f>
      </x:c>
      <x:c r="E39" t="str">
        <x:f>IF(38&gt;'10_events'!$K$2703,"",INDEX('10_events'!$G$2:$G$2703,$H39))</x:f>
      </x:c>
      <x:c r="F39" t="str">
        <x:f>IF(38&gt;'10_events'!$K$2703,"",INDEX('10_events'!$H$2:$H$2703,$H39))</x:f>
      </x:c>
      <x:c r="G39" s="16" t="str">
        <x:f>IF(38&gt;'10_events'!$K$2703,"",INDEX('10_events'!$I$2:$I$2703,$H39))</x:f>
      </x:c>
      <x:c r="H39" t="n">
        <x:f>IF(38&gt;'10_events'!$K$2703,0,MATCH(38,'10_events'!$J$2:$J$2703,0))</x:f>
        <x:v>0</x:v>
      </x:c>
    </x:row>
    <x:row r="40" ht="25" customHeight="1">
      <x:c r="A40" t="str">
        <x:f>IF(39&gt;'10_events'!$K$2703,"",INDEX('10_events'!$A$2:$A$2703,$H40))</x:f>
      </x:c>
      <x:c r="B40" t="str">
        <x:f>IF(39&gt;'10_events'!$K$2703,"",INDEX('10_events'!$B$2:$B$2703,$H40))</x:f>
      </x:c>
      <x:c r="C40" t="str">
        <x:f>IF(39&gt;'10_events'!$K$2703,"",INDEX('10_events'!$C$2:$C$2703,$H40))</x:f>
      </x:c>
      <x:c r="D40" t="str">
        <x:f>IF(39&gt;'10_events'!$K$2703,"",INDEX('10_events'!$F$2:$F$2703,$H40))</x:f>
      </x:c>
      <x:c r="E40" t="str">
        <x:f>IF(39&gt;'10_events'!$K$2703,"",INDEX('10_events'!$G$2:$G$2703,$H40))</x:f>
      </x:c>
      <x:c r="F40" t="str">
        <x:f>IF(39&gt;'10_events'!$K$2703,"",INDEX('10_events'!$H$2:$H$2703,$H40))</x:f>
      </x:c>
      <x:c r="G40" s="16" t="str">
        <x:f>IF(39&gt;'10_events'!$K$2703,"",INDEX('10_events'!$I$2:$I$2703,$H40))</x:f>
      </x:c>
      <x:c r="H40" t="n">
        <x:f>IF(39&gt;'10_events'!$K$2703,0,MATCH(39,'10_events'!$J$2:$J$2703,0))</x:f>
        <x:v>0</x:v>
      </x:c>
    </x:row>
    <x:row r="41" ht="25" customHeight="1">
      <x:c r="A41" t="str">
        <x:f>IF(40&gt;'10_events'!$K$2703,"",INDEX('10_events'!$A$2:$A$2703,$H41))</x:f>
      </x:c>
      <x:c r="B41" t="str">
        <x:f>IF(40&gt;'10_events'!$K$2703,"",INDEX('10_events'!$B$2:$B$2703,$H41))</x:f>
      </x:c>
      <x:c r="C41" t="str">
        <x:f>IF(40&gt;'10_events'!$K$2703,"",INDEX('10_events'!$C$2:$C$2703,$H41))</x:f>
      </x:c>
      <x:c r="D41" t="str">
        <x:f>IF(40&gt;'10_events'!$K$2703,"",INDEX('10_events'!$F$2:$F$2703,$H41))</x:f>
      </x:c>
      <x:c r="E41" t="str">
        <x:f>IF(40&gt;'10_events'!$K$2703,"",INDEX('10_events'!$G$2:$G$2703,$H41))</x:f>
      </x:c>
      <x:c r="F41" t="str">
        <x:f>IF(40&gt;'10_events'!$K$2703,"",INDEX('10_events'!$H$2:$H$2703,$H41))</x:f>
      </x:c>
      <x:c r="G41" s="16" t="str">
        <x:f>IF(40&gt;'10_events'!$K$2703,"",INDEX('10_events'!$I$2:$I$2703,$H41))</x:f>
      </x:c>
      <x:c r="H41" t="n">
        <x:f>IF(40&gt;'10_events'!$K$2703,0,MATCH(40,'10_events'!$J$2:$J$2703,0))</x:f>
        <x:v>0</x:v>
      </x:c>
    </x:row>
    <x:row r="42" ht="25" customHeight="1">
      <x:c r="A42" t="str">
        <x:f>IF(41&gt;'10_events'!$K$2703,"",INDEX('10_events'!$A$2:$A$2703,$H42))</x:f>
      </x:c>
      <x:c r="B42" t="str">
        <x:f>IF(41&gt;'10_events'!$K$2703,"",INDEX('10_events'!$B$2:$B$2703,$H42))</x:f>
      </x:c>
      <x:c r="C42" t="str">
        <x:f>IF(41&gt;'10_events'!$K$2703,"",INDEX('10_events'!$C$2:$C$2703,$H42))</x:f>
      </x:c>
      <x:c r="D42" t="str">
        <x:f>IF(41&gt;'10_events'!$K$2703,"",INDEX('10_events'!$F$2:$F$2703,$H42))</x:f>
      </x:c>
      <x:c r="E42" t="str">
        <x:f>IF(41&gt;'10_events'!$K$2703,"",INDEX('10_events'!$G$2:$G$2703,$H42))</x:f>
      </x:c>
      <x:c r="F42" t="str">
        <x:f>IF(41&gt;'10_events'!$K$2703,"",INDEX('10_events'!$H$2:$H$2703,$H42))</x:f>
      </x:c>
      <x:c r="G42" s="16" t="str">
        <x:f>IF(41&gt;'10_events'!$K$2703,"",INDEX('10_events'!$I$2:$I$2703,$H42))</x:f>
      </x:c>
      <x:c r="H42" t="n">
        <x:f>IF(41&gt;'10_events'!$K$2703,0,MATCH(41,'10_events'!$J$2:$J$2703,0))</x:f>
        <x:v>0</x:v>
      </x:c>
    </x:row>
    <x:row r="43" ht="25" customHeight="1">
      <x:c r="A43" t="str">
        <x:f>IF(42&gt;'10_events'!$K$2703,"",INDEX('10_events'!$A$2:$A$2703,$H43))</x:f>
      </x:c>
      <x:c r="B43" t="str">
        <x:f>IF(42&gt;'10_events'!$K$2703,"",INDEX('10_events'!$B$2:$B$2703,$H43))</x:f>
      </x:c>
      <x:c r="C43" t="str">
        <x:f>IF(42&gt;'10_events'!$K$2703,"",INDEX('10_events'!$C$2:$C$2703,$H43))</x:f>
      </x:c>
      <x:c r="D43" t="str">
        <x:f>IF(42&gt;'10_events'!$K$2703,"",INDEX('10_events'!$F$2:$F$2703,$H43))</x:f>
      </x:c>
      <x:c r="E43" t="str">
        <x:f>IF(42&gt;'10_events'!$K$2703,"",INDEX('10_events'!$G$2:$G$2703,$H43))</x:f>
      </x:c>
      <x:c r="F43" t="str">
        <x:f>IF(42&gt;'10_events'!$K$2703,"",INDEX('10_events'!$H$2:$H$2703,$H43))</x:f>
      </x:c>
      <x:c r="G43" s="16" t="str">
        <x:f>IF(42&gt;'10_events'!$K$2703,"",INDEX('10_events'!$I$2:$I$2703,$H43))</x:f>
      </x:c>
      <x:c r="H43" t="n">
        <x:f>IF(42&gt;'10_events'!$K$2703,0,MATCH(42,'10_events'!$J$2:$J$2703,0))</x:f>
        <x:v>0</x:v>
      </x:c>
    </x:row>
    <x:row r="44" ht="25" customHeight="1">
      <x:c r="A44" t="str">
        <x:f>IF(43&gt;'10_events'!$K$2703,"",INDEX('10_events'!$A$2:$A$2703,$H44))</x:f>
      </x:c>
      <x:c r="B44" t="str">
        <x:f>IF(43&gt;'10_events'!$K$2703,"",INDEX('10_events'!$B$2:$B$2703,$H44))</x:f>
      </x:c>
      <x:c r="C44" t="str">
        <x:f>IF(43&gt;'10_events'!$K$2703,"",INDEX('10_events'!$C$2:$C$2703,$H44))</x:f>
      </x:c>
      <x:c r="D44" t="str">
        <x:f>IF(43&gt;'10_events'!$K$2703,"",INDEX('10_events'!$F$2:$F$2703,$H44))</x:f>
      </x:c>
      <x:c r="E44" t="str">
        <x:f>IF(43&gt;'10_events'!$K$2703,"",INDEX('10_events'!$G$2:$G$2703,$H44))</x:f>
      </x:c>
      <x:c r="F44" t="str">
        <x:f>IF(43&gt;'10_events'!$K$2703,"",INDEX('10_events'!$H$2:$H$2703,$H44))</x:f>
      </x:c>
      <x:c r="G44" s="16" t="str">
        <x:f>IF(43&gt;'10_events'!$K$2703,"",INDEX('10_events'!$I$2:$I$2703,$H44))</x:f>
      </x:c>
      <x:c r="H44" t="n">
        <x:f>IF(43&gt;'10_events'!$K$2703,0,MATCH(43,'10_events'!$J$2:$J$2703,0))</x:f>
        <x:v>0</x:v>
      </x:c>
    </x:row>
    <x:row r="45" ht="25" customHeight="1">
      <x:c r="A45" t="str">
        <x:f>IF(44&gt;'10_events'!$K$2703,"",INDEX('10_events'!$A$2:$A$2703,$H45))</x:f>
      </x:c>
      <x:c r="B45" t="str">
        <x:f>IF(44&gt;'10_events'!$K$2703,"",INDEX('10_events'!$B$2:$B$2703,$H45))</x:f>
      </x:c>
      <x:c r="C45" t="str">
        <x:f>IF(44&gt;'10_events'!$K$2703,"",INDEX('10_events'!$C$2:$C$2703,$H45))</x:f>
      </x:c>
      <x:c r="D45" t="str">
        <x:f>IF(44&gt;'10_events'!$K$2703,"",INDEX('10_events'!$F$2:$F$2703,$H45))</x:f>
      </x:c>
      <x:c r="E45" t="str">
        <x:f>IF(44&gt;'10_events'!$K$2703,"",INDEX('10_events'!$G$2:$G$2703,$H45))</x:f>
      </x:c>
      <x:c r="F45" t="str">
        <x:f>IF(44&gt;'10_events'!$K$2703,"",INDEX('10_events'!$H$2:$H$2703,$H45))</x:f>
      </x:c>
      <x:c r="G45" s="16" t="str">
        <x:f>IF(44&gt;'10_events'!$K$2703,"",INDEX('10_events'!$I$2:$I$2703,$H45))</x:f>
      </x:c>
      <x:c r="H45" t="n">
        <x:f>IF(44&gt;'10_events'!$K$2703,0,MATCH(44,'10_events'!$J$2:$J$2703,0))</x:f>
        <x:v>0</x:v>
      </x:c>
    </x:row>
    <x:row r="46" ht="25" customHeight="1">
      <x:c r="A46" t="str">
        <x:f>IF(45&gt;'10_events'!$K$2703,"",INDEX('10_events'!$A$2:$A$2703,$H46))</x:f>
      </x:c>
      <x:c r="B46" t="str">
        <x:f>IF(45&gt;'10_events'!$K$2703,"",INDEX('10_events'!$B$2:$B$2703,$H46))</x:f>
      </x:c>
      <x:c r="C46" t="str">
        <x:f>IF(45&gt;'10_events'!$K$2703,"",INDEX('10_events'!$C$2:$C$2703,$H46))</x:f>
      </x:c>
      <x:c r="D46" t="str">
        <x:f>IF(45&gt;'10_events'!$K$2703,"",INDEX('10_events'!$F$2:$F$2703,$H46))</x:f>
      </x:c>
      <x:c r="E46" t="str">
        <x:f>IF(45&gt;'10_events'!$K$2703,"",INDEX('10_events'!$G$2:$G$2703,$H46))</x:f>
      </x:c>
      <x:c r="F46" t="str">
        <x:f>IF(45&gt;'10_events'!$K$2703,"",INDEX('10_events'!$H$2:$H$2703,$H46))</x:f>
      </x:c>
      <x:c r="G46" s="16" t="str">
        <x:f>IF(45&gt;'10_events'!$K$2703,"",INDEX('10_events'!$I$2:$I$2703,$H46))</x:f>
      </x:c>
      <x:c r="H46" t="n">
        <x:f>IF(45&gt;'10_events'!$K$2703,0,MATCH(45,'10_events'!$J$2:$J$2703,0))</x:f>
        <x:v>0</x:v>
      </x:c>
    </x:row>
    <x:row r="47" ht="25" customHeight="1">
      <x:c r="A47" t="str">
        <x:f>IF(46&gt;'10_events'!$K$2703,"",INDEX('10_events'!$A$2:$A$2703,$H47))</x:f>
      </x:c>
      <x:c r="B47" t="str">
        <x:f>IF(46&gt;'10_events'!$K$2703,"",INDEX('10_events'!$B$2:$B$2703,$H47))</x:f>
      </x:c>
      <x:c r="C47" t="str">
        <x:f>IF(46&gt;'10_events'!$K$2703,"",INDEX('10_events'!$C$2:$C$2703,$H47))</x:f>
      </x:c>
      <x:c r="D47" t="str">
        <x:f>IF(46&gt;'10_events'!$K$2703,"",INDEX('10_events'!$F$2:$F$2703,$H47))</x:f>
      </x:c>
      <x:c r="E47" t="str">
        <x:f>IF(46&gt;'10_events'!$K$2703,"",INDEX('10_events'!$G$2:$G$2703,$H47))</x:f>
      </x:c>
      <x:c r="F47" t="str">
        <x:f>IF(46&gt;'10_events'!$K$2703,"",INDEX('10_events'!$H$2:$H$2703,$H47))</x:f>
      </x:c>
      <x:c r="G47" s="16" t="str">
        <x:f>IF(46&gt;'10_events'!$K$2703,"",INDEX('10_events'!$I$2:$I$2703,$H47))</x:f>
      </x:c>
      <x:c r="H47" t="n">
        <x:f>IF(46&gt;'10_events'!$K$2703,0,MATCH(46,'10_events'!$J$2:$J$2703,0))</x:f>
        <x:v>0</x:v>
      </x:c>
    </x:row>
    <x:row r="48" ht="25" customHeight="1">
      <x:c r="A48" t="str">
        <x:f>IF(47&gt;'10_events'!$K$2703,"",INDEX('10_events'!$A$2:$A$2703,$H48))</x:f>
      </x:c>
      <x:c r="B48" t="str">
        <x:f>IF(47&gt;'10_events'!$K$2703,"",INDEX('10_events'!$B$2:$B$2703,$H48))</x:f>
      </x:c>
      <x:c r="C48" t="str">
        <x:f>IF(47&gt;'10_events'!$K$2703,"",INDEX('10_events'!$C$2:$C$2703,$H48))</x:f>
      </x:c>
      <x:c r="D48" t="str">
        <x:f>IF(47&gt;'10_events'!$K$2703,"",INDEX('10_events'!$F$2:$F$2703,$H48))</x:f>
      </x:c>
      <x:c r="E48" t="str">
        <x:f>IF(47&gt;'10_events'!$K$2703,"",INDEX('10_events'!$G$2:$G$2703,$H48))</x:f>
      </x:c>
      <x:c r="F48" t="str">
        <x:f>IF(47&gt;'10_events'!$K$2703,"",INDEX('10_events'!$H$2:$H$2703,$H48))</x:f>
      </x:c>
      <x:c r="G48" s="16" t="str">
        <x:f>IF(47&gt;'10_events'!$K$2703,"",INDEX('10_events'!$I$2:$I$2703,$H48))</x:f>
      </x:c>
      <x:c r="H48" t="n">
        <x:f>IF(47&gt;'10_events'!$K$2703,0,MATCH(47,'10_events'!$J$2:$J$2703,0))</x:f>
        <x:v>0</x:v>
      </x:c>
    </x:row>
    <x:row r="49" ht="25" customHeight="1">
      <x:c r="A49" t="str">
        <x:f>IF(48&gt;'10_events'!$K$2703,"",INDEX('10_events'!$A$2:$A$2703,$H49))</x:f>
      </x:c>
      <x:c r="B49" t="str">
        <x:f>IF(48&gt;'10_events'!$K$2703,"",INDEX('10_events'!$B$2:$B$2703,$H49))</x:f>
      </x:c>
      <x:c r="C49" t="str">
        <x:f>IF(48&gt;'10_events'!$K$2703,"",INDEX('10_events'!$C$2:$C$2703,$H49))</x:f>
      </x:c>
      <x:c r="D49" t="str">
        <x:f>IF(48&gt;'10_events'!$K$2703,"",INDEX('10_events'!$F$2:$F$2703,$H49))</x:f>
      </x:c>
      <x:c r="E49" t="str">
        <x:f>IF(48&gt;'10_events'!$K$2703,"",INDEX('10_events'!$G$2:$G$2703,$H49))</x:f>
      </x:c>
      <x:c r="F49" t="str">
        <x:f>IF(48&gt;'10_events'!$K$2703,"",INDEX('10_events'!$H$2:$H$2703,$H49))</x:f>
      </x:c>
      <x:c r="G49" s="16" t="str">
        <x:f>IF(48&gt;'10_events'!$K$2703,"",INDEX('10_events'!$I$2:$I$2703,$H49))</x:f>
      </x:c>
      <x:c r="H49" t="n">
        <x:f>IF(48&gt;'10_events'!$K$2703,0,MATCH(48,'10_events'!$J$2:$J$2703,0))</x:f>
        <x:v>0</x:v>
      </x:c>
    </x:row>
    <x:row r="50" ht="25" customHeight="1">
      <x:c r="A50" t="str">
        <x:f>IF(49&gt;'10_events'!$K$2703,"",INDEX('10_events'!$A$2:$A$2703,$H50))</x:f>
      </x:c>
      <x:c r="B50" t="str">
        <x:f>IF(49&gt;'10_events'!$K$2703,"",INDEX('10_events'!$B$2:$B$2703,$H50))</x:f>
      </x:c>
      <x:c r="C50" t="str">
        <x:f>IF(49&gt;'10_events'!$K$2703,"",INDEX('10_events'!$C$2:$C$2703,$H50))</x:f>
      </x:c>
      <x:c r="D50" t="str">
        <x:f>IF(49&gt;'10_events'!$K$2703,"",INDEX('10_events'!$F$2:$F$2703,$H50))</x:f>
      </x:c>
      <x:c r="E50" t="str">
        <x:f>IF(49&gt;'10_events'!$K$2703,"",INDEX('10_events'!$G$2:$G$2703,$H50))</x:f>
      </x:c>
      <x:c r="F50" t="str">
        <x:f>IF(49&gt;'10_events'!$K$2703,"",INDEX('10_events'!$H$2:$H$2703,$H50))</x:f>
      </x:c>
      <x:c r="G50" s="16" t="str">
        <x:f>IF(49&gt;'10_events'!$K$2703,"",INDEX('10_events'!$I$2:$I$2703,$H50))</x:f>
      </x:c>
      <x:c r="H50" t="n">
        <x:f>IF(49&gt;'10_events'!$K$2703,0,MATCH(49,'10_events'!$J$2:$J$2703,0))</x:f>
        <x:v>0</x:v>
      </x:c>
    </x:row>
    <x:row r="51" ht="25" customHeight="1">
      <x:c r="A51" t="str">
        <x:f>IF(50&gt;'10_events'!$K$2703,"",INDEX('10_events'!$A$2:$A$2703,$H51))</x:f>
      </x:c>
      <x:c r="B51" t="str">
        <x:f>IF(50&gt;'10_events'!$K$2703,"",INDEX('10_events'!$B$2:$B$2703,$H51))</x:f>
      </x:c>
      <x:c r="C51" t="str">
        <x:f>IF(50&gt;'10_events'!$K$2703,"",INDEX('10_events'!$C$2:$C$2703,$H51))</x:f>
      </x:c>
      <x:c r="D51" t="str">
        <x:f>IF(50&gt;'10_events'!$K$2703,"",INDEX('10_events'!$F$2:$F$2703,$H51))</x:f>
      </x:c>
      <x:c r="E51" t="str">
        <x:f>IF(50&gt;'10_events'!$K$2703,"",INDEX('10_events'!$G$2:$G$2703,$H51))</x:f>
      </x:c>
      <x:c r="F51" t="str">
        <x:f>IF(50&gt;'10_events'!$K$2703,"",INDEX('10_events'!$H$2:$H$2703,$H51))</x:f>
      </x:c>
      <x:c r="G51" s="16" t="str">
        <x:f>IF(50&gt;'10_events'!$K$2703,"",INDEX('10_events'!$I$2:$I$2703,$H51))</x:f>
      </x:c>
      <x:c r="H51" t="n">
        <x:f>IF(50&gt;'10_events'!$K$2703,0,MATCH(50,'10_events'!$J$2:$J$2703,0))</x:f>
        <x:v>0</x:v>
      </x:c>
    </x:row>
    <x:row r="52" ht="25" customHeight="1">
      <x:c r="A52" t="str">
        <x:f>IF(51&gt;'10_events'!$K$2703,"",INDEX('10_events'!$A$2:$A$2703,$H52))</x:f>
      </x:c>
      <x:c r="B52" t="str">
        <x:f>IF(51&gt;'10_events'!$K$2703,"",INDEX('10_events'!$B$2:$B$2703,$H52))</x:f>
      </x:c>
      <x:c r="C52" t="str">
        <x:f>IF(51&gt;'10_events'!$K$2703,"",INDEX('10_events'!$C$2:$C$2703,$H52))</x:f>
      </x:c>
      <x:c r="D52" t="str">
        <x:f>IF(51&gt;'10_events'!$K$2703,"",INDEX('10_events'!$F$2:$F$2703,$H52))</x:f>
      </x:c>
      <x:c r="E52" t="str">
        <x:f>IF(51&gt;'10_events'!$K$2703,"",INDEX('10_events'!$G$2:$G$2703,$H52))</x:f>
      </x:c>
      <x:c r="F52" t="str">
        <x:f>IF(51&gt;'10_events'!$K$2703,"",INDEX('10_events'!$H$2:$H$2703,$H52))</x:f>
      </x:c>
      <x:c r="G52" s="16" t="str">
        <x:f>IF(51&gt;'10_events'!$K$2703,"",INDEX('10_events'!$I$2:$I$2703,$H52))</x:f>
      </x:c>
      <x:c r="H52" t="n">
        <x:f>IF(51&gt;'10_events'!$K$2703,0,MATCH(51,'10_events'!$J$2:$J$2703,0))</x:f>
        <x:v>0</x:v>
      </x:c>
    </x:row>
    <x:row r="53" ht="25" customHeight="1">
      <x:c r="A53" t="str">
        <x:f>IF(52&gt;'10_events'!$K$2703,"",INDEX('10_events'!$A$2:$A$2703,$H53))</x:f>
      </x:c>
      <x:c r="B53" t="str">
        <x:f>IF(52&gt;'10_events'!$K$2703,"",INDEX('10_events'!$B$2:$B$2703,$H53))</x:f>
      </x:c>
      <x:c r="C53" t="str">
        <x:f>IF(52&gt;'10_events'!$K$2703,"",INDEX('10_events'!$C$2:$C$2703,$H53))</x:f>
      </x:c>
      <x:c r="D53" t="str">
        <x:f>IF(52&gt;'10_events'!$K$2703,"",INDEX('10_events'!$F$2:$F$2703,$H53))</x:f>
      </x:c>
      <x:c r="E53" t="str">
        <x:f>IF(52&gt;'10_events'!$K$2703,"",INDEX('10_events'!$G$2:$G$2703,$H53))</x:f>
      </x:c>
      <x:c r="F53" t="str">
        <x:f>IF(52&gt;'10_events'!$K$2703,"",INDEX('10_events'!$H$2:$H$2703,$H53))</x:f>
      </x:c>
      <x:c r="G53" s="16" t="str">
        <x:f>IF(52&gt;'10_events'!$K$2703,"",INDEX('10_events'!$I$2:$I$2703,$H53))</x:f>
      </x:c>
      <x:c r="H53" t="n">
        <x:f>IF(52&gt;'10_events'!$K$2703,0,MATCH(52,'10_events'!$J$2:$J$2703,0))</x:f>
        <x:v>0</x:v>
      </x:c>
    </x:row>
    <x:row r="54" ht="25" customHeight="1">
      <x:c r="A54" t="str">
        <x:f>IF(53&gt;'10_events'!$K$2703,"",INDEX('10_events'!$A$2:$A$2703,$H54))</x:f>
      </x:c>
      <x:c r="B54" t="str">
        <x:f>IF(53&gt;'10_events'!$K$2703,"",INDEX('10_events'!$B$2:$B$2703,$H54))</x:f>
      </x:c>
      <x:c r="C54" t="str">
        <x:f>IF(53&gt;'10_events'!$K$2703,"",INDEX('10_events'!$C$2:$C$2703,$H54))</x:f>
      </x:c>
      <x:c r="D54" t="str">
        <x:f>IF(53&gt;'10_events'!$K$2703,"",INDEX('10_events'!$F$2:$F$2703,$H54))</x:f>
      </x:c>
      <x:c r="E54" t="str">
        <x:f>IF(53&gt;'10_events'!$K$2703,"",INDEX('10_events'!$G$2:$G$2703,$H54))</x:f>
      </x:c>
      <x:c r="F54" t="str">
        <x:f>IF(53&gt;'10_events'!$K$2703,"",INDEX('10_events'!$H$2:$H$2703,$H54))</x:f>
      </x:c>
      <x:c r="G54" s="16" t="str">
        <x:f>IF(53&gt;'10_events'!$K$2703,"",INDEX('10_events'!$I$2:$I$2703,$H54))</x:f>
      </x:c>
      <x:c r="H54" t="n">
        <x:f>IF(53&gt;'10_events'!$K$2703,0,MATCH(53,'10_events'!$J$2:$J$2703,0))</x:f>
        <x:v>0</x:v>
      </x:c>
    </x:row>
    <x:row r="55" ht="25" customHeight="1">
      <x:c r="A55" t="str">
        <x:f>IF(54&gt;'10_events'!$K$2703,"",INDEX('10_events'!$A$2:$A$2703,$H55))</x:f>
      </x:c>
      <x:c r="B55" t="str">
        <x:f>IF(54&gt;'10_events'!$K$2703,"",INDEX('10_events'!$B$2:$B$2703,$H55))</x:f>
      </x:c>
      <x:c r="C55" t="str">
        <x:f>IF(54&gt;'10_events'!$K$2703,"",INDEX('10_events'!$C$2:$C$2703,$H55))</x:f>
      </x:c>
      <x:c r="D55" t="str">
        <x:f>IF(54&gt;'10_events'!$K$2703,"",INDEX('10_events'!$F$2:$F$2703,$H55))</x:f>
      </x:c>
      <x:c r="E55" t="str">
        <x:f>IF(54&gt;'10_events'!$K$2703,"",INDEX('10_events'!$G$2:$G$2703,$H55))</x:f>
      </x:c>
      <x:c r="F55" t="str">
        <x:f>IF(54&gt;'10_events'!$K$2703,"",INDEX('10_events'!$H$2:$H$2703,$H55))</x:f>
      </x:c>
      <x:c r="G55" s="16" t="str">
        <x:f>IF(54&gt;'10_events'!$K$2703,"",INDEX('10_events'!$I$2:$I$2703,$H55))</x:f>
      </x:c>
      <x:c r="H55" t="n">
        <x:f>IF(54&gt;'10_events'!$K$2703,0,MATCH(54,'10_events'!$J$2:$J$2703,0))</x:f>
        <x:v>0</x:v>
      </x:c>
    </x:row>
    <x:row r="56" ht="25" customHeight="1">
      <x:c r="A56" t="str">
        <x:f>IF(55&gt;'10_events'!$K$2703,"",INDEX('10_events'!$A$2:$A$2703,$H56))</x:f>
      </x:c>
      <x:c r="B56" t="str">
        <x:f>IF(55&gt;'10_events'!$K$2703,"",INDEX('10_events'!$B$2:$B$2703,$H56))</x:f>
      </x:c>
      <x:c r="C56" t="str">
        <x:f>IF(55&gt;'10_events'!$K$2703,"",INDEX('10_events'!$C$2:$C$2703,$H56))</x:f>
      </x:c>
      <x:c r="D56" t="str">
        <x:f>IF(55&gt;'10_events'!$K$2703,"",INDEX('10_events'!$F$2:$F$2703,$H56))</x:f>
      </x:c>
      <x:c r="E56" t="str">
        <x:f>IF(55&gt;'10_events'!$K$2703,"",INDEX('10_events'!$G$2:$G$2703,$H56))</x:f>
      </x:c>
      <x:c r="F56" t="str">
        <x:f>IF(55&gt;'10_events'!$K$2703,"",INDEX('10_events'!$H$2:$H$2703,$H56))</x:f>
      </x:c>
      <x:c r="G56" s="16" t="str">
        <x:f>IF(55&gt;'10_events'!$K$2703,"",INDEX('10_events'!$I$2:$I$2703,$H56))</x:f>
      </x:c>
      <x:c r="H56" t="n">
        <x:f>IF(55&gt;'10_events'!$K$2703,0,MATCH(55,'10_events'!$J$2:$J$2703,0))</x:f>
        <x:v>0</x:v>
      </x:c>
    </x:row>
    <x:row r="57" ht="25" customHeight="1">
      <x:c r="A57" t="str">
        <x:f>IF(56&gt;'10_events'!$K$2703,"",INDEX('10_events'!$A$2:$A$2703,$H57))</x:f>
      </x:c>
      <x:c r="B57" t="str">
        <x:f>IF(56&gt;'10_events'!$K$2703,"",INDEX('10_events'!$B$2:$B$2703,$H57))</x:f>
      </x:c>
      <x:c r="C57" t="str">
        <x:f>IF(56&gt;'10_events'!$K$2703,"",INDEX('10_events'!$C$2:$C$2703,$H57))</x:f>
      </x:c>
      <x:c r="D57" t="str">
        <x:f>IF(56&gt;'10_events'!$K$2703,"",INDEX('10_events'!$F$2:$F$2703,$H57))</x:f>
      </x:c>
      <x:c r="E57" t="str">
        <x:f>IF(56&gt;'10_events'!$K$2703,"",INDEX('10_events'!$G$2:$G$2703,$H57))</x:f>
      </x:c>
      <x:c r="F57" t="str">
        <x:f>IF(56&gt;'10_events'!$K$2703,"",INDEX('10_events'!$H$2:$H$2703,$H57))</x:f>
      </x:c>
      <x:c r="G57" s="16" t="str">
        <x:f>IF(56&gt;'10_events'!$K$2703,"",INDEX('10_events'!$I$2:$I$2703,$H57))</x:f>
      </x:c>
      <x:c r="H57" t="n">
        <x:f>IF(56&gt;'10_events'!$K$2703,0,MATCH(56,'10_events'!$J$2:$J$2703,0))</x:f>
        <x:v>0</x:v>
      </x:c>
    </x:row>
    <x:row r="58" ht="25" customHeight="1">
      <x:c r="A58" t="str">
        <x:f>IF(57&gt;'10_events'!$K$2703,"",INDEX('10_events'!$A$2:$A$2703,$H58))</x:f>
      </x:c>
      <x:c r="B58" t="str">
        <x:f>IF(57&gt;'10_events'!$K$2703,"",INDEX('10_events'!$B$2:$B$2703,$H58))</x:f>
      </x:c>
      <x:c r="C58" t="str">
        <x:f>IF(57&gt;'10_events'!$K$2703,"",INDEX('10_events'!$C$2:$C$2703,$H58))</x:f>
      </x:c>
      <x:c r="D58" t="str">
        <x:f>IF(57&gt;'10_events'!$K$2703,"",INDEX('10_events'!$F$2:$F$2703,$H58))</x:f>
      </x:c>
      <x:c r="E58" t="str">
        <x:f>IF(57&gt;'10_events'!$K$2703,"",INDEX('10_events'!$G$2:$G$2703,$H58))</x:f>
      </x:c>
      <x:c r="F58" t="str">
        <x:f>IF(57&gt;'10_events'!$K$2703,"",INDEX('10_events'!$H$2:$H$2703,$H58))</x:f>
      </x:c>
      <x:c r="G58" s="16" t="str">
        <x:f>IF(57&gt;'10_events'!$K$2703,"",INDEX('10_events'!$I$2:$I$2703,$H58))</x:f>
      </x:c>
      <x:c r="H58" t="n">
        <x:f>IF(57&gt;'10_events'!$K$2703,0,MATCH(57,'10_events'!$J$2:$J$2703,0))</x:f>
        <x:v>0</x:v>
      </x:c>
    </x:row>
    <x:row r="59" ht="25" customHeight="1">
      <x:c r="A59" t="str">
        <x:f>IF(58&gt;'10_events'!$K$2703,"",INDEX('10_events'!$A$2:$A$2703,$H59))</x:f>
      </x:c>
      <x:c r="B59" t="str">
        <x:f>IF(58&gt;'10_events'!$K$2703,"",INDEX('10_events'!$B$2:$B$2703,$H59))</x:f>
      </x:c>
      <x:c r="C59" t="str">
        <x:f>IF(58&gt;'10_events'!$K$2703,"",INDEX('10_events'!$C$2:$C$2703,$H59))</x:f>
      </x:c>
      <x:c r="D59" t="str">
        <x:f>IF(58&gt;'10_events'!$K$2703,"",INDEX('10_events'!$F$2:$F$2703,$H59))</x:f>
      </x:c>
      <x:c r="E59" t="str">
        <x:f>IF(58&gt;'10_events'!$K$2703,"",INDEX('10_events'!$G$2:$G$2703,$H59))</x:f>
      </x:c>
      <x:c r="F59" t="str">
        <x:f>IF(58&gt;'10_events'!$K$2703,"",INDEX('10_events'!$H$2:$H$2703,$H59))</x:f>
      </x:c>
      <x:c r="G59" s="16" t="str">
        <x:f>IF(58&gt;'10_events'!$K$2703,"",INDEX('10_events'!$I$2:$I$2703,$H59))</x:f>
      </x:c>
      <x:c r="H59" t="n">
        <x:f>IF(58&gt;'10_events'!$K$2703,0,MATCH(58,'10_events'!$J$2:$J$2703,0))</x:f>
        <x:v>0</x:v>
      </x:c>
    </x:row>
    <x:row r="60" ht="25" customHeight="1">
      <x:c r="A60" t="str">
        <x:f>IF(59&gt;'10_events'!$K$2703,"",INDEX('10_events'!$A$2:$A$2703,$H60))</x:f>
      </x:c>
      <x:c r="B60" t="str">
        <x:f>IF(59&gt;'10_events'!$K$2703,"",INDEX('10_events'!$B$2:$B$2703,$H60))</x:f>
      </x:c>
      <x:c r="C60" t="str">
        <x:f>IF(59&gt;'10_events'!$K$2703,"",INDEX('10_events'!$C$2:$C$2703,$H60))</x:f>
      </x:c>
      <x:c r="D60" t="str">
        <x:f>IF(59&gt;'10_events'!$K$2703,"",INDEX('10_events'!$F$2:$F$2703,$H60))</x:f>
      </x:c>
      <x:c r="E60" t="str">
        <x:f>IF(59&gt;'10_events'!$K$2703,"",INDEX('10_events'!$G$2:$G$2703,$H60))</x:f>
      </x:c>
      <x:c r="F60" t="str">
        <x:f>IF(59&gt;'10_events'!$K$2703,"",INDEX('10_events'!$H$2:$H$2703,$H60))</x:f>
      </x:c>
      <x:c r="G60" s="16" t="str">
        <x:f>IF(59&gt;'10_events'!$K$2703,"",INDEX('10_events'!$I$2:$I$2703,$H60))</x:f>
      </x:c>
      <x:c r="H60" t="n">
        <x:f>IF(59&gt;'10_events'!$K$2703,0,MATCH(59,'10_events'!$J$2:$J$2703,0))</x:f>
        <x:v>0</x:v>
      </x:c>
    </x:row>
    <x:row r="61" ht="25" customHeight="1">
      <x:c r="A61" t="str">
        <x:f>IF(60&gt;'10_events'!$K$2703,"",INDEX('10_events'!$A$2:$A$2703,$H61))</x:f>
      </x:c>
      <x:c r="B61" t="str">
        <x:f>IF(60&gt;'10_events'!$K$2703,"",INDEX('10_events'!$B$2:$B$2703,$H61))</x:f>
      </x:c>
      <x:c r="C61" t="str">
        <x:f>IF(60&gt;'10_events'!$K$2703,"",INDEX('10_events'!$C$2:$C$2703,$H61))</x:f>
      </x:c>
      <x:c r="D61" t="str">
        <x:f>IF(60&gt;'10_events'!$K$2703,"",INDEX('10_events'!$F$2:$F$2703,$H61))</x:f>
      </x:c>
      <x:c r="E61" t="str">
        <x:f>IF(60&gt;'10_events'!$K$2703,"",INDEX('10_events'!$G$2:$G$2703,$H61))</x:f>
      </x:c>
      <x:c r="F61" t="str">
        <x:f>IF(60&gt;'10_events'!$K$2703,"",INDEX('10_events'!$H$2:$H$2703,$H61))</x:f>
      </x:c>
      <x:c r="G61" s="16" t="str">
        <x:f>IF(60&gt;'10_events'!$K$2703,"",INDEX('10_events'!$I$2:$I$2703,$H61))</x:f>
      </x:c>
      <x:c r="H61" t="n">
        <x:f>IF(60&gt;'10_events'!$K$2703,0,MATCH(60,'10_events'!$J$2:$J$2703,0))</x:f>
        <x:v>0</x:v>
      </x:c>
    </x:row>
    <x:row r="62" ht="25" customHeight="1">
      <x:c r="A62" t="str">
        <x:f>IF(61&gt;'10_events'!$K$2703,"",INDEX('10_events'!$A$2:$A$2703,$H62))</x:f>
      </x:c>
      <x:c r="B62" t="str">
        <x:f>IF(61&gt;'10_events'!$K$2703,"",INDEX('10_events'!$B$2:$B$2703,$H62))</x:f>
      </x:c>
      <x:c r="C62" t="str">
        <x:f>IF(61&gt;'10_events'!$K$2703,"",INDEX('10_events'!$C$2:$C$2703,$H62))</x:f>
      </x:c>
      <x:c r="D62" t="str">
        <x:f>IF(61&gt;'10_events'!$K$2703,"",INDEX('10_events'!$F$2:$F$2703,$H62))</x:f>
      </x:c>
      <x:c r="E62" t="str">
        <x:f>IF(61&gt;'10_events'!$K$2703,"",INDEX('10_events'!$G$2:$G$2703,$H62))</x:f>
      </x:c>
      <x:c r="F62" t="str">
        <x:f>IF(61&gt;'10_events'!$K$2703,"",INDEX('10_events'!$H$2:$H$2703,$H62))</x:f>
      </x:c>
      <x:c r="G62" s="16" t="str">
        <x:f>IF(61&gt;'10_events'!$K$2703,"",INDEX('10_events'!$I$2:$I$2703,$H62))</x:f>
      </x:c>
      <x:c r="H62" t="n">
        <x:f>IF(61&gt;'10_events'!$K$2703,0,MATCH(61,'10_events'!$J$2:$J$2703,0))</x:f>
        <x:v>0</x:v>
      </x:c>
    </x:row>
    <x:row r="63" ht="25" customHeight="1">
      <x:c r="A63" t="str">
        <x:f>IF(62&gt;'10_events'!$K$2703,"",INDEX('10_events'!$A$2:$A$2703,$H63))</x:f>
      </x:c>
      <x:c r="B63" t="str">
        <x:f>IF(62&gt;'10_events'!$K$2703,"",INDEX('10_events'!$B$2:$B$2703,$H63))</x:f>
      </x:c>
      <x:c r="C63" t="str">
        <x:f>IF(62&gt;'10_events'!$K$2703,"",INDEX('10_events'!$C$2:$C$2703,$H63))</x:f>
      </x:c>
      <x:c r="D63" t="str">
        <x:f>IF(62&gt;'10_events'!$K$2703,"",INDEX('10_events'!$F$2:$F$2703,$H63))</x:f>
      </x:c>
      <x:c r="E63" t="str">
        <x:f>IF(62&gt;'10_events'!$K$2703,"",INDEX('10_events'!$G$2:$G$2703,$H63))</x:f>
      </x:c>
      <x:c r="F63" t="str">
        <x:f>IF(62&gt;'10_events'!$K$2703,"",INDEX('10_events'!$H$2:$H$2703,$H63))</x:f>
      </x:c>
      <x:c r="G63" s="16" t="str">
        <x:f>IF(62&gt;'10_events'!$K$2703,"",INDEX('10_events'!$I$2:$I$2703,$H63))</x:f>
      </x:c>
      <x:c r="H63" t="n">
        <x:f>IF(62&gt;'10_events'!$K$2703,0,MATCH(62,'10_events'!$J$2:$J$2703,0))</x:f>
        <x:v>0</x:v>
      </x:c>
    </x:row>
    <x:row r="64" ht="25" customHeight="1">
      <x:c r="A64" t="str">
        <x:f>IF(63&gt;'10_events'!$K$2703,"",INDEX('10_events'!$A$2:$A$2703,$H64))</x:f>
      </x:c>
      <x:c r="B64" t="str">
        <x:f>IF(63&gt;'10_events'!$K$2703,"",INDEX('10_events'!$B$2:$B$2703,$H64))</x:f>
      </x:c>
      <x:c r="C64" t="str">
        <x:f>IF(63&gt;'10_events'!$K$2703,"",INDEX('10_events'!$C$2:$C$2703,$H64))</x:f>
      </x:c>
      <x:c r="D64" t="str">
        <x:f>IF(63&gt;'10_events'!$K$2703,"",INDEX('10_events'!$F$2:$F$2703,$H64))</x:f>
      </x:c>
      <x:c r="E64" t="str">
        <x:f>IF(63&gt;'10_events'!$K$2703,"",INDEX('10_events'!$G$2:$G$2703,$H64))</x:f>
      </x:c>
      <x:c r="F64" t="str">
        <x:f>IF(63&gt;'10_events'!$K$2703,"",INDEX('10_events'!$H$2:$H$2703,$H64))</x:f>
      </x:c>
      <x:c r="G64" s="16" t="str">
        <x:f>IF(63&gt;'10_events'!$K$2703,"",INDEX('10_events'!$I$2:$I$2703,$H64))</x:f>
      </x:c>
      <x:c r="H64" t="n">
        <x:f>IF(63&gt;'10_events'!$K$2703,0,MATCH(63,'10_events'!$J$2:$J$2703,0))</x:f>
        <x:v>0</x:v>
      </x:c>
    </x:row>
    <x:row r="65" ht="25" customHeight="1">
      <x:c r="A65" t="str">
        <x:f>IF(64&gt;'10_events'!$K$2703,"",INDEX('10_events'!$A$2:$A$2703,$H65))</x:f>
      </x:c>
      <x:c r="B65" t="str">
        <x:f>IF(64&gt;'10_events'!$K$2703,"",INDEX('10_events'!$B$2:$B$2703,$H65))</x:f>
      </x:c>
      <x:c r="C65" t="str">
        <x:f>IF(64&gt;'10_events'!$K$2703,"",INDEX('10_events'!$C$2:$C$2703,$H65))</x:f>
      </x:c>
      <x:c r="D65" t="str">
        <x:f>IF(64&gt;'10_events'!$K$2703,"",INDEX('10_events'!$F$2:$F$2703,$H65))</x:f>
      </x:c>
      <x:c r="E65" t="str">
        <x:f>IF(64&gt;'10_events'!$K$2703,"",INDEX('10_events'!$G$2:$G$2703,$H65))</x:f>
      </x:c>
      <x:c r="F65" t="str">
        <x:f>IF(64&gt;'10_events'!$K$2703,"",INDEX('10_events'!$H$2:$H$2703,$H65))</x:f>
      </x:c>
      <x:c r="G65" s="16" t="str">
        <x:f>IF(64&gt;'10_events'!$K$2703,"",INDEX('10_events'!$I$2:$I$2703,$H65))</x:f>
      </x:c>
      <x:c r="H65" t="n">
        <x:f>IF(64&gt;'10_events'!$K$2703,0,MATCH(64,'10_events'!$J$2:$J$2703,0))</x:f>
        <x:v>0</x:v>
      </x:c>
    </x:row>
    <x:row r="66" ht="25" customHeight="1">
      <x:c r="A66" t="str">
        <x:f>IF(65&gt;'10_events'!$K$2703,"",INDEX('10_events'!$A$2:$A$2703,$H66))</x:f>
      </x:c>
      <x:c r="B66" t="str">
        <x:f>IF(65&gt;'10_events'!$K$2703,"",INDEX('10_events'!$B$2:$B$2703,$H66))</x:f>
      </x:c>
      <x:c r="C66" t="str">
        <x:f>IF(65&gt;'10_events'!$K$2703,"",INDEX('10_events'!$C$2:$C$2703,$H66))</x:f>
      </x:c>
      <x:c r="D66" t="str">
        <x:f>IF(65&gt;'10_events'!$K$2703,"",INDEX('10_events'!$F$2:$F$2703,$H66))</x:f>
      </x:c>
      <x:c r="E66" t="str">
        <x:f>IF(65&gt;'10_events'!$K$2703,"",INDEX('10_events'!$G$2:$G$2703,$H66))</x:f>
      </x:c>
      <x:c r="F66" t="str">
        <x:f>IF(65&gt;'10_events'!$K$2703,"",INDEX('10_events'!$H$2:$H$2703,$H66))</x:f>
      </x:c>
      <x:c r="G66" s="16" t="str">
        <x:f>IF(65&gt;'10_events'!$K$2703,"",INDEX('10_events'!$I$2:$I$2703,$H66))</x:f>
      </x:c>
      <x:c r="H66" t="n">
        <x:f>IF(65&gt;'10_events'!$K$2703,0,MATCH(65,'10_events'!$J$2:$J$2703,0))</x:f>
        <x:v>0</x:v>
      </x:c>
    </x:row>
    <x:row r="67" ht="25" customHeight="1">
      <x:c r="A67" t="str">
        <x:f>IF(66&gt;'10_events'!$K$2703,"",INDEX('10_events'!$A$2:$A$2703,$H67))</x:f>
      </x:c>
      <x:c r="B67" t="str">
        <x:f>IF(66&gt;'10_events'!$K$2703,"",INDEX('10_events'!$B$2:$B$2703,$H67))</x:f>
      </x:c>
      <x:c r="C67" t="str">
        <x:f>IF(66&gt;'10_events'!$K$2703,"",INDEX('10_events'!$C$2:$C$2703,$H67))</x:f>
      </x:c>
      <x:c r="D67" t="str">
        <x:f>IF(66&gt;'10_events'!$K$2703,"",INDEX('10_events'!$F$2:$F$2703,$H67))</x:f>
      </x:c>
      <x:c r="E67" t="str">
        <x:f>IF(66&gt;'10_events'!$K$2703,"",INDEX('10_events'!$G$2:$G$2703,$H67))</x:f>
      </x:c>
      <x:c r="F67" t="str">
        <x:f>IF(66&gt;'10_events'!$K$2703,"",INDEX('10_events'!$H$2:$H$2703,$H67))</x:f>
      </x:c>
      <x:c r="G67" s="16" t="str">
        <x:f>IF(66&gt;'10_events'!$K$2703,"",INDEX('10_events'!$I$2:$I$2703,$H67))</x:f>
      </x:c>
      <x:c r="H67" t="n">
        <x:f>IF(66&gt;'10_events'!$K$2703,0,MATCH(66,'10_events'!$J$2:$J$2703,0))</x:f>
        <x:v>0</x:v>
      </x:c>
    </x:row>
    <x:row r="68" ht="25" customHeight="1">
      <x:c r="A68" t="str">
        <x:f>IF(67&gt;'10_events'!$K$2703,"",INDEX('10_events'!$A$2:$A$2703,$H68))</x:f>
      </x:c>
      <x:c r="B68" t="str">
        <x:f>IF(67&gt;'10_events'!$K$2703,"",INDEX('10_events'!$B$2:$B$2703,$H68))</x:f>
      </x:c>
      <x:c r="C68" t="str">
        <x:f>IF(67&gt;'10_events'!$K$2703,"",INDEX('10_events'!$C$2:$C$2703,$H68))</x:f>
      </x:c>
      <x:c r="D68" t="str">
        <x:f>IF(67&gt;'10_events'!$K$2703,"",INDEX('10_events'!$F$2:$F$2703,$H68))</x:f>
      </x:c>
      <x:c r="E68" t="str">
        <x:f>IF(67&gt;'10_events'!$K$2703,"",INDEX('10_events'!$G$2:$G$2703,$H68))</x:f>
      </x:c>
      <x:c r="F68" t="str">
        <x:f>IF(67&gt;'10_events'!$K$2703,"",INDEX('10_events'!$H$2:$H$2703,$H68))</x:f>
      </x:c>
      <x:c r="G68" s="16" t="str">
        <x:f>IF(67&gt;'10_events'!$K$2703,"",INDEX('10_events'!$I$2:$I$2703,$H68))</x:f>
      </x:c>
      <x:c r="H68" t="n">
        <x:f>IF(67&gt;'10_events'!$K$2703,0,MATCH(67,'10_events'!$J$2:$J$2703,0))</x:f>
        <x:v>0</x:v>
      </x:c>
    </x:row>
    <x:row r="69" ht="25" customHeight="1">
      <x:c r="A69" t="str">
        <x:f>IF(68&gt;'10_events'!$K$2703,"",INDEX('10_events'!$A$2:$A$2703,$H69))</x:f>
      </x:c>
      <x:c r="B69" t="str">
        <x:f>IF(68&gt;'10_events'!$K$2703,"",INDEX('10_events'!$B$2:$B$2703,$H69))</x:f>
      </x:c>
      <x:c r="C69" t="str">
        <x:f>IF(68&gt;'10_events'!$K$2703,"",INDEX('10_events'!$C$2:$C$2703,$H69))</x:f>
      </x:c>
      <x:c r="D69" t="str">
        <x:f>IF(68&gt;'10_events'!$K$2703,"",INDEX('10_events'!$F$2:$F$2703,$H69))</x:f>
      </x:c>
      <x:c r="E69" t="str">
        <x:f>IF(68&gt;'10_events'!$K$2703,"",INDEX('10_events'!$G$2:$G$2703,$H69))</x:f>
      </x:c>
      <x:c r="F69" t="str">
        <x:f>IF(68&gt;'10_events'!$K$2703,"",INDEX('10_events'!$H$2:$H$2703,$H69))</x:f>
      </x:c>
      <x:c r="G69" s="16" t="str">
        <x:f>IF(68&gt;'10_events'!$K$2703,"",INDEX('10_events'!$I$2:$I$2703,$H69))</x:f>
      </x:c>
      <x:c r="H69" t="n">
        <x:f>IF(68&gt;'10_events'!$K$2703,0,MATCH(68,'10_events'!$J$2:$J$2703,0))</x:f>
        <x:v>0</x:v>
      </x:c>
    </x:row>
    <x:row r="70" ht="25" customHeight="1">
      <x:c r="A70" t="str">
        <x:f>IF(69&gt;'10_events'!$K$2703,"",INDEX('10_events'!$A$2:$A$2703,$H70))</x:f>
      </x:c>
      <x:c r="B70" t="str">
        <x:f>IF(69&gt;'10_events'!$K$2703,"",INDEX('10_events'!$B$2:$B$2703,$H70))</x:f>
      </x:c>
      <x:c r="C70" t="str">
        <x:f>IF(69&gt;'10_events'!$K$2703,"",INDEX('10_events'!$C$2:$C$2703,$H70))</x:f>
      </x:c>
      <x:c r="D70" t="str">
        <x:f>IF(69&gt;'10_events'!$K$2703,"",INDEX('10_events'!$F$2:$F$2703,$H70))</x:f>
      </x:c>
      <x:c r="E70" t="str">
        <x:f>IF(69&gt;'10_events'!$K$2703,"",INDEX('10_events'!$G$2:$G$2703,$H70))</x:f>
      </x:c>
      <x:c r="F70" t="str">
        <x:f>IF(69&gt;'10_events'!$K$2703,"",INDEX('10_events'!$H$2:$H$2703,$H70))</x:f>
      </x:c>
      <x:c r="G70" s="16" t="str">
        <x:f>IF(69&gt;'10_events'!$K$2703,"",INDEX('10_events'!$I$2:$I$2703,$H70))</x:f>
      </x:c>
      <x:c r="H70" t="n">
        <x:f>IF(69&gt;'10_events'!$K$2703,0,MATCH(69,'10_events'!$J$2:$J$2703,0))</x:f>
        <x:v>0</x:v>
      </x:c>
    </x:row>
    <x:row r="71" ht="25" customHeight="1">
      <x:c r="A71" t="str">
        <x:f>IF(70&gt;'10_events'!$K$2703,"",INDEX('10_events'!$A$2:$A$2703,$H71))</x:f>
      </x:c>
      <x:c r="B71" t="str">
        <x:f>IF(70&gt;'10_events'!$K$2703,"",INDEX('10_events'!$B$2:$B$2703,$H71))</x:f>
      </x:c>
      <x:c r="C71" t="str">
        <x:f>IF(70&gt;'10_events'!$K$2703,"",INDEX('10_events'!$C$2:$C$2703,$H71))</x:f>
      </x:c>
      <x:c r="D71" t="str">
        <x:f>IF(70&gt;'10_events'!$K$2703,"",INDEX('10_events'!$F$2:$F$2703,$H71))</x:f>
      </x:c>
      <x:c r="E71" t="str">
        <x:f>IF(70&gt;'10_events'!$K$2703,"",INDEX('10_events'!$G$2:$G$2703,$H71))</x:f>
      </x:c>
      <x:c r="F71" t="str">
        <x:f>IF(70&gt;'10_events'!$K$2703,"",INDEX('10_events'!$H$2:$H$2703,$H71))</x:f>
      </x:c>
      <x:c r="G71" s="16" t="str">
        <x:f>IF(70&gt;'10_events'!$K$2703,"",INDEX('10_events'!$I$2:$I$2703,$H71))</x:f>
      </x:c>
      <x:c r="H71" t="n">
        <x:f>IF(70&gt;'10_events'!$K$2703,0,MATCH(70,'10_events'!$J$2:$J$2703,0))</x:f>
        <x:v>0</x:v>
      </x:c>
    </x:row>
    <x:row r="72" ht="25" customHeight="1">
      <x:c r="A72" t="str">
        <x:f>IF(71&gt;'10_events'!$K$2703,"",INDEX('10_events'!$A$2:$A$2703,$H72))</x:f>
      </x:c>
      <x:c r="B72" t="str">
        <x:f>IF(71&gt;'10_events'!$K$2703,"",INDEX('10_events'!$B$2:$B$2703,$H72))</x:f>
      </x:c>
      <x:c r="C72" t="str">
        <x:f>IF(71&gt;'10_events'!$K$2703,"",INDEX('10_events'!$C$2:$C$2703,$H72))</x:f>
      </x:c>
      <x:c r="D72" t="str">
        <x:f>IF(71&gt;'10_events'!$K$2703,"",INDEX('10_events'!$F$2:$F$2703,$H72))</x:f>
      </x:c>
      <x:c r="E72" t="str">
        <x:f>IF(71&gt;'10_events'!$K$2703,"",INDEX('10_events'!$G$2:$G$2703,$H72))</x:f>
      </x:c>
      <x:c r="F72" t="str">
        <x:f>IF(71&gt;'10_events'!$K$2703,"",INDEX('10_events'!$H$2:$H$2703,$H72))</x:f>
      </x:c>
      <x:c r="G72" s="16" t="str">
        <x:f>IF(71&gt;'10_events'!$K$2703,"",INDEX('10_events'!$I$2:$I$2703,$H72))</x:f>
      </x:c>
      <x:c r="H72" t="n">
        <x:f>IF(71&gt;'10_events'!$K$2703,0,MATCH(71,'10_events'!$J$2:$J$2703,0))</x:f>
        <x:v>0</x:v>
      </x:c>
    </x:row>
    <x:row r="73" ht="25" customHeight="1">
      <x:c r="A73" t="str">
        <x:f>IF(72&gt;'10_events'!$K$2703,"",INDEX('10_events'!$A$2:$A$2703,$H73))</x:f>
      </x:c>
      <x:c r="B73" t="str">
        <x:f>IF(72&gt;'10_events'!$K$2703,"",INDEX('10_events'!$B$2:$B$2703,$H73))</x:f>
      </x:c>
      <x:c r="C73" t="str">
        <x:f>IF(72&gt;'10_events'!$K$2703,"",INDEX('10_events'!$C$2:$C$2703,$H73))</x:f>
      </x:c>
      <x:c r="D73" t="str">
        <x:f>IF(72&gt;'10_events'!$K$2703,"",INDEX('10_events'!$F$2:$F$2703,$H73))</x:f>
      </x:c>
      <x:c r="E73" t="str">
        <x:f>IF(72&gt;'10_events'!$K$2703,"",INDEX('10_events'!$G$2:$G$2703,$H73))</x:f>
      </x:c>
      <x:c r="F73" t="str">
        <x:f>IF(72&gt;'10_events'!$K$2703,"",INDEX('10_events'!$H$2:$H$2703,$H73))</x:f>
      </x:c>
      <x:c r="G73" s="16" t="str">
        <x:f>IF(72&gt;'10_events'!$K$2703,"",INDEX('10_events'!$I$2:$I$2703,$H73))</x:f>
      </x:c>
      <x:c r="H73" t="n">
        <x:f>IF(72&gt;'10_events'!$K$2703,0,MATCH(72,'10_events'!$J$2:$J$2703,0))</x:f>
        <x:v>0</x:v>
      </x:c>
    </x:row>
    <x:row r="74" ht="25" customHeight="1">
      <x:c r="A74" t="str">
        <x:f>IF(73&gt;'10_events'!$K$2703,"",INDEX('10_events'!$A$2:$A$2703,$H74))</x:f>
      </x:c>
      <x:c r="B74" t="str">
        <x:f>IF(73&gt;'10_events'!$K$2703,"",INDEX('10_events'!$B$2:$B$2703,$H74))</x:f>
      </x:c>
      <x:c r="C74" t="str">
        <x:f>IF(73&gt;'10_events'!$K$2703,"",INDEX('10_events'!$C$2:$C$2703,$H74))</x:f>
      </x:c>
      <x:c r="D74" t="str">
        <x:f>IF(73&gt;'10_events'!$K$2703,"",INDEX('10_events'!$F$2:$F$2703,$H74))</x:f>
      </x:c>
      <x:c r="E74" t="str">
        <x:f>IF(73&gt;'10_events'!$K$2703,"",INDEX('10_events'!$G$2:$G$2703,$H74))</x:f>
      </x:c>
      <x:c r="F74" t="str">
        <x:f>IF(73&gt;'10_events'!$K$2703,"",INDEX('10_events'!$H$2:$H$2703,$H74))</x:f>
      </x:c>
      <x:c r="G74" s="16" t="str">
        <x:f>IF(73&gt;'10_events'!$K$2703,"",INDEX('10_events'!$I$2:$I$2703,$H74))</x:f>
      </x:c>
      <x:c r="H74" t="n">
        <x:f>IF(73&gt;'10_events'!$K$2703,0,MATCH(73,'10_events'!$J$2:$J$2703,0))</x:f>
        <x:v>0</x:v>
      </x:c>
    </x:row>
    <x:row r="75" ht="25" customHeight="1">
      <x:c r="A75" t="str">
        <x:f>IF(74&gt;'10_events'!$K$2703,"",INDEX('10_events'!$A$2:$A$2703,$H75))</x:f>
      </x:c>
      <x:c r="B75" t="str">
        <x:f>IF(74&gt;'10_events'!$K$2703,"",INDEX('10_events'!$B$2:$B$2703,$H75))</x:f>
      </x:c>
      <x:c r="C75" t="str">
        <x:f>IF(74&gt;'10_events'!$K$2703,"",INDEX('10_events'!$C$2:$C$2703,$H75))</x:f>
      </x:c>
      <x:c r="D75" t="str">
        <x:f>IF(74&gt;'10_events'!$K$2703,"",INDEX('10_events'!$F$2:$F$2703,$H75))</x:f>
      </x:c>
      <x:c r="E75" t="str">
        <x:f>IF(74&gt;'10_events'!$K$2703,"",INDEX('10_events'!$G$2:$G$2703,$H75))</x:f>
      </x:c>
      <x:c r="F75" t="str">
        <x:f>IF(74&gt;'10_events'!$K$2703,"",INDEX('10_events'!$H$2:$H$2703,$H75))</x:f>
      </x:c>
      <x:c r="G75" s="16" t="str">
        <x:f>IF(74&gt;'10_events'!$K$2703,"",INDEX('10_events'!$I$2:$I$2703,$H75))</x:f>
      </x:c>
      <x:c r="H75" t="n">
        <x:f>IF(74&gt;'10_events'!$K$2703,0,MATCH(74,'10_events'!$J$2:$J$2703,0))</x:f>
        <x:v>0</x:v>
      </x:c>
    </x:row>
    <x:row r="76" ht="25" customHeight="1">
      <x:c r="A76" t="str">
        <x:f>IF(75&gt;'10_events'!$K$2703,"",INDEX('10_events'!$A$2:$A$2703,$H76))</x:f>
      </x:c>
      <x:c r="B76" t="str">
        <x:f>IF(75&gt;'10_events'!$K$2703,"",INDEX('10_events'!$B$2:$B$2703,$H76))</x:f>
      </x:c>
      <x:c r="C76" t="str">
        <x:f>IF(75&gt;'10_events'!$K$2703,"",INDEX('10_events'!$C$2:$C$2703,$H76))</x:f>
      </x:c>
      <x:c r="D76" t="str">
        <x:f>IF(75&gt;'10_events'!$K$2703,"",INDEX('10_events'!$F$2:$F$2703,$H76))</x:f>
      </x:c>
      <x:c r="E76" t="str">
        <x:f>IF(75&gt;'10_events'!$K$2703,"",INDEX('10_events'!$G$2:$G$2703,$H76))</x:f>
      </x:c>
      <x:c r="F76" t="str">
        <x:f>IF(75&gt;'10_events'!$K$2703,"",INDEX('10_events'!$H$2:$H$2703,$H76))</x:f>
      </x:c>
      <x:c r="G76" s="16" t="str">
        <x:f>IF(75&gt;'10_events'!$K$2703,"",INDEX('10_events'!$I$2:$I$2703,$H76))</x:f>
      </x:c>
      <x:c r="H76" t="n">
        <x:f>IF(75&gt;'10_events'!$K$2703,0,MATCH(75,'10_events'!$J$2:$J$2703,0))</x:f>
        <x:v>0</x:v>
      </x:c>
    </x:row>
    <x:row r="77" ht="25" customHeight="1">
      <x:c r="A77" t="str">
        <x:f>IF(76&gt;'10_events'!$K$2703,"",INDEX('10_events'!$A$2:$A$2703,$H77))</x:f>
      </x:c>
      <x:c r="B77" t="str">
        <x:f>IF(76&gt;'10_events'!$K$2703,"",INDEX('10_events'!$B$2:$B$2703,$H77))</x:f>
      </x:c>
      <x:c r="C77" t="str">
        <x:f>IF(76&gt;'10_events'!$K$2703,"",INDEX('10_events'!$C$2:$C$2703,$H77))</x:f>
      </x:c>
      <x:c r="D77" t="str">
        <x:f>IF(76&gt;'10_events'!$K$2703,"",INDEX('10_events'!$F$2:$F$2703,$H77))</x:f>
      </x:c>
      <x:c r="E77" t="str">
        <x:f>IF(76&gt;'10_events'!$K$2703,"",INDEX('10_events'!$G$2:$G$2703,$H77))</x:f>
      </x:c>
      <x:c r="F77" t="str">
        <x:f>IF(76&gt;'10_events'!$K$2703,"",INDEX('10_events'!$H$2:$H$2703,$H77))</x:f>
      </x:c>
      <x:c r="G77" s="16" t="str">
        <x:f>IF(76&gt;'10_events'!$K$2703,"",INDEX('10_events'!$I$2:$I$2703,$H77))</x:f>
      </x:c>
      <x:c r="H77" t="n">
        <x:f>IF(76&gt;'10_events'!$K$2703,0,MATCH(76,'10_events'!$J$2:$J$2703,0))</x:f>
        <x:v>0</x:v>
      </x:c>
    </x:row>
    <x:row r="78" ht="25" customHeight="1">
      <x:c r="A78" t="str">
        <x:f>IF(77&gt;'10_events'!$K$2703,"",INDEX('10_events'!$A$2:$A$2703,$H78))</x:f>
      </x:c>
      <x:c r="B78" t="str">
        <x:f>IF(77&gt;'10_events'!$K$2703,"",INDEX('10_events'!$B$2:$B$2703,$H78))</x:f>
      </x:c>
      <x:c r="C78" t="str">
        <x:f>IF(77&gt;'10_events'!$K$2703,"",INDEX('10_events'!$C$2:$C$2703,$H78))</x:f>
      </x:c>
      <x:c r="D78" t="str">
        <x:f>IF(77&gt;'10_events'!$K$2703,"",INDEX('10_events'!$F$2:$F$2703,$H78))</x:f>
      </x:c>
      <x:c r="E78" t="str">
        <x:f>IF(77&gt;'10_events'!$K$2703,"",INDEX('10_events'!$G$2:$G$2703,$H78))</x:f>
      </x:c>
      <x:c r="F78" t="str">
        <x:f>IF(77&gt;'10_events'!$K$2703,"",INDEX('10_events'!$H$2:$H$2703,$H78))</x:f>
      </x:c>
      <x:c r="G78" s="16" t="str">
        <x:f>IF(77&gt;'10_events'!$K$2703,"",INDEX('10_events'!$I$2:$I$2703,$H78))</x:f>
      </x:c>
      <x:c r="H78" t="n">
        <x:f>IF(77&gt;'10_events'!$K$2703,0,MATCH(77,'10_events'!$J$2:$J$2703,0))</x:f>
        <x:v>0</x:v>
      </x:c>
    </x:row>
    <x:row r="79" ht="25" customHeight="1">
      <x:c r="A79" t="str">
        <x:f>IF(78&gt;'10_events'!$K$2703,"",INDEX('10_events'!$A$2:$A$2703,$H79))</x:f>
      </x:c>
      <x:c r="B79" t="str">
        <x:f>IF(78&gt;'10_events'!$K$2703,"",INDEX('10_events'!$B$2:$B$2703,$H79))</x:f>
      </x:c>
      <x:c r="C79" t="str">
        <x:f>IF(78&gt;'10_events'!$K$2703,"",INDEX('10_events'!$C$2:$C$2703,$H79))</x:f>
      </x:c>
      <x:c r="D79" t="str">
        <x:f>IF(78&gt;'10_events'!$K$2703,"",INDEX('10_events'!$F$2:$F$2703,$H79))</x:f>
      </x:c>
      <x:c r="E79" t="str">
        <x:f>IF(78&gt;'10_events'!$K$2703,"",INDEX('10_events'!$G$2:$G$2703,$H79))</x:f>
      </x:c>
      <x:c r="F79" t="str">
        <x:f>IF(78&gt;'10_events'!$K$2703,"",INDEX('10_events'!$H$2:$H$2703,$H79))</x:f>
      </x:c>
      <x:c r="G79" s="16" t="str">
        <x:f>IF(78&gt;'10_events'!$K$2703,"",INDEX('10_events'!$I$2:$I$2703,$H79))</x:f>
      </x:c>
      <x:c r="H79" t="n">
        <x:f>IF(78&gt;'10_events'!$K$2703,0,MATCH(78,'10_events'!$J$2:$J$2703,0))</x:f>
        <x:v>0</x:v>
      </x:c>
    </x:row>
    <x:row r="80" ht="25" customHeight="1">
      <x:c r="A80" t="str">
        <x:f>IF(79&gt;'10_events'!$K$2703,"",INDEX('10_events'!$A$2:$A$2703,$H80))</x:f>
      </x:c>
      <x:c r="B80" t="str">
        <x:f>IF(79&gt;'10_events'!$K$2703,"",INDEX('10_events'!$B$2:$B$2703,$H80))</x:f>
      </x:c>
      <x:c r="C80" t="str">
        <x:f>IF(79&gt;'10_events'!$K$2703,"",INDEX('10_events'!$C$2:$C$2703,$H80))</x:f>
      </x:c>
      <x:c r="D80" t="str">
        <x:f>IF(79&gt;'10_events'!$K$2703,"",INDEX('10_events'!$F$2:$F$2703,$H80))</x:f>
      </x:c>
      <x:c r="E80" t="str">
        <x:f>IF(79&gt;'10_events'!$K$2703,"",INDEX('10_events'!$G$2:$G$2703,$H80))</x:f>
      </x:c>
      <x:c r="F80" t="str">
        <x:f>IF(79&gt;'10_events'!$K$2703,"",INDEX('10_events'!$H$2:$H$2703,$H80))</x:f>
      </x:c>
      <x:c r="G80" s="16" t="str">
        <x:f>IF(79&gt;'10_events'!$K$2703,"",INDEX('10_events'!$I$2:$I$2703,$H80))</x:f>
      </x:c>
      <x:c r="H80" t="n">
        <x:f>IF(79&gt;'10_events'!$K$2703,0,MATCH(79,'10_events'!$J$2:$J$2703,0))</x:f>
        <x:v>0</x:v>
      </x:c>
    </x:row>
    <x:row r="81" ht="25" customHeight="1">
      <x:c r="A81" t="str">
        <x:f>IF(80&gt;'10_events'!$K$2703,"",INDEX('10_events'!$A$2:$A$2703,$H81))</x:f>
      </x:c>
      <x:c r="B81" t="str">
        <x:f>IF(80&gt;'10_events'!$K$2703,"",INDEX('10_events'!$B$2:$B$2703,$H81))</x:f>
      </x:c>
      <x:c r="C81" t="str">
        <x:f>IF(80&gt;'10_events'!$K$2703,"",INDEX('10_events'!$C$2:$C$2703,$H81))</x:f>
      </x:c>
      <x:c r="D81" t="str">
        <x:f>IF(80&gt;'10_events'!$K$2703,"",INDEX('10_events'!$F$2:$F$2703,$H81))</x:f>
      </x:c>
      <x:c r="E81" t="str">
        <x:f>IF(80&gt;'10_events'!$K$2703,"",INDEX('10_events'!$G$2:$G$2703,$H81))</x:f>
      </x:c>
      <x:c r="F81" t="str">
        <x:f>IF(80&gt;'10_events'!$K$2703,"",INDEX('10_events'!$H$2:$H$2703,$H81))</x:f>
      </x:c>
      <x:c r="G81" s="16" t="str">
        <x:f>IF(80&gt;'10_events'!$K$2703,"",INDEX('10_events'!$I$2:$I$2703,$H81))</x:f>
      </x:c>
      <x:c r="H81" t="n">
        <x:f>IF(80&gt;'10_events'!$K$2703,0,MATCH(80,'10_events'!$J$2:$J$2703,0))</x:f>
        <x:v>0</x:v>
      </x:c>
    </x:row>
    <x:row r="82" ht="25" customHeight="1">
      <x:c r="A82" t="str">
        <x:f>IF(81&gt;'10_events'!$K$2703,"",INDEX('10_events'!$A$2:$A$2703,$H82))</x:f>
      </x:c>
      <x:c r="B82" t="str">
        <x:f>IF(81&gt;'10_events'!$K$2703,"",INDEX('10_events'!$B$2:$B$2703,$H82))</x:f>
      </x:c>
      <x:c r="C82" t="str">
        <x:f>IF(81&gt;'10_events'!$K$2703,"",INDEX('10_events'!$C$2:$C$2703,$H82))</x:f>
      </x:c>
      <x:c r="D82" t="str">
        <x:f>IF(81&gt;'10_events'!$K$2703,"",INDEX('10_events'!$F$2:$F$2703,$H82))</x:f>
      </x:c>
      <x:c r="E82" t="str">
        <x:f>IF(81&gt;'10_events'!$K$2703,"",INDEX('10_events'!$G$2:$G$2703,$H82))</x:f>
      </x:c>
      <x:c r="F82" t="str">
        <x:f>IF(81&gt;'10_events'!$K$2703,"",INDEX('10_events'!$H$2:$H$2703,$H82))</x:f>
      </x:c>
      <x:c r="G82" s="16" t="str">
        <x:f>IF(81&gt;'10_events'!$K$2703,"",INDEX('10_events'!$I$2:$I$2703,$H82))</x:f>
      </x:c>
      <x:c r="H82" t="n">
        <x:f>IF(81&gt;'10_events'!$K$2703,0,MATCH(81,'10_events'!$J$2:$J$2703,0))</x:f>
        <x:v>0</x:v>
      </x:c>
    </x:row>
    <x:row r="83" ht="25" customHeight="1">
      <x:c r="A83" t="str">
        <x:f>IF(82&gt;'10_events'!$K$2703,"",INDEX('10_events'!$A$2:$A$2703,$H83))</x:f>
      </x:c>
      <x:c r="B83" t="str">
        <x:f>IF(82&gt;'10_events'!$K$2703,"",INDEX('10_events'!$B$2:$B$2703,$H83))</x:f>
      </x:c>
      <x:c r="C83" t="str">
        <x:f>IF(82&gt;'10_events'!$K$2703,"",INDEX('10_events'!$C$2:$C$2703,$H83))</x:f>
      </x:c>
      <x:c r="D83" t="str">
        <x:f>IF(82&gt;'10_events'!$K$2703,"",INDEX('10_events'!$F$2:$F$2703,$H83))</x:f>
      </x:c>
      <x:c r="E83" t="str">
        <x:f>IF(82&gt;'10_events'!$K$2703,"",INDEX('10_events'!$G$2:$G$2703,$H83))</x:f>
      </x:c>
      <x:c r="F83" t="str">
        <x:f>IF(82&gt;'10_events'!$K$2703,"",INDEX('10_events'!$H$2:$H$2703,$H83))</x:f>
      </x:c>
      <x:c r="G83" s="16" t="str">
        <x:f>IF(82&gt;'10_events'!$K$2703,"",INDEX('10_events'!$I$2:$I$2703,$H83))</x:f>
      </x:c>
      <x:c r="H83" t="n">
        <x:f>IF(82&gt;'10_events'!$K$2703,0,MATCH(82,'10_events'!$J$2:$J$2703,0))</x:f>
        <x:v>0</x:v>
      </x:c>
    </x:row>
    <x:row r="84" ht="25" customHeight="1">
      <x:c r="A84" t="str">
        <x:f>IF(83&gt;'10_events'!$K$2703,"",INDEX('10_events'!$A$2:$A$2703,$H84))</x:f>
      </x:c>
      <x:c r="B84" t="str">
        <x:f>IF(83&gt;'10_events'!$K$2703,"",INDEX('10_events'!$B$2:$B$2703,$H84))</x:f>
      </x:c>
      <x:c r="C84" t="str">
        <x:f>IF(83&gt;'10_events'!$K$2703,"",INDEX('10_events'!$C$2:$C$2703,$H84))</x:f>
      </x:c>
      <x:c r="D84" t="str">
        <x:f>IF(83&gt;'10_events'!$K$2703,"",INDEX('10_events'!$F$2:$F$2703,$H84))</x:f>
      </x:c>
      <x:c r="E84" t="str">
        <x:f>IF(83&gt;'10_events'!$K$2703,"",INDEX('10_events'!$G$2:$G$2703,$H84))</x:f>
      </x:c>
      <x:c r="F84" t="str">
        <x:f>IF(83&gt;'10_events'!$K$2703,"",INDEX('10_events'!$H$2:$H$2703,$H84))</x:f>
      </x:c>
      <x:c r="G84" s="16" t="str">
        <x:f>IF(83&gt;'10_events'!$K$2703,"",INDEX('10_events'!$I$2:$I$2703,$H84))</x:f>
      </x:c>
      <x:c r="H84" t="n">
        <x:f>IF(83&gt;'10_events'!$K$2703,0,MATCH(83,'10_events'!$J$2:$J$2703,0))</x:f>
        <x:v>0</x:v>
      </x:c>
    </x:row>
    <x:row r="85" ht="25" customHeight="1">
      <x:c r="A85" t="str">
        <x:f>IF(84&gt;'10_events'!$K$2703,"",INDEX('10_events'!$A$2:$A$2703,$H85))</x:f>
      </x:c>
      <x:c r="B85" t="str">
        <x:f>IF(84&gt;'10_events'!$K$2703,"",INDEX('10_events'!$B$2:$B$2703,$H85))</x:f>
      </x:c>
      <x:c r="C85" t="str">
        <x:f>IF(84&gt;'10_events'!$K$2703,"",INDEX('10_events'!$C$2:$C$2703,$H85))</x:f>
      </x:c>
      <x:c r="D85" t="str">
        <x:f>IF(84&gt;'10_events'!$K$2703,"",INDEX('10_events'!$F$2:$F$2703,$H85))</x:f>
      </x:c>
      <x:c r="E85" t="str">
        <x:f>IF(84&gt;'10_events'!$K$2703,"",INDEX('10_events'!$G$2:$G$2703,$H85))</x:f>
      </x:c>
      <x:c r="F85" t="str">
        <x:f>IF(84&gt;'10_events'!$K$2703,"",INDEX('10_events'!$H$2:$H$2703,$H85))</x:f>
      </x:c>
      <x:c r="G85" s="16" t="str">
        <x:f>IF(84&gt;'10_events'!$K$2703,"",INDEX('10_events'!$I$2:$I$2703,$H85))</x:f>
      </x:c>
      <x:c r="H85" t="n">
        <x:f>IF(84&gt;'10_events'!$K$2703,0,MATCH(84,'10_events'!$J$2:$J$2703,0))</x:f>
        <x:v>0</x:v>
      </x:c>
    </x:row>
    <x:row r="86" ht="25" customHeight="1">
      <x:c r="A86" t="str">
        <x:f>IF(85&gt;'10_events'!$K$2703,"",INDEX('10_events'!$A$2:$A$2703,$H86))</x:f>
      </x:c>
      <x:c r="B86" t="str">
        <x:f>IF(85&gt;'10_events'!$K$2703,"",INDEX('10_events'!$B$2:$B$2703,$H86))</x:f>
      </x:c>
      <x:c r="C86" t="str">
        <x:f>IF(85&gt;'10_events'!$K$2703,"",INDEX('10_events'!$C$2:$C$2703,$H86))</x:f>
      </x:c>
      <x:c r="D86" t="str">
        <x:f>IF(85&gt;'10_events'!$K$2703,"",INDEX('10_events'!$F$2:$F$2703,$H86))</x:f>
      </x:c>
      <x:c r="E86" t="str">
        <x:f>IF(85&gt;'10_events'!$K$2703,"",INDEX('10_events'!$G$2:$G$2703,$H86))</x:f>
      </x:c>
      <x:c r="F86" t="str">
        <x:f>IF(85&gt;'10_events'!$K$2703,"",INDEX('10_events'!$H$2:$H$2703,$H86))</x:f>
      </x:c>
      <x:c r="G86" s="16" t="str">
        <x:f>IF(85&gt;'10_events'!$K$2703,"",INDEX('10_events'!$I$2:$I$2703,$H86))</x:f>
      </x:c>
      <x:c r="H86" t="n">
        <x:f>IF(85&gt;'10_events'!$K$2703,0,MATCH(85,'10_events'!$J$2:$J$2703,0))</x:f>
        <x:v>0</x:v>
      </x:c>
    </x:row>
    <x:row r="87" ht="25" customHeight="1">
      <x:c r="A87" t="str">
        <x:f>IF(86&gt;'10_events'!$K$2703,"",INDEX('10_events'!$A$2:$A$2703,$H87))</x:f>
      </x:c>
      <x:c r="B87" t="str">
        <x:f>IF(86&gt;'10_events'!$K$2703,"",INDEX('10_events'!$B$2:$B$2703,$H87))</x:f>
      </x:c>
      <x:c r="C87" t="str">
        <x:f>IF(86&gt;'10_events'!$K$2703,"",INDEX('10_events'!$C$2:$C$2703,$H87))</x:f>
      </x:c>
      <x:c r="D87" t="str">
        <x:f>IF(86&gt;'10_events'!$K$2703,"",INDEX('10_events'!$F$2:$F$2703,$H87))</x:f>
      </x:c>
      <x:c r="E87" t="str">
        <x:f>IF(86&gt;'10_events'!$K$2703,"",INDEX('10_events'!$G$2:$G$2703,$H87))</x:f>
      </x:c>
      <x:c r="F87" t="str">
        <x:f>IF(86&gt;'10_events'!$K$2703,"",INDEX('10_events'!$H$2:$H$2703,$H87))</x:f>
      </x:c>
      <x:c r="G87" s="16" t="str">
        <x:f>IF(86&gt;'10_events'!$K$2703,"",INDEX('10_events'!$I$2:$I$2703,$H87))</x:f>
      </x:c>
      <x:c r="H87" t="n">
        <x:f>IF(86&gt;'10_events'!$K$2703,0,MATCH(86,'10_events'!$J$2:$J$2703,0))</x:f>
        <x:v>0</x:v>
      </x:c>
    </x:row>
    <x:row r="88" ht="25" customHeight="1">
      <x:c r="A88" t="str">
        <x:f>IF(87&gt;'10_events'!$K$2703,"",INDEX('10_events'!$A$2:$A$2703,$H88))</x:f>
      </x:c>
      <x:c r="B88" t="str">
        <x:f>IF(87&gt;'10_events'!$K$2703,"",INDEX('10_events'!$B$2:$B$2703,$H88))</x:f>
      </x:c>
      <x:c r="C88" t="str">
        <x:f>IF(87&gt;'10_events'!$K$2703,"",INDEX('10_events'!$C$2:$C$2703,$H88))</x:f>
      </x:c>
      <x:c r="D88" t="str">
        <x:f>IF(87&gt;'10_events'!$K$2703,"",INDEX('10_events'!$F$2:$F$2703,$H88))</x:f>
      </x:c>
      <x:c r="E88" t="str">
        <x:f>IF(87&gt;'10_events'!$K$2703,"",INDEX('10_events'!$G$2:$G$2703,$H88))</x:f>
      </x:c>
      <x:c r="F88" t="str">
        <x:f>IF(87&gt;'10_events'!$K$2703,"",INDEX('10_events'!$H$2:$H$2703,$H88))</x:f>
      </x:c>
      <x:c r="G88" s="16" t="str">
        <x:f>IF(87&gt;'10_events'!$K$2703,"",INDEX('10_events'!$I$2:$I$2703,$H88))</x:f>
      </x:c>
      <x:c r="H88" t="n">
        <x:f>IF(87&gt;'10_events'!$K$2703,0,MATCH(87,'10_events'!$J$2:$J$2703,0))</x:f>
        <x:v>0</x:v>
      </x:c>
    </x:row>
    <x:row r="89" ht="25" customHeight="1">
      <x:c r="A89" t="str">
        <x:f>IF(88&gt;'10_events'!$K$2703,"",INDEX('10_events'!$A$2:$A$2703,$H89))</x:f>
      </x:c>
      <x:c r="B89" t="str">
        <x:f>IF(88&gt;'10_events'!$K$2703,"",INDEX('10_events'!$B$2:$B$2703,$H89))</x:f>
      </x:c>
      <x:c r="C89" t="str">
        <x:f>IF(88&gt;'10_events'!$K$2703,"",INDEX('10_events'!$C$2:$C$2703,$H89))</x:f>
      </x:c>
      <x:c r="D89" t="str">
        <x:f>IF(88&gt;'10_events'!$K$2703,"",INDEX('10_events'!$F$2:$F$2703,$H89))</x:f>
      </x:c>
      <x:c r="E89" t="str">
        <x:f>IF(88&gt;'10_events'!$K$2703,"",INDEX('10_events'!$G$2:$G$2703,$H89))</x:f>
      </x:c>
      <x:c r="F89" t="str">
        <x:f>IF(88&gt;'10_events'!$K$2703,"",INDEX('10_events'!$H$2:$H$2703,$H89))</x:f>
      </x:c>
      <x:c r="G89" s="16" t="str">
        <x:f>IF(88&gt;'10_events'!$K$2703,"",INDEX('10_events'!$I$2:$I$2703,$H89))</x:f>
      </x:c>
      <x:c r="H89" t="n">
        <x:f>IF(88&gt;'10_events'!$K$2703,0,MATCH(88,'10_events'!$J$2:$J$2703,0))</x:f>
        <x:v>0</x:v>
      </x:c>
    </x:row>
    <x:row r="90" ht="25" customHeight="1">
      <x:c r="A90" t="str">
        <x:f>IF(89&gt;'10_events'!$K$2703,"",INDEX('10_events'!$A$2:$A$2703,$H90))</x:f>
      </x:c>
      <x:c r="B90" t="str">
        <x:f>IF(89&gt;'10_events'!$K$2703,"",INDEX('10_events'!$B$2:$B$2703,$H90))</x:f>
      </x:c>
      <x:c r="C90" t="str">
        <x:f>IF(89&gt;'10_events'!$K$2703,"",INDEX('10_events'!$C$2:$C$2703,$H90))</x:f>
      </x:c>
      <x:c r="D90" t="str">
        <x:f>IF(89&gt;'10_events'!$K$2703,"",INDEX('10_events'!$F$2:$F$2703,$H90))</x:f>
      </x:c>
      <x:c r="E90" t="str">
        <x:f>IF(89&gt;'10_events'!$K$2703,"",INDEX('10_events'!$G$2:$G$2703,$H90))</x:f>
      </x:c>
      <x:c r="F90" t="str">
        <x:f>IF(89&gt;'10_events'!$K$2703,"",INDEX('10_events'!$H$2:$H$2703,$H90))</x:f>
      </x:c>
      <x:c r="G90" s="16" t="str">
        <x:f>IF(89&gt;'10_events'!$K$2703,"",INDEX('10_events'!$I$2:$I$2703,$H90))</x:f>
      </x:c>
      <x:c r="H90" t="n">
        <x:f>IF(89&gt;'10_events'!$K$2703,0,MATCH(89,'10_events'!$J$2:$J$2703,0))</x:f>
        <x:v>0</x:v>
      </x:c>
    </x:row>
    <x:row r="91" ht="25" customHeight="1">
      <x:c r="A91" t="str">
        <x:f>IF(90&gt;'10_events'!$K$2703,"",INDEX('10_events'!$A$2:$A$2703,$H91))</x:f>
      </x:c>
      <x:c r="B91" t="str">
        <x:f>IF(90&gt;'10_events'!$K$2703,"",INDEX('10_events'!$B$2:$B$2703,$H91))</x:f>
      </x:c>
      <x:c r="C91" t="str">
        <x:f>IF(90&gt;'10_events'!$K$2703,"",INDEX('10_events'!$C$2:$C$2703,$H91))</x:f>
      </x:c>
      <x:c r="D91" t="str">
        <x:f>IF(90&gt;'10_events'!$K$2703,"",INDEX('10_events'!$F$2:$F$2703,$H91))</x:f>
      </x:c>
      <x:c r="E91" t="str">
        <x:f>IF(90&gt;'10_events'!$K$2703,"",INDEX('10_events'!$G$2:$G$2703,$H91))</x:f>
      </x:c>
      <x:c r="F91" t="str">
        <x:f>IF(90&gt;'10_events'!$K$2703,"",INDEX('10_events'!$H$2:$H$2703,$H91))</x:f>
      </x:c>
      <x:c r="G91" s="16" t="str">
        <x:f>IF(90&gt;'10_events'!$K$2703,"",INDEX('10_events'!$I$2:$I$2703,$H91))</x:f>
      </x:c>
      <x:c r="H91" t="n">
        <x:f>IF(90&gt;'10_events'!$K$2703,0,MATCH(90,'10_events'!$J$2:$J$2703,0))</x:f>
        <x:v>0</x:v>
      </x:c>
    </x:row>
    <x:row r="92" ht="25" customHeight="1">
      <x:c r="A92" t="str">
        <x:f>IF(91&gt;'10_events'!$K$2703,"",INDEX('10_events'!$A$2:$A$2703,$H92))</x:f>
      </x:c>
      <x:c r="B92" t="str">
        <x:f>IF(91&gt;'10_events'!$K$2703,"",INDEX('10_events'!$B$2:$B$2703,$H92))</x:f>
      </x:c>
      <x:c r="C92" t="str">
        <x:f>IF(91&gt;'10_events'!$K$2703,"",INDEX('10_events'!$C$2:$C$2703,$H92))</x:f>
      </x:c>
      <x:c r="D92" t="str">
        <x:f>IF(91&gt;'10_events'!$K$2703,"",INDEX('10_events'!$F$2:$F$2703,$H92))</x:f>
      </x:c>
      <x:c r="E92" t="str">
        <x:f>IF(91&gt;'10_events'!$K$2703,"",INDEX('10_events'!$G$2:$G$2703,$H92))</x:f>
      </x:c>
      <x:c r="F92" t="str">
        <x:f>IF(91&gt;'10_events'!$K$2703,"",INDEX('10_events'!$H$2:$H$2703,$H92))</x:f>
      </x:c>
      <x:c r="G92" s="16" t="str">
        <x:f>IF(91&gt;'10_events'!$K$2703,"",INDEX('10_events'!$I$2:$I$2703,$H92))</x:f>
      </x:c>
      <x:c r="H92" t="n">
        <x:f>IF(91&gt;'10_events'!$K$2703,0,MATCH(91,'10_events'!$J$2:$J$2703,0))</x:f>
        <x:v>0</x:v>
      </x:c>
    </x:row>
    <x:row r="93" ht="25" customHeight="1">
      <x:c r="A93" t="str">
        <x:f>IF(92&gt;'10_events'!$K$2703,"",INDEX('10_events'!$A$2:$A$2703,$H93))</x:f>
      </x:c>
      <x:c r="B93" t="str">
        <x:f>IF(92&gt;'10_events'!$K$2703,"",INDEX('10_events'!$B$2:$B$2703,$H93))</x:f>
      </x:c>
      <x:c r="C93" t="str">
        <x:f>IF(92&gt;'10_events'!$K$2703,"",INDEX('10_events'!$C$2:$C$2703,$H93))</x:f>
      </x:c>
      <x:c r="D93" t="str">
        <x:f>IF(92&gt;'10_events'!$K$2703,"",INDEX('10_events'!$F$2:$F$2703,$H93))</x:f>
      </x:c>
      <x:c r="E93" t="str">
        <x:f>IF(92&gt;'10_events'!$K$2703,"",INDEX('10_events'!$G$2:$G$2703,$H93))</x:f>
      </x:c>
      <x:c r="F93" t="str">
        <x:f>IF(92&gt;'10_events'!$K$2703,"",INDEX('10_events'!$H$2:$H$2703,$H93))</x:f>
      </x:c>
      <x:c r="G93" s="16" t="str">
        <x:f>IF(92&gt;'10_events'!$K$2703,"",INDEX('10_events'!$I$2:$I$2703,$H93))</x:f>
      </x:c>
      <x:c r="H93" t="n">
        <x:f>IF(92&gt;'10_events'!$K$2703,0,MATCH(92,'10_events'!$J$2:$J$2703,0))</x:f>
        <x:v>0</x:v>
      </x:c>
    </x:row>
    <x:row r="94" ht="25" customHeight="1">
      <x:c r="A94" t="str">
        <x:f>IF(93&gt;'10_events'!$K$2703,"",INDEX('10_events'!$A$2:$A$2703,$H94))</x:f>
      </x:c>
      <x:c r="B94" t="str">
        <x:f>IF(93&gt;'10_events'!$K$2703,"",INDEX('10_events'!$B$2:$B$2703,$H94))</x:f>
      </x:c>
      <x:c r="C94" t="str">
        <x:f>IF(93&gt;'10_events'!$K$2703,"",INDEX('10_events'!$C$2:$C$2703,$H94))</x:f>
      </x:c>
      <x:c r="D94" t="str">
        <x:f>IF(93&gt;'10_events'!$K$2703,"",INDEX('10_events'!$F$2:$F$2703,$H94))</x:f>
      </x:c>
      <x:c r="E94" t="str">
        <x:f>IF(93&gt;'10_events'!$K$2703,"",INDEX('10_events'!$G$2:$G$2703,$H94))</x:f>
      </x:c>
      <x:c r="F94" t="str">
        <x:f>IF(93&gt;'10_events'!$K$2703,"",INDEX('10_events'!$H$2:$H$2703,$H94))</x:f>
      </x:c>
      <x:c r="G94" s="16" t="str">
        <x:f>IF(93&gt;'10_events'!$K$2703,"",INDEX('10_events'!$I$2:$I$2703,$H94))</x:f>
      </x:c>
      <x:c r="H94" t="n">
        <x:f>IF(93&gt;'10_events'!$K$2703,0,MATCH(93,'10_events'!$J$2:$J$2703,0))</x:f>
        <x:v>0</x:v>
      </x:c>
    </x:row>
    <x:row r="95" ht="25" customHeight="1">
      <x:c r="A95" t="str">
        <x:f>IF(94&gt;'10_events'!$K$2703,"",INDEX('10_events'!$A$2:$A$2703,$H95))</x:f>
      </x:c>
      <x:c r="B95" t="str">
        <x:f>IF(94&gt;'10_events'!$K$2703,"",INDEX('10_events'!$B$2:$B$2703,$H95))</x:f>
      </x:c>
      <x:c r="C95" t="str">
        <x:f>IF(94&gt;'10_events'!$K$2703,"",INDEX('10_events'!$C$2:$C$2703,$H95))</x:f>
      </x:c>
      <x:c r="D95" t="str">
        <x:f>IF(94&gt;'10_events'!$K$2703,"",INDEX('10_events'!$F$2:$F$2703,$H95))</x:f>
      </x:c>
      <x:c r="E95" t="str">
        <x:f>IF(94&gt;'10_events'!$K$2703,"",INDEX('10_events'!$G$2:$G$2703,$H95))</x:f>
      </x:c>
      <x:c r="F95" t="str">
        <x:f>IF(94&gt;'10_events'!$K$2703,"",INDEX('10_events'!$H$2:$H$2703,$H95))</x:f>
      </x:c>
      <x:c r="G95" s="16" t="str">
        <x:f>IF(94&gt;'10_events'!$K$2703,"",INDEX('10_events'!$I$2:$I$2703,$H95))</x:f>
      </x:c>
      <x:c r="H95" t="n">
        <x:f>IF(94&gt;'10_events'!$K$2703,0,MATCH(94,'10_events'!$J$2:$J$2703,0))</x:f>
        <x:v>0</x:v>
      </x:c>
    </x:row>
    <x:row r="96" ht="25" customHeight="1">
      <x:c r="A96" t="str">
        <x:f>IF(95&gt;'10_events'!$K$2703,"",INDEX('10_events'!$A$2:$A$2703,$H96))</x:f>
      </x:c>
      <x:c r="B96" t="str">
        <x:f>IF(95&gt;'10_events'!$K$2703,"",INDEX('10_events'!$B$2:$B$2703,$H96))</x:f>
      </x:c>
      <x:c r="C96" t="str">
        <x:f>IF(95&gt;'10_events'!$K$2703,"",INDEX('10_events'!$C$2:$C$2703,$H96))</x:f>
      </x:c>
      <x:c r="D96" t="str">
        <x:f>IF(95&gt;'10_events'!$K$2703,"",INDEX('10_events'!$F$2:$F$2703,$H96))</x:f>
      </x:c>
      <x:c r="E96" t="str">
        <x:f>IF(95&gt;'10_events'!$K$2703,"",INDEX('10_events'!$G$2:$G$2703,$H96))</x:f>
      </x:c>
      <x:c r="F96" t="str">
        <x:f>IF(95&gt;'10_events'!$K$2703,"",INDEX('10_events'!$H$2:$H$2703,$H96))</x:f>
      </x:c>
      <x:c r="G96" s="16" t="str">
        <x:f>IF(95&gt;'10_events'!$K$2703,"",INDEX('10_events'!$I$2:$I$2703,$H96))</x:f>
      </x:c>
      <x:c r="H96" t="n">
        <x:f>IF(95&gt;'10_events'!$K$2703,0,MATCH(95,'10_events'!$J$2:$J$2703,0))</x:f>
        <x:v>0</x:v>
      </x:c>
    </x:row>
    <x:row r="97" ht="25" customHeight="1">
      <x:c r="A97" t="str">
        <x:f>IF(96&gt;'10_events'!$K$2703,"",INDEX('10_events'!$A$2:$A$2703,$H97))</x:f>
      </x:c>
      <x:c r="B97" t="str">
        <x:f>IF(96&gt;'10_events'!$K$2703,"",INDEX('10_events'!$B$2:$B$2703,$H97))</x:f>
      </x:c>
      <x:c r="C97" t="str">
        <x:f>IF(96&gt;'10_events'!$K$2703,"",INDEX('10_events'!$C$2:$C$2703,$H97))</x:f>
      </x:c>
      <x:c r="D97" t="str">
        <x:f>IF(96&gt;'10_events'!$K$2703,"",INDEX('10_events'!$F$2:$F$2703,$H97))</x:f>
      </x:c>
      <x:c r="E97" t="str">
        <x:f>IF(96&gt;'10_events'!$K$2703,"",INDEX('10_events'!$G$2:$G$2703,$H97))</x:f>
      </x:c>
      <x:c r="F97" t="str">
        <x:f>IF(96&gt;'10_events'!$K$2703,"",INDEX('10_events'!$H$2:$H$2703,$H97))</x:f>
      </x:c>
      <x:c r="G97" s="16" t="str">
        <x:f>IF(96&gt;'10_events'!$K$2703,"",INDEX('10_events'!$I$2:$I$2703,$H97))</x:f>
      </x:c>
      <x:c r="H97" t="n">
        <x:f>IF(96&gt;'10_events'!$K$2703,0,MATCH(96,'10_events'!$J$2:$J$2703,0))</x:f>
        <x:v>0</x:v>
      </x:c>
    </x:row>
    <x:row r="98" ht="25" customHeight="1">
      <x:c r="A98" t="str">
        <x:f>IF(97&gt;'10_events'!$K$2703,"",INDEX('10_events'!$A$2:$A$2703,$H98))</x:f>
      </x:c>
      <x:c r="B98" t="str">
        <x:f>IF(97&gt;'10_events'!$K$2703,"",INDEX('10_events'!$B$2:$B$2703,$H98))</x:f>
      </x:c>
      <x:c r="C98" t="str">
        <x:f>IF(97&gt;'10_events'!$K$2703,"",INDEX('10_events'!$C$2:$C$2703,$H98))</x:f>
      </x:c>
      <x:c r="D98" t="str">
        <x:f>IF(97&gt;'10_events'!$K$2703,"",INDEX('10_events'!$F$2:$F$2703,$H98))</x:f>
      </x:c>
      <x:c r="E98" t="str">
        <x:f>IF(97&gt;'10_events'!$K$2703,"",INDEX('10_events'!$G$2:$G$2703,$H98))</x:f>
      </x:c>
      <x:c r="F98" t="str">
        <x:f>IF(97&gt;'10_events'!$K$2703,"",INDEX('10_events'!$H$2:$H$2703,$H98))</x:f>
      </x:c>
      <x:c r="G98" s="16" t="str">
        <x:f>IF(97&gt;'10_events'!$K$2703,"",INDEX('10_events'!$I$2:$I$2703,$H98))</x:f>
      </x:c>
      <x:c r="H98" t="n">
        <x:f>IF(97&gt;'10_events'!$K$2703,0,MATCH(97,'10_events'!$J$2:$J$2703,0))</x:f>
        <x:v>0</x:v>
      </x:c>
    </x:row>
    <x:row r="99" ht="25" customHeight="1">
      <x:c r="A99" t="str">
        <x:f>IF(98&gt;'10_events'!$K$2703,"",INDEX('10_events'!$A$2:$A$2703,$H99))</x:f>
      </x:c>
      <x:c r="B99" t="str">
        <x:f>IF(98&gt;'10_events'!$K$2703,"",INDEX('10_events'!$B$2:$B$2703,$H99))</x:f>
      </x:c>
      <x:c r="C99" t="str">
        <x:f>IF(98&gt;'10_events'!$K$2703,"",INDEX('10_events'!$C$2:$C$2703,$H99))</x:f>
      </x:c>
      <x:c r="D99" t="str">
        <x:f>IF(98&gt;'10_events'!$K$2703,"",INDEX('10_events'!$F$2:$F$2703,$H99))</x:f>
      </x:c>
      <x:c r="E99" t="str">
        <x:f>IF(98&gt;'10_events'!$K$2703,"",INDEX('10_events'!$G$2:$G$2703,$H99))</x:f>
      </x:c>
      <x:c r="F99" t="str">
        <x:f>IF(98&gt;'10_events'!$K$2703,"",INDEX('10_events'!$H$2:$H$2703,$H99))</x:f>
      </x:c>
      <x:c r="G99" s="16" t="str">
        <x:f>IF(98&gt;'10_events'!$K$2703,"",INDEX('10_events'!$I$2:$I$2703,$H99))</x:f>
      </x:c>
      <x:c r="H99" t="n">
        <x:f>IF(98&gt;'10_events'!$K$2703,0,MATCH(98,'10_events'!$J$2:$J$2703,0))</x:f>
        <x:v>0</x:v>
      </x:c>
    </x:row>
    <x:row r="100" ht="25" customHeight="1">
      <x:c r="A100" t="str">
        <x:f>IF(99&gt;'10_events'!$K$2703,"",INDEX('10_events'!$A$2:$A$2703,$H100))</x:f>
      </x:c>
      <x:c r="B100" t="str">
        <x:f>IF(99&gt;'10_events'!$K$2703,"",INDEX('10_events'!$B$2:$B$2703,$H100))</x:f>
      </x:c>
      <x:c r="C100" t="str">
        <x:f>IF(99&gt;'10_events'!$K$2703,"",INDEX('10_events'!$C$2:$C$2703,$H100))</x:f>
      </x:c>
      <x:c r="D100" t="str">
        <x:f>IF(99&gt;'10_events'!$K$2703,"",INDEX('10_events'!$F$2:$F$2703,$H100))</x:f>
      </x:c>
      <x:c r="E100" t="str">
        <x:f>IF(99&gt;'10_events'!$K$2703,"",INDEX('10_events'!$G$2:$G$2703,$H100))</x:f>
      </x:c>
      <x:c r="F100" t="str">
        <x:f>IF(99&gt;'10_events'!$K$2703,"",INDEX('10_events'!$H$2:$H$2703,$H100))</x:f>
      </x:c>
      <x:c r="G100" s="16" t="str">
        <x:f>IF(99&gt;'10_events'!$K$2703,"",INDEX('10_events'!$I$2:$I$2703,$H100))</x:f>
      </x:c>
      <x:c r="H100" t="n">
        <x:f>IF(99&gt;'10_events'!$K$2703,0,MATCH(99,'10_events'!$J$2:$J$2703,0))</x:f>
        <x:v>0</x:v>
      </x:c>
    </x:row>
    <x:row r="101" ht="25" customHeight="1">
      <x:c r="A101" t="str">
        <x:f>IF(100&gt;'10_events'!$K$2703,"",INDEX('10_events'!$A$2:$A$2703,$H101))</x:f>
      </x:c>
      <x:c r="B101" t="str">
        <x:f>IF(100&gt;'10_events'!$K$2703,"",INDEX('10_events'!$B$2:$B$2703,$H101))</x:f>
      </x:c>
      <x:c r="C101" t="str">
        <x:f>IF(100&gt;'10_events'!$K$2703,"",INDEX('10_events'!$C$2:$C$2703,$H101))</x:f>
      </x:c>
      <x:c r="D101" t="str">
        <x:f>IF(100&gt;'10_events'!$K$2703,"",INDEX('10_events'!$F$2:$F$2703,$H101))</x:f>
      </x:c>
      <x:c r="E101" t="str">
        <x:f>IF(100&gt;'10_events'!$K$2703,"",INDEX('10_events'!$G$2:$G$2703,$H101))</x:f>
      </x:c>
      <x:c r="F101" t="str">
        <x:f>IF(100&gt;'10_events'!$K$2703,"",INDEX('10_events'!$H$2:$H$2703,$H101))</x:f>
      </x:c>
      <x:c r="G101" s="16" t="str">
        <x:f>IF(100&gt;'10_events'!$K$2703,"",INDEX('10_events'!$I$2:$I$2703,$H101))</x:f>
      </x:c>
      <x:c r="H101" t="n">
        <x:f>IF(100&gt;'10_events'!$K$2703,0,MATCH(100,'10_events'!$J$2:$J$2703,0))</x:f>
        <x:v>0</x:v>
      </x:c>
    </x:row>
    <x:row r="102" ht="25" customHeight="1">
      <x:c r="A102" t="str">
        <x:f>IF(101&gt;'10_events'!$K$2703,"",INDEX('10_events'!$A$2:$A$2703,$H102))</x:f>
      </x:c>
      <x:c r="B102" t="str">
        <x:f>IF(101&gt;'10_events'!$K$2703,"",INDEX('10_events'!$B$2:$B$2703,$H102))</x:f>
      </x:c>
      <x:c r="C102" t="str">
        <x:f>IF(101&gt;'10_events'!$K$2703,"",INDEX('10_events'!$C$2:$C$2703,$H102))</x:f>
      </x:c>
      <x:c r="D102" t="str">
        <x:f>IF(101&gt;'10_events'!$K$2703,"",INDEX('10_events'!$F$2:$F$2703,$H102))</x:f>
      </x:c>
      <x:c r="E102" t="str">
        <x:f>IF(101&gt;'10_events'!$K$2703,"",INDEX('10_events'!$G$2:$G$2703,$H102))</x:f>
      </x:c>
      <x:c r="F102" t="str">
        <x:f>IF(101&gt;'10_events'!$K$2703,"",INDEX('10_events'!$H$2:$H$2703,$H102))</x:f>
      </x:c>
      <x:c r="G102" s="16" t="str">
        <x:f>IF(101&gt;'10_events'!$K$2703,"",INDEX('10_events'!$I$2:$I$2703,$H102))</x:f>
      </x:c>
      <x:c r="H102" t="n">
        <x:f>IF(101&gt;'10_events'!$K$2703,0,MATCH(101,'10_events'!$J$2:$J$2703,0))</x:f>
        <x:v>0</x:v>
      </x:c>
    </x:row>
    <x:row r="103" ht="25" customHeight="1">
      <x:c r="A103" t="str">
        <x:f>IF(102&gt;'10_events'!$K$2703,"",INDEX('10_events'!$A$2:$A$2703,$H103))</x:f>
      </x:c>
      <x:c r="B103" t="str">
        <x:f>IF(102&gt;'10_events'!$K$2703,"",INDEX('10_events'!$B$2:$B$2703,$H103))</x:f>
      </x:c>
      <x:c r="C103" t="str">
        <x:f>IF(102&gt;'10_events'!$K$2703,"",INDEX('10_events'!$C$2:$C$2703,$H103))</x:f>
      </x:c>
      <x:c r="D103" t="str">
        <x:f>IF(102&gt;'10_events'!$K$2703,"",INDEX('10_events'!$F$2:$F$2703,$H103))</x:f>
      </x:c>
      <x:c r="E103" t="str">
        <x:f>IF(102&gt;'10_events'!$K$2703,"",INDEX('10_events'!$G$2:$G$2703,$H103))</x:f>
      </x:c>
      <x:c r="F103" t="str">
        <x:f>IF(102&gt;'10_events'!$K$2703,"",INDEX('10_events'!$H$2:$H$2703,$H103))</x:f>
      </x:c>
      <x:c r="G103" s="16" t="str">
        <x:f>IF(102&gt;'10_events'!$K$2703,"",INDEX('10_events'!$I$2:$I$2703,$H103))</x:f>
      </x:c>
      <x:c r="H103" t="n">
        <x:f>IF(102&gt;'10_events'!$K$2703,0,MATCH(102,'10_events'!$J$2:$J$2703,0))</x:f>
        <x:v>0</x:v>
      </x:c>
    </x:row>
    <x:row r="104" ht="25" customHeight="1">
      <x:c r="A104" t="str">
        <x:f>IF(103&gt;'10_events'!$K$2703,"",INDEX('10_events'!$A$2:$A$2703,$H104))</x:f>
      </x:c>
      <x:c r="B104" t="str">
        <x:f>IF(103&gt;'10_events'!$K$2703,"",INDEX('10_events'!$B$2:$B$2703,$H104))</x:f>
      </x:c>
      <x:c r="C104" t="str">
        <x:f>IF(103&gt;'10_events'!$K$2703,"",INDEX('10_events'!$C$2:$C$2703,$H104))</x:f>
      </x:c>
      <x:c r="D104" t="str">
        <x:f>IF(103&gt;'10_events'!$K$2703,"",INDEX('10_events'!$F$2:$F$2703,$H104))</x:f>
      </x:c>
      <x:c r="E104" t="str">
        <x:f>IF(103&gt;'10_events'!$K$2703,"",INDEX('10_events'!$G$2:$G$2703,$H104))</x:f>
      </x:c>
      <x:c r="F104" t="str">
        <x:f>IF(103&gt;'10_events'!$K$2703,"",INDEX('10_events'!$H$2:$H$2703,$H104))</x:f>
      </x:c>
      <x:c r="G104" s="16" t="str">
        <x:f>IF(103&gt;'10_events'!$K$2703,"",INDEX('10_events'!$I$2:$I$2703,$H104))</x:f>
      </x:c>
      <x:c r="H104" t="n">
        <x:f>IF(103&gt;'10_events'!$K$2703,0,MATCH(103,'10_events'!$J$2:$J$2703,0))</x:f>
        <x:v>0</x:v>
      </x:c>
    </x:row>
    <x:row r="105" ht="25" customHeight="1">
      <x:c r="A105" t="str">
        <x:f>IF(104&gt;'10_events'!$K$2703,"",INDEX('10_events'!$A$2:$A$2703,$H105))</x:f>
      </x:c>
      <x:c r="B105" t="str">
        <x:f>IF(104&gt;'10_events'!$K$2703,"",INDEX('10_events'!$B$2:$B$2703,$H105))</x:f>
      </x:c>
      <x:c r="C105" t="str">
        <x:f>IF(104&gt;'10_events'!$K$2703,"",INDEX('10_events'!$C$2:$C$2703,$H105))</x:f>
      </x:c>
      <x:c r="D105" t="str">
        <x:f>IF(104&gt;'10_events'!$K$2703,"",INDEX('10_events'!$F$2:$F$2703,$H105))</x:f>
      </x:c>
      <x:c r="E105" t="str">
        <x:f>IF(104&gt;'10_events'!$K$2703,"",INDEX('10_events'!$G$2:$G$2703,$H105))</x:f>
      </x:c>
      <x:c r="F105" t="str">
        <x:f>IF(104&gt;'10_events'!$K$2703,"",INDEX('10_events'!$H$2:$H$2703,$H105))</x:f>
      </x:c>
      <x:c r="G105" s="16" t="str">
        <x:f>IF(104&gt;'10_events'!$K$2703,"",INDEX('10_events'!$I$2:$I$2703,$H105))</x:f>
      </x:c>
      <x:c r="H105" t="n">
        <x:f>IF(104&gt;'10_events'!$K$2703,0,MATCH(104,'10_events'!$J$2:$J$2703,0))</x:f>
        <x:v>0</x:v>
      </x:c>
    </x:row>
    <x:row r="106" ht="25" customHeight="1">
      <x:c r="A106" t="str">
        <x:f>IF(105&gt;'10_events'!$K$2703,"",INDEX('10_events'!$A$2:$A$2703,$H106))</x:f>
      </x:c>
      <x:c r="B106" t="str">
        <x:f>IF(105&gt;'10_events'!$K$2703,"",INDEX('10_events'!$B$2:$B$2703,$H106))</x:f>
      </x:c>
      <x:c r="C106" t="str">
        <x:f>IF(105&gt;'10_events'!$K$2703,"",INDEX('10_events'!$C$2:$C$2703,$H106))</x:f>
      </x:c>
      <x:c r="D106" t="str">
        <x:f>IF(105&gt;'10_events'!$K$2703,"",INDEX('10_events'!$F$2:$F$2703,$H106))</x:f>
      </x:c>
      <x:c r="E106" t="str">
        <x:f>IF(105&gt;'10_events'!$K$2703,"",INDEX('10_events'!$G$2:$G$2703,$H106))</x:f>
      </x:c>
      <x:c r="F106" t="str">
        <x:f>IF(105&gt;'10_events'!$K$2703,"",INDEX('10_events'!$H$2:$H$2703,$H106))</x:f>
      </x:c>
      <x:c r="G106" s="16" t="str">
        <x:f>IF(105&gt;'10_events'!$K$2703,"",INDEX('10_events'!$I$2:$I$2703,$H106))</x:f>
      </x:c>
      <x:c r="H106" t="n">
        <x:f>IF(105&gt;'10_events'!$K$2703,0,MATCH(105,'10_events'!$J$2:$J$2703,0))</x:f>
        <x:v>0</x:v>
      </x:c>
    </x:row>
    <x:row r="107" ht="25" customHeight="1">
      <x:c r="A107" t="str">
        <x:f>IF(106&gt;'10_events'!$K$2703,"",INDEX('10_events'!$A$2:$A$2703,$H107))</x:f>
      </x:c>
      <x:c r="B107" t="str">
        <x:f>IF(106&gt;'10_events'!$K$2703,"",INDEX('10_events'!$B$2:$B$2703,$H107))</x:f>
      </x:c>
      <x:c r="C107" t="str">
        <x:f>IF(106&gt;'10_events'!$K$2703,"",INDEX('10_events'!$C$2:$C$2703,$H107))</x:f>
      </x:c>
      <x:c r="D107" t="str">
        <x:f>IF(106&gt;'10_events'!$K$2703,"",INDEX('10_events'!$F$2:$F$2703,$H107))</x:f>
      </x:c>
      <x:c r="E107" t="str">
        <x:f>IF(106&gt;'10_events'!$K$2703,"",INDEX('10_events'!$G$2:$G$2703,$H107))</x:f>
      </x:c>
      <x:c r="F107" t="str">
        <x:f>IF(106&gt;'10_events'!$K$2703,"",INDEX('10_events'!$H$2:$H$2703,$H107))</x:f>
      </x:c>
      <x:c r="G107" s="16" t="str">
        <x:f>IF(106&gt;'10_events'!$K$2703,"",INDEX('10_events'!$I$2:$I$2703,$H107))</x:f>
      </x:c>
      <x:c r="H107" t="n">
        <x:f>IF(106&gt;'10_events'!$K$2703,0,MATCH(106,'10_events'!$J$2:$J$2703,0))</x:f>
        <x:v>0</x:v>
      </x:c>
    </x:row>
    <x:row r="108" ht="25" customHeight="1">
      <x:c r="A108" t="str">
        <x:f>IF(107&gt;'10_events'!$K$2703,"",INDEX('10_events'!$A$2:$A$2703,$H108))</x:f>
      </x:c>
      <x:c r="B108" t="str">
        <x:f>IF(107&gt;'10_events'!$K$2703,"",INDEX('10_events'!$B$2:$B$2703,$H108))</x:f>
      </x:c>
      <x:c r="C108" t="str">
        <x:f>IF(107&gt;'10_events'!$K$2703,"",INDEX('10_events'!$C$2:$C$2703,$H108))</x:f>
      </x:c>
      <x:c r="D108" t="str">
        <x:f>IF(107&gt;'10_events'!$K$2703,"",INDEX('10_events'!$F$2:$F$2703,$H108))</x:f>
      </x:c>
      <x:c r="E108" t="str">
        <x:f>IF(107&gt;'10_events'!$K$2703,"",INDEX('10_events'!$G$2:$G$2703,$H108))</x:f>
      </x:c>
      <x:c r="F108" t="str">
        <x:f>IF(107&gt;'10_events'!$K$2703,"",INDEX('10_events'!$H$2:$H$2703,$H108))</x:f>
      </x:c>
      <x:c r="G108" s="16" t="str">
        <x:f>IF(107&gt;'10_events'!$K$2703,"",INDEX('10_events'!$I$2:$I$2703,$H108))</x:f>
      </x:c>
      <x:c r="H108" t="n">
        <x:f>IF(107&gt;'10_events'!$K$2703,0,MATCH(107,'10_events'!$J$2:$J$2703,0))</x:f>
        <x:v>0</x:v>
      </x:c>
    </x:row>
    <x:row r="109" ht="25" customHeight="1">
      <x:c r="A109" t="str">
        <x:f>IF(108&gt;'10_events'!$K$2703,"",INDEX('10_events'!$A$2:$A$2703,$H109))</x:f>
      </x:c>
      <x:c r="B109" t="str">
        <x:f>IF(108&gt;'10_events'!$K$2703,"",INDEX('10_events'!$B$2:$B$2703,$H109))</x:f>
      </x:c>
      <x:c r="C109" t="str">
        <x:f>IF(108&gt;'10_events'!$K$2703,"",INDEX('10_events'!$C$2:$C$2703,$H109))</x:f>
      </x:c>
      <x:c r="D109" t="str">
        <x:f>IF(108&gt;'10_events'!$K$2703,"",INDEX('10_events'!$F$2:$F$2703,$H109))</x:f>
      </x:c>
      <x:c r="E109" t="str">
        <x:f>IF(108&gt;'10_events'!$K$2703,"",INDEX('10_events'!$G$2:$G$2703,$H109))</x:f>
      </x:c>
      <x:c r="F109" t="str">
        <x:f>IF(108&gt;'10_events'!$K$2703,"",INDEX('10_events'!$H$2:$H$2703,$H109))</x:f>
      </x:c>
      <x:c r="G109" s="16" t="str">
        <x:f>IF(108&gt;'10_events'!$K$2703,"",INDEX('10_events'!$I$2:$I$2703,$H109))</x:f>
      </x:c>
      <x:c r="H109" t="n">
        <x:f>IF(108&gt;'10_events'!$K$2703,0,MATCH(108,'10_events'!$J$2:$J$2703,0))</x:f>
        <x:v>0</x:v>
      </x:c>
    </x:row>
    <x:row r="110" ht="25" customHeight="1">
      <x:c r="A110" t="str">
        <x:f>IF(109&gt;'10_events'!$K$2703,"",INDEX('10_events'!$A$2:$A$2703,$H110))</x:f>
      </x:c>
      <x:c r="B110" t="str">
        <x:f>IF(109&gt;'10_events'!$K$2703,"",INDEX('10_events'!$B$2:$B$2703,$H110))</x:f>
      </x:c>
      <x:c r="C110" t="str">
        <x:f>IF(109&gt;'10_events'!$K$2703,"",INDEX('10_events'!$C$2:$C$2703,$H110))</x:f>
      </x:c>
      <x:c r="D110" t="str">
        <x:f>IF(109&gt;'10_events'!$K$2703,"",INDEX('10_events'!$F$2:$F$2703,$H110))</x:f>
      </x:c>
      <x:c r="E110" t="str">
        <x:f>IF(109&gt;'10_events'!$K$2703,"",INDEX('10_events'!$G$2:$G$2703,$H110))</x:f>
      </x:c>
      <x:c r="F110" t="str">
        <x:f>IF(109&gt;'10_events'!$K$2703,"",INDEX('10_events'!$H$2:$H$2703,$H110))</x:f>
      </x:c>
      <x:c r="G110" s="16" t="str">
        <x:f>IF(109&gt;'10_events'!$K$2703,"",INDEX('10_events'!$I$2:$I$2703,$H110))</x:f>
      </x:c>
      <x:c r="H110" t="n">
        <x:f>IF(109&gt;'10_events'!$K$2703,0,MATCH(109,'10_events'!$J$2:$J$2703,0))</x:f>
        <x:v>0</x:v>
      </x:c>
    </x:row>
    <x:row r="111" ht="25" customHeight="1">
      <x:c r="A111" t="str">
        <x:f>IF(110&gt;'10_events'!$K$2703,"",INDEX('10_events'!$A$2:$A$2703,$H111))</x:f>
      </x:c>
      <x:c r="B111" t="str">
        <x:f>IF(110&gt;'10_events'!$K$2703,"",INDEX('10_events'!$B$2:$B$2703,$H111))</x:f>
      </x:c>
      <x:c r="C111" t="str">
        <x:f>IF(110&gt;'10_events'!$K$2703,"",INDEX('10_events'!$C$2:$C$2703,$H111))</x:f>
      </x:c>
      <x:c r="D111" t="str">
        <x:f>IF(110&gt;'10_events'!$K$2703,"",INDEX('10_events'!$F$2:$F$2703,$H111))</x:f>
      </x:c>
      <x:c r="E111" t="str">
        <x:f>IF(110&gt;'10_events'!$K$2703,"",INDEX('10_events'!$G$2:$G$2703,$H111))</x:f>
      </x:c>
      <x:c r="F111" t="str">
        <x:f>IF(110&gt;'10_events'!$K$2703,"",INDEX('10_events'!$H$2:$H$2703,$H111))</x:f>
      </x:c>
      <x:c r="G111" s="16" t="str">
        <x:f>IF(110&gt;'10_events'!$K$2703,"",INDEX('10_events'!$I$2:$I$2703,$H111))</x:f>
      </x:c>
      <x:c r="H111" t="n">
        <x:f>IF(110&gt;'10_events'!$K$2703,0,MATCH(110,'10_events'!$J$2:$J$2703,0))</x:f>
        <x:v>0</x:v>
      </x:c>
    </x:row>
    <x:row r="112" ht="25" customHeight="1">
      <x:c r="A112" t="str">
        <x:f>IF(111&gt;'10_events'!$K$2703,"",INDEX('10_events'!$A$2:$A$2703,$H112))</x:f>
      </x:c>
      <x:c r="B112" t="str">
        <x:f>IF(111&gt;'10_events'!$K$2703,"",INDEX('10_events'!$B$2:$B$2703,$H112))</x:f>
      </x:c>
      <x:c r="C112" t="str">
        <x:f>IF(111&gt;'10_events'!$K$2703,"",INDEX('10_events'!$C$2:$C$2703,$H112))</x:f>
      </x:c>
      <x:c r="D112" t="str">
        <x:f>IF(111&gt;'10_events'!$K$2703,"",INDEX('10_events'!$F$2:$F$2703,$H112))</x:f>
      </x:c>
      <x:c r="E112" t="str">
        <x:f>IF(111&gt;'10_events'!$K$2703,"",INDEX('10_events'!$G$2:$G$2703,$H112))</x:f>
      </x:c>
      <x:c r="F112" t="str">
        <x:f>IF(111&gt;'10_events'!$K$2703,"",INDEX('10_events'!$H$2:$H$2703,$H112))</x:f>
      </x:c>
      <x:c r="G112" s="16" t="str">
        <x:f>IF(111&gt;'10_events'!$K$2703,"",INDEX('10_events'!$I$2:$I$2703,$H112))</x:f>
      </x:c>
      <x:c r="H112" t="n">
        <x:f>IF(111&gt;'10_events'!$K$2703,0,MATCH(111,'10_events'!$J$2:$J$2703,0))</x:f>
        <x:v>0</x:v>
      </x:c>
    </x:row>
    <x:row r="113" ht="25" customHeight="1">
      <x:c r="A113" t="str">
        <x:f>IF(112&gt;'10_events'!$K$2703,"",INDEX('10_events'!$A$2:$A$2703,$H113))</x:f>
      </x:c>
      <x:c r="B113" t="str">
        <x:f>IF(112&gt;'10_events'!$K$2703,"",INDEX('10_events'!$B$2:$B$2703,$H113))</x:f>
      </x:c>
      <x:c r="C113" t="str">
        <x:f>IF(112&gt;'10_events'!$K$2703,"",INDEX('10_events'!$C$2:$C$2703,$H113))</x:f>
      </x:c>
      <x:c r="D113" t="str">
        <x:f>IF(112&gt;'10_events'!$K$2703,"",INDEX('10_events'!$F$2:$F$2703,$H113))</x:f>
      </x:c>
      <x:c r="E113" t="str">
        <x:f>IF(112&gt;'10_events'!$K$2703,"",INDEX('10_events'!$G$2:$G$2703,$H113))</x:f>
      </x:c>
      <x:c r="F113" t="str">
        <x:f>IF(112&gt;'10_events'!$K$2703,"",INDEX('10_events'!$H$2:$H$2703,$H113))</x:f>
      </x:c>
      <x:c r="G113" s="16" t="str">
        <x:f>IF(112&gt;'10_events'!$K$2703,"",INDEX('10_events'!$I$2:$I$2703,$H113))</x:f>
      </x:c>
      <x:c r="H113" t="n">
        <x:f>IF(112&gt;'10_events'!$K$2703,0,MATCH(112,'10_events'!$J$2:$J$2703,0))</x:f>
        <x:v>0</x:v>
      </x:c>
    </x:row>
    <x:row r="114" ht="25" customHeight="1">
      <x:c r="A114" t="str">
        <x:f>IF(113&gt;'10_events'!$K$2703,"",INDEX('10_events'!$A$2:$A$2703,$H114))</x:f>
      </x:c>
      <x:c r="B114" t="str">
        <x:f>IF(113&gt;'10_events'!$K$2703,"",INDEX('10_events'!$B$2:$B$2703,$H114))</x:f>
      </x:c>
      <x:c r="C114" t="str">
        <x:f>IF(113&gt;'10_events'!$K$2703,"",INDEX('10_events'!$C$2:$C$2703,$H114))</x:f>
      </x:c>
      <x:c r="D114" t="str">
        <x:f>IF(113&gt;'10_events'!$K$2703,"",INDEX('10_events'!$F$2:$F$2703,$H114))</x:f>
      </x:c>
      <x:c r="E114" t="str">
        <x:f>IF(113&gt;'10_events'!$K$2703,"",INDEX('10_events'!$G$2:$G$2703,$H114))</x:f>
      </x:c>
      <x:c r="F114" t="str">
        <x:f>IF(113&gt;'10_events'!$K$2703,"",INDEX('10_events'!$H$2:$H$2703,$H114))</x:f>
      </x:c>
      <x:c r="G114" s="16" t="str">
        <x:f>IF(113&gt;'10_events'!$K$2703,"",INDEX('10_events'!$I$2:$I$2703,$H114))</x:f>
      </x:c>
      <x:c r="H114" t="n">
        <x:f>IF(113&gt;'10_events'!$K$2703,0,MATCH(113,'10_events'!$J$2:$J$2703,0))</x:f>
        <x:v>0</x:v>
      </x:c>
    </x:row>
    <x:row r="115" ht="25" customHeight="1">
      <x:c r="A115" t="str">
        <x:f>IF(114&gt;'10_events'!$K$2703,"",INDEX('10_events'!$A$2:$A$2703,$H115))</x:f>
      </x:c>
      <x:c r="B115" t="str">
        <x:f>IF(114&gt;'10_events'!$K$2703,"",INDEX('10_events'!$B$2:$B$2703,$H115))</x:f>
      </x:c>
      <x:c r="C115" t="str">
        <x:f>IF(114&gt;'10_events'!$K$2703,"",INDEX('10_events'!$C$2:$C$2703,$H115))</x:f>
      </x:c>
      <x:c r="D115" t="str">
        <x:f>IF(114&gt;'10_events'!$K$2703,"",INDEX('10_events'!$F$2:$F$2703,$H115))</x:f>
      </x:c>
      <x:c r="E115" t="str">
        <x:f>IF(114&gt;'10_events'!$K$2703,"",INDEX('10_events'!$G$2:$G$2703,$H115))</x:f>
      </x:c>
      <x:c r="F115" t="str">
        <x:f>IF(114&gt;'10_events'!$K$2703,"",INDEX('10_events'!$H$2:$H$2703,$H115))</x:f>
      </x:c>
      <x:c r="G115" s="16" t="str">
        <x:f>IF(114&gt;'10_events'!$K$2703,"",INDEX('10_events'!$I$2:$I$2703,$H115))</x:f>
      </x:c>
      <x:c r="H115" t="n">
        <x:f>IF(114&gt;'10_events'!$K$2703,0,MATCH(114,'10_events'!$J$2:$J$2703,0))</x:f>
        <x:v>0</x:v>
      </x:c>
    </x:row>
    <x:row r="116" ht="25" customHeight="1">
      <x:c r="A116" t="str">
        <x:f>IF(115&gt;'10_events'!$K$2703,"",INDEX('10_events'!$A$2:$A$2703,$H116))</x:f>
      </x:c>
      <x:c r="B116" t="str">
        <x:f>IF(115&gt;'10_events'!$K$2703,"",INDEX('10_events'!$B$2:$B$2703,$H116))</x:f>
      </x:c>
      <x:c r="C116" t="str">
        <x:f>IF(115&gt;'10_events'!$K$2703,"",INDEX('10_events'!$C$2:$C$2703,$H116))</x:f>
      </x:c>
      <x:c r="D116" t="str">
        <x:f>IF(115&gt;'10_events'!$K$2703,"",INDEX('10_events'!$F$2:$F$2703,$H116))</x:f>
      </x:c>
      <x:c r="E116" t="str">
        <x:f>IF(115&gt;'10_events'!$K$2703,"",INDEX('10_events'!$G$2:$G$2703,$H116))</x:f>
      </x:c>
      <x:c r="F116" t="str">
        <x:f>IF(115&gt;'10_events'!$K$2703,"",INDEX('10_events'!$H$2:$H$2703,$H116))</x:f>
      </x:c>
      <x:c r="G116" s="16" t="str">
        <x:f>IF(115&gt;'10_events'!$K$2703,"",INDEX('10_events'!$I$2:$I$2703,$H116))</x:f>
      </x:c>
      <x:c r="H116" t="n">
        <x:f>IF(115&gt;'10_events'!$K$2703,0,MATCH(115,'10_events'!$J$2:$J$2703,0))</x:f>
        <x:v>0</x:v>
      </x:c>
    </x:row>
    <x:row r="117" ht="25" customHeight="1">
      <x:c r="A117" t="str">
        <x:f>IF(116&gt;'10_events'!$K$2703,"",INDEX('10_events'!$A$2:$A$2703,$H117))</x:f>
      </x:c>
      <x:c r="B117" t="str">
        <x:f>IF(116&gt;'10_events'!$K$2703,"",INDEX('10_events'!$B$2:$B$2703,$H117))</x:f>
      </x:c>
      <x:c r="C117" t="str">
        <x:f>IF(116&gt;'10_events'!$K$2703,"",INDEX('10_events'!$C$2:$C$2703,$H117))</x:f>
      </x:c>
      <x:c r="D117" t="str">
        <x:f>IF(116&gt;'10_events'!$K$2703,"",INDEX('10_events'!$F$2:$F$2703,$H117))</x:f>
      </x:c>
      <x:c r="E117" t="str">
        <x:f>IF(116&gt;'10_events'!$K$2703,"",INDEX('10_events'!$G$2:$G$2703,$H117))</x:f>
      </x:c>
      <x:c r="F117" t="str">
        <x:f>IF(116&gt;'10_events'!$K$2703,"",INDEX('10_events'!$H$2:$H$2703,$H117))</x:f>
      </x:c>
      <x:c r="G117" s="16" t="str">
        <x:f>IF(116&gt;'10_events'!$K$2703,"",INDEX('10_events'!$I$2:$I$2703,$H117))</x:f>
      </x:c>
      <x:c r="H117" t="n">
        <x:f>IF(116&gt;'10_events'!$K$2703,0,MATCH(116,'10_events'!$J$2:$J$2703,0))</x:f>
        <x:v>0</x:v>
      </x:c>
    </x:row>
    <x:row r="118" ht="25" customHeight="1">
      <x:c r="A118" t="str">
        <x:f>IF(117&gt;'10_events'!$K$2703,"",INDEX('10_events'!$A$2:$A$2703,$H118))</x:f>
      </x:c>
      <x:c r="B118" t="str">
        <x:f>IF(117&gt;'10_events'!$K$2703,"",INDEX('10_events'!$B$2:$B$2703,$H118))</x:f>
      </x:c>
      <x:c r="C118" t="str">
        <x:f>IF(117&gt;'10_events'!$K$2703,"",INDEX('10_events'!$C$2:$C$2703,$H118))</x:f>
      </x:c>
      <x:c r="D118" t="str">
        <x:f>IF(117&gt;'10_events'!$K$2703,"",INDEX('10_events'!$F$2:$F$2703,$H118))</x:f>
      </x:c>
      <x:c r="E118" t="str">
        <x:f>IF(117&gt;'10_events'!$K$2703,"",INDEX('10_events'!$G$2:$G$2703,$H118))</x:f>
      </x:c>
      <x:c r="F118" t="str">
        <x:f>IF(117&gt;'10_events'!$K$2703,"",INDEX('10_events'!$H$2:$H$2703,$H118))</x:f>
      </x:c>
      <x:c r="G118" s="16" t="str">
        <x:f>IF(117&gt;'10_events'!$K$2703,"",INDEX('10_events'!$I$2:$I$2703,$H118))</x:f>
      </x:c>
      <x:c r="H118" t="n">
        <x:f>IF(117&gt;'10_events'!$K$2703,0,MATCH(117,'10_events'!$J$2:$J$2703,0))</x:f>
        <x:v>0</x:v>
      </x:c>
    </x:row>
    <x:row r="119" ht="25" customHeight="1">
      <x:c r="A119" t="str">
        <x:f>IF(118&gt;'10_events'!$K$2703,"",INDEX('10_events'!$A$2:$A$2703,$H119))</x:f>
      </x:c>
      <x:c r="B119" t="str">
        <x:f>IF(118&gt;'10_events'!$K$2703,"",INDEX('10_events'!$B$2:$B$2703,$H119))</x:f>
      </x:c>
      <x:c r="C119" t="str">
        <x:f>IF(118&gt;'10_events'!$K$2703,"",INDEX('10_events'!$C$2:$C$2703,$H119))</x:f>
      </x:c>
      <x:c r="D119" t="str">
        <x:f>IF(118&gt;'10_events'!$K$2703,"",INDEX('10_events'!$F$2:$F$2703,$H119))</x:f>
      </x:c>
      <x:c r="E119" t="str">
        <x:f>IF(118&gt;'10_events'!$K$2703,"",INDEX('10_events'!$G$2:$G$2703,$H119))</x:f>
      </x:c>
      <x:c r="F119" t="str">
        <x:f>IF(118&gt;'10_events'!$K$2703,"",INDEX('10_events'!$H$2:$H$2703,$H119))</x:f>
      </x:c>
      <x:c r="G119" s="16" t="str">
        <x:f>IF(118&gt;'10_events'!$K$2703,"",INDEX('10_events'!$I$2:$I$2703,$H119))</x:f>
      </x:c>
      <x:c r="H119" t="n">
        <x:f>IF(118&gt;'10_events'!$K$2703,0,MATCH(118,'10_events'!$J$2:$J$2703,0))</x:f>
        <x:v>0</x:v>
      </x:c>
    </x:row>
    <x:row r="120" ht="25" customHeight="1">
      <x:c r="A120" t="str">
        <x:f>IF(119&gt;'10_events'!$K$2703,"",INDEX('10_events'!$A$2:$A$2703,$H120))</x:f>
      </x:c>
      <x:c r="B120" t="str">
        <x:f>IF(119&gt;'10_events'!$K$2703,"",INDEX('10_events'!$B$2:$B$2703,$H120))</x:f>
      </x:c>
      <x:c r="C120" t="str">
        <x:f>IF(119&gt;'10_events'!$K$2703,"",INDEX('10_events'!$C$2:$C$2703,$H120))</x:f>
      </x:c>
      <x:c r="D120" t="str">
        <x:f>IF(119&gt;'10_events'!$K$2703,"",INDEX('10_events'!$F$2:$F$2703,$H120))</x:f>
      </x:c>
      <x:c r="E120" t="str">
        <x:f>IF(119&gt;'10_events'!$K$2703,"",INDEX('10_events'!$G$2:$G$2703,$H120))</x:f>
      </x:c>
      <x:c r="F120" t="str">
        <x:f>IF(119&gt;'10_events'!$K$2703,"",INDEX('10_events'!$H$2:$H$2703,$H120))</x:f>
      </x:c>
      <x:c r="G120" s="16" t="str">
        <x:f>IF(119&gt;'10_events'!$K$2703,"",INDEX('10_events'!$I$2:$I$2703,$H120))</x:f>
      </x:c>
      <x:c r="H120" t="n">
        <x:f>IF(119&gt;'10_events'!$K$2703,0,MATCH(119,'10_events'!$J$2:$J$2703,0))</x:f>
        <x:v>0</x:v>
      </x:c>
    </x:row>
    <x:row r="121" ht="25" customHeight="1">
      <x:c r="A121" t="str">
        <x:f>IF(120&gt;'10_events'!$K$2703,"",INDEX('10_events'!$A$2:$A$2703,$H121))</x:f>
      </x:c>
      <x:c r="B121" t="str">
        <x:f>IF(120&gt;'10_events'!$K$2703,"",INDEX('10_events'!$B$2:$B$2703,$H121))</x:f>
      </x:c>
      <x:c r="C121" t="str">
        <x:f>IF(120&gt;'10_events'!$K$2703,"",INDEX('10_events'!$C$2:$C$2703,$H121))</x:f>
      </x:c>
      <x:c r="D121" t="str">
        <x:f>IF(120&gt;'10_events'!$K$2703,"",INDEX('10_events'!$F$2:$F$2703,$H121))</x:f>
      </x:c>
      <x:c r="E121" t="str">
        <x:f>IF(120&gt;'10_events'!$K$2703,"",INDEX('10_events'!$G$2:$G$2703,$H121))</x:f>
      </x:c>
      <x:c r="F121" t="str">
        <x:f>IF(120&gt;'10_events'!$K$2703,"",INDEX('10_events'!$H$2:$H$2703,$H121))</x:f>
      </x:c>
      <x:c r="G121" s="16" t="str">
        <x:f>IF(120&gt;'10_events'!$K$2703,"",INDEX('10_events'!$I$2:$I$2703,$H121))</x:f>
      </x:c>
      <x:c r="H121" t="n">
        <x:f>IF(120&gt;'10_events'!$K$2703,0,MATCH(120,'10_events'!$J$2:$J$2703,0))</x:f>
        <x:v>0</x:v>
      </x:c>
    </x:row>
    <x:row r="122" ht="25" customHeight="1">
      <x:c r="A122" t="str">
        <x:f>IF(121&gt;'10_events'!$K$2703,"",INDEX('10_events'!$A$2:$A$2703,$H122))</x:f>
      </x:c>
      <x:c r="B122" t="str">
        <x:f>IF(121&gt;'10_events'!$K$2703,"",INDEX('10_events'!$B$2:$B$2703,$H122))</x:f>
      </x:c>
      <x:c r="C122" t="str">
        <x:f>IF(121&gt;'10_events'!$K$2703,"",INDEX('10_events'!$C$2:$C$2703,$H122))</x:f>
      </x:c>
      <x:c r="D122" t="str">
        <x:f>IF(121&gt;'10_events'!$K$2703,"",INDEX('10_events'!$F$2:$F$2703,$H122))</x:f>
      </x:c>
      <x:c r="E122" t="str">
        <x:f>IF(121&gt;'10_events'!$K$2703,"",INDEX('10_events'!$G$2:$G$2703,$H122))</x:f>
      </x:c>
      <x:c r="F122" t="str">
        <x:f>IF(121&gt;'10_events'!$K$2703,"",INDEX('10_events'!$H$2:$H$2703,$H122))</x:f>
      </x:c>
      <x:c r="G122" s="16" t="str">
        <x:f>IF(121&gt;'10_events'!$K$2703,"",INDEX('10_events'!$I$2:$I$2703,$H122))</x:f>
      </x:c>
      <x:c r="H122" t="n">
        <x:f>IF(121&gt;'10_events'!$K$2703,0,MATCH(121,'10_events'!$J$2:$J$2703,0))</x:f>
        <x:v>0</x:v>
      </x:c>
    </x:row>
    <x:row r="123" ht="25" customHeight="1">
      <x:c r="A123" t="str">
        <x:f>IF(122&gt;'10_events'!$K$2703,"",INDEX('10_events'!$A$2:$A$2703,$H123))</x:f>
      </x:c>
      <x:c r="B123" t="str">
        <x:f>IF(122&gt;'10_events'!$K$2703,"",INDEX('10_events'!$B$2:$B$2703,$H123))</x:f>
      </x:c>
      <x:c r="C123" t="str">
        <x:f>IF(122&gt;'10_events'!$K$2703,"",INDEX('10_events'!$C$2:$C$2703,$H123))</x:f>
      </x:c>
      <x:c r="D123" t="str">
        <x:f>IF(122&gt;'10_events'!$K$2703,"",INDEX('10_events'!$F$2:$F$2703,$H123))</x:f>
      </x:c>
      <x:c r="E123" t="str">
        <x:f>IF(122&gt;'10_events'!$K$2703,"",INDEX('10_events'!$G$2:$G$2703,$H123))</x:f>
      </x:c>
      <x:c r="F123" t="str">
        <x:f>IF(122&gt;'10_events'!$K$2703,"",INDEX('10_events'!$H$2:$H$2703,$H123))</x:f>
      </x:c>
      <x:c r="G123" s="16" t="str">
        <x:f>IF(122&gt;'10_events'!$K$2703,"",INDEX('10_events'!$I$2:$I$2703,$H123))</x:f>
      </x:c>
      <x:c r="H123" t="n">
        <x:f>IF(122&gt;'10_events'!$K$2703,0,MATCH(122,'10_events'!$J$2:$J$2703,0))</x:f>
        <x:v>0</x:v>
      </x:c>
    </x:row>
    <x:row r="124" ht="25" customHeight="1">
      <x:c r="A124" t="str">
        <x:f>IF(123&gt;'10_events'!$K$2703,"",INDEX('10_events'!$A$2:$A$2703,$H124))</x:f>
      </x:c>
      <x:c r="B124" t="str">
        <x:f>IF(123&gt;'10_events'!$K$2703,"",INDEX('10_events'!$B$2:$B$2703,$H124))</x:f>
      </x:c>
      <x:c r="C124" t="str">
        <x:f>IF(123&gt;'10_events'!$K$2703,"",INDEX('10_events'!$C$2:$C$2703,$H124))</x:f>
      </x:c>
      <x:c r="D124" t="str">
        <x:f>IF(123&gt;'10_events'!$K$2703,"",INDEX('10_events'!$F$2:$F$2703,$H124))</x:f>
      </x:c>
      <x:c r="E124" t="str">
        <x:f>IF(123&gt;'10_events'!$K$2703,"",INDEX('10_events'!$G$2:$G$2703,$H124))</x:f>
      </x:c>
      <x:c r="F124" t="str">
        <x:f>IF(123&gt;'10_events'!$K$2703,"",INDEX('10_events'!$H$2:$H$2703,$H124))</x:f>
      </x:c>
      <x:c r="G124" s="16" t="str">
        <x:f>IF(123&gt;'10_events'!$K$2703,"",INDEX('10_events'!$I$2:$I$2703,$H124))</x:f>
      </x:c>
      <x:c r="H124" t="n">
        <x:f>IF(123&gt;'10_events'!$K$2703,0,MATCH(123,'10_events'!$J$2:$J$2703,0))</x:f>
        <x:v>0</x:v>
      </x:c>
    </x:row>
    <x:row r="125" ht="25" customHeight="1">
      <x:c r="A125" t="str">
        <x:f>IF(124&gt;'10_events'!$K$2703,"",INDEX('10_events'!$A$2:$A$2703,$H125))</x:f>
      </x:c>
      <x:c r="B125" t="str">
        <x:f>IF(124&gt;'10_events'!$K$2703,"",INDEX('10_events'!$B$2:$B$2703,$H125))</x:f>
      </x:c>
      <x:c r="C125" t="str">
        <x:f>IF(124&gt;'10_events'!$K$2703,"",INDEX('10_events'!$C$2:$C$2703,$H125))</x:f>
      </x:c>
      <x:c r="D125" t="str">
        <x:f>IF(124&gt;'10_events'!$K$2703,"",INDEX('10_events'!$F$2:$F$2703,$H125))</x:f>
      </x:c>
      <x:c r="E125" t="str">
        <x:f>IF(124&gt;'10_events'!$K$2703,"",INDEX('10_events'!$G$2:$G$2703,$H125))</x:f>
      </x:c>
      <x:c r="F125" t="str">
        <x:f>IF(124&gt;'10_events'!$K$2703,"",INDEX('10_events'!$H$2:$H$2703,$H125))</x:f>
      </x:c>
      <x:c r="G125" s="16" t="str">
        <x:f>IF(124&gt;'10_events'!$K$2703,"",INDEX('10_events'!$I$2:$I$2703,$H125))</x:f>
      </x:c>
      <x:c r="H125" t="n">
        <x:f>IF(124&gt;'10_events'!$K$2703,0,MATCH(124,'10_events'!$J$2:$J$2703,0))</x:f>
        <x:v>0</x:v>
      </x:c>
    </x:row>
    <x:row r="126" ht="25" customHeight="1">
      <x:c r="A126" t="str">
        <x:f>IF(125&gt;'10_events'!$K$2703,"",INDEX('10_events'!$A$2:$A$2703,$H126))</x:f>
      </x:c>
      <x:c r="B126" t="str">
        <x:f>IF(125&gt;'10_events'!$K$2703,"",INDEX('10_events'!$B$2:$B$2703,$H126))</x:f>
      </x:c>
      <x:c r="C126" t="str">
        <x:f>IF(125&gt;'10_events'!$K$2703,"",INDEX('10_events'!$C$2:$C$2703,$H126))</x:f>
      </x:c>
      <x:c r="D126" t="str">
        <x:f>IF(125&gt;'10_events'!$K$2703,"",INDEX('10_events'!$F$2:$F$2703,$H126))</x:f>
      </x:c>
      <x:c r="E126" t="str">
        <x:f>IF(125&gt;'10_events'!$K$2703,"",INDEX('10_events'!$G$2:$G$2703,$H126))</x:f>
      </x:c>
      <x:c r="F126" t="str">
        <x:f>IF(125&gt;'10_events'!$K$2703,"",INDEX('10_events'!$H$2:$H$2703,$H126))</x:f>
      </x:c>
      <x:c r="G126" s="16" t="str">
        <x:f>IF(125&gt;'10_events'!$K$2703,"",INDEX('10_events'!$I$2:$I$2703,$H126))</x:f>
      </x:c>
      <x:c r="H126" t="n">
        <x:f>IF(125&gt;'10_events'!$K$2703,0,MATCH(125,'10_events'!$J$2:$J$2703,0))</x:f>
        <x:v>0</x:v>
      </x:c>
    </x:row>
    <x:row r="127" ht="25" customHeight="1">
      <x:c r="A127" t="str">
        <x:f>IF(126&gt;'10_events'!$K$2703,"",INDEX('10_events'!$A$2:$A$2703,$H127))</x:f>
      </x:c>
      <x:c r="B127" t="str">
        <x:f>IF(126&gt;'10_events'!$K$2703,"",INDEX('10_events'!$B$2:$B$2703,$H127))</x:f>
      </x:c>
      <x:c r="C127" t="str">
        <x:f>IF(126&gt;'10_events'!$K$2703,"",INDEX('10_events'!$C$2:$C$2703,$H127))</x:f>
      </x:c>
      <x:c r="D127" t="str">
        <x:f>IF(126&gt;'10_events'!$K$2703,"",INDEX('10_events'!$F$2:$F$2703,$H127))</x:f>
      </x:c>
      <x:c r="E127" t="str">
        <x:f>IF(126&gt;'10_events'!$K$2703,"",INDEX('10_events'!$G$2:$G$2703,$H127))</x:f>
      </x:c>
      <x:c r="F127" t="str">
        <x:f>IF(126&gt;'10_events'!$K$2703,"",INDEX('10_events'!$H$2:$H$2703,$H127))</x:f>
      </x:c>
      <x:c r="G127" s="16" t="str">
        <x:f>IF(126&gt;'10_events'!$K$2703,"",INDEX('10_events'!$I$2:$I$2703,$H127))</x:f>
      </x:c>
      <x:c r="H127" t="n">
        <x:f>IF(126&gt;'10_events'!$K$2703,0,MATCH(126,'10_events'!$J$2:$J$2703,0))</x:f>
        <x:v>0</x:v>
      </x:c>
    </x:row>
    <x:row r="128" ht="25" customHeight="1">
      <x:c r="A128" t="str">
        <x:f>IF(127&gt;'10_events'!$K$2703,"",INDEX('10_events'!$A$2:$A$2703,$H128))</x:f>
      </x:c>
      <x:c r="B128" t="str">
        <x:f>IF(127&gt;'10_events'!$K$2703,"",INDEX('10_events'!$B$2:$B$2703,$H128))</x:f>
      </x:c>
      <x:c r="C128" t="str">
        <x:f>IF(127&gt;'10_events'!$K$2703,"",INDEX('10_events'!$C$2:$C$2703,$H128))</x:f>
      </x:c>
      <x:c r="D128" t="str">
        <x:f>IF(127&gt;'10_events'!$K$2703,"",INDEX('10_events'!$F$2:$F$2703,$H128))</x:f>
      </x:c>
      <x:c r="E128" t="str">
        <x:f>IF(127&gt;'10_events'!$K$2703,"",INDEX('10_events'!$G$2:$G$2703,$H128))</x:f>
      </x:c>
      <x:c r="F128" t="str">
        <x:f>IF(127&gt;'10_events'!$K$2703,"",INDEX('10_events'!$H$2:$H$2703,$H128))</x:f>
      </x:c>
      <x:c r="G128" s="16" t="str">
        <x:f>IF(127&gt;'10_events'!$K$2703,"",INDEX('10_events'!$I$2:$I$2703,$H128))</x:f>
      </x:c>
      <x:c r="H128" t="n">
        <x:f>IF(127&gt;'10_events'!$K$2703,0,MATCH(127,'10_events'!$J$2:$J$2703,0))</x:f>
        <x:v>0</x:v>
      </x:c>
    </x:row>
    <x:row r="129" ht="25" customHeight="1">
      <x:c r="A129" t="str">
        <x:f>IF(128&gt;'10_events'!$K$2703,"",INDEX('10_events'!$A$2:$A$2703,$H129))</x:f>
      </x:c>
      <x:c r="B129" t="str">
        <x:f>IF(128&gt;'10_events'!$K$2703,"",INDEX('10_events'!$B$2:$B$2703,$H129))</x:f>
      </x:c>
      <x:c r="C129" t="str">
        <x:f>IF(128&gt;'10_events'!$K$2703,"",INDEX('10_events'!$C$2:$C$2703,$H129))</x:f>
      </x:c>
      <x:c r="D129" t="str">
        <x:f>IF(128&gt;'10_events'!$K$2703,"",INDEX('10_events'!$F$2:$F$2703,$H129))</x:f>
      </x:c>
      <x:c r="E129" t="str">
        <x:f>IF(128&gt;'10_events'!$K$2703,"",INDEX('10_events'!$G$2:$G$2703,$H129))</x:f>
      </x:c>
      <x:c r="F129" t="str">
        <x:f>IF(128&gt;'10_events'!$K$2703,"",INDEX('10_events'!$H$2:$H$2703,$H129))</x:f>
      </x:c>
      <x:c r="G129" s="16" t="str">
        <x:f>IF(128&gt;'10_events'!$K$2703,"",INDEX('10_events'!$I$2:$I$2703,$H129))</x:f>
      </x:c>
      <x:c r="H129" t="n">
        <x:f>IF(128&gt;'10_events'!$K$2703,0,MATCH(128,'10_events'!$J$2:$J$2703,0))</x:f>
        <x:v>0</x:v>
      </x:c>
    </x:row>
    <x:row r="130" ht="25" customHeight="1">
      <x:c r="A130" t="str">
        <x:f>IF(129&gt;'10_events'!$K$2703,"",INDEX('10_events'!$A$2:$A$2703,$H130))</x:f>
      </x:c>
      <x:c r="B130" t="str">
        <x:f>IF(129&gt;'10_events'!$K$2703,"",INDEX('10_events'!$B$2:$B$2703,$H130))</x:f>
      </x:c>
      <x:c r="C130" t="str">
        <x:f>IF(129&gt;'10_events'!$K$2703,"",INDEX('10_events'!$C$2:$C$2703,$H130))</x:f>
      </x:c>
      <x:c r="D130" t="str">
        <x:f>IF(129&gt;'10_events'!$K$2703,"",INDEX('10_events'!$F$2:$F$2703,$H130))</x:f>
      </x:c>
      <x:c r="E130" t="str">
        <x:f>IF(129&gt;'10_events'!$K$2703,"",INDEX('10_events'!$G$2:$G$2703,$H130))</x:f>
      </x:c>
      <x:c r="F130" t="str">
        <x:f>IF(129&gt;'10_events'!$K$2703,"",INDEX('10_events'!$H$2:$H$2703,$H130))</x:f>
      </x:c>
      <x:c r="G130" s="16" t="str">
        <x:f>IF(129&gt;'10_events'!$K$2703,"",INDEX('10_events'!$I$2:$I$2703,$H130))</x:f>
      </x:c>
      <x:c r="H130" t="n">
        <x:f>IF(129&gt;'10_events'!$K$2703,0,MATCH(129,'10_events'!$J$2:$J$2703,0))</x:f>
        <x:v>0</x:v>
      </x:c>
    </x:row>
    <x:row r="131" ht="25" customHeight="1">
      <x:c r="A131" t="str">
        <x:f>IF(130&gt;'10_events'!$K$2703,"",INDEX('10_events'!$A$2:$A$2703,$H131))</x:f>
      </x:c>
      <x:c r="B131" t="str">
        <x:f>IF(130&gt;'10_events'!$K$2703,"",INDEX('10_events'!$B$2:$B$2703,$H131))</x:f>
      </x:c>
      <x:c r="C131" t="str">
        <x:f>IF(130&gt;'10_events'!$K$2703,"",INDEX('10_events'!$C$2:$C$2703,$H131))</x:f>
      </x:c>
      <x:c r="D131" t="str">
        <x:f>IF(130&gt;'10_events'!$K$2703,"",INDEX('10_events'!$F$2:$F$2703,$H131))</x:f>
      </x:c>
      <x:c r="E131" t="str">
        <x:f>IF(130&gt;'10_events'!$K$2703,"",INDEX('10_events'!$G$2:$G$2703,$H131))</x:f>
      </x:c>
      <x:c r="F131" t="str">
        <x:f>IF(130&gt;'10_events'!$K$2703,"",INDEX('10_events'!$H$2:$H$2703,$H131))</x:f>
      </x:c>
      <x:c r="G131" s="16" t="str">
        <x:f>IF(130&gt;'10_events'!$K$2703,"",INDEX('10_events'!$I$2:$I$2703,$H131))</x:f>
      </x:c>
      <x:c r="H131" t="n">
        <x:f>IF(130&gt;'10_events'!$K$2703,0,MATCH(130,'10_events'!$J$2:$J$2703,0))</x:f>
        <x:v>0</x:v>
      </x:c>
    </x:row>
    <x:row r="132" ht="25" customHeight="1">
      <x:c r="A132" t="str">
        <x:f>IF(131&gt;'10_events'!$K$2703,"",INDEX('10_events'!$A$2:$A$2703,$H132))</x:f>
      </x:c>
      <x:c r="B132" t="str">
        <x:f>IF(131&gt;'10_events'!$K$2703,"",INDEX('10_events'!$B$2:$B$2703,$H132))</x:f>
      </x:c>
      <x:c r="C132" t="str">
        <x:f>IF(131&gt;'10_events'!$K$2703,"",INDEX('10_events'!$C$2:$C$2703,$H132))</x:f>
      </x:c>
      <x:c r="D132" t="str">
        <x:f>IF(131&gt;'10_events'!$K$2703,"",INDEX('10_events'!$F$2:$F$2703,$H132))</x:f>
      </x:c>
      <x:c r="E132" t="str">
        <x:f>IF(131&gt;'10_events'!$K$2703,"",INDEX('10_events'!$G$2:$G$2703,$H132))</x:f>
      </x:c>
      <x:c r="F132" t="str">
        <x:f>IF(131&gt;'10_events'!$K$2703,"",INDEX('10_events'!$H$2:$H$2703,$H132))</x:f>
      </x:c>
      <x:c r="G132" s="16" t="str">
        <x:f>IF(131&gt;'10_events'!$K$2703,"",INDEX('10_events'!$I$2:$I$2703,$H132))</x:f>
      </x:c>
      <x:c r="H132" t="n">
        <x:f>IF(131&gt;'10_events'!$K$2703,0,MATCH(131,'10_events'!$J$2:$J$2703,0))</x:f>
        <x:v>0</x:v>
      </x:c>
    </x:row>
    <x:row r="133" ht="25" customHeight="1">
      <x:c r="A133" t="str">
        <x:f>IF(132&gt;'10_events'!$K$2703,"",INDEX('10_events'!$A$2:$A$2703,$H133))</x:f>
      </x:c>
      <x:c r="B133" t="str">
        <x:f>IF(132&gt;'10_events'!$K$2703,"",INDEX('10_events'!$B$2:$B$2703,$H133))</x:f>
      </x:c>
      <x:c r="C133" t="str">
        <x:f>IF(132&gt;'10_events'!$K$2703,"",INDEX('10_events'!$C$2:$C$2703,$H133))</x:f>
      </x:c>
      <x:c r="D133" t="str">
        <x:f>IF(132&gt;'10_events'!$K$2703,"",INDEX('10_events'!$F$2:$F$2703,$H133))</x:f>
      </x:c>
      <x:c r="E133" t="str">
        <x:f>IF(132&gt;'10_events'!$K$2703,"",INDEX('10_events'!$G$2:$G$2703,$H133))</x:f>
      </x:c>
      <x:c r="F133" t="str">
        <x:f>IF(132&gt;'10_events'!$K$2703,"",INDEX('10_events'!$H$2:$H$2703,$H133))</x:f>
      </x:c>
      <x:c r="G133" s="16" t="str">
        <x:f>IF(132&gt;'10_events'!$K$2703,"",INDEX('10_events'!$I$2:$I$2703,$H133))</x:f>
      </x:c>
      <x:c r="H133" t="n">
        <x:f>IF(132&gt;'10_events'!$K$2703,0,MATCH(132,'10_events'!$J$2:$J$2703,0))</x:f>
        <x:v>0</x:v>
      </x:c>
    </x:row>
    <x:row r="134" ht="25" customHeight="1">
      <x:c r="A134" t="str">
        <x:f>IF(133&gt;'10_events'!$K$2703,"",INDEX('10_events'!$A$2:$A$2703,$H134))</x:f>
      </x:c>
      <x:c r="B134" t="str">
        <x:f>IF(133&gt;'10_events'!$K$2703,"",INDEX('10_events'!$B$2:$B$2703,$H134))</x:f>
      </x:c>
      <x:c r="C134" t="str">
        <x:f>IF(133&gt;'10_events'!$K$2703,"",INDEX('10_events'!$C$2:$C$2703,$H134))</x:f>
      </x:c>
      <x:c r="D134" t="str">
        <x:f>IF(133&gt;'10_events'!$K$2703,"",INDEX('10_events'!$F$2:$F$2703,$H134))</x:f>
      </x:c>
      <x:c r="E134" t="str">
        <x:f>IF(133&gt;'10_events'!$K$2703,"",INDEX('10_events'!$G$2:$G$2703,$H134))</x:f>
      </x:c>
      <x:c r="F134" t="str">
        <x:f>IF(133&gt;'10_events'!$K$2703,"",INDEX('10_events'!$H$2:$H$2703,$H134))</x:f>
      </x:c>
      <x:c r="G134" s="16" t="str">
        <x:f>IF(133&gt;'10_events'!$K$2703,"",INDEX('10_events'!$I$2:$I$2703,$H134))</x:f>
      </x:c>
      <x:c r="H134" t="n">
        <x:f>IF(133&gt;'10_events'!$K$2703,0,MATCH(133,'10_events'!$J$2:$J$2703,0))</x:f>
        <x:v>0</x:v>
      </x:c>
    </x:row>
    <x:row r="135" ht="25" customHeight="1">
      <x:c r="A135" t="str">
        <x:f>IF(134&gt;'10_events'!$K$2703,"",INDEX('10_events'!$A$2:$A$2703,$H135))</x:f>
      </x:c>
      <x:c r="B135" t="str">
        <x:f>IF(134&gt;'10_events'!$K$2703,"",INDEX('10_events'!$B$2:$B$2703,$H135))</x:f>
      </x:c>
      <x:c r="C135" t="str">
        <x:f>IF(134&gt;'10_events'!$K$2703,"",INDEX('10_events'!$C$2:$C$2703,$H135))</x:f>
      </x:c>
      <x:c r="D135" t="str">
        <x:f>IF(134&gt;'10_events'!$K$2703,"",INDEX('10_events'!$F$2:$F$2703,$H135))</x:f>
      </x:c>
      <x:c r="E135" t="str">
        <x:f>IF(134&gt;'10_events'!$K$2703,"",INDEX('10_events'!$G$2:$G$2703,$H135))</x:f>
      </x:c>
      <x:c r="F135" t="str">
        <x:f>IF(134&gt;'10_events'!$K$2703,"",INDEX('10_events'!$H$2:$H$2703,$H135))</x:f>
      </x:c>
      <x:c r="G135" s="16" t="str">
        <x:f>IF(134&gt;'10_events'!$K$2703,"",INDEX('10_events'!$I$2:$I$2703,$H135))</x:f>
      </x:c>
      <x:c r="H135" t="n">
        <x:f>IF(134&gt;'10_events'!$K$2703,0,MATCH(134,'10_events'!$J$2:$J$2703,0))</x:f>
        <x:v>0</x:v>
      </x:c>
    </x:row>
    <x:row r="136" ht="25" customHeight="1">
      <x:c r="A136" t="str">
        <x:f>IF(135&gt;'10_events'!$K$2703,"",INDEX('10_events'!$A$2:$A$2703,$H136))</x:f>
      </x:c>
      <x:c r="B136" t="str">
        <x:f>IF(135&gt;'10_events'!$K$2703,"",INDEX('10_events'!$B$2:$B$2703,$H136))</x:f>
      </x:c>
      <x:c r="C136" t="str">
        <x:f>IF(135&gt;'10_events'!$K$2703,"",INDEX('10_events'!$C$2:$C$2703,$H136))</x:f>
      </x:c>
      <x:c r="D136" t="str">
        <x:f>IF(135&gt;'10_events'!$K$2703,"",INDEX('10_events'!$F$2:$F$2703,$H136))</x:f>
      </x:c>
      <x:c r="E136" t="str">
        <x:f>IF(135&gt;'10_events'!$K$2703,"",INDEX('10_events'!$G$2:$G$2703,$H136))</x:f>
      </x:c>
      <x:c r="F136" t="str">
        <x:f>IF(135&gt;'10_events'!$K$2703,"",INDEX('10_events'!$H$2:$H$2703,$H136))</x:f>
      </x:c>
      <x:c r="G136" s="16" t="str">
        <x:f>IF(135&gt;'10_events'!$K$2703,"",INDEX('10_events'!$I$2:$I$2703,$H136))</x:f>
      </x:c>
      <x:c r="H136" t="n">
        <x:f>IF(135&gt;'10_events'!$K$2703,0,MATCH(135,'10_events'!$J$2:$J$2703,0))</x:f>
        <x:v>0</x:v>
      </x:c>
    </x:row>
    <x:row r="137" ht="25" customHeight="1">
      <x:c r="A137" t="str">
        <x:f>IF(136&gt;'10_events'!$K$2703,"",INDEX('10_events'!$A$2:$A$2703,$H137))</x:f>
      </x:c>
      <x:c r="B137" t="str">
        <x:f>IF(136&gt;'10_events'!$K$2703,"",INDEX('10_events'!$B$2:$B$2703,$H137))</x:f>
      </x:c>
      <x:c r="C137" t="str">
        <x:f>IF(136&gt;'10_events'!$K$2703,"",INDEX('10_events'!$C$2:$C$2703,$H137))</x:f>
      </x:c>
      <x:c r="D137" t="str">
        <x:f>IF(136&gt;'10_events'!$K$2703,"",INDEX('10_events'!$F$2:$F$2703,$H137))</x:f>
      </x:c>
      <x:c r="E137" t="str">
        <x:f>IF(136&gt;'10_events'!$K$2703,"",INDEX('10_events'!$G$2:$G$2703,$H137))</x:f>
      </x:c>
      <x:c r="F137" t="str">
        <x:f>IF(136&gt;'10_events'!$K$2703,"",INDEX('10_events'!$H$2:$H$2703,$H137))</x:f>
      </x:c>
      <x:c r="G137" s="16" t="str">
        <x:f>IF(136&gt;'10_events'!$K$2703,"",INDEX('10_events'!$I$2:$I$2703,$H137))</x:f>
      </x:c>
      <x:c r="H137" t="n">
        <x:f>IF(136&gt;'10_events'!$K$2703,0,MATCH(136,'10_events'!$J$2:$J$2703,0))</x:f>
        <x:v>0</x:v>
      </x:c>
    </x:row>
    <x:row r="138" ht="25" customHeight="1">
      <x:c r="A138" t="str">
        <x:f>IF(137&gt;'10_events'!$K$2703,"",INDEX('10_events'!$A$2:$A$2703,$H138))</x:f>
      </x:c>
      <x:c r="B138" t="str">
        <x:f>IF(137&gt;'10_events'!$K$2703,"",INDEX('10_events'!$B$2:$B$2703,$H138))</x:f>
      </x:c>
      <x:c r="C138" t="str">
        <x:f>IF(137&gt;'10_events'!$K$2703,"",INDEX('10_events'!$C$2:$C$2703,$H138))</x:f>
      </x:c>
      <x:c r="D138" t="str">
        <x:f>IF(137&gt;'10_events'!$K$2703,"",INDEX('10_events'!$F$2:$F$2703,$H138))</x:f>
      </x:c>
      <x:c r="E138" t="str">
        <x:f>IF(137&gt;'10_events'!$K$2703,"",INDEX('10_events'!$G$2:$G$2703,$H138))</x:f>
      </x:c>
      <x:c r="F138" t="str">
        <x:f>IF(137&gt;'10_events'!$K$2703,"",INDEX('10_events'!$H$2:$H$2703,$H138))</x:f>
      </x:c>
      <x:c r="G138" s="16" t="str">
        <x:f>IF(137&gt;'10_events'!$K$2703,"",INDEX('10_events'!$I$2:$I$2703,$H138))</x:f>
      </x:c>
      <x:c r="H138" t="n">
        <x:f>IF(137&gt;'10_events'!$K$2703,0,MATCH(137,'10_events'!$J$2:$J$2703,0))</x:f>
        <x:v>0</x:v>
      </x:c>
    </x:row>
    <x:row r="139" ht="25" customHeight="1">
      <x:c r="A139" t="str">
        <x:f>IF(138&gt;'10_events'!$K$2703,"",INDEX('10_events'!$A$2:$A$2703,$H139))</x:f>
      </x:c>
      <x:c r="B139" t="str">
        <x:f>IF(138&gt;'10_events'!$K$2703,"",INDEX('10_events'!$B$2:$B$2703,$H139))</x:f>
      </x:c>
      <x:c r="C139" t="str">
        <x:f>IF(138&gt;'10_events'!$K$2703,"",INDEX('10_events'!$C$2:$C$2703,$H139))</x:f>
      </x:c>
      <x:c r="D139" t="str">
        <x:f>IF(138&gt;'10_events'!$K$2703,"",INDEX('10_events'!$F$2:$F$2703,$H139))</x:f>
      </x:c>
      <x:c r="E139" t="str">
        <x:f>IF(138&gt;'10_events'!$K$2703,"",INDEX('10_events'!$G$2:$G$2703,$H139))</x:f>
      </x:c>
      <x:c r="F139" t="str">
        <x:f>IF(138&gt;'10_events'!$K$2703,"",INDEX('10_events'!$H$2:$H$2703,$H139))</x:f>
      </x:c>
      <x:c r="G139" s="16" t="str">
        <x:f>IF(138&gt;'10_events'!$K$2703,"",INDEX('10_events'!$I$2:$I$2703,$H139))</x:f>
      </x:c>
      <x:c r="H139" t="n">
        <x:f>IF(138&gt;'10_events'!$K$2703,0,MATCH(138,'10_events'!$J$2:$J$2703,0))</x:f>
        <x:v>0</x:v>
      </x:c>
    </x:row>
    <x:row r="140" ht="25" customHeight="1">
      <x:c r="A140" t="str">
        <x:f>IF(139&gt;'10_events'!$K$2703,"",INDEX('10_events'!$A$2:$A$2703,$H140))</x:f>
      </x:c>
      <x:c r="B140" t="str">
        <x:f>IF(139&gt;'10_events'!$K$2703,"",INDEX('10_events'!$B$2:$B$2703,$H140))</x:f>
      </x:c>
      <x:c r="C140" t="str">
        <x:f>IF(139&gt;'10_events'!$K$2703,"",INDEX('10_events'!$C$2:$C$2703,$H140))</x:f>
      </x:c>
      <x:c r="D140" t="str">
        <x:f>IF(139&gt;'10_events'!$K$2703,"",INDEX('10_events'!$F$2:$F$2703,$H140))</x:f>
      </x:c>
      <x:c r="E140" t="str">
        <x:f>IF(139&gt;'10_events'!$K$2703,"",INDEX('10_events'!$G$2:$G$2703,$H140))</x:f>
      </x:c>
      <x:c r="F140" t="str">
        <x:f>IF(139&gt;'10_events'!$K$2703,"",INDEX('10_events'!$H$2:$H$2703,$H140))</x:f>
      </x:c>
      <x:c r="G140" s="16" t="str">
        <x:f>IF(139&gt;'10_events'!$K$2703,"",INDEX('10_events'!$I$2:$I$2703,$H140))</x:f>
      </x:c>
      <x:c r="H140" t="n">
        <x:f>IF(139&gt;'10_events'!$K$2703,0,MATCH(139,'10_events'!$J$2:$J$2703,0))</x:f>
        <x:v>0</x:v>
      </x:c>
    </x:row>
    <x:row r="141" ht="25" customHeight="1">
      <x:c r="A141" t="str">
        <x:f>IF(140&gt;'10_events'!$K$2703,"",INDEX('10_events'!$A$2:$A$2703,$H141))</x:f>
      </x:c>
      <x:c r="B141" t="str">
        <x:f>IF(140&gt;'10_events'!$K$2703,"",INDEX('10_events'!$B$2:$B$2703,$H141))</x:f>
      </x:c>
      <x:c r="C141" t="str">
        <x:f>IF(140&gt;'10_events'!$K$2703,"",INDEX('10_events'!$C$2:$C$2703,$H141))</x:f>
      </x:c>
      <x:c r="D141" t="str">
        <x:f>IF(140&gt;'10_events'!$K$2703,"",INDEX('10_events'!$F$2:$F$2703,$H141))</x:f>
      </x:c>
      <x:c r="E141" t="str">
        <x:f>IF(140&gt;'10_events'!$K$2703,"",INDEX('10_events'!$G$2:$G$2703,$H141))</x:f>
      </x:c>
      <x:c r="F141" t="str">
        <x:f>IF(140&gt;'10_events'!$K$2703,"",INDEX('10_events'!$H$2:$H$2703,$H141))</x:f>
      </x:c>
      <x:c r="G141" s="16" t="str">
        <x:f>IF(140&gt;'10_events'!$K$2703,"",INDEX('10_events'!$I$2:$I$2703,$H141))</x:f>
      </x:c>
      <x:c r="H141" t="n">
        <x:f>IF(140&gt;'10_events'!$K$2703,0,MATCH(140,'10_events'!$J$2:$J$2703,0))</x:f>
        <x:v>0</x:v>
      </x:c>
    </x:row>
    <x:row r="142" ht="25" customHeight="1">
      <x:c r="A142" t="str">
        <x:f>IF(141&gt;'10_events'!$K$2703,"",INDEX('10_events'!$A$2:$A$2703,$H142))</x:f>
      </x:c>
      <x:c r="B142" t="str">
        <x:f>IF(141&gt;'10_events'!$K$2703,"",INDEX('10_events'!$B$2:$B$2703,$H142))</x:f>
      </x:c>
      <x:c r="C142" t="str">
        <x:f>IF(141&gt;'10_events'!$K$2703,"",INDEX('10_events'!$C$2:$C$2703,$H142))</x:f>
      </x:c>
      <x:c r="D142" t="str">
        <x:f>IF(141&gt;'10_events'!$K$2703,"",INDEX('10_events'!$F$2:$F$2703,$H142))</x:f>
      </x:c>
      <x:c r="E142" t="str">
        <x:f>IF(141&gt;'10_events'!$K$2703,"",INDEX('10_events'!$G$2:$G$2703,$H142))</x:f>
      </x:c>
      <x:c r="F142" t="str">
        <x:f>IF(141&gt;'10_events'!$K$2703,"",INDEX('10_events'!$H$2:$H$2703,$H142))</x:f>
      </x:c>
      <x:c r="G142" s="16" t="str">
        <x:f>IF(141&gt;'10_events'!$K$2703,"",INDEX('10_events'!$I$2:$I$2703,$H142))</x:f>
      </x:c>
      <x:c r="H142" t="n">
        <x:f>IF(141&gt;'10_events'!$K$2703,0,MATCH(141,'10_events'!$J$2:$J$2703,0))</x:f>
        <x:v>0</x:v>
      </x:c>
    </x:row>
    <x:row r="143" ht="25" customHeight="1">
      <x:c r="A143" t="str">
        <x:f>IF(142&gt;'10_events'!$K$2703,"",INDEX('10_events'!$A$2:$A$2703,$H143))</x:f>
      </x:c>
      <x:c r="B143" t="str">
        <x:f>IF(142&gt;'10_events'!$K$2703,"",INDEX('10_events'!$B$2:$B$2703,$H143))</x:f>
      </x:c>
      <x:c r="C143" t="str">
        <x:f>IF(142&gt;'10_events'!$K$2703,"",INDEX('10_events'!$C$2:$C$2703,$H143))</x:f>
      </x:c>
      <x:c r="D143" t="str">
        <x:f>IF(142&gt;'10_events'!$K$2703,"",INDEX('10_events'!$F$2:$F$2703,$H143))</x:f>
      </x:c>
      <x:c r="E143" t="str">
        <x:f>IF(142&gt;'10_events'!$K$2703,"",INDEX('10_events'!$G$2:$G$2703,$H143))</x:f>
      </x:c>
      <x:c r="F143" t="str">
        <x:f>IF(142&gt;'10_events'!$K$2703,"",INDEX('10_events'!$H$2:$H$2703,$H143))</x:f>
      </x:c>
      <x:c r="G143" s="16" t="str">
        <x:f>IF(142&gt;'10_events'!$K$2703,"",INDEX('10_events'!$I$2:$I$2703,$H143))</x:f>
      </x:c>
      <x:c r="H143" t="n">
        <x:f>IF(142&gt;'10_events'!$K$2703,0,MATCH(142,'10_events'!$J$2:$J$2703,0))</x:f>
        <x:v>0</x:v>
      </x:c>
    </x:row>
    <x:row r="144" ht="25" customHeight="1">
      <x:c r="A144" t="str">
        <x:f>IF(143&gt;'10_events'!$K$2703,"",INDEX('10_events'!$A$2:$A$2703,$H144))</x:f>
      </x:c>
      <x:c r="B144" t="str">
        <x:f>IF(143&gt;'10_events'!$K$2703,"",INDEX('10_events'!$B$2:$B$2703,$H144))</x:f>
      </x:c>
      <x:c r="C144" t="str">
        <x:f>IF(143&gt;'10_events'!$K$2703,"",INDEX('10_events'!$C$2:$C$2703,$H144))</x:f>
      </x:c>
      <x:c r="D144" t="str">
        <x:f>IF(143&gt;'10_events'!$K$2703,"",INDEX('10_events'!$F$2:$F$2703,$H144))</x:f>
      </x:c>
      <x:c r="E144" t="str">
        <x:f>IF(143&gt;'10_events'!$K$2703,"",INDEX('10_events'!$G$2:$G$2703,$H144))</x:f>
      </x:c>
      <x:c r="F144" t="str">
        <x:f>IF(143&gt;'10_events'!$K$2703,"",INDEX('10_events'!$H$2:$H$2703,$H144))</x:f>
      </x:c>
      <x:c r="G144" s="16" t="str">
        <x:f>IF(143&gt;'10_events'!$K$2703,"",INDEX('10_events'!$I$2:$I$2703,$H144))</x:f>
      </x:c>
      <x:c r="H144" t="n">
        <x:f>IF(143&gt;'10_events'!$K$2703,0,MATCH(143,'10_events'!$J$2:$J$2703,0))</x:f>
        <x:v>0</x:v>
      </x:c>
    </x:row>
    <x:row r="145" ht="25" customHeight="1">
      <x:c r="A145" t="str">
        <x:f>IF(144&gt;'10_events'!$K$2703,"",INDEX('10_events'!$A$2:$A$2703,$H145))</x:f>
      </x:c>
      <x:c r="B145" t="str">
        <x:f>IF(144&gt;'10_events'!$K$2703,"",INDEX('10_events'!$B$2:$B$2703,$H145))</x:f>
      </x:c>
      <x:c r="C145" t="str">
        <x:f>IF(144&gt;'10_events'!$K$2703,"",INDEX('10_events'!$C$2:$C$2703,$H145))</x:f>
      </x:c>
      <x:c r="D145" t="str">
        <x:f>IF(144&gt;'10_events'!$K$2703,"",INDEX('10_events'!$F$2:$F$2703,$H145))</x:f>
      </x:c>
      <x:c r="E145" t="str">
        <x:f>IF(144&gt;'10_events'!$K$2703,"",INDEX('10_events'!$G$2:$G$2703,$H145))</x:f>
      </x:c>
      <x:c r="F145" t="str">
        <x:f>IF(144&gt;'10_events'!$K$2703,"",INDEX('10_events'!$H$2:$H$2703,$H145))</x:f>
      </x:c>
      <x:c r="G145" s="16" t="str">
        <x:f>IF(144&gt;'10_events'!$K$2703,"",INDEX('10_events'!$I$2:$I$2703,$H145))</x:f>
      </x:c>
      <x:c r="H145" t="n">
        <x:f>IF(144&gt;'10_events'!$K$2703,0,MATCH(144,'10_events'!$J$2:$J$2703,0))</x:f>
        <x:v>0</x:v>
      </x:c>
    </x:row>
    <x:row r="146" ht="25" customHeight="1">
      <x:c r="A146" t="str">
        <x:f>IF(145&gt;'10_events'!$K$2703,"",INDEX('10_events'!$A$2:$A$2703,$H146))</x:f>
      </x:c>
      <x:c r="B146" t="str">
        <x:f>IF(145&gt;'10_events'!$K$2703,"",INDEX('10_events'!$B$2:$B$2703,$H146))</x:f>
      </x:c>
      <x:c r="C146" t="str">
        <x:f>IF(145&gt;'10_events'!$K$2703,"",INDEX('10_events'!$C$2:$C$2703,$H146))</x:f>
      </x:c>
      <x:c r="D146" t="str">
        <x:f>IF(145&gt;'10_events'!$K$2703,"",INDEX('10_events'!$F$2:$F$2703,$H146))</x:f>
      </x:c>
      <x:c r="E146" t="str">
        <x:f>IF(145&gt;'10_events'!$K$2703,"",INDEX('10_events'!$G$2:$G$2703,$H146))</x:f>
      </x:c>
      <x:c r="F146" t="str">
        <x:f>IF(145&gt;'10_events'!$K$2703,"",INDEX('10_events'!$H$2:$H$2703,$H146))</x:f>
      </x:c>
      <x:c r="G146" s="16" t="str">
        <x:f>IF(145&gt;'10_events'!$K$2703,"",INDEX('10_events'!$I$2:$I$2703,$H146))</x:f>
      </x:c>
      <x:c r="H146" t="n">
        <x:f>IF(145&gt;'10_events'!$K$2703,0,MATCH(145,'10_events'!$J$2:$J$2703,0))</x:f>
        <x:v>0</x:v>
      </x:c>
    </x:row>
    <x:row r="147" ht="25" customHeight="1">
      <x:c r="A147" t="str">
        <x:f>IF(146&gt;'10_events'!$K$2703,"",INDEX('10_events'!$A$2:$A$2703,$H147))</x:f>
      </x:c>
      <x:c r="B147" t="str">
        <x:f>IF(146&gt;'10_events'!$K$2703,"",INDEX('10_events'!$B$2:$B$2703,$H147))</x:f>
      </x:c>
      <x:c r="C147" t="str">
        <x:f>IF(146&gt;'10_events'!$K$2703,"",INDEX('10_events'!$C$2:$C$2703,$H147))</x:f>
      </x:c>
      <x:c r="D147" t="str">
        <x:f>IF(146&gt;'10_events'!$K$2703,"",INDEX('10_events'!$F$2:$F$2703,$H147))</x:f>
      </x:c>
      <x:c r="E147" t="str">
        <x:f>IF(146&gt;'10_events'!$K$2703,"",INDEX('10_events'!$G$2:$G$2703,$H147))</x:f>
      </x:c>
      <x:c r="F147" t="str">
        <x:f>IF(146&gt;'10_events'!$K$2703,"",INDEX('10_events'!$H$2:$H$2703,$H147))</x:f>
      </x:c>
      <x:c r="G147" s="16" t="str">
        <x:f>IF(146&gt;'10_events'!$K$2703,"",INDEX('10_events'!$I$2:$I$2703,$H147))</x:f>
      </x:c>
      <x:c r="H147" t="n">
        <x:f>IF(146&gt;'10_events'!$K$2703,0,MATCH(146,'10_events'!$J$2:$J$2703,0))</x:f>
        <x:v>0</x:v>
      </x:c>
    </x:row>
    <x:row r="148" ht="25" customHeight="1">
      <x:c r="A148" t="str">
        <x:f>IF(147&gt;'10_events'!$K$2703,"",INDEX('10_events'!$A$2:$A$2703,$H148))</x:f>
      </x:c>
      <x:c r="B148" t="str">
        <x:f>IF(147&gt;'10_events'!$K$2703,"",INDEX('10_events'!$B$2:$B$2703,$H148))</x:f>
      </x:c>
      <x:c r="C148" t="str">
        <x:f>IF(147&gt;'10_events'!$K$2703,"",INDEX('10_events'!$C$2:$C$2703,$H148))</x:f>
      </x:c>
      <x:c r="D148" t="str">
        <x:f>IF(147&gt;'10_events'!$K$2703,"",INDEX('10_events'!$F$2:$F$2703,$H148))</x:f>
      </x:c>
      <x:c r="E148" t="str">
        <x:f>IF(147&gt;'10_events'!$K$2703,"",INDEX('10_events'!$G$2:$G$2703,$H148))</x:f>
      </x:c>
      <x:c r="F148" t="str">
        <x:f>IF(147&gt;'10_events'!$K$2703,"",INDEX('10_events'!$H$2:$H$2703,$H148))</x:f>
      </x:c>
      <x:c r="G148" s="16" t="str">
        <x:f>IF(147&gt;'10_events'!$K$2703,"",INDEX('10_events'!$I$2:$I$2703,$H148))</x:f>
      </x:c>
      <x:c r="H148" t="n">
        <x:f>IF(147&gt;'10_events'!$K$2703,0,MATCH(147,'10_events'!$J$2:$J$2703,0))</x:f>
        <x:v>0</x:v>
      </x:c>
    </x:row>
    <x:row r="149" ht="25" customHeight="1">
      <x:c r="A149" t="str">
        <x:f>IF(148&gt;'10_events'!$K$2703,"",INDEX('10_events'!$A$2:$A$2703,$H149))</x:f>
      </x:c>
      <x:c r="B149" t="str">
        <x:f>IF(148&gt;'10_events'!$K$2703,"",INDEX('10_events'!$B$2:$B$2703,$H149))</x:f>
      </x:c>
      <x:c r="C149" t="str">
        <x:f>IF(148&gt;'10_events'!$K$2703,"",INDEX('10_events'!$C$2:$C$2703,$H149))</x:f>
      </x:c>
      <x:c r="D149" t="str">
        <x:f>IF(148&gt;'10_events'!$K$2703,"",INDEX('10_events'!$F$2:$F$2703,$H149))</x:f>
      </x:c>
      <x:c r="E149" t="str">
        <x:f>IF(148&gt;'10_events'!$K$2703,"",INDEX('10_events'!$G$2:$G$2703,$H149))</x:f>
      </x:c>
      <x:c r="F149" t="str">
        <x:f>IF(148&gt;'10_events'!$K$2703,"",INDEX('10_events'!$H$2:$H$2703,$H149))</x:f>
      </x:c>
      <x:c r="G149" s="16" t="str">
        <x:f>IF(148&gt;'10_events'!$K$2703,"",INDEX('10_events'!$I$2:$I$2703,$H149))</x:f>
      </x:c>
      <x:c r="H149" t="n">
        <x:f>IF(148&gt;'10_events'!$K$2703,0,MATCH(148,'10_events'!$J$2:$J$2703,0))</x:f>
        <x:v>0</x:v>
      </x:c>
    </x:row>
    <x:row r="150" ht="25" customHeight="1">
      <x:c r="A150" t="str">
        <x:f>IF(149&gt;'10_events'!$K$2703,"",INDEX('10_events'!$A$2:$A$2703,$H150))</x:f>
      </x:c>
      <x:c r="B150" t="str">
        <x:f>IF(149&gt;'10_events'!$K$2703,"",INDEX('10_events'!$B$2:$B$2703,$H150))</x:f>
      </x:c>
      <x:c r="C150" t="str">
        <x:f>IF(149&gt;'10_events'!$K$2703,"",INDEX('10_events'!$C$2:$C$2703,$H150))</x:f>
      </x:c>
      <x:c r="D150" t="str">
        <x:f>IF(149&gt;'10_events'!$K$2703,"",INDEX('10_events'!$F$2:$F$2703,$H150))</x:f>
      </x:c>
      <x:c r="E150" t="str">
        <x:f>IF(149&gt;'10_events'!$K$2703,"",INDEX('10_events'!$G$2:$G$2703,$H150))</x:f>
      </x:c>
      <x:c r="F150" t="str">
        <x:f>IF(149&gt;'10_events'!$K$2703,"",INDEX('10_events'!$H$2:$H$2703,$H150))</x:f>
      </x:c>
      <x:c r="G150" s="16" t="str">
        <x:f>IF(149&gt;'10_events'!$K$2703,"",INDEX('10_events'!$I$2:$I$2703,$H150))</x:f>
      </x:c>
      <x:c r="H150" t="n">
        <x:f>IF(149&gt;'10_events'!$K$2703,0,MATCH(149,'10_events'!$J$2:$J$2703,0))</x:f>
        <x:v>0</x:v>
      </x:c>
    </x:row>
    <x:row r="151" ht="25" customHeight="1">
      <x:c r="A151" t="str">
        <x:f>IF(150&gt;'10_events'!$K$2703,"",INDEX('10_events'!$A$2:$A$2703,$H151))</x:f>
      </x:c>
      <x:c r="B151" t="str">
        <x:f>IF(150&gt;'10_events'!$K$2703,"",INDEX('10_events'!$B$2:$B$2703,$H151))</x:f>
      </x:c>
      <x:c r="C151" t="str">
        <x:f>IF(150&gt;'10_events'!$K$2703,"",INDEX('10_events'!$C$2:$C$2703,$H151))</x:f>
      </x:c>
      <x:c r="D151" t="str">
        <x:f>IF(150&gt;'10_events'!$K$2703,"",INDEX('10_events'!$F$2:$F$2703,$H151))</x:f>
      </x:c>
      <x:c r="E151" t="str">
        <x:f>IF(150&gt;'10_events'!$K$2703,"",INDEX('10_events'!$G$2:$G$2703,$H151))</x:f>
      </x:c>
      <x:c r="F151" t="str">
        <x:f>IF(150&gt;'10_events'!$K$2703,"",INDEX('10_events'!$H$2:$H$2703,$H151))</x:f>
      </x:c>
      <x:c r="G151" s="16" t="str">
        <x:f>IF(150&gt;'10_events'!$K$2703,"",INDEX('10_events'!$I$2:$I$2703,$H151))</x:f>
      </x:c>
      <x:c r="H151" t="n">
        <x:f>IF(150&gt;'10_events'!$K$2703,0,MATCH(150,'10_events'!$J$2:$J$2703,0))</x:f>
        <x:v>0</x:v>
      </x:c>
    </x:row>
    <x:row r="152" ht="25" customHeight="1">
      <x:c r="A152" t="str">
        <x:f>IF(151&gt;'10_events'!$K$2703,"",INDEX('10_events'!$A$2:$A$2703,$H152))</x:f>
      </x:c>
      <x:c r="B152" t="str">
        <x:f>IF(151&gt;'10_events'!$K$2703,"",INDEX('10_events'!$B$2:$B$2703,$H152))</x:f>
      </x:c>
      <x:c r="C152" t="str">
        <x:f>IF(151&gt;'10_events'!$K$2703,"",INDEX('10_events'!$C$2:$C$2703,$H152))</x:f>
      </x:c>
      <x:c r="D152" t="str">
        <x:f>IF(151&gt;'10_events'!$K$2703,"",INDEX('10_events'!$F$2:$F$2703,$H152))</x:f>
      </x:c>
      <x:c r="E152" t="str">
        <x:f>IF(151&gt;'10_events'!$K$2703,"",INDEX('10_events'!$G$2:$G$2703,$H152))</x:f>
      </x:c>
      <x:c r="F152" t="str">
        <x:f>IF(151&gt;'10_events'!$K$2703,"",INDEX('10_events'!$H$2:$H$2703,$H152))</x:f>
      </x:c>
      <x:c r="G152" s="16" t="str">
        <x:f>IF(151&gt;'10_events'!$K$2703,"",INDEX('10_events'!$I$2:$I$2703,$H152))</x:f>
      </x:c>
      <x:c r="H152" t="n">
        <x:f>IF(151&gt;'10_events'!$K$2703,0,MATCH(151,'10_events'!$J$2:$J$2703,0))</x:f>
        <x:v>0</x:v>
      </x:c>
    </x:row>
    <x:row r="153" ht="25" customHeight="1">
      <x:c r="A153" t="str">
        <x:f>IF(152&gt;'10_events'!$K$2703,"",INDEX('10_events'!$A$2:$A$2703,$H153))</x:f>
      </x:c>
      <x:c r="B153" t="str">
        <x:f>IF(152&gt;'10_events'!$K$2703,"",INDEX('10_events'!$B$2:$B$2703,$H153))</x:f>
      </x:c>
      <x:c r="C153" t="str">
        <x:f>IF(152&gt;'10_events'!$K$2703,"",INDEX('10_events'!$C$2:$C$2703,$H153))</x:f>
      </x:c>
      <x:c r="D153" t="str">
        <x:f>IF(152&gt;'10_events'!$K$2703,"",INDEX('10_events'!$F$2:$F$2703,$H153))</x:f>
      </x:c>
      <x:c r="E153" t="str">
        <x:f>IF(152&gt;'10_events'!$K$2703,"",INDEX('10_events'!$G$2:$G$2703,$H153))</x:f>
      </x:c>
      <x:c r="F153" t="str">
        <x:f>IF(152&gt;'10_events'!$K$2703,"",INDEX('10_events'!$H$2:$H$2703,$H153))</x:f>
      </x:c>
      <x:c r="G153" s="16" t="str">
        <x:f>IF(152&gt;'10_events'!$K$2703,"",INDEX('10_events'!$I$2:$I$2703,$H153))</x:f>
      </x:c>
      <x:c r="H153" t="n">
        <x:f>IF(152&gt;'10_events'!$K$2703,0,MATCH(152,'10_events'!$J$2:$J$2703,0))</x:f>
        <x:v>0</x:v>
      </x:c>
    </x:row>
    <x:row r="154" ht="25" customHeight="1">
      <x:c r="A154" t="str">
        <x:f>IF(153&gt;'10_events'!$K$2703,"",INDEX('10_events'!$A$2:$A$2703,$H154))</x:f>
      </x:c>
      <x:c r="B154" t="str">
        <x:f>IF(153&gt;'10_events'!$K$2703,"",INDEX('10_events'!$B$2:$B$2703,$H154))</x:f>
      </x:c>
      <x:c r="C154" t="str">
        <x:f>IF(153&gt;'10_events'!$K$2703,"",INDEX('10_events'!$C$2:$C$2703,$H154))</x:f>
      </x:c>
      <x:c r="D154" t="str">
        <x:f>IF(153&gt;'10_events'!$K$2703,"",INDEX('10_events'!$F$2:$F$2703,$H154))</x:f>
      </x:c>
      <x:c r="E154" t="str">
        <x:f>IF(153&gt;'10_events'!$K$2703,"",INDEX('10_events'!$G$2:$G$2703,$H154))</x:f>
      </x:c>
      <x:c r="F154" t="str">
        <x:f>IF(153&gt;'10_events'!$K$2703,"",INDEX('10_events'!$H$2:$H$2703,$H154))</x:f>
      </x:c>
      <x:c r="G154" s="16" t="str">
        <x:f>IF(153&gt;'10_events'!$K$2703,"",INDEX('10_events'!$I$2:$I$2703,$H154))</x:f>
      </x:c>
      <x:c r="H154" t="n">
        <x:f>IF(153&gt;'10_events'!$K$2703,0,MATCH(153,'10_events'!$J$2:$J$2703,0))</x:f>
        <x:v>0</x:v>
      </x:c>
    </x:row>
    <x:row r="155" ht="25" customHeight="1">
      <x:c r="A155" t="str">
        <x:f>IF(154&gt;'10_events'!$K$2703,"",INDEX('10_events'!$A$2:$A$2703,$H155))</x:f>
      </x:c>
      <x:c r="B155" t="str">
        <x:f>IF(154&gt;'10_events'!$K$2703,"",INDEX('10_events'!$B$2:$B$2703,$H155))</x:f>
      </x:c>
      <x:c r="C155" t="str">
        <x:f>IF(154&gt;'10_events'!$K$2703,"",INDEX('10_events'!$C$2:$C$2703,$H155))</x:f>
      </x:c>
      <x:c r="D155" t="str">
        <x:f>IF(154&gt;'10_events'!$K$2703,"",INDEX('10_events'!$F$2:$F$2703,$H155))</x:f>
      </x:c>
      <x:c r="E155" t="str">
        <x:f>IF(154&gt;'10_events'!$K$2703,"",INDEX('10_events'!$G$2:$G$2703,$H155))</x:f>
      </x:c>
      <x:c r="F155" t="str">
        <x:f>IF(154&gt;'10_events'!$K$2703,"",INDEX('10_events'!$H$2:$H$2703,$H155))</x:f>
      </x:c>
      <x:c r="G155" s="16" t="str">
        <x:f>IF(154&gt;'10_events'!$K$2703,"",INDEX('10_events'!$I$2:$I$2703,$H155))</x:f>
      </x:c>
      <x:c r="H155" t="n">
        <x:f>IF(154&gt;'10_events'!$K$2703,0,MATCH(154,'10_events'!$J$2:$J$2703,0))</x:f>
        <x:v>0</x:v>
      </x:c>
    </x:row>
    <x:row r="156" ht="25" customHeight="1">
      <x:c r="A156" t="str">
        <x:f>IF(155&gt;'10_events'!$K$2703,"",INDEX('10_events'!$A$2:$A$2703,$H156))</x:f>
      </x:c>
      <x:c r="B156" t="str">
        <x:f>IF(155&gt;'10_events'!$K$2703,"",INDEX('10_events'!$B$2:$B$2703,$H156))</x:f>
      </x:c>
      <x:c r="C156" t="str">
        <x:f>IF(155&gt;'10_events'!$K$2703,"",INDEX('10_events'!$C$2:$C$2703,$H156))</x:f>
      </x:c>
      <x:c r="D156" t="str">
        <x:f>IF(155&gt;'10_events'!$K$2703,"",INDEX('10_events'!$F$2:$F$2703,$H156))</x:f>
      </x:c>
      <x:c r="E156" t="str">
        <x:f>IF(155&gt;'10_events'!$K$2703,"",INDEX('10_events'!$G$2:$G$2703,$H156))</x:f>
      </x:c>
      <x:c r="F156" t="str">
        <x:f>IF(155&gt;'10_events'!$K$2703,"",INDEX('10_events'!$H$2:$H$2703,$H156))</x:f>
      </x:c>
      <x:c r="G156" s="16" t="str">
        <x:f>IF(155&gt;'10_events'!$K$2703,"",INDEX('10_events'!$I$2:$I$2703,$H156))</x:f>
      </x:c>
      <x:c r="H156" t="n">
        <x:f>IF(155&gt;'10_events'!$K$2703,0,MATCH(155,'10_events'!$J$2:$J$2703,0))</x:f>
        <x:v>0</x:v>
      </x:c>
    </x:row>
    <x:row r="157" ht="25" customHeight="1">
      <x:c r="A157" t="str">
        <x:f>IF(156&gt;'10_events'!$K$2703,"",INDEX('10_events'!$A$2:$A$2703,$H157))</x:f>
      </x:c>
      <x:c r="B157" t="str">
        <x:f>IF(156&gt;'10_events'!$K$2703,"",INDEX('10_events'!$B$2:$B$2703,$H157))</x:f>
      </x:c>
      <x:c r="C157" t="str">
        <x:f>IF(156&gt;'10_events'!$K$2703,"",INDEX('10_events'!$C$2:$C$2703,$H157))</x:f>
      </x:c>
      <x:c r="D157" t="str">
        <x:f>IF(156&gt;'10_events'!$K$2703,"",INDEX('10_events'!$F$2:$F$2703,$H157))</x:f>
      </x:c>
      <x:c r="E157" t="str">
        <x:f>IF(156&gt;'10_events'!$K$2703,"",INDEX('10_events'!$G$2:$G$2703,$H157))</x:f>
      </x:c>
      <x:c r="F157" t="str">
        <x:f>IF(156&gt;'10_events'!$K$2703,"",INDEX('10_events'!$H$2:$H$2703,$H157))</x:f>
      </x:c>
      <x:c r="G157" s="16" t="str">
        <x:f>IF(156&gt;'10_events'!$K$2703,"",INDEX('10_events'!$I$2:$I$2703,$H157))</x:f>
      </x:c>
      <x:c r="H157" t="n">
        <x:f>IF(156&gt;'10_events'!$K$2703,0,MATCH(156,'10_events'!$J$2:$J$2703,0))</x:f>
        <x:v>0</x:v>
      </x:c>
    </x:row>
    <x:row r="158" ht="25" customHeight="1">
      <x:c r="A158" t="str">
        <x:f>IF(157&gt;'10_events'!$K$2703,"",INDEX('10_events'!$A$2:$A$2703,$H158))</x:f>
      </x:c>
      <x:c r="B158" t="str">
        <x:f>IF(157&gt;'10_events'!$K$2703,"",INDEX('10_events'!$B$2:$B$2703,$H158))</x:f>
      </x:c>
      <x:c r="C158" t="str">
        <x:f>IF(157&gt;'10_events'!$K$2703,"",INDEX('10_events'!$C$2:$C$2703,$H158))</x:f>
      </x:c>
      <x:c r="D158" t="str">
        <x:f>IF(157&gt;'10_events'!$K$2703,"",INDEX('10_events'!$F$2:$F$2703,$H158))</x:f>
      </x:c>
      <x:c r="E158" t="str">
        <x:f>IF(157&gt;'10_events'!$K$2703,"",INDEX('10_events'!$G$2:$G$2703,$H158))</x:f>
      </x:c>
      <x:c r="F158" t="str">
        <x:f>IF(157&gt;'10_events'!$K$2703,"",INDEX('10_events'!$H$2:$H$2703,$H158))</x:f>
      </x:c>
      <x:c r="G158" s="16" t="str">
        <x:f>IF(157&gt;'10_events'!$K$2703,"",INDEX('10_events'!$I$2:$I$2703,$H158))</x:f>
      </x:c>
      <x:c r="H158" t="n">
        <x:f>IF(157&gt;'10_events'!$K$2703,0,MATCH(157,'10_events'!$J$2:$J$2703,0))</x:f>
        <x:v>0</x:v>
      </x:c>
    </x:row>
    <x:row r="159" ht="25" customHeight="1">
      <x:c r="A159" t="str">
        <x:f>IF(158&gt;'10_events'!$K$2703,"",INDEX('10_events'!$A$2:$A$2703,$H159))</x:f>
      </x:c>
      <x:c r="B159" t="str">
        <x:f>IF(158&gt;'10_events'!$K$2703,"",INDEX('10_events'!$B$2:$B$2703,$H159))</x:f>
      </x:c>
      <x:c r="C159" t="str">
        <x:f>IF(158&gt;'10_events'!$K$2703,"",INDEX('10_events'!$C$2:$C$2703,$H159))</x:f>
      </x:c>
      <x:c r="D159" t="str">
        <x:f>IF(158&gt;'10_events'!$K$2703,"",INDEX('10_events'!$F$2:$F$2703,$H159))</x:f>
      </x:c>
      <x:c r="E159" t="str">
        <x:f>IF(158&gt;'10_events'!$K$2703,"",INDEX('10_events'!$G$2:$G$2703,$H159))</x:f>
      </x:c>
      <x:c r="F159" t="str">
        <x:f>IF(158&gt;'10_events'!$K$2703,"",INDEX('10_events'!$H$2:$H$2703,$H159))</x:f>
      </x:c>
      <x:c r="G159" s="16" t="str">
        <x:f>IF(158&gt;'10_events'!$K$2703,"",INDEX('10_events'!$I$2:$I$2703,$H159))</x:f>
      </x:c>
      <x:c r="H159" t="n">
        <x:f>IF(158&gt;'10_events'!$K$2703,0,MATCH(158,'10_events'!$J$2:$J$2703,0))</x:f>
        <x:v>0</x:v>
      </x:c>
    </x:row>
    <x:row r="160" ht="25" customHeight="1">
      <x:c r="A160" t="str">
        <x:f>IF(159&gt;'10_events'!$K$2703,"",INDEX('10_events'!$A$2:$A$2703,$H160))</x:f>
      </x:c>
      <x:c r="B160" t="str">
        <x:f>IF(159&gt;'10_events'!$K$2703,"",INDEX('10_events'!$B$2:$B$2703,$H160))</x:f>
      </x:c>
      <x:c r="C160" t="str">
        <x:f>IF(159&gt;'10_events'!$K$2703,"",INDEX('10_events'!$C$2:$C$2703,$H160))</x:f>
      </x:c>
      <x:c r="D160" t="str">
        <x:f>IF(159&gt;'10_events'!$K$2703,"",INDEX('10_events'!$F$2:$F$2703,$H160))</x:f>
      </x:c>
      <x:c r="E160" t="str">
        <x:f>IF(159&gt;'10_events'!$K$2703,"",INDEX('10_events'!$G$2:$G$2703,$H160))</x:f>
      </x:c>
      <x:c r="F160" t="str">
        <x:f>IF(159&gt;'10_events'!$K$2703,"",INDEX('10_events'!$H$2:$H$2703,$H160))</x:f>
      </x:c>
      <x:c r="G160" s="16" t="str">
        <x:f>IF(159&gt;'10_events'!$K$2703,"",INDEX('10_events'!$I$2:$I$2703,$H160))</x:f>
      </x:c>
      <x:c r="H160" t="n">
        <x:f>IF(159&gt;'10_events'!$K$2703,0,MATCH(159,'10_events'!$J$2:$J$2703,0))</x:f>
        <x:v>0</x:v>
      </x:c>
    </x:row>
    <x:row r="161" ht="25" customHeight="1">
      <x:c r="A161" t="str">
        <x:f>IF(160&gt;'10_events'!$K$2703,"",INDEX('10_events'!$A$2:$A$2703,$H161))</x:f>
      </x:c>
      <x:c r="B161" t="str">
        <x:f>IF(160&gt;'10_events'!$K$2703,"",INDEX('10_events'!$B$2:$B$2703,$H161))</x:f>
      </x:c>
      <x:c r="C161" t="str">
        <x:f>IF(160&gt;'10_events'!$K$2703,"",INDEX('10_events'!$C$2:$C$2703,$H161))</x:f>
      </x:c>
      <x:c r="D161" t="str">
        <x:f>IF(160&gt;'10_events'!$K$2703,"",INDEX('10_events'!$F$2:$F$2703,$H161))</x:f>
      </x:c>
      <x:c r="E161" t="str">
        <x:f>IF(160&gt;'10_events'!$K$2703,"",INDEX('10_events'!$G$2:$G$2703,$H161))</x:f>
      </x:c>
      <x:c r="F161" t="str">
        <x:f>IF(160&gt;'10_events'!$K$2703,"",INDEX('10_events'!$H$2:$H$2703,$H161))</x:f>
      </x:c>
      <x:c r="G161" s="16" t="str">
        <x:f>IF(160&gt;'10_events'!$K$2703,"",INDEX('10_events'!$I$2:$I$2703,$H161))</x:f>
      </x:c>
      <x:c r="H161" t="n">
        <x:f>IF(160&gt;'10_events'!$K$2703,0,MATCH(160,'10_events'!$J$2:$J$2703,0))</x:f>
        <x:v>0</x:v>
      </x:c>
    </x:row>
    <x:row r="162" ht="25" customHeight="1">
      <x:c r="A162" t="str">
        <x:f>IF(161&gt;'10_events'!$K$2703,"",INDEX('10_events'!$A$2:$A$2703,$H162))</x:f>
      </x:c>
      <x:c r="B162" t="str">
        <x:f>IF(161&gt;'10_events'!$K$2703,"",INDEX('10_events'!$B$2:$B$2703,$H162))</x:f>
      </x:c>
      <x:c r="C162" t="str">
        <x:f>IF(161&gt;'10_events'!$K$2703,"",INDEX('10_events'!$C$2:$C$2703,$H162))</x:f>
      </x:c>
      <x:c r="D162" t="str">
        <x:f>IF(161&gt;'10_events'!$K$2703,"",INDEX('10_events'!$F$2:$F$2703,$H162))</x:f>
      </x:c>
      <x:c r="E162" t="str">
        <x:f>IF(161&gt;'10_events'!$K$2703,"",INDEX('10_events'!$G$2:$G$2703,$H162))</x:f>
      </x:c>
      <x:c r="F162" t="str">
        <x:f>IF(161&gt;'10_events'!$K$2703,"",INDEX('10_events'!$H$2:$H$2703,$H162))</x:f>
      </x:c>
      <x:c r="G162" s="16" t="str">
        <x:f>IF(161&gt;'10_events'!$K$2703,"",INDEX('10_events'!$I$2:$I$2703,$H162))</x:f>
      </x:c>
      <x:c r="H162" t="n">
        <x:f>IF(161&gt;'10_events'!$K$2703,0,MATCH(161,'10_events'!$J$2:$J$2703,0))</x:f>
        <x:v>0</x:v>
      </x:c>
    </x:row>
    <x:row r="163" ht="25" customHeight="1">
      <x:c r="A163" t="str">
        <x:f>IF(162&gt;'10_events'!$K$2703,"",INDEX('10_events'!$A$2:$A$2703,$H163))</x:f>
      </x:c>
      <x:c r="B163" t="str">
        <x:f>IF(162&gt;'10_events'!$K$2703,"",INDEX('10_events'!$B$2:$B$2703,$H163))</x:f>
      </x:c>
      <x:c r="C163" t="str">
        <x:f>IF(162&gt;'10_events'!$K$2703,"",INDEX('10_events'!$C$2:$C$2703,$H163))</x:f>
      </x:c>
      <x:c r="D163" t="str">
        <x:f>IF(162&gt;'10_events'!$K$2703,"",INDEX('10_events'!$F$2:$F$2703,$H163))</x:f>
      </x:c>
      <x:c r="E163" t="str">
        <x:f>IF(162&gt;'10_events'!$K$2703,"",INDEX('10_events'!$G$2:$G$2703,$H163))</x:f>
      </x:c>
      <x:c r="F163" t="str">
        <x:f>IF(162&gt;'10_events'!$K$2703,"",INDEX('10_events'!$H$2:$H$2703,$H163))</x:f>
      </x:c>
      <x:c r="G163" s="16" t="str">
        <x:f>IF(162&gt;'10_events'!$K$2703,"",INDEX('10_events'!$I$2:$I$2703,$H163))</x:f>
      </x:c>
      <x:c r="H163" t="n">
        <x:f>IF(162&gt;'10_events'!$K$2703,0,MATCH(162,'10_events'!$J$2:$J$2703,0))</x:f>
        <x:v>0</x:v>
      </x:c>
    </x:row>
    <x:row r="164" ht="25" customHeight="1">
      <x:c r="A164" t="str">
        <x:f>IF(163&gt;'10_events'!$K$2703,"",INDEX('10_events'!$A$2:$A$2703,$H164))</x:f>
      </x:c>
      <x:c r="B164" t="str">
        <x:f>IF(163&gt;'10_events'!$K$2703,"",INDEX('10_events'!$B$2:$B$2703,$H164))</x:f>
      </x:c>
      <x:c r="C164" t="str">
        <x:f>IF(163&gt;'10_events'!$K$2703,"",INDEX('10_events'!$C$2:$C$2703,$H164))</x:f>
      </x:c>
      <x:c r="D164" t="str">
        <x:f>IF(163&gt;'10_events'!$K$2703,"",INDEX('10_events'!$F$2:$F$2703,$H164))</x:f>
      </x:c>
      <x:c r="E164" t="str">
        <x:f>IF(163&gt;'10_events'!$K$2703,"",INDEX('10_events'!$G$2:$G$2703,$H164))</x:f>
      </x:c>
      <x:c r="F164" t="str">
        <x:f>IF(163&gt;'10_events'!$K$2703,"",INDEX('10_events'!$H$2:$H$2703,$H164))</x:f>
      </x:c>
      <x:c r="G164" s="16" t="str">
        <x:f>IF(163&gt;'10_events'!$K$2703,"",INDEX('10_events'!$I$2:$I$2703,$H164))</x:f>
      </x:c>
      <x:c r="H164" t="n">
        <x:f>IF(163&gt;'10_events'!$K$2703,0,MATCH(163,'10_events'!$J$2:$J$2703,0))</x:f>
        <x:v>0</x:v>
      </x:c>
    </x:row>
    <x:row r="165" ht="25" customHeight="1">
      <x:c r="A165" t="str">
        <x:f>IF(164&gt;'10_events'!$K$2703,"",INDEX('10_events'!$A$2:$A$2703,$H165))</x:f>
      </x:c>
      <x:c r="B165" t="str">
        <x:f>IF(164&gt;'10_events'!$K$2703,"",INDEX('10_events'!$B$2:$B$2703,$H165))</x:f>
      </x:c>
      <x:c r="C165" t="str">
        <x:f>IF(164&gt;'10_events'!$K$2703,"",INDEX('10_events'!$C$2:$C$2703,$H165))</x:f>
      </x:c>
      <x:c r="D165" t="str">
        <x:f>IF(164&gt;'10_events'!$K$2703,"",INDEX('10_events'!$F$2:$F$2703,$H165))</x:f>
      </x:c>
      <x:c r="E165" t="str">
        <x:f>IF(164&gt;'10_events'!$K$2703,"",INDEX('10_events'!$G$2:$G$2703,$H165))</x:f>
      </x:c>
      <x:c r="F165" t="str">
        <x:f>IF(164&gt;'10_events'!$K$2703,"",INDEX('10_events'!$H$2:$H$2703,$H165))</x:f>
      </x:c>
      <x:c r="G165" s="16" t="str">
        <x:f>IF(164&gt;'10_events'!$K$2703,"",INDEX('10_events'!$I$2:$I$2703,$H165))</x:f>
      </x:c>
      <x:c r="H165" t="n">
        <x:f>IF(164&gt;'10_events'!$K$2703,0,MATCH(164,'10_events'!$J$2:$J$2703,0))</x:f>
        <x:v>0</x:v>
      </x:c>
    </x:row>
    <x:row r="166" ht="25" customHeight="1">
      <x:c r="A166" t="str">
        <x:f>IF(165&gt;'10_events'!$K$2703,"",INDEX('10_events'!$A$2:$A$2703,$H166))</x:f>
      </x:c>
      <x:c r="B166" t="str">
        <x:f>IF(165&gt;'10_events'!$K$2703,"",INDEX('10_events'!$B$2:$B$2703,$H166))</x:f>
      </x:c>
      <x:c r="C166" t="str">
        <x:f>IF(165&gt;'10_events'!$K$2703,"",INDEX('10_events'!$C$2:$C$2703,$H166))</x:f>
      </x:c>
      <x:c r="D166" t="str">
        <x:f>IF(165&gt;'10_events'!$K$2703,"",INDEX('10_events'!$F$2:$F$2703,$H166))</x:f>
      </x:c>
      <x:c r="E166" t="str">
        <x:f>IF(165&gt;'10_events'!$K$2703,"",INDEX('10_events'!$G$2:$G$2703,$H166))</x:f>
      </x:c>
      <x:c r="F166" t="str">
        <x:f>IF(165&gt;'10_events'!$K$2703,"",INDEX('10_events'!$H$2:$H$2703,$H166))</x:f>
      </x:c>
      <x:c r="G166" s="16" t="str">
        <x:f>IF(165&gt;'10_events'!$K$2703,"",INDEX('10_events'!$I$2:$I$2703,$H166))</x:f>
      </x:c>
      <x:c r="H166" t="n">
        <x:f>IF(165&gt;'10_events'!$K$2703,0,MATCH(165,'10_events'!$J$2:$J$2703,0))</x:f>
        <x:v>0</x:v>
      </x:c>
    </x:row>
    <x:row r="167" ht="25" customHeight="1">
      <x:c r="A167" t="str">
        <x:f>IF(166&gt;'10_events'!$K$2703,"",INDEX('10_events'!$A$2:$A$2703,$H167))</x:f>
      </x:c>
      <x:c r="B167" t="str">
        <x:f>IF(166&gt;'10_events'!$K$2703,"",INDEX('10_events'!$B$2:$B$2703,$H167))</x:f>
      </x:c>
      <x:c r="C167" t="str">
        <x:f>IF(166&gt;'10_events'!$K$2703,"",INDEX('10_events'!$C$2:$C$2703,$H167))</x:f>
      </x:c>
      <x:c r="D167" t="str">
        <x:f>IF(166&gt;'10_events'!$K$2703,"",INDEX('10_events'!$F$2:$F$2703,$H167))</x:f>
      </x:c>
      <x:c r="E167" t="str">
        <x:f>IF(166&gt;'10_events'!$K$2703,"",INDEX('10_events'!$G$2:$G$2703,$H167))</x:f>
      </x:c>
      <x:c r="F167" t="str">
        <x:f>IF(166&gt;'10_events'!$K$2703,"",INDEX('10_events'!$H$2:$H$2703,$H167))</x:f>
      </x:c>
      <x:c r="G167" s="16" t="str">
        <x:f>IF(166&gt;'10_events'!$K$2703,"",INDEX('10_events'!$I$2:$I$2703,$H167))</x:f>
      </x:c>
      <x:c r="H167" t="n">
        <x:f>IF(166&gt;'10_events'!$K$2703,0,MATCH(166,'10_events'!$J$2:$J$2703,0))</x:f>
        <x:v>0</x:v>
      </x:c>
    </x:row>
    <x:row r="168" ht="25" customHeight="1">
      <x:c r="A168" t="str">
        <x:f>IF(167&gt;'10_events'!$K$2703,"",INDEX('10_events'!$A$2:$A$2703,$H168))</x:f>
      </x:c>
      <x:c r="B168" t="str">
        <x:f>IF(167&gt;'10_events'!$K$2703,"",INDEX('10_events'!$B$2:$B$2703,$H168))</x:f>
      </x:c>
      <x:c r="C168" t="str">
        <x:f>IF(167&gt;'10_events'!$K$2703,"",INDEX('10_events'!$C$2:$C$2703,$H168))</x:f>
      </x:c>
      <x:c r="D168" t="str">
        <x:f>IF(167&gt;'10_events'!$K$2703,"",INDEX('10_events'!$F$2:$F$2703,$H168))</x:f>
      </x:c>
      <x:c r="E168" t="str">
        <x:f>IF(167&gt;'10_events'!$K$2703,"",INDEX('10_events'!$G$2:$G$2703,$H168))</x:f>
      </x:c>
      <x:c r="F168" t="str">
        <x:f>IF(167&gt;'10_events'!$K$2703,"",INDEX('10_events'!$H$2:$H$2703,$H168))</x:f>
      </x:c>
      <x:c r="G168" s="16" t="str">
        <x:f>IF(167&gt;'10_events'!$K$2703,"",INDEX('10_events'!$I$2:$I$2703,$H168))</x:f>
      </x:c>
      <x:c r="H168" t="n">
        <x:f>IF(167&gt;'10_events'!$K$2703,0,MATCH(167,'10_events'!$J$2:$J$2703,0))</x:f>
        <x:v>0</x:v>
      </x:c>
    </x:row>
    <x:row r="169" ht="25" customHeight="1">
      <x:c r="A169" t="str">
        <x:f>IF(168&gt;'10_events'!$K$2703,"",INDEX('10_events'!$A$2:$A$2703,$H169))</x:f>
      </x:c>
      <x:c r="B169" t="str">
        <x:f>IF(168&gt;'10_events'!$K$2703,"",INDEX('10_events'!$B$2:$B$2703,$H169))</x:f>
      </x:c>
      <x:c r="C169" t="str">
        <x:f>IF(168&gt;'10_events'!$K$2703,"",INDEX('10_events'!$C$2:$C$2703,$H169))</x:f>
      </x:c>
      <x:c r="D169" t="str">
        <x:f>IF(168&gt;'10_events'!$K$2703,"",INDEX('10_events'!$F$2:$F$2703,$H169))</x:f>
      </x:c>
      <x:c r="E169" t="str">
        <x:f>IF(168&gt;'10_events'!$K$2703,"",INDEX('10_events'!$G$2:$G$2703,$H169))</x:f>
      </x:c>
      <x:c r="F169" t="str">
        <x:f>IF(168&gt;'10_events'!$K$2703,"",INDEX('10_events'!$H$2:$H$2703,$H169))</x:f>
      </x:c>
      <x:c r="G169" s="16" t="str">
        <x:f>IF(168&gt;'10_events'!$K$2703,"",INDEX('10_events'!$I$2:$I$2703,$H169))</x:f>
      </x:c>
      <x:c r="H169" t="n">
        <x:f>IF(168&gt;'10_events'!$K$2703,0,MATCH(168,'10_events'!$J$2:$J$2703,0))</x:f>
        <x:v>0</x:v>
      </x:c>
    </x:row>
    <x:row r="170" ht="25" customHeight="1">
      <x:c r="A170" t="str">
        <x:f>IF(169&gt;'10_events'!$K$2703,"",INDEX('10_events'!$A$2:$A$2703,$H170))</x:f>
      </x:c>
      <x:c r="B170" t="str">
        <x:f>IF(169&gt;'10_events'!$K$2703,"",INDEX('10_events'!$B$2:$B$2703,$H170))</x:f>
      </x:c>
      <x:c r="C170" t="str">
        <x:f>IF(169&gt;'10_events'!$K$2703,"",INDEX('10_events'!$C$2:$C$2703,$H170))</x:f>
      </x:c>
      <x:c r="D170" t="str">
        <x:f>IF(169&gt;'10_events'!$K$2703,"",INDEX('10_events'!$F$2:$F$2703,$H170))</x:f>
      </x:c>
      <x:c r="E170" t="str">
        <x:f>IF(169&gt;'10_events'!$K$2703,"",INDEX('10_events'!$G$2:$G$2703,$H170))</x:f>
      </x:c>
      <x:c r="F170" t="str">
        <x:f>IF(169&gt;'10_events'!$K$2703,"",INDEX('10_events'!$H$2:$H$2703,$H170))</x:f>
      </x:c>
      <x:c r="G170" s="16" t="str">
        <x:f>IF(169&gt;'10_events'!$K$2703,"",INDEX('10_events'!$I$2:$I$2703,$H170))</x:f>
      </x:c>
      <x:c r="H170" t="n">
        <x:f>IF(169&gt;'10_events'!$K$2703,0,MATCH(169,'10_events'!$J$2:$J$2703,0))</x:f>
        <x:v>0</x:v>
      </x:c>
    </x:row>
    <x:row r="171" ht="25" customHeight="1">
      <x:c r="A171" t="str">
        <x:f>IF(170&gt;'10_events'!$K$2703,"",INDEX('10_events'!$A$2:$A$2703,$H171))</x:f>
      </x:c>
      <x:c r="B171" t="str">
        <x:f>IF(170&gt;'10_events'!$K$2703,"",INDEX('10_events'!$B$2:$B$2703,$H171))</x:f>
      </x:c>
      <x:c r="C171" t="str">
        <x:f>IF(170&gt;'10_events'!$K$2703,"",INDEX('10_events'!$C$2:$C$2703,$H171))</x:f>
      </x:c>
      <x:c r="D171" t="str">
        <x:f>IF(170&gt;'10_events'!$K$2703,"",INDEX('10_events'!$F$2:$F$2703,$H171))</x:f>
      </x:c>
      <x:c r="E171" t="str">
        <x:f>IF(170&gt;'10_events'!$K$2703,"",INDEX('10_events'!$G$2:$G$2703,$H171))</x:f>
      </x:c>
      <x:c r="F171" t="str">
        <x:f>IF(170&gt;'10_events'!$K$2703,"",INDEX('10_events'!$H$2:$H$2703,$H171))</x:f>
      </x:c>
      <x:c r="G171" s="16" t="str">
        <x:f>IF(170&gt;'10_events'!$K$2703,"",INDEX('10_events'!$I$2:$I$2703,$H171))</x:f>
      </x:c>
      <x:c r="H171" t="n">
        <x:f>IF(170&gt;'10_events'!$K$2703,0,MATCH(170,'10_events'!$J$2:$J$2703,0))</x:f>
        <x:v>0</x:v>
      </x:c>
    </x:row>
    <x:row r="172" ht="25" customHeight="1">
      <x:c r="A172" t="str">
        <x:f>IF(171&gt;'10_events'!$K$2703,"",INDEX('10_events'!$A$2:$A$2703,$H172))</x:f>
      </x:c>
      <x:c r="B172" t="str">
        <x:f>IF(171&gt;'10_events'!$K$2703,"",INDEX('10_events'!$B$2:$B$2703,$H172))</x:f>
      </x:c>
      <x:c r="C172" t="str">
        <x:f>IF(171&gt;'10_events'!$K$2703,"",INDEX('10_events'!$C$2:$C$2703,$H172))</x:f>
      </x:c>
      <x:c r="D172" t="str">
        <x:f>IF(171&gt;'10_events'!$K$2703,"",INDEX('10_events'!$F$2:$F$2703,$H172))</x:f>
      </x:c>
      <x:c r="E172" t="str">
        <x:f>IF(171&gt;'10_events'!$K$2703,"",INDEX('10_events'!$G$2:$G$2703,$H172))</x:f>
      </x:c>
      <x:c r="F172" t="str">
        <x:f>IF(171&gt;'10_events'!$K$2703,"",INDEX('10_events'!$H$2:$H$2703,$H172))</x:f>
      </x:c>
      <x:c r="G172" s="16" t="str">
        <x:f>IF(171&gt;'10_events'!$K$2703,"",INDEX('10_events'!$I$2:$I$2703,$H172))</x:f>
      </x:c>
      <x:c r="H172" t="n">
        <x:f>IF(171&gt;'10_events'!$K$2703,0,MATCH(171,'10_events'!$J$2:$J$2703,0))</x:f>
        <x:v>0</x:v>
      </x:c>
    </x:row>
    <x:row r="173" ht="25" customHeight="1">
      <x:c r="A173" t="str">
        <x:f>IF(172&gt;'10_events'!$K$2703,"",INDEX('10_events'!$A$2:$A$2703,$H173))</x:f>
      </x:c>
      <x:c r="B173" t="str">
        <x:f>IF(172&gt;'10_events'!$K$2703,"",INDEX('10_events'!$B$2:$B$2703,$H173))</x:f>
      </x:c>
      <x:c r="C173" t="str">
        <x:f>IF(172&gt;'10_events'!$K$2703,"",INDEX('10_events'!$C$2:$C$2703,$H173))</x:f>
      </x:c>
      <x:c r="D173" t="str">
        <x:f>IF(172&gt;'10_events'!$K$2703,"",INDEX('10_events'!$F$2:$F$2703,$H173))</x:f>
      </x:c>
      <x:c r="E173" t="str">
        <x:f>IF(172&gt;'10_events'!$K$2703,"",INDEX('10_events'!$G$2:$G$2703,$H173))</x:f>
      </x:c>
      <x:c r="F173" t="str">
        <x:f>IF(172&gt;'10_events'!$K$2703,"",INDEX('10_events'!$H$2:$H$2703,$H173))</x:f>
      </x:c>
      <x:c r="G173" s="16" t="str">
        <x:f>IF(172&gt;'10_events'!$K$2703,"",INDEX('10_events'!$I$2:$I$2703,$H173))</x:f>
      </x:c>
      <x:c r="H173" t="n">
        <x:f>IF(172&gt;'10_events'!$K$2703,0,MATCH(172,'10_events'!$J$2:$J$2703,0))</x:f>
        <x:v>0</x:v>
      </x:c>
    </x:row>
    <x:row r="174" ht="25" customHeight="1">
      <x:c r="A174" t="str">
        <x:f>IF(173&gt;'10_events'!$K$2703,"",INDEX('10_events'!$A$2:$A$2703,$H174))</x:f>
      </x:c>
      <x:c r="B174" t="str">
        <x:f>IF(173&gt;'10_events'!$K$2703,"",INDEX('10_events'!$B$2:$B$2703,$H174))</x:f>
      </x:c>
      <x:c r="C174" t="str">
        <x:f>IF(173&gt;'10_events'!$K$2703,"",INDEX('10_events'!$C$2:$C$2703,$H174))</x:f>
      </x:c>
      <x:c r="D174" t="str">
        <x:f>IF(173&gt;'10_events'!$K$2703,"",INDEX('10_events'!$F$2:$F$2703,$H174))</x:f>
      </x:c>
      <x:c r="E174" t="str">
        <x:f>IF(173&gt;'10_events'!$K$2703,"",INDEX('10_events'!$G$2:$G$2703,$H174))</x:f>
      </x:c>
      <x:c r="F174" t="str">
        <x:f>IF(173&gt;'10_events'!$K$2703,"",INDEX('10_events'!$H$2:$H$2703,$H174))</x:f>
      </x:c>
      <x:c r="G174" s="16" t="str">
        <x:f>IF(173&gt;'10_events'!$K$2703,"",INDEX('10_events'!$I$2:$I$2703,$H174))</x:f>
      </x:c>
      <x:c r="H174" t="n">
        <x:f>IF(173&gt;'10_events'!$K$2703,0,MATCH(173,'10_events'!$J$2:$J$2703,0))</x:f>
        <x:v>0</x:v>
      </x:c>
    </x:row>
    <x:row r="175" ht="25" customHeight="1">
      <x:c r="A175" t="str">
        <x:f>IF(174&gt;'10_events'!$K$2703,"",INDEX('10_events'!$A$2:$A$2703,$H175))</x:f>
      </x:c>
      <x:c r="B175" t="str">
        <x:f>IF(174&gt;'10_events'!$K$2703,"",INDEX('10_events'!$B$2:$B$2703,$H175))</x:f>
      </x:c>
      <x:c r="C175" t="str">
        <x:f>IF(174&gt;'10_events'!$K$2703,"",INDEX('10_events'!$C$2:$C$2703,$H175))</x:f>
      </x:c>
      <x:c r="D175" t="str">
        <x:f>IF(174&gt;'10_events'!$K$2703,"",INDEX('10_events'!$F$2:$F$2703,$H175))</x:f>
      </x:c>
      <x:c r="E175" t="str">
        <x:f>IF(174&gt;'10_events'!$K$2703,"",INDEX('10_events'!$G$2:$G$2703,$H175))</x:f>
      </x:c>
      <x:c r="F175" t="str">
        <x:f>IF(174&gt;'10_events'!$K$2703,"",INDEX('10_events'!$H$2:$H$2703,$H175))</x:f>
      </x:c>
      <x:c r="G175" s="16" t="str">
        <x:f>IF(174&gt;'10_events'!$K$2703,"",INDEX('10_events'!$I$2:$I$2703,$H175))</x:f>
      </x:c>
      <x:c r="H175" t="n">
        <x:f>IF(174&gt;'10_events'!$K$2703,0,MATCH(174,'10_events'!$J$2:$J$2703,0))</x:f>
        <x:v>0</x:v>
      </x:c>
    </x:row>
    <x:row r="176" ht="25" customHeight="1">
      <x:c r="A176" t="str">
        <x:f>IF(175&gt;'10_events'!$K$2703,"",INDEX('10_events'!$A$2:$A$2703,$H176))</x:f>
      </x:c>
      <x:c r="B176" t="str">
        <x:f>IF(175&gt;'10_events'!$K$2703,"",INDEX('10_events'!$B$2:$B$2703,$H176))</x:f>
      </x:c>
      <x:c r="C176" t="str">
        <x:f>IF(175&gt;'10_events'!$K$2703,"",INDEX('10_events'!$C$2:$C$2703,$H176))</x:f>
      </x:c>
      <x:c r="D176" t="str">
        <x:f>IF(175&gt;'10_events'!$K$2703,"",INDEX('10_events'!$F$2:$F$2703,$H176))</x:f>
      </x:c>
      <x:c r="E176" t="str">
        <x:f>IF(175&gt;'10_events'!$K$2703,"",INDEX('10_events'!$G$2:$G$2703,$H176))</x:f>
      </x:c>
      <x:c r="F176" t="str">
        <x:f>IF(175&gt;'10_events'!$K$2703,"",INDEX('10_events'!$H$2:$H$2703,$H176))</x:f>
      </x:c>
      <x:c r="G176" s="16" t="str">
        <x:f>IF(175&gt;'10_events'!$K$2703,"",INDEX('10_events'!$I$2:$I$2703,$H176))</x:f>
      </x:c>
      <x:c r="H176" t="n">
        <x:f>IF(175&gt;'10_events'!$K$2703,0,MATCH(175,'10_events'!$J$2:$J$2703,0))</x:f>
        <x:v>0</x:v>
      </x:c>
    </x:row>
    <x:row r="177" ht="25" customHeight="1">
      <x:c r="A177" t="str">
        <x:f>IF(176&gt;'10_events'!$K$2703,"",INDEX('10_events'!$A$2:$A$2703,$H177))</x:f>
      </x:c>
      <x:c r="B177" t="str">
        <x:f>IF(176&gt;'10_events'!$K$2703,"",INDEX('10_events'!$B$2:$B$2703,$H177))</x:f>
      </x:c>
      <x:c r="C177" t="str">
        <x:f>IF(176&gt;'10_events'!$K$2703,"",INDEX('10_events'!$C$2:$C$2703,$H177))</x:f>
      </x:c>
      <x:c r="D177" t="str">
        <x:f>IF(176&gt;'10_events'!$K$2703,"",INDEX('10_events'!$F$2:$F$2703,$H177))</x:f>
      </x:c>
      <x:c r="E177" t="str">
        <x:f>IF(176&gt;'10_events'!$K$2703,"",INDEX('10_events'!$G$2:$G$2703,$H177))</x:f>
      </x:c>
      <x:c r="F177" t="str">
        <x:f>IF(176&gt;'10_events'!$K$2703,"",INDEX('10_events'!$H$2:$H$2703,$H177))</x:f>
      </x:c>
      <x:c r="G177" s="16" t="str">
        <x:f>IF(176&gt;'10_events'!$K$2703,"",INDEX('10_events'!$I$2:$I$2703,$H177))</x:f>
      </x:c>
      <x:c r="H177" t="n">
        <x:f>IF(176&gt;'10_events'!$K$2703,0,MATCH(176,'10_events'!$J$2:$J$2703,0))</x:f>
        <x:v>0</x:v>
      </x:c>
    </x:row>
    <x:row r="178" ht="25" customHeight="1">
      <x:c r="A178" t="str">
        <x:f>IF(177&gt;'10_events'!$K$2703,"",INDEX('10_events'!$A$2:$A$2703,$H178))</x:f>
      </x:c>
      <x:c r="B178" t="str">
        <x:f>IF(177&gt;'10_events'!$K$2703,"",INDEX('10_events'!$B$2:$B$2703,$H178))</x:f>
      </x:c>
      <x:c r="C178" t="str">
        <x:f>IF(177&gt;'10_events'!$K$2703,"",INDEX('10_events'!$C$2:$C$2703,$H178))</x:f>
      </x:c>
      <x:c r="D178" t="str">
        <x:f>IF(177&gt;'10_events'!$K$2703,"",INDEX('10_events'!$F$2:$F$2703,$H178))</x:f>
      </x:c>
      <x:c r="E178" t="str">
        <x:f>IF(177&gt;'10_events'!$K$2703,"",INDEX('10_events'!$G$2:$G$2703,$H178))</x:f>
      </x:c>
      <x:c r="F178" t="str">
        <x:f>IF(177&gt;'10_events'!$K$2703,"",INDEX('10_events'!$H$2:$H$2703,$H178))</x:f>
      </x:c>
      <x:c r="G178" s="16" t="str">
        <x:f>IF(177&gt;'10_events'!$K$2703,"",INDEX('10_events'!$I$2:$I$2703,$H178))</x:f>
      </x:c>
      <x:c r="H178" t="n">
        <x:f>IF(177&gt;'10_events'!$K$2703,0,MATCH(177,'10_events'!$J$2:$J$2703,0))</x:f>
        <x:v>0</x:v>
      </x:c>
    </x:row>
    <x:row r="179" ht="25" customHeight="1">
      <x:c r="A179" t="str">
        <x:f>IF(178&gt;'10_events'!$K$2703,"",INDEX('10_events'!$A$2:$A$2703,$H179))</x:f>
      </x:c>
      <x:c r="B179" t="str">
        <x:f>IF(178&gt;'10_events'!$K$2703,"",INDEX('10_events'!$B$2:$B$2703,$H179))</x:f>
      </x:c>
      <x:c r="C179" t="str">
        <x:f>IF(178&gt;'10_events'!$K$2703,"",INDEX('10_events'!$C$2:$C$2703,$H179))</x:f>
      </x:c>
      <x:c r="D179" t="str">
        <x:f>IF(178&gt;'10_events'!$K$2703,"",INDEX('10_events'!$F$2:$F$2703,$H179))</x:f>
      </x:c>
      <x:c r="E179" t="str">
        <x:f>IF(178&gt;'10_events'!$K$2703,"",INDEX('10_events'!$G$2:$G$2703,$H179))</x:f>
      </x:c>
      <x:c r="F179" t="str">
        <x:f>IF(178&gt;'10_events'!$K$2703,"",INDEX('10_events'!$H$2:$H$2703,$H179))</x:f>
      </x:c>
      <x:c r="G179" s="16" t="str">
        <x:f>IF(178&gt;'10_events'!$K$2703,"",INDEX('10_events'!$I$2:$I$2703,$H179))</x:f>
      </x:c>
      <x:c r="H179" t="n">
        <x:f>IF(178&gt;'10_events'!$K$2703,0,MATCH(178,'10_events'!$J$2:$J$2703,0))</x:f>
        <x:v>0</x:v>
      </x:c>
    </x:row>
    <x:row r="180" ht="25" customHeight="1">
      <x:c r="A180" t="str">
        <x:f>IF(179&gt;'10_events'!$K$2703,"",INDEX('10_events'!$A$2:$A$2703,$H180))</x:f>
      </x:c>
      <x:c r="B180" t="str">
        <x:f>IF(179&gt;'10_events'!$K$2703,"",INDEX('10_events'!$B$2:$B$2703,$H180))</x:f>
      </x:c>
      <x:c r="C180" t="str">
        <x:f>IF(179&gt;'10_events'!$K$2703,"",INDEX('10_events'!$C$2:$C$2703,$H180))</x:f>
      </x:c>
      <x:c r="D180" t="str">
        <x:f>IF(179&gt;'10_events'!$K$2703,"",INDEX('10_events'!$F$2:$F$2703,$H180))</x:f>
      </x:c>
      <x:c r="E180" t="str">
        <x:f>IF(179&gt;'10_events'!$K$2703,"",INDEX('10_events'!$G$2:$G$2703,$H180))</x:f>
      </x:c>
      <x:c r="F180" t="str">
        <x:f>IF(179&gt;'10_events'!$K$2703,"",INDEX('10_events'!$H$2:$H$2703,$H180))</x:f>
      </x:c>
      <x:c r="G180" s="16" t="str">
        <x:f>IF(179&gt;'10_events'!$K$2703,"",INDEX('10_events'!$I$2:$I$2703,$H180))</x:f>
      </x:c>
      <x:c r="H180" t="n">
        <x:f>IF(179&gt;'10_events'!$K$2703,0,MATCH(179,'10_events'!$J$2:$J$2703,0))</x:f>
        <x:v>0</x:v>
      </x:c>
    </x:row>
    <x:row r="181" ht="25" customHeight="1">
      <x:c r="A181" t="str">
        <x:f>IF(180&gt;'10_events'!$K$2703,"",INDEX('10_events'!$A$2:$A$2703,$H181))</x:f>
      </x:c>
      <x:c r="B181" t="str">
        <x:f>IF(180&gt;'10_events'!$K$2703,"",INDEX('10_events'!$B$2:$B$2703,$H181))</x:f>
      </x:c>
      <x:c r="C181" t="str">
        <x:f>IF(180&gt;'10_events'!$K$2703,"",INDEX('10_events'!$C$2:$C$2703,$H181))</x:f>
      </x:c>
      <x:c r="D181" t="str">
        <x:f>IF(180&gt;'10_events'!$K$2703,"",INDEX('10_events'!$F$2:$F$2703,$H181))</x:f>
      </x:c>
      <x:c r="E181" t="str">
        <x:f>IF(180&gt;'10_events'!$K$2703,"",INDEX('10_events'!$G$2:$G$2703,$H181))</x:f>
      </x:c>
      <x:c r="F181" t="str">
        <x:f>IF(180&gt;'10_events'!$K$2703,"",INDEX('10_events'!$H$2:$H$2703,$H181))</x:f>
      </x:c>
      <x:c r="G181" s="16" t="str">
        <x:f>IF(180&gt;'10_events'!$K$2703,"",INDEX('10_events'!$I$2:$I$2703,$H181))</x:f>
      </x:c>
      <x:c r="H181" t="n">
        <x:f>IF(180&gt;'10_events'!$K$2703,0,MATCH(180,'10_events'!$J$2:$J$2703,0))</x:f>
        <x:v>0</x:v>
      </x:c>
    </x:row>
    <x:row r="182" ht="25" customHeight="1">
      <x:c r="A182" t="str">
        <x:f>IF(181&gt;'10_events'!$K$2703,"",INDEX('10_events'!$A$2:$A$2703,$H182))</x:f>
      </x:c>
      <x:c r="B182" t="str">
        <x:f>IF(181&gt;'10_events'!$K$2703,"",INDEX('10_events'!$B$2:$B$2703,$H182))</x:f>
      </x:c>
      <x:c r="C182" t="str">
        <x:f>IF(181&gt;'10_events'!$K$2703,"",INDEX('10_events'!$C$2:$C$2703,$H182))</x:f>
      </x:c>
      <x:c r="D182" t="str">
        <x:f>IF(181&gt;'10_events'!$K$2703,"",INDEX('10_events'!$F$2:$F$2703,$H182))</x:f>
      </x:c>
      <x:c r="E182" t="str">
        <x:f>IF(181&gt;'10_events'!$K$2703,"",INDEX('10_events'!$G$2:$G$2703,$H182))</x:f>
      </x:c>
      <x:c r="F182" t="str">
        <x:f>IF(181&gt;'10_events'!$K$2703,"",INDEX('10_events'!$H$2:$H$2703,$H182))</x:f>
      </x:c>
      <x:c r="G182" s="16" t="str">
        <x:f>IF(181&gt;'10_events'!$K$2703,"",INDEX('10_events'!$I$2:$I$2703,$H182))</x:f>
      </x:c>
      <x:c r="H182" t="n">
        <x:f>IF(181&gt;'10_events'!$K$2703,0,MATCH(181,'10_events'!$J$2:$J$2703,0))</x:f>
        <x:v>0</x:v>
      </x:c>
    </x:row>
    <x:row r="183" ht="25" customHeight="1">
      <x:c r="A183" t="str">
        <x:f>IF(182&gt;'10_events'!$K$2703,"",INDEX('10_events'!$A$2:$A$2703,$H183))</x:f>
      </x:c>
      <x:c r="B183" t="str">
        <x:f>IF(182&gt;'10_events'!$K$2703,"",INDEX('10_events'!$B$2:$B$2703,$H183))</x:f>
      </x:c>
      <x:c r="C183" t="str">
        <x:f>IF(182&gt;'10_events'!$K$2703,"",INDEX('10_events'!$C$2:$C$2703,$H183))</x:f>
      </x:c>
      <x:c r="D183" t="str">
        <x:f>IF(182&gt;'10_events'!$K$2703,"",INDEX('10_events'!$F$2:$F$2703,$H183))</x:f>
      </x:c>
      <x:c r="E183" t="str">
        <x:f>IF(182&gt;'10_events'!$K$2703,"",INDEX('10_events'!$G$2:$G$2703,$H183))</x:f>
      </x:c>
      <x:c r="F183" t="str">
        <x:f>IF(182&gt;'10_events'!$K$2703,"",INDEX('10_events'!$H$2:$H$2703,$H183))</x:f>
      </x:c>
      <x:c r="G183" s="16" t="str">
        <x:f>IF(182&gt;'10_events'!$K$2703,"",INDEX('10_events'!$I$2:$I$2703,$H183))</x:f>
      </x:c>
      <x:c r="H183" t="n">
        <x:f>IF(182&gt;'10_events'!$K$2703,0,MATCH(182,'10_events'!$J$2:$J$2703,0))</x:f>
        <x:v>0</x:v>
      </x:c>
    </x:row>
    <x:row r="184" ht="25" customHeight="1">
      <x:c r="A184" t="str">
        <x:f>IF(183&gt;'10_events'!$K$2703,"",INDEX('10_events'!$A$2:$A$2703,$H184))</x:f>
      </x:c>
      <x:c r="B184" t="str">
        <x:f>IF(183&gt;'10_events'!$K$2703,"",INDEX('10_events'!$B$2:$B$2703,$H184))</x:f>
      </x:c>
      <x:c r="C184" t="str">
        <x:f>IF(183&gt;'10_events'!$K$2703,"",INDEX('10_events'!$C$2:$C$2703,$H184))</x:f>
      </x:c>
      <x:c r="D184" t="str">
        <x:f>IF(183&gt;'10_events'!$K$2703,"",INDEX('10_events'!$F$2:$F$2703,$H184))</x:f>
      </x:c>
      <x:c r="E184" t="str">
        <x:f>IF(183&gt;'10_events'!$K$2703,"",INDEX('10_events'!$G$2:$G$2703,$H184))</x:f>
      </x:c>
      <x:c r="F184" t="str">
        <x:f>IF(183&gt;'10_events'!$K$2703,"",INDEX('10_events'!$H$2:$H$2703,$H184))</x:f>
      </x:c>
      <x:c r="G184" s="16" t="str">
        <x:f>IF(183&gt;'10_events'!$K$2703,"",INDEX('10_events'!$I$2:$I$2703,$H184))</x:f>
      </x:c>
      <x:c r="H184" t="n">
        <x:f>IF(183&gt;'10_events'!$K$2703,0,MATCH(183,'10_events'!$J$2:$J$2703,0))</x:f>
        <x:v>0</x:v>
      </x:c>
    </x:row>
    <x:row r="185" ht="25" customHeight="1">
      <x:c r="A185" t="str">
        <x:f>IF(184&gt;'10_events'!$K$2703,"",INDEX('10_events'!$A$2:$A$2703,$H185))</x:f>
      </x:c>
      <x:c r="B185" t="str">
        <x:f>IF(184&gt;'10_events'!$K$2703,"",INDEX('10_events'!$B$2:$B$2703,$H185))</x:f>
      </x:c>
      <x:c r="C185" t="str">
        <x:f>IF(184&gt;'10_events'!$K$2703,"",INDEX('10_events'!$C$2:$C$2703,$H185))</x:f>
      </x:c>
      <x:c r="D185" t="str">
        <x:f>IF(184&gt;'10_events'!$K$2703,"",INDEX('10_events'!$F$2:$F$2703,$H185))</x:f>
      </x:c>
      <x:c r="E185" t="str">
        <x:f>IF(184&gt;'10_events'!$K$2703,"",INDEX('10_events'!$G$2:$G$2703,$H185))</x:f>
      </x:c>
      <x:c r="F185" t="str">
        <x:f>IF(184&gt;'10_events'!$K$2703,"",INDEX('10_events'!$H$2:$H$2703,$H185))</x:f>
      </x:c>
      <x:c r="G185" s="16" t="str">
        <x:f>IF(184&gt;'10_events'!$K$2703,"",INDEX('10_events'!$I$2:$I$2703,$H185))</x:f>
      </x:c>
      <x:c r="H185" t="n">
        <x:f>IF(184&gt;'10_events'!$K$2703,0,MATCH(184,'10_events'!$J$2:$J$2703,0))</x:f>
        <x:v>0</x:v>
      </x:c>
    </x:row>
    <x:row r="186" ht="25" customHeight="1">
      <x:c r="A186" t="str">
        <x:f>IF(185&gt;'10_events'!$K$2703,"",INDEX('10_events'!$A$2:$A$2703,$H186))</x:f>
      </x:c>
      <x:c r="B186" t="str">
        <x:f>IF(185&gt;'10_events'!$K$2703,"",INDEX('10_events'!$B$2:$B$2703,$H186))</x:f>
      </x:c>
      <x:c r="C186" t="str">
        <x:f>IF(185&gt;'10_events'!$K$2703,"",INDEX('10_events'!$C$2:$C$2703,$H186))</x:f>
      </x:c>
      <x:c r="D186" t="str">
        <x:f>IF(185&gt;'10_events'!$K$2703,"",INDEX('10_events'!$F$2:$F$2703,$H186))</x:f>
      </x:c>
      <x:c r="E186" t="str">
        <x:f>IF(185&gt;'10_events'!$K$2703,"",INDEX('10_events'!$G$2:$G$2703,$H186))</x:f>
      </x:c>
      <x:c r="F186" t="str">
        <x:f>IF(185&gt;'10_events'!$K$2703,"",INDEX('10_events'!$H$2:$H$2703,$H186))</x:f>
      </x:c>
      <x:c r="G186" s="16" t="str">
        <x:f>IF(185&gt;'10_events'!$K$2703,"",INDEX('10_events'!$I$2:$I$2703,$H186))</x:f>
      </x:c>
      <x:c r="H186" t="n">
        <x:f>IF(185&gt;'10_events'!$K$2703,0,MATCH(185,'10_events'!$J$2:$J$2703,0))</x:f>
        <x:v>0</x:v>
      </x:c>
    </x:row>
    <x:row r="187" ht="25" customHeight="1">
      <x:c r="A187" t="str">
        <x:f>IF(186&gt;'10_events'!$K$2703,"",INDEX('10_events'!$A$2:$A$2703,$H187))</x:f>
      </x:c>
      <x:c r="B187" t="str">
        <x:f>IF(186&gt;'10_events'!$K$2703,"",INDEX('10_events'!$B$2:$B$2703,$H187))</x:f>
      </x:c>
      <x:c r="C187" t="str">
        <x:f>IF(186&gt;'10_events'!$K$2703,"",INDEX('10_events'!$C$2:$C$2703,$H187))</x:f>
      </x:c>
      <x:c r="D187" t="str">
        <x:f>IF(186&gt;'10_events'!$K$2703,"",INDEX('10_events'!$F$2:$F$2703,$H187))</x:f>
      </x:c>
      <x:c r="E187" t="str">
        <x:f>IF(186&gt;'10_events'!$K$2703,"",INDEX('10_events'!$G$2:$G$2703,$H187))</x:f>
      </x:c>
      <x:c r="F187" t="str">
        <x:f>IF(186&gt;'10_events'!$K$2703,"",INDEX('10_events'!$H$2:$H$2703,$H187))</x:f>
      </x:c>
      <x:c r="G187" s="16" t="str">
        <x:f>IF(186&gt;'10_events'!$K$2703,"",INDEX('10_events'!$I$2:$I$2703,$H187))</x:f>
      </x:c>
      <x:c r="H187" t="n">
        <x:f>IF(186&gt;'10_events'!$K$2703,0,MATCH(186,'10_events'!$J$2:$J$2703,0))</x:f>
        <x:v>0</x:v>
      </x:c>
    </x:row>
    <x:row r="188" ht="25" customHeight="1">
      <x:c r="A188" t="str">
        <x:f>IF(187&gt;'10_events'!$K$2703,"",INDEX('10_events'!$A$2:$A$2703,$H188))</x:f>
      </x:c>
      <x:c r="B188" t="str">
        <x:f>IF(187&gt;'10_events'!$K$2703,"",INDEX('10_events'!$B$2:$B$2703,$H188))</x:f>
      </x:c>
      <x:c r="C188" t="str">
        <x:f>IF(187&gt;'10_events'!$K$2703,"",INDEX('10_events'!$C$2:$C$2703,$H188))</x:f>
      </x:c>
      <x:c r="D188" t="str">
        <x:f>IF(187&gt;'10_events'!$K$2703,"",INDEX('10_events'!$F$2:$F$2703,$H188))</x:f>
      </x:c>
      <x:c r="E188" t="str">
        <x:f>IF(187&gt;'10_events'!$K$2703,"",INDEX('10_events'!$G$2:$G$2703,$H188))</x:f>
      </x:c>
      <x:c r="F188" t="str">
        <x:f>IF(187&gt;'10_events'!$K$2703,"",INDEX('10_events'!$H$2:$H$2703,$H188))</x:f>
      </x:c>
      <x:c r="G188" s="16" t="str">
        <x:f>IF(187&gt;'10_events'!$K$2703,"",INDEX('10_events'!$I$2:$I$2703,$H188))</x:f>
      </x:c>
      <x:c r="H188" t="n">
        <x:f>IF(187&gt;'10_events'!$K$2703,0,MATCH(187,'10_events'!$J$2:$J$2703,0))</x:f>
        <x:v>0</x:v>
      </x:c>
    </x:row>
    <x:row r="189" ht="25" customHeight="1">
      <x:c r="A189" t="str">
        <x:f>IF(188&gt;'10_events'!$K$2703,"",INDEX('10_events'!$A$2:$A$2703,$H189))</x:f>
      </x:c>
      <x:c r="B189" t="str">
        <x:f>IF(188&gt;'10_events'!$K$2703,"",INDEX('10_events'!$B$2:$B$2703,$H189))</x:f>
      </x:c>
      <x:c r="C189" t="str">
        <x:f>IF(188&gt;'10_events'!$K$2703,"",INDEX('10_events'!$C$2:$C$2703,$H189))</x:f>
      </x:c>
      <x:c r="D189" t="str">
        <x:f>IF(188&gt;'10_events'!$K$2703,"",INDEX('10_events'!$F$2:$F$2703,$H189))</x:f>
      </x:c>
      <x:c r="E189" t="str">
        <x:f>IF(188&gt;'10_events'!$K$2703,"",INDEX('10_events'!$G$2:$G$2703,$H189))</x:f>
      </x:c>
      <x:c r="F189" t="str">
        <x:f>IF(188&gt;'10_events'!$K$2703,"",INDEX('10_events'!$H$2:$H$2703,$H189))</x:f>
      </x:c>
      <x:c r="G189" s="16" t="str">
        <x:f>IF(188&gt;'10_events'!$K$2703,"",INDEX('10_events'!$I$2:$I$2703,$H189))</x:f>
      </x:c>
      <x:c r="H189" t="n">
        <x:f>IF(188&gt;'10_events'!$K$2703,0,MATCH(188,'10_events'!$J$2:$J$2703,0))</x:f>
        <x:v>0</x:v>
      </x:c>
    </x:row>
    <x:row r="190" ht="25" customHeight="1">
      <x:c r="A190" t="str">
        <x:f>IF(189&gt;'10_events'!$K$2703,"",INDEX('10_events'!$A$2:$A$2703,$H190))</x:f>
      </x:c>
      <x:c r="B190" t="str">
        <x:f>IF(189&gt;'10_events'!$K$2703,"",INDEX('10_events'!$B$2:$B$2703,$H190))</x:f>
      </x:c>
      <x:c r="C190" t="str">
        <x:f>IF(189&gt;'10_events'!$K$2703,"",INDEX('10_events'!$C$2:$C$2703,$H190))</x:f>
      </x:c>
      <x:c r="D190" t="str">
        <x:f>IF(189&gt;'10_events'!$K$2703,"",INDEX('10_events'!$F$2:$F$2703,$H190))</x:f>
      </x:c>
      <x:c r="E190" t="str">
        <x:f>IF(189&gt;'10_events'!$K$2703,"",INDEX('10_events'!$G$2:$G$2703,$H190))</x:f>
      </x:c>
      <x:c r="F190" t="str">
        <x:f>IF(189&gt;'10_events'!$K$2703,"",INDEX('10_events'!$H$2:$H$2703,$H190))</x:f>
      </x:c>
      <x:c r="G190" s="16" t="str">
        <x:f>IF(189&gt;'10_events'!$K$2703,"",INDEX('10_events'!$I$2:$I$2703,$H190))</x:f>
      </x:c>
      <x:c r="H190" t="n">
        <x:f>IF(189&gt;'10_events'!$K$2703,0,MATCH(189,'10_events'!$J$2:$J$2703,0))</x:f>
        <x:v>0</x:v>
      </x:c>
    </x:row>
    <x:row r="191" ht="25" customHeight="1">
      <x:c r="A191" t="str">
        <x:f>IF(190&gt;'10_events'!$K$2703,"",INDEX('10_events'!$A$2:$A$2703,$H191))</x:f>
      </x:c>
      <x:c r="B191" t="str">
        <x:f>IF(190&gt;'10_events'!$K$2703,"",INDEX('10_events'!$B$2:$B$2703,$H191))</x:f>
      </x:c>
      <x:c r="C191" t="str">
        <x:f>IF(190&gt;'10_events'!$K$2703,"",INDEX('10_events'!$C$2:$C$2703,$H191))</x:f>
      </x:c>
      <x:c r="D191" t="str">
        <x:f>IF(190&gt;'10_events'!$K$2703,"",INDEX('10_events'!$F$2:$F$2703,$H191))</x:f>
      </x:c>
      <x:c r="E191" t="str">
        <x:f>IF(190&gt;'10_events'!$K$2703,"",INDEX('10_events'!$G$2:$G$2703,$H191))</x:f>
      </x:c>
      <x:c r="F191" t="str">
        <x:f>IF(190&gt;'10_events'!$K$2703,"",INDEX('10_events'!$H$2:$H$2703,$H191))</x:f>
      </x:c>
      <x:c r="G191" s="16" t="str">
        <x:f>IF(190&gt;'10_events'!$K$2703,"",INDEX('10_events'!$I$2:$I$2703,$H191))</x:f>
      </x:c>
      <x:c r="H191" t="n">
        <x:f>IF(190&gt;'10_events'!$K$2703,0,MATCH(190,'10_events'!$J$2:$J$2703,0))</x:f>
        <x:v>0</x:v>
      </x:c>
    </x:row>
    <x:row r="192" ht="25" customHeight="1">
      <x:c r="A192" t="str">
        <x:f>IF(191&gt;'10_events'!$K$2703,"",INDEX('10_events'!$A$2:$A$2703,$H192))</x:f>
      </x:c>
      <x:c r="B192" t="str">
        <x:f>IF(191&gt;'10_events'!$K$2703,"",INDEX('10_events'!$B$2:$B$2703,$H192))</x:f>
      </x:c>
      <x:c r="C192" t="str">
        <x:f>IF(191&gt;'10_events'!$K$2703,"",INDEX('10_events'!$C$2:$C$2703,$H192))</x:f>
      </x:c>
      <x:c r="D192" t="str">
        <x:f>IF(191&gt;'10_events'!$K$2703,"",INDEX('10_events'!$F$2:$F$2703,$H192))</x:f>
      </x:c>
      <x:c r="E192" t="str">
        <x:f>IF(191&gt;'10_events'!$K$2703,"",INDEX('10_events'!$G$2:$G$2703,$H192))</x:f>
      </x:c>
      <x:c r="F192" t="str">
        <x:f>IF(191&gt;'10_events'!$K$2703,"",INDEX('10_events'!$H$2:$H$2703,$H192))</x:f>
      </x:c>
      <x:c r="G192" s="16" t="str">
        <x:f>IF(191&gt;'10_events'!$K$2703,"",INDEX('10_events'!$I$2:$I$2703,$H192))</x:f>
      </x:c>
      <x:c r="H192" t="n">
        <x:f>IF(191&gt;'10_events'!$K$2703,0,MATCH(191,'10_events'!$J$2:$J$2703,0))</x:f>
        <x:v>0</x:v>
      </x:c>
    </x:row>
    <x:row r="193" ht="25" customHeight="1">
      <x:c r="A193" t="str">
        <x:f>IF(192&gt;'10_events'!$K$2703,"",INDEX('10_events'!$A$2:$A$2703,$H193))</x:f>
      </x:c>
      <x:c r="B193" t="str">
        <x:f>IF(192&gt;'10_events'!$K$2703,"",INDEX('10_events'!$B$2:$B$2703,$H193))</x:f>
      </x:c>
      <x:c r="C193" t="str">
        <x:f>IF(192&gt;'10_events'!$K$2703,"",INDEX('10_events'!$C$2:$C$2703,$H193))</x:f>
      </x:c>
      <x:c r="D193" t="str">
        <x:f>IF(192&gt;'10_events'!$K$2703,"",INDEX('10_events'!$F$2:$F$2703,$H193))</x:f>
      </x:c>
      <x:c r="E193" t="str">
        <x:f>IF(192&gt;'10_events'!$K$2703,"",INDEX('10_events'!$G$2:$G$2703,$H193))</x:f>
      </x:c>
      <x:c r="F193" t="str">
        <x:f>IF(192&gt;'10_events'!$K$2703,"",INDEX('10_events'!$H$2:$H$2703,$H193))</x:f>
      </x:c>
      <x:c r="G193" s="16" t="str">
        <x:f>IF(192&gt;'10_events'!$K$2703,"",INDEX('10_events'!$I$2:$I$2703,$H193))</x:f>
      </x:c>
      <x:c r="H193" t="n">
        <x:f>IF(192&gt;'10_events'!$K$2703,0,MATCH(192,'10_events'!$J$2:$J$2703,0))</x:f>
        <x:v>0</x:v>
      </x:c>
    </x:row>
    <x:row r="194" ht="25" customHeight="1">
      <x:c r="A194" t="str">
        <x:f>IF(193&gt;'10_events'!$K$2703,"",INDEX('10_events'!$A$2:$A$2703,$H194))</x:f>
      </x:c>
      <x:c r="B194" t="str">
        <x:f>IF(193&gt;'10_events'!$K$2703,"",INDEX('10_events'!$B$2:$B$2703,$H194))</x:f>
      </x:c>
      <x:c r="C194" t="str">
        <x:f>IF(193&gt;'10_events'!$K$2703,"",INDEX('10_events'!$C$2:$C$2703,$H194))</x:f>
      </x:c>
      <x:c r="D194" t="str">
        <x:f>IF(193&gt;'10_events'!$K$2703,"",INDEX('10_events'!$F$2:$F$2703,$H194))</x:f>
      </x:c>
      <x:c r="E194" t="str">
        <x:f>IF(193&gt;'10_events'!$K$2703,"",INDEX('10_events'!$G$2:$G$2703,$H194))</x:f>
      </x:c>
      <x:c r="F194" t="str">
        <x:f>IF(193&gt;'10_events'!$K$2703,"",INDEX('10_events'!$H$2:$H$2703,$H194))</x:f>
      </x:c>
      <x:c r="G194" s="16" t="str">
        <x:f>IF(193&gt;'10_events'!$K$2703,"",INDEX('10_events'!$I$2:$I$2703,$H194))</x:f>
      </x:c>
      <x:c r="H194" t="n">
        <x:f>IF(193&gt;'10_events'!$K$2703,0,MATCH(193,'10_events'!$J$2:$J$2703,0))</x:f>
        <x:v>0</x:v>
      </x:c>
    </x:row>
    <x:row r="195" ht="25" customHeight="1">
      <x:c r="A195" t="str">
        <x:f>IF(194&gt;'10_events'!$K$2703,"",INDEX('10_events'!$A$2:$A$2703,$H195))</x:f>
      </x:c>
      <x:c r="B195" t="str">
        <x:f>IF(194&gt;'10_events'!$K$2703,"",INDEX('10_events'!$B$2:$B$2703,$H195))</x:f>
      </x:c>
      <x:c r="C195" t="str">
        <x:f>IF(194&gt;'10_events'!$K$2703,"",INDEX('10_events'!$C$2:$C$2703,$H195))</x:f>
      </x:c>
      <x:c r="D195" t="str">
        <x:f>IF(194&gt;'10_events'!$K$2703,"",INDEX('10_events'!$F$2:$F$2703,$H195))</x:f>
      </x:c>
      <x:c r="E195" t="str">
        <x:f>IF(194&gt;'10_events'!$K$2703,"",INDEX('10_events'!$G$2:$G$2703,$H195))</x:f>
      </x:c>
      <x:c r="F195" t="str">
        <x:f>IF(194&gt;'10_events'!$K$2703,"",INDEX('10_events'!$H$2:$H$2703,$H195))</x:f>
      </x:c>
      <x:c r="G195" s="16" t="str">
        <x:f>IF(194&gt;'10_events'!$K$2703,"",INDEX('10_events'!$I$2:$I$2703,$H195))</x:f>
      </x:c>
      <x:c r="H195" t="n">
        <x:f>IF(194&gt;'10_events'!$K$2703,0,MATCH(194,'10_events'!$J$2:$J$2703,0))</x:f>
        <x:v>0</x:v>
      </x:c>
    </x:row>
    <x:row r="196" ht="25" customHeight="1">
      <x:c r="A196" t="str">
        <x:f>IF(195&gt;'10_events'!$K$2703,"",INDEX('10_events'!$A$2:$A$2703,$H196))</x:f>
      </x:c>
      <x:c r="B196" t="str">
        <x:f>IF(195&gt;'10_events'!$K$2703,"",INDEX('10_events'!$B$2:$B$2703,$H196))</x:f>
      </x:c>
      <x:c r="C196" t="str">
        <x:f>IF(195&gt;'10_events'!$K$2703,"",INDEX('10_events'!$C$2:$C$2703,$H196))</x:f>
      </x:c>
      <x:c r="D196" t="str">
        <x:f>IF(195&gt;'10_events'!$K$2703,"",INDEX('10_events'!$F$2:$F$2703,$H196))</x:f>
      </x:c>
      <x:c r="E196" t="str">
        <x:f>IF(195&gt;'10_events'!$K$2703,"",INDEX('10_events'!$G$2:$G$2703,$H196))</x:f>
      </x:c>
      <x:c r="F196" t="str">
        <x:f>IF(195&gt;'10_events'!$K$2703,"",INDEX('10_events'!$H$2:$H$2703,$H196))</x:f>
      </x:c>
      <x:c r="G196" s="16" t="str">
        <x:f>IF(195&gt;'10_events'!$K$2703,"",INDEX('10_events'!$I$2:$I$2703,$H196))</x:f>
      </x:c>
      <x:c r="H196" t="n">
        <x:f>IF(195&gt;'10_events'!$K$2703,0,MATCH(195,'10_events'!$J$2:$J$2703,0))</x:f>
        <x:v>0</x:v>
      </x:c>
    </x:row>
    <x:row r="197" ht="25" customHeight="1">
      <x:c r="A197" t="str">
        <x:f>IF(196&gt;'10_events'!$K$2703,"",INDEX('10_events'!$A$2:$A$2703,$H197))</x:f>
      </x:c>
      <x:c r="B197" t="str">
        <x:f>IF(196&gt;'10_events'!$K$2703,"",INDEX('10_events'!$B$2:$B$2703,$H197))</x:f>
      </x:c>
      <x:c r="C197" t="str">
        <x:f>IF(196&gt;'10_events'!$K$2703,"",INDEX('10_events'!$C$2:$C$2703,$H197))</x:f>
      </x:c>
      <x:c r="D197" t="str">
        <x:f>IF(196&gt;'10_events'!$K$2703,"",INDEX('10_events'!$F$2:$F$2703,$H197))</x:f>
      </x:c>
      <x:c r="E197" t="str">
        <x:f>IF(196&gt;'10_events'!$K$2703,"",INDEX('10_events'!$G$2:$G$2703,$H197))</x:f>
      </x:c>
      <x:c r="F197" t="str">
        <x:f>IF(196&gt;'10_events'!$K$2703,"",INDEX('10_events'!$H$2:$H$2703,$H197))</x:f>
      </x:c>
      <x:c r="G197" s="16" t="str">
        <x:f>IF(196&gt;'10_events'!$K$2703,"",INDEX('10_events'!$I$2:$I$2703,$H197))</x:f>
      </x:c>
      <x:c r="H197" t="n">
        <x:f>IF(196&gt;'10_events'!$K$2703,0,MATCH(196,'10_events'!$J$2:$J$2703,0))</x:f>
        <x:v>0</x:v>
      </x:c>
    </x:row>
    <x:row r="198" ht="25" customHeight="1">
      <x:c r="A198" t="str">
        <x:f>IF(197&gt;'10_events'!$K$2703,"",INDEX('10_events'!$A$2:$A$2703,$H198))</x:f>
      </x:c>
      <x:c r="B198" t="str">
        <x:f>IF(197&gt;'10_events'!$K$2703,"",INDEX('10_events'!$B$2:$B$2703,$H198))</x:f>
      </x:c>
      <x:c r="C198" t="str">
        <x:f>IF(197&gt;'10_events'!$K$2703,"",INDEX('10_events'!$C$2:$C$2703,$H198))</x:f>
      </x:c>
      <x:c r="D198" t="str">
        <x:f>IF(197&gt;'10_events'!$K$2703,"",INDEX('10_events'!$F$2:$F$2703,$H198))</x:f>
      </x:c>
      <x:c r="E198" t="str">
        <x:f>IF(197&gt;'10_events'!$K$2703,"",INDEX('10_events'!$G$2:$G$2703,$H198))</x:f>
      </x:c>
      <x:c r="F198" t="str">
        <x:f>IF(197&gt;'10_events'!$K$2703,"",INDEX('10_events'!$H$2:$H$2703,$H198))</x:f>
      </x:c>
      <x:c r="G198" s="16" t="str">
        <x:f>IF(197&gt;'10_events'!$K$2703,"",INDEX('10_events'!$I$2:$I$2703,$H198))</x:f>
      </x:c>
      <x:c r="H198" t="n">
        <x:f>IF(197&gt;'10_events'!$K$2703,0,MATCH(197,'10_events'!$J$2:$J$2703,0))</x:f>
        <x:v>0</x:v>
      </x:c>
    </x:row>
    <x:row r="199" ht="25" customHeight="1">
      <x:c r="A199" t="str">
        <x:f>IF(198&gt;'10_events'!$K$2703,"",INDEX('10_events'!$A$2:$A$2703,$H199))</x:f>
      </x:c>
      <x:c r="B199" t="str">
        <x:f>IF(198&gt;'10_events'!$K$2703,"",INDEX('10_events'!$B$2:$B$2703,$H199))</x:f>
      </x:c>
      <x:c r="C199" t="str">
        <x:f>IF(198&gt;'10_events'!$K$2703,"",INDEX('10_events'!$C$2:$C$2703,$H199))</x:f>
      </x:c>
      <x:c r="D199" t="str">
        <x:f>IF(198&gt;'10_events'!$K$2703,"",INDEX('10_events'!$F$2:$F$2703,$H199))</x:f>
      </x:c>
      <x:c r="E199" t="str">
        <x:f>IF(198&gt;'10_events'!$K$2703,"",INDEX('10_events'!$G$2:$G$2703,$H199))</x:f>
      </x:c>
      <x:c r="F199" t="str">
        <x:f>IF(198&gt;'10_events'!$K$2703,"",INDEX('10_events'!$H$2:$H$2703,$H199))</x:f>
      </x:c>
      <x:c r="G199" s="16" t="str">
        <x:f>IF(198&gt;'10_events'!$K$2703,"",INDEX('10_events'!$I$2:$I$2703,$H199))</x:f>
      </x:c>
      <x:c r="H199" t="n">
        <x:f>IF(198&gt;'10_events'!$K$2703,0,MATCH(198,'10_events'!$J$2:$J$2703,0))</x:f>
        <x:v>0</x:v>
      </x:c>
    </x:row>
    <x:row r="200" ht="25" customHeight="1">
      <x:c r="A200" t="str">
        <x:f>IF(199&gt;'10_events'!$K$2703,"",INDEX('10_events'!$A$2:$A$2703,$H200))</x:f>
      </x:c>
      <x:c r="B200" t="str">
        <x:f>IF(199&gt;'10_events'!$K$2703,"",INDEX('10_events'!$B$2:$B$2703,$H200))</x:f>
      </x:c>
      <x:c r="C200" t="str">
        <x:f>IF(199&gt;'10_events'!$K$2703,"",INDEX('10_events'!$C$2:$C$2703,$H200))</x:f>
      </x:c>
      <x:c r="D200" t="str">
        <x:f>IF(199&gt;'10_events'!$K$2703,"",INDEX('10_events'!$F$2:$F$2703,$H200))</x:f>
      </x:c>
      <x:c r="E200" t="str">
        <x:f>IF(199&gt;'10_events'!$K$2703,"",INDEX('10_events'!$G$2:$G$2703,$H200))</x:f>
      </x:c>
      <x:c r="F200" t="str">
        <x:f>IF(199&gt;'10_events'!$K$2703,"",INDEX('10_events'!$H$2:$H$2703,$H200))</x:f>
      </x:c>
      <x:c r="G200" s="16" t="str">
        <x:f>IF(199&gt;'10_events'!$K$2703,"",INDEX('10_events'!$I$2:$I$2703,$H200))</x:f>
      </x:c>
      <x:c r="H200" t="n">
        <x:f>IF(199&gt;'10_events'!$K$2703,0,MATCH(199,'10_events'!$J$2:$J$2703,0))</x:f>
        <x:v>0</x:v>
      </x:c>
    </x:row>
    <x:row r="201" ht="25" customHeight="1">
      <x:c r="A201" t="str">
        <x:f>IF(200&gt;'10_events'!$K$2703,"",INDEX('10_events'!$A$2:$A$2703,$H201))</x:f>
      </x:c>
      <x:c r="B201" t="str">
        <x:f>IF(200&gt;'10_events'!$K$2703,"",INDEX('10_events'!$B$2:$B$2703,$H201))</x:f>
      </x:c>
      <x:c r="C201" t="str">
        <x:f>IF(200&gt;'10_events'!$K$2703,"",INDEX('10_events'!$C$2:$C$2703,$H201))</x:f>
      </x:c>
      <x:c r="D201" t="str">
        <x:f>IF(200&gt;'10_events'!$K$2703,"",INDEX('10_events'!$F$2:$F$2703,$H201))</x:f>
      </x:c>
      <x:c r="E201" t="str">
        <x:f>IF(200&gt;'10_events'!$K$2703,"",INDEX('10_events'!$G$2:$G$2703,$H201))</x:f>
      </x:c>
      <x:c r="F201" t="str">
        <x:f>IF(200&gt;'10_events'!$K$2703,"",INDEX('10_events'!$H$2:$H$2703,$H201))</x:f>
      </x:c>
      <x:c r="G201" s="16" t="str">
        <x:f>IF(200&gt;'10_events'!$K$2703,"",INDEX('10_events'!$I$2:$I$2703,$H201))</x:f>
      </x:c>
      <x:c r="H201" t="n">
        <x:f>IF(200&gt;'10_events'!$K$2703,0,MATCH(200,'10_events'!$J$2:$J$2703,0))</x:f>
        <x:v>0</x:v>
      </x:c>
    </x:row>
    <x:row r="202" ht="25" customHeight="1">
      <x:c r="A202" t="str">
        <x:f>IF(201&gt;'10_events'!$K$2703,"",INDEX('10_events'!$A$2:$A$2703,$H202))</x:f>
      </x:c>
      <x:c r="B202" t="str">
        <x:f>IF(201&gt;'10_events'!$K$2703,"",INDEX('10_events'!$B$2:$B$2703,$H202))</x:f>
      </x:c>
      <x:c r="C202" t="str">
        <x:f>IF(201&gt;'10_events'!$K$2703,"",INDEX('10_events'!$C$2:$C$2703,$H202))</x:f>
      </x:c>
      <x:c r="D202" t="str">
        <x:f>IF(201&gt;'10_events'!$K$2703,"",INDEX('10_events'!$F$2:$F$2703,$H202))</x:f>
      </x:c>
      <x:c r="E202" t="str">
        <x:f>IF(201&gt;'10_events'!$K$2703,"",INDEX('10_events'!$G$2:$G$2703,$H202))</x:f>
      </x:c>
      <x:c r="F202" t="str">
        <x:f>IF(201&gt;'10_events'!$K$2703,"",INDEX('10_events'!$H$2:$H$2703,$H202))</x:f>
      </x:c>
      <x:c r="G202" s="16" t="str">
        <x:f>IF(201&gt;'10_events'!$K$2703,"",INDEX('10_events'!$I$2:$I$2703,$H202))</x:f>
      </x:c>
      <x:c r="H202" t="n">
        <x:f>IF(201&gt;'10_events'!$K$2703,0,MATCH(201,'10_events'!$J$2:$J$2703,0))</x:f>
        <x:v>0</x:v>
      </x:c>
    </x:row>
    <x:row r="203" ht="25" customHeight="1">
      <x:c r="A203" t="str">
        <x:f>IF(202&gt;'10_events'!$K$2703,"",INDEX('10_events'!$A$2:$A$2703,$H203))</x:f>
      </x:c>
      <x:c r="B203" t="str">
        <x:f>IF(202&gt;'10_events'!$K$2703,"",INDEX('10_events'!$B$2:$B$2703,$H203))</x:f>
      </x:c>
      <x:c r="C203" t="str">
        <x:f>IF(202&gt;'10_events'!$K$2703,"",INDEX('10_events'!$C$2:$C$2703,$H203))</x:f>
      </x:c>
      <x:c r="D203" t="str">
        <x:f>IF(202&gt;'10_events'!$K$2703,"",INDEX('10_events'!$F$2:$F$2703,$H203))</x:f>
      </x:c>
      <x:c r="E203" t="str">
        <x:f>IF(202&gt;'10_events'!$K$2703,"",INDEX('10_events'!$G$2:$G$2703,$H203))</x:f>
      </x:c>
      <x:c r="F203" t="str">
        <x:f>IF(202&gt;'10_events'!$K$2703,"",INDEX('10_events'!$H$2:$H$2703,$H203))</x:f>
      </x:c>
      <x:c r="G203" s="16" t="str">
        <x:f>IF(202&gt;'10_events'!$K$2703,"",INDEX('10_events'!$I$2:$I$2703,$H203))</x:f>
      </x:c>
      <x:c r="H203" t="n">
        <x:f>IF(202&gt;'10_events'!$K$2703,0,MATCH(202,'10_events'!$J$2:$J$2703,0))</x:f>
        <x:v>0</x:v>
      </x:c>
    </x:row>
    <x:row r="204" ht="25" customHeight="1">
      <x:c r="A204" t="str">
        <x:f>IF(203&gt;'10_events'!$K$2703,"",INDEX('10_events'!$A$2:$A$2703,$H204))</x:f>
      </x:c>
      <x:c r="B204" t="str">
        <x:f>IF(203&gt;'10_events'!$K$2703,"",INDEX('10_events'!$B$2:$B$2703,$H204))</x:f>
      </x:c>
      <x:c r="C204" t="str">
        <x:f>IF(203&gt;'10_events'!$K$2703,"",INDEX('10_events'!$C$2:$C$2703,$H204))</x:f>
      </x:c>
      <x:c r="D204" t="str">
        <x:f>IF(203&gt;'10_events'!$K$2703,"",INDEX('10_events'!$F$2:$F$2703,$H204))</x:f>
      </x:c>
      <x:c r="E204" t="str">
        <x:f>IF(203&gt;'10_events'!$K$2703,"",INDEX('10_events'!$G$2:$G$2703,$H204))</x:f>
      </x:c>
      <x:c r="F204" t="str">
        <x:f>IF(203&gt;'10_events'!$K$2703,"",INDEX('10_events'!$H$2:$H$2703,$H204))</x:f>
      </x:c>
      <x:c r="G204" s="16" t="str">
        <x:f>IF(203&gt;'10_events'!$K$2703,"",INDEX('10_events'!$I$2:$I$2703,$H204))</x:f>
      </x:c>
      <x:c r="H204" t="n">
        <x:f>IF(203&gt;'10_events'!$K$2703,0,MATCH(203,'10_events'!$J$2:$J$2703,0))</x:f>
        <x:v>0</x:v>
      </x:c>
    </x:row>
    <x:row r="205" ht="25" customHeight="1">
      <x:c r="A205" t="str">
        <x:f>IF(204&gt;'10_events'!$K$2703,"",INDEX('10_events'!$A$2:$A$2703,$H205))</x:f>
      </x:c>
      <x:c r="B205" t="str">
        <x:f>IF(204&gt;'10_events'!$K$2703,"",INDEX('10_events'!$B$2:$B$2703,$H205))</x:f>
      </x:c>
      <x:c r="C205" t="str">
        <x:f>IF(204&gt;'10_events'!$K$2703,"",INDEX('10_events'!$C$2:$C$2703,$H205))</x:f>
      </x:c>
      <x:c r="D205" t="str">
        <x:f>IF(204&gt;'10_events'!$K$2703,"",INDEX('10_events'!$F$2:$F$2703,$H205))</x:f>
      </x:c>
      <x:c r="E205" t="str">
        <x:f>IF(204&gt;'10_events'!$K$2703,"",INDEX('10_events'!$G$2:$G$2703,$H205))</x:f>
      </x:c>
      <x:c r="F205" t="str">
        <x:f>IF(204&gt;'10_events'!$K$2703,"",INDEX('10_events'!$H$2:$H$2703,$H205))</x:f>
      </x:c>
      <x:c r="G205" s="16" t="str">
        <x:f>IF(204&gt;'10_events'!$K$2703,"",INDEX('10_events'!$I$2:$I$2703,$H205))</x:f>
      </x:c>
      <x:c r="H205" t="n">
        <x:f>IF(204&gt;'10_events'!$K$2703,0,MATCH(204,'10_events'!$J$2:$J$2703,0))</x:f>
        <x:v>0</x:v>
      </x:c>
    </x:row>
    <x:row r="206" ht="25" customHeight="1">
      <x:c r="A206" t="str">
        <x:f>IF(205&gt;'10_events'!$K$2703,"",INDEX('10_events'!$A$2:$A$2703,$H206))</x:f>
      </x:c>
      <x:c r="B206" t="str">
        <x:f>IF(205&gt;'10_events'!$K$2703,"",INDEX('10_events'!$B$2:$B$2703,$H206))</x:f>
      </x:c>
      <x:c r="C206" t="str">
        <x:f>IF(205&gt;'10_events'!$K$2703,"",INDEX('10_events'!$C$2:$C$2703,$H206))</x:f>
      </x:c>
      <x:c r="D206" t="str">
        <x:f>IF(205&gt;'10_events'!$K$2703,"",INDEX('10_events'!$F$2:$F$2703,$H206))</x:f>
      </x:c>
      <x:c r="E206" t="str">
        <x:f>IF(205&gt;'10_events'!$K$2703,"",INDEX('10_events'!$G$2:$G$2703,$H206))</x:f>
      </x:c>
      <x:c r="F206" t="str">
        <x:f>IF(205&gt;'10_events'!$K$2703,"",INDEX('10_events'!$H$2:$H$2703,$H206))</x:f>
      </x:c>
      <x:c r="G206" s="16" t="str">
        <x:f>IF(205&gt;'10_events'!$K$2703,"",INDEX('10_events'!$I$2:$I$2703,$H206))</x:f>
      </x:c>
      <x:c r="H206" t="n">
        <x:f>IF(205&gt;'10_events'!$K$2703,0,MATCH(205,'10_events'!$J$2:$J$2703,0))</x:f>
        <x:v>0</x:v>
      </x:c>
    </x:row>
    <x:row r="207" ht="25" customHeight="1">
      <x:c r="A207" t="str">
        <x:f>IF(206&gt;'10_events'!$K$2703,"",INDEX('10_events'!$A$2:$A$2703,$H207))</x:f>
      </x:c>
      <x:c r="B207" t="str">
        <x:f>IF(206&gt;'10_events'!$K$2703,"",INDEX('10_events'!$B$2:$B$2703,$H207))</x:f>
      </x:c>
      <x:c r="C207" t="str">
        <x:f>IF(206&gt;'10_events'!$K$2703,"",INDEX('10_events'!$C$2:$C$2703,$H207))</x:f>
      </x:c>
      <x:c r="D207" t="str">
        <x:f>IF(206&gt;'10_events'!$K$2703,"",INDEX('10_events'!$F$2:$F$2703,$H207))</x:f>
      </x:c>
      <x:c r="E207" t="str">
        <x:f>IF(206&gt;'10_events'!$K$2703,"",INDEX('10_events'!$G$2:$G$2703,$H207))</x:f>
      </x:c>
      <x:c r="F207" t="str">
        <x:f>IF(206&gt;'10_events'!$K$2703,"",INDEX('10_events'!$H$2:$H$2703,$H207))</x:f>
      </x:c>
      <x:c r="G207" s="16" t="str">
        <x:f>IF(206&gt;'10_events'!$K$2703,"",INDEX('10_events'!$I$2:$I$2703,$H207))</x:f>
      </x:c>
      <x:c r="H207" t="n">
        <x:f>IF(206&gt;'10_events'!$K$2703,0,MATCH(206,'10_events'!$J$2:$J$2703,0))</x:f>
        <x:v>0</x:v>
      </x:c>
    </x:row>
    <x:row r="208" ht="25" customHeight="1">
      <x:c r="A208" t="str">
        <x:f>IF(207&gt;'10_events'!$K$2703,"",INDEX('10_events'!$A$2:$A$2703,$H208))</x:f>
      </x:c>
      <x:c r="B208" t="str">
        <x:f>IF(207&gt;'10_events'!$K$2703,"",INDEX('10_events'!$B$2:$B$2703,$H208))</x:f>
      </x:c>
      <x:c r="C208" t="str">
        <x:f>IF(207&gt;'10_events'!$K$2703,"",INDEX('10_events'!$C$2:$C$2703,$H208))</x:f>
      </x:c>
      <x:c r="D208" t="str">
        <x:f>IF(207&gt;'10_events'!$K$2703,"",INDEX('10_events'!$F$2:$F$2703,$H208))</x:f>
      </x:c>
      <x:c r="E208" t="str">
        <x:f>IF(207&gt;'10_events'!$K$2703,"",INDEX('10_events'!$G$2:$G$2703,$H208))</x:f>
      </x:c>
      <x:c r="F208" t="str">
        <x:f>IF(207&gt;'10_events'!$K$2703,"",INDEX('10_events'!$H$2:$H$2703,$H208))</x:f>
      </x:c>
      <x:c r="G208" s="16" t="str">
        <x:f>IF(207&gt;'10_events'!$K$2703,"",INDEX('10_events'!$I$2:$I$2703,$H208))</x:f>
      </x:c>
      <x:c r="H208" t="n">
        <x:f>IF(207&gt;'10_events'!$K$2703,0,MATCH(207,'10_events'!$J$2:$J$2703,0))</x:f>
        <x:v>0</x:v>
      </x:c>
    </x:row>
    <x:row r="209" ht="25" customHeight="1">
      <x:c r="A209" t="str">
        <x:f>IF(208&gt;'10_events'!$K$2703,"",INDEX('10_events'!$A$2:$A$2703,$H209))</x:f>
      </x:c>
      <x:c r="B209" t="str">
        <x:f>IF(208&gt;'10_events'!$K$2703,"",INDEX('10_events'!$B$2:$B$2703,$H209))</x:f>
      </x:c>
      <x:c r="C209" t="str">
        <x:f>IF(208&gt;'10_events'!$K$2703,"",INDEX('10_events'!$C$2:$C$2703,$H209))</x:f>
      </x:c>
      <x:c r="D209" t="str">
        <x:f>IF(208&gt;'10_events'!$K$2703,"",INDEX('10_events'!$F$2:$F$2703,$H209))</x:f>
      </x:c>
      <x:c r="E209" t="str">
        <x:f>IF(208&gt;'10_events'!$K$2703,"",INDEX('10_events'!$G$2:$G$2703,$H209))</x:f>
      </x:c>
      <x:c r="F209" t="str">
        <x:f>IF(208&gt;'10_events'!$K$2703,"",INDEX('10_events'!$H$2:$H$2703,$H209))</x:f>
      </x:c>
      <x:c r="G209" s="16" t="str">
        <x:f>IF(208&gt;'10_events'!$K$2703,"",INDEX('10_events'!$I$2:$I$2703,$H209))</x:f>
      </x:c>
      <x:c r="H209" t="n">
        <x:f>IF(208&gt;'10_events'!$K$2703,0,MATCH(208,'10_events'!$J$2:$J$2703,0))</x:f>
        <x:v>0</x:v>
      </x:c>
    </x:row>
    <x:row r="210" ht="25" customHeight="1">
      <x:c r="A210" t="str">
        <x:f>IF(209&gt;'10_events'!$K$2703,"",INDEX('10_events'!$A$2:$A$2703,$H210))</x:f>
      </x:c>
      <x:c r="B210" t="str">
        <x:f>IF(209&gt;'10_events'!$K$2703,"",INDEX('10_events'!$B$2:$B$2703,$H210))</x:f>
      </x:c>
      <x:c r="C210" t="str">
        <x:f>IF(209&gt;'10_events'!$K$2703,"",INDEX('10_events'!$C$2:$C$2703,$H210))</x:f>
      </x:c>
      <x:c r="D210" t="str">
        <x:f>IF(209&gt;'10_events'!$K$2703,"",INDEX('10_events'!$F$2:$F$2703,$H210))</x:f>
      </x:c>
      <x:c r="E210" t="str">
        <x:f>IF(209&gt;'10_events'!$K$2703,"",INDEX('10_events'!$G$2:$G$2703,$H210))</x:f>
      </x:c>
      <x:c r="F210" t="str">
        <x:f>IF(209&gt;'10_events'!$K$2703,"",INDEX('10_events'!$H$2:$H$2703,$H210))</x:f>
      </x:c>
      <x:c r="G210" s="16" t="str">
        <x:f>IF(209&gt;'10_events'!$K$2703,"",INDEX('10_events'!$I$2:$I$2703,$H210))</x:f>
      </x:c>
      <x:c r="H210" t="n">
        <x:f>IF(209&gt;'10_events'!$K$2703,0,MATCH(209,'10_events'!$J$2:$J$2703,0))</x:f>
        <x:v>0</x:v>
      </x:c>
    </x:row>
    <x:row r="211" ht="25" customHeight="1">
      <x:c r="A211" t="str">
        <x:f>IF(210&gt;'10_events'!$K$2703,"",INDEX('10_events'!$A$2:$A$2703,$H211))</x:f>
      </x:c>
      <x:c r="B211" t="str">
        <x:f>IF(210&gt;'10_events'!$K$2703,"",INDEX('10_events'!$B$2:$B$2703,$H211))</x:f>
      </x:c>
      <x:c r="C211" t="str">
        <x:f>IF(210&gt;'10_events'!$K$2703,"",INDEX('10_events'!$C$2:$C$2703,$H211))</x:f>
      </x:c>
      <x:c r="D211" t="str">
        <x:f>IF(210&gt;'10_events'!$K$2703,"",INDEX('10_events'!$F$2:$F$2703,$H211))</x:f>
      </x:c>
      <x:c r="E211" t="str">
        <x:f>IF(210&gt;'10_events'!$K$2703,"",INDEX('10_events'!$G$2:$G$2703,$H211))</x:f>
      </x:c>
      <x:c r="F211" t="str">
        <x:f>IF(210&gt;'10_events'!$K$2703,"",INDEX('10_events'!$H$2:$H$2703,$H211))</x:f>
      </x:c>
      <x:c r="G211" s="16" t="str">
        <x:f>IF(210&gt;'10_events'!$K$2703,"",INDEX('10_events'!$I$2:$I$2703,$H211))</x:f>
      </x:c>
      <x:c r="H211" t="n">
        <x:f>IF(210&gt;'10_events'!$K$2703,0,MATCH(210,'10_events'!$J$2:$J$2703,0))</x:f>
        <x:v>0</x:v>
      </x:c>
    </x:row>
    <x:row r="212" ht="25" customHeight="1">
      <x:c r="A212" t="str">
        <x:f>IF(211&gt;'10_events'!$K$2703,"",INDEX('10_events'!$A$2:$A$2703,$H212))</x:f>
      </x:c>
      <x:c r="B212" t="str">
        <x:f>IF(211&gt;'10_events'!$K$2703,"",INDEX('10_events'!$B$2:$B$2703,$H212))</x:f>
      </x:c>
      <x:c r="C212" t="str">
        <x:f>IF(211&gt;'10_events'!$K$2703,"",INDEX('10_events'!$C$2:$C$2703,$H212))</x:f>
      </x:c>
      <x:c r="D212" t="str">
        <x:f>IF(211&gt;'10_events'!$K$2703,"",INDEX('10_events'!$F$2:$F$2703,$H212))</x:f>
      </x:c>
      <x:c r="E212" t="str">
        <x:f>IF(211&gt;'10_events'!$K$2703,"",INDEX('10_events'!$G$2:$G$2703,$H212))</x:f>
      </x:c>
      <x:c r="F212" t="str">
        <x:f>IF(211&gt;'10_events'!$K$2703,"",INDEX('10_events'!$H$2:$H$2703,$H212))</x:f>
      </x:c>
      <x:c r="G212" s="16" t="str">
        <x:f>IF(211&gt;'10_events'!$K$2703,"",INDEX('10_events'!$I$2:$I$2703,$H212))</x:f>
      </x:c>
      <x:c r="H212" t="n">
        <x:f>IF(211&gt;'10_events'!$K$2703,0,MATCH(211,'10_events'!$J$2:$J$2703,0))</x:f>
        <x:v>0</x:v>
      </x:c>
    </x:row>
    <x:row r="213" ht="25" customHeight="1">
      <x:c r="A213" t="str">
        <x:f>IF(212&gt;'10_events'!$K$2703,"",INDEX('10_events'!$A$2:$A$2703,$H213))</x:f>
      </x:c>
      <x:c r="B213" t="str">
        <x:f>IF(212&gt;'10_events'!$K$2703,"",INDEX('10_events'!$B$2:$B$2703,$H213))</x:f>
      </x:c>
      <x:c r="C213" t="str">
        <x:f>IF(212&gt;'10_events'!$K$2703,"",INDEX('10_events'!$C$2:$C$2703,$H213))</x:f>
      </x:c>
      <x:c r="D213" t="str">
        <x:f>IF(212&gt;'10_events'!$K$2703,"",INDEX('10_events'!$F$2:$F$2703,$H213))</x:f>
      </x:c>
      <x:c r="E213" t="str">
        <x:f>IF(212&gt;'10_events'!$K$2703,"",INDEX('10_events'!$G$2:$G$2703,$H213))</x:f>
      </x:c>
      <x:c r="F213" t="str">
        <x:f>IF(212&gt;'10_events'!$K$2703,"",INDEX('10_events'!$H$2:$H$2703,$H213))</x:f>
      </x:c>
      <x:c r="G213" s="16" t="str">
        <x:f>IF(212&gt;'10_events'!$K$2703,"",INDEX('10_events'!$I$2:$I$2703,$H213))</x:f>
      </x:c>
      <x:c r="H213" t="n">
        <x:f>IF(212&gt;'10_events'!$K$2703,0,MATCH(212,'10_events'!$J$2:$J$2703,0))</x:f>
        <x:v>0</x:v>
      </x:c>
    </x:row>
    <x:row r="214" ht="25" customHeight="1">
      <x:c r="A214" t="str">
        <x:f>IF(213&gt;'10_events'!$K$2703,"",INDEX('10_events'!$A$2:$A$2703,$H214))</x:f>
      </x:c>
      <x:c r="B214" t="str">
        <x:f>IF(213&gt;'10_events'!$K$2703,"",INDEX('10_events'!$B$2:$B$2703,$H214))</x:f>
      </x:c>
      <x:c r="C214" t="str">
        <x:f>IF(213&gt;'10_events'!$K$2703,"",INDEX('10_events'!$C$2:$C$2703,$H214))</x:f>
      </x:c>
      <x:c r="D214" t="str">
        <x:f>IF(213&gt;'10_events'!$K$2703,"",INDEX('10_events'!$F$2:$F$2703,$H214))</x:f>
      </x:c>
      <x:c r="E214" t="str">
        <x:f>IF(213&gt;'10_events'!$K$2703,"",INDEX('10_events'!$G$2:$G$2703,$H214))</x:f>
      </x:c>
      <x:c r="F214" t="str">
        <x:f>IF(213&gt;'10_events'!$K$2703,"",INDEX('10_events'!$H$2:$H$2703,$H214))</x:f>
      </x:c>
      <x:c r="G214" s="16" t="str">
        <x:f>IF(213&gt;'10_events'!$K$2703,"",INDEX('10_events'!$I$2:$I$2703,$H214))</x:f>
      </x:c>
      <x:c r="H214" t="n">
        <x:f>IF(213&gt;'10_events'!$K$2703,0,MATCH(213,'10_events'!$J$2:$J$2703,0))</x:f>
        <x:v>0</x:v>
      </x:c>
    </x:row>
    <x:row r="215" ht="25" customHeight="1">
      <x:c r="A215" t="str">
        <x:f>IF(214&gt;'10_events'!$K$2703,"",INDEX('10_events'!$A$2:$A$2703,$H215))</x:f>
      </x:c>
      <x:c r="B215" t="str">
        <x:f>IF(214&gt;'10_events'!$K$2703,"",INDEX('10_events'!$B$2:$B$2703,$H215))</x:f>
      </x:c>
      <x:c r="C215" t="str">
        <x:f>IF(214&gt;'10_events'!$K$2703,"",INDEX('10_events'!$C$2:$C$2703,$H215))</x:f>
      </x:c>
      <x:c r="D215" t="str">
        <x:f>IF(214&gt;'10_events'!$K$2703,"",INDEX('10_events'!$F$2:$F$2703,$H215))</x:f>
      </x:c>
      <x:c r="E215" t="str">
        <x:f>IF(214&gt;'10_events'!$K$2703,"",INDEX('10_events'!$G$2:$G$2703,$H215))</x:f>
      </x:c>
      <x:c r="F215" t="str">
        <x:f>IF(214&gt;'10_events'!$K$2703,"",INDEX('10_events'!$H$2:$H$2703,$H215))</x:f>
      </x:c>
      <x:c r="G215" s="16" t="str">
        <x:f>IF(214&gt;'10_events'!$K$2703,"",INDEX('10_events'!$I$2:$I$2703,$H215))</x:f>
      </x:c>
      <x:c r="H215" t="n">
        <x:f>IF(214&gt;'10_events'!$K$2703,0,MATCH(214,'10_events'!$J$2:$J$2703,0))</x:f>
        <x:v>0</x:v>
      </x:c>
    </x:row>
    <x:row r="216" ht="25" customHeight="1">
      <x:c r="A216" t="str">
        <x:f>IF(215&gt;'10_events'!$K$2703,"",INDEX('10_events'!$A$2:$A$2703,$H216))</x:f>
      </x:c>
      <x:c r="B216" t="str">
        <x:f>IF(215&gt;'10_events'!$K$2703,"",INDEX('10_events'!$B$2:$B$2703,$H216))</x:f>
      </x:c>
      <x:c r="C216" t="str">
        <x:f>IF(215&gt;'10_events'!$K$2703,"",INDEX('10_events'!$C$2:$C$2703,$H216))</x:f>
      </x:c>
      <x:c r="D216" t="str">
        <x:f>IF(215&gt;'10_events'!$K$2703,"",INDEX('10_events'!$F$2:$F$2703,$H216))</x:f>
      </x:c>
      <x:c r="E216" t="str">
        <x:f>IF(215&gt;'10_events'!$K$2703,"",INDEX('10_events'!$G$2:$G$2703,$H216))</x:f>
      </x:c>
      <x:c r="F216" t="str">
        <x:f>IF(215&gt;'10_events'!$K$2703,"",INDEX('10_events'!$H$2:$H$2703,$H216))</x:f>
      </x:c>
      <x:c r="G216" s="16" t="str">
        <x:f>IF(215&gt;'10_events'!$K$2703,"",INDEX('10_events'!$I$2:$I$2703,$H216))</x:f>
      </x:c>
      <x:c r="H216" t="n">
        <x:f>IF(215&gt;'10_events'!$K$2703,0,MATCH(215,'10_events'!$J$2:$J$2703,0))</x:f>
        <x:v>0</x:v>
      </x:c>
    </x:row>
    <x:row r="217" ht="25" customHeight="1">
      <x:c r="A217" t="str">
        <x:f>IF(216&gt;'10_events'!$K$2703,"",INDEX('10_events'!$A$2:$A$2703,$H217))</x:f>
      </x:c>
      <x:c r="B217" t="str">
        <x:f>IF(216&gt;'10_events'!$K$2703,"",INDEX('10_events'!$B$2:$B$2703,$H217))</x:f>
      </x:c>
      <x:c r="C217" t="str">
        <x:f>IF(216&gt;'10_events'!$K$2703,"",INDEX('10_events'!$C$2:$C$2703,$H217))</x:f>
      </x:c>
      <x:c r="D217" t="str">
        <x:f>IF(216&gt;'10_events'!$K$2703,"",INDEX('10_events'!$F$2:$F$2703,$H217))</x:f>
      </x:c>
      <x:c r="E217" t="str">
        <x:f>IF(216&gt;'10_events'!$K$2703,"",INDEX('10_events'!$G$2:$G$2703,$H217))</x:f>
      </x:c>
      <x:c r="F217" t="str">
        <x:f>IF(216&gt;'10_events'!$K$2703,"",INDEX('10_events'!$H$2:$H$2703,$H217))</x:f>
      </x:c>
      <x:c r="G217" s="16" t="str">
        <x:f>IF(216&gt;'10_events'!$K$2703,"",INDEX('10_events'!$I$2:$I$2703,$H217))</x:f>
      </x:c>
      <x:c r="H217" t="n">
        <x:f>IF(216&gt;'10_events'!$K$2703,0,MATCH(216,'10_events'!$J$2:$J$2703,0))</x:f>
        <x:v>0</x:v>
      </x:c>
    </x:row>
    <x:row r="218" ht="25" customHeight="1">
      <x:c r="A218" t="str">
        <x:f>IF(217&gt;'10_events'!$K$2703,"",INDEX('10_events'!$A$2:$A$2703,$H218))</x:f>
      </x:c>
      <x:c r="B218" t="str">
        <x:f>IF(217&gt;'10_events'!$K$2703,"",INDEX('10_events'!$B$2:$B$2703,$H218))</x:f>
      </x:c>
      <x:c r="C218" t="str">
        <x:f>IF(217&gt;'10_events'!$K$2703,"",INDEX('10_events'!$C$2:$C$2703,$H218))</x:f>
      </x:c>
      <x:c r="D218" t="str">
        <x:f>IF(217&gt;'10_events'!$K$2703,"",INDEX('10_events'!$F$2:$F$2703,$H218))</x:f>
      </x:c>
      <x:c r="E218" t="str">
        <x:f>IF(217&gt;'10_events'!$K$2703,"",INDEX('10_events'!$G$2:$G$2703,$H218))</x:f>
      </x:c>
      <x:c r="F218" t="str">
        <x:f>IF(217&gt;'10_events'!$K$2703,"",INDEX('10_events'!$H$2:$H$2703,$H218))</x:f>
      </x:c>
      <x:c r="G218" s="16" t="str">
        <x:f>IF(217&gt;'10_events'!$K$2703,"",INDEX('10_events'!$I$2:$I$2703,$H218))</x:f>
      </x:c>
      <x:c r="H218" t="n">
        <x:f>IF(217&gt;'10_events'!$K$2703,0,MATCH(217,'10_events'!$J$2:$J$2703,0))</x:f>
        <x:v>0</x:v>
      </x:c>
    </x:row>
    <x:row r="219" ht="25" customHeight="1">
      <x:c r="A219" t="str">
        <x:f>IF(218&gt;'10_events'!$K$2703,"",INDEX('10_events'!$A$2:$A$2703,$H219))</x:f>
      </x:c>
      <x:c r="B219" t="str">
        <x:f>IF(218&gt;'10_events'!$K$2703,"",INDEX('10_events'!$B$2:$B$2703,$H219))</x:f>
      </x:c>
      <x:c r="C219" t="str">
        <x:f>IF(218&gt;'10_events'!$K$2703,"",INDEX('10_events'!$C$2:$C$2703,$H219))</x:f>
      </x:c>
      <x:c r="D219" t="str">
        <x:f>IF(218&gt;'10_events'!$K$2703,"",INDEX('10_events'!$F$2:$F$2703,$H219))</x:f>
      </x:c>
      <x:c r="E219" t="str">
        <x:f>IF(218&gt;'10_events'!$K$2703,"",INDEX('10_events'!$G$2:$G$2703,$H219))</x:f>
      </x:c>
      <x:c r="F219" t="str">
        <x:f>IF(218&gt;'10_events'!$K$2703,"",INDEX('10_events'!$H$2:$H$2703,$H219))</x:f>
      </x:c>
      <x:c r="G219" s="16" t="str">
        <x:f>IF(218&gt;'10_events'!$K$2703,"",INDEX('10_events'!$I$2:$I$2703,$H219))</x:f>
      </x:c>
      <x:c r="H219" t="n">
        <x:f>IF(218&gt;'10_events'!$K$2703,0,MATCH(218,'10_events'!$J$2:$J$2703,0))</x:f>
        <x:v>0</x:v>
      </x:c>
    </x:row>
    <x:row r="220" ht="25" customHeight="1">
      <x:c r="A220" t="str">
        <x:f>IF(219&gt;'10_events'!$K$2703,"",INDEX('10_events'!$A$2:$A$2703,$H220))</x:f>
      </x:c>
      <x:c r="B220" t="str">
        <x:f>IF(219&gt;'10_events'!$K$2703,"",INDEX('10_events'!$B$2:$B$2703,$H220))</x:f>
      </x:c>
      <x:c r="C220" t="str">
        <x:f>IF(219&gt;'10_events'!$K$2703,"",INDEX('10_events'!$C$2:$C$2703,$H220))</x:f>
      </x:c>
      <x:c r="D220" t="str">
        <x:f>IF(219&gt;'10_events'!$K$2703,"",INDEX('10_events'!$F$2:$F$2703,$H220))</x:f>
      </x:c>
      <x:c r="E220" t="str">
        <x:f>IF(219&gt;'10_events'!$K$2703,"",INDEX('10_events'!$G$2:$G$2703,$H220))</x:f>
      </x:c>
      <x:c r="F220" t="str">
        <x:f>IF(219&gt;'10_events'!$K$2703,"",INDEX('10_events'!$H$2:$H$2703,$H220))</x:f>
      </x:c>
      <x:c r="G220" s="16" t="str">
        <x:f>IF(219&gt;'10_events'!$K$2703,"",INDEX('10_events'!$I$2:$I$2703,$H220))</x:f>
      </x:c>
      <x:c r="H220" t="n">
        <x:f>IF(219&gt;'10_events'!$K$2703,0,MATCH(219,'10_events'!$J$2:$J$2703,0))</x:f>
        <x:v>0</x:v>
      </x:c>
    </x:row>
    <x:row r="221" ht="25" customHeight="1">
      <x:c r="A221" t="str">
        <x:f>IF(220&gt;'10_events'!$K$2703,"",INDEX('10_events'!$A$2:$A$2703,$H221))</x:f>
      </x:c>
      <x:c r="B221" t="str">
        <x:f>IF(220&gt;'10_events'!$K$2703,"",INDEX('10_events'!$B$2:$B$2703,$H221))</x:f>
      </x:c>
      <x:c r="C221" t="str">
        <x:f>IF(220&gt;'10_events'!$K$2703,"",INDEX('10_events'!$C$2:$C$2703,$H221))</x:f>
      </x:c>
      <x:c r="D221" t="str">
        <x:f>IF(220&gt;'10_events'!$K$2703,"",INDEX('10_events'!$F$2:$F$2703,$H221))</x:f>
      </x:c>
      <x:c r="E221" t="str">
        <x:f>IF(220&gt;'10_events'!$K$2703,"",INDEX('10_events'!$G$2:$G$2703,$H221))</x:f>
      </x:c>
      <x:c r="F221" t="str">
        <x:f>IF(220&gt;'10_events'!$K$2703,"",INDEX('10_events'!$H$2:$H$2703,$H221))</x:f>
      </x:c>
      <x:c r="G221" s="16" t="str">
        <x:f>IF(220&gt;'10_events'!$K$2703,"",INDEX('10_events'!$I$2:$I$2703,$H221))</x:f>
      </x:c>
      <x:c r="H221" t="n">
        <x:f>IF(220&gt;'10_events'!$K$2703,0,MATCH(220,'10_events'!$J$2:$J$2703,0))</x:f>
        <x:v>0</x:v>
      </x:c>
    </x:row>
    <x:row r="222" ht="25" customHeight="1">
      <x:c r="A222" t="str">
        <x:f>IF(221&gt;'10_events'!$K$2703,"",INDEX('10_events'!$A$2:$A$2703,$H222))</x:f>
      </x:c>
      <x:c r="B222" t="str">
        <x:f>IF(221&gt;'10_events'!$K$2703,"",INDEX('10_events'!$B$2:$B$2703,$H222))</x:f>
      </x:c>
      <x:c r="C222" t="str">
        <x:f>IF(221&gt;'10_events'!$K$2703,"",INDEX('10_events'!$C$2:$C$2703,$H222))</x:f>
      </x:c>
      <x:c r="D222" t="str">
        <x:f>IF(221&gt;'10_events'!$K$2703,"",INDEX('10_events'!$F$2:$F$2703,$H222))</x:f>
      </x:c>
      <x:c r="E222" t="str">
        <x:f>IF(221&gt;'10_events'!$K$2703,"",INDEX('10_events'!$G$2:$G$2703,$H222))</x:f>
      </x:c>
      <x:c r="F222" t="str">
        <x:f>IF(221&gt;'10_events'!$K$2703,"",INDEX('10_events'!$H$2:$H$2703,$H222))</x:f>
      </x:c>
      <x:c r="G222" s="16" t="str">
        <x:f>IF(221&gt;'10_events'!$K$2703,"",INDEX('10_events'!$I$2:$I$2703,$H222))</x:f>
      </x:c>
      <x:c r="H222" t="n">
        <x:f>IF(221&gt;'10_events'!$K$2703,0,MATCH(221,'10_events'!$J$2:$J$2703,0))</x:f>
        <x:v>0</x:v>
      </x:c>
    </x:row>
    <x:row r="223" ht="25" customHeight="1">
      <x:c r="A223" t="str">
        <x:f>IF(222&gt;'10_events'!$K$2703,"",INDEX('10_events'!$A$2:$A$2703,$H223))</x:f>
      </x:c>
      <x:c r="B223" t="str">
        <x:f>IF(222&gt;'10_events'!$K$2703,"",INDEX('10_events'!$B$2:$B$2703,$H223))</x:f>
      </x:c>
      <x:c r="C223" t="str">
        <x:f>IF(222&gt;'10_events'!$K$2703,"",INDEX('10_events'!$C$2:$C$2703,$H223))</x:f>
      </x:c>
      <x:c r="D223" t="str">
        <x:f>IF(222&gt;'10_events'!$K$2703,"",INDEX('10_events'!$F$2:$F$2703,$H223))</x:f>
      </x:c>
      <x:c r="E223" t="str">
        <x:f>IF(222&gt;'10_events'!$K$2703,"",INDEX('10_events'!$G$2:$G$2703,$H223))</x:f>
      </x:c>
      <x:c r="F223" t="str">
        <x:f>IF(222&gt;'10_events'!$K$2703,"",INDEX('10_events'!$H$2:$H$2703,$H223))</x:f>
      </x:c>
      <x:c r="G223" s="16" t="str">
        <x:f>IF(222&gt;'10_events'!$K$2703,"",INDEX('10_events'!$I$2:$I$2703,$H223))</x:f>
      </x:c>
      <x:c r="H223" t="n">
        <x:f>IF(222&gt;'10_events'!$K$2703,0,MATCH(222,'10_events'!$J$2:$J$2703,0))</x:f>
        <x:v>0</x:v>
      </x:c>
    </x:row>
    <x:row r="224" ht="25" customHeight="1">
      <x:c r="A224" t="str">
        <x:f>IF(223&gt;'10_events'!$K$2703,"",INDEX('10_events'!$A$2:$A$2703,$H224))</x:f>
      </x:c>
      <x:c r="B224" t="str">
        <x:f>IF(223&gt;'10_events'!$K$2703,"",INDEX('10_events'!$B$2:$B$2703,$H224))</x:f>
      </x:c>
      <x:c r="C224" t="str">
        <x:f>IF(223&gt;'10_events'!$K$2703,"",INDEX('10_events'!$C$2:$C$2703,$H224))</x:f>
      </x:c>
      <x:c r="D224" t="str">
        <x:f>IF(223&gt;'10_events'!$K$2703,"",INDEX('10_events'!$F$2:$F$2703,$H224))</x:f>
      </x:c>
      <x:c r="E224" t="str">
        <x:f>IF(223&gt;'10_events'!$K$2703,"",INDEX('10_events'!$G$2:$G$2703,$H224))</x:f>
      </x:c>
      <x:c r="F224" t="str">
        <x:f>IF(223&gt;'10_events'!$K$2703,"",INDEX('10_events'!$H$2:$H$2703,$H224))</x:f>
      </x:c>
      <x:c r="G224" s="16" t="str">
        <x:f>IF(223&gt;'10_events'!$K$2703,"",INDEX('10_events'!$I$2:$I$2703,$H224))</x:f>
      </x:c>
      <x:c r="H224" t="n">
        <x:f>IF(223&gt;'10_events'!$K$2703,0,MATCH(223,'10_events'!$J$2:$J$2703,0))</x:f>
        <x:v>0</x:v>
      </x:c>
    </x:row>
    <x:row r="225" ht="25" customHeight="1">
      <x:c r="A225" t="str">
        <x:f>IF(224&gt;'10_events'!$K$2703,"",INDEX('10_events'!$A$2:$A$2703,$H225))</x:f>
      </x:c>
      <x:c r="B225" t="str">
        <x:f>IF(224&gt;'10_events'!$K$2703,"",INDEX('10_events'!$B$2:$B$2703,$H225))</x:f>
      </x:c>
      <x:c r="C225" t="str">
        <x:f>IF(224&gt;'10_events'!$K$2703,"",INDEX('10_events'!$C$2:$C$2703,$H225))</x:f>
      </x:c>
      <x:c r="D225" t="str">
        <x:f>IF(224&gt;'10_events'!$K$2703,"",INDEX('10_events'!$F$2:$F$2703,$H225))</x:f>
      </x:c>
      <x:c r="E225" t="str">
        <x:f>IF(224&gt;'10_events'!$K$2703,"",INDEX('10_events'!$G$2:$G$2703,$H225))</x:f>
      </x:c>
      <x:c r="F225" t="str">
        <x:f>IF(224&gt;'10_events'!$K$2703,"",INDEX('10_events'!$H$2:$H$2703,$H225))</x:f>
      </x:c>
      <x:c r="G225" s="16" t="str">
        <x:f>IF(224&gt;'10_events'!$K$2703,"",INDEX('10_events'!$I$2:$I$2703,$H225))</x:f>
      </x:c>
      <x:c r="H225" t="n">
        <x:f>IF(224&gt;'10_events'!$K$2703,0,MATCH(224,'10_events'!$J$2:$J$2703,0))</x:f>
        <x:v>0</x:v>
      </x:c>
    </x:row>
    <x:row r="226" ht="25" customHeight="1">
      <x:c r="A226" t="str">
        <x:f>IF(225&gt;'10_events'!$K$2703,"",INDEX('10_events'!$A$2:$A$2703,$H226))</x:f>
      </x:c>
      <x:c r="B226" t="str">
        <x:f>IF(225&gt;'10_events'!$K$2703,"",INDEX('10_events'!$B$2:$B$2703,$H226))</x:f>
      </x:c>
      <x:c r="C226" t="str">
        <x:f>IF(225&gt;'10_events'!$K$2703,"",INDEX('10_events'!$C$2:$C$2703,$H226))</x:f>
      </x:c>
      <x:c r="D226" t="str">
        <x:f>IF(225&gt;'10_events'!$K$2703,"",INDEX('10_events'!$F$2:$F$2703,$H226))</x:f>
      </x:c>
      <x:c r="E226" t="str">
        <x:f>IF(225&gt;'10_events'!$K$2703,"",INDEX('10_events'!$G$2:$G$2703,$H226))</x:f>
      </x:c>
      <x:c r="F226" t="str">
        <x:f>IF(225&gt;'10_events'!$K$2703,"",INDEX('10_events'!$H$2:$H$2703,$H226))</x:f>
      </x:c>
      <x:c r="G226" s="16" t="str">
        <x:f>IF(225&gt;'10_events'!$K$2703,"",INDEX('10_events'!$I$2:$I$2703,$H226))</x:f>
      </x:c>
      <x:c r="H226" t="n">
        <x:f>IF(225&gt;'10_events'!$K$2703,0,MATCH(225,'10_events'!$J$2:$J$2703,0))</x:f>
        <x:v>0</x:v>
      </x:c>
    </x:row>
    <x:row r="227" ht="25" customHeight="1">
      <x:c r="A227" t="str">
        <x:f>IF(226&gt;'10_events'!$K$2703,"",INDEX('10_events'!$A$2:$A$2703,$H227))</x:f>
      </x:c>
      <x:c r="B227" t="str">
        <x:f>IF(226&gt;'10_events'!$K$2703,"",INDEX('10_events'!$B$2:$B$2703,$H227))</x:f>
      </x:c>
      <x:c r="C227" t="str">
        <x:f>IF(226&gt;'10_events'!$K$2703,"",INDEX('10_events'!$C$2:$C$2703,$H227))</x:f>
      </x:c>
      <x:c r="D227" t="str">
        <x:f>IF(226&gt;'10_events'!$K$2703,"",INDEX('10_events'!$F$2:$F$2703,$H227))</x:f>
      </x:c>
      <x:c r="E227" t="str">
        <x:f>IF(226&gt;'10_events'!$K$2703,"",INDEX('10_events'!$G$2:$G$2703,$H227))</x:f>
      </x:c>
      <x:c r="F227" t="str">
        <x:f>IF(226&gt;'10_events'!$K$2703,"",INDEX('10_events'!$H$2:$H$2703,$H227))</x:f>
      </x:c>
      <x:c r="G227" s="16" t="str">
        <x:f>IF(226&gt;'10_events'!$K$2703,"",INDEX('10_events'!$I$2:$I$2703,$H227))</x:f>
      </x:c>
      <x:c r="H227" t="n">
        <x:f>IF(226&gt;'10_events'!$K$2703,0,MATCH(226,'10_events'!$J$2:$J$2703,0))</x:f>
        <x:v>0</x:v>
      </x:c>
    </x:row>
    <x:row r="228" ht="25" customHeight="1">
      <x:c r="A228" t="str">
        <x:f>IF(227&gt;'10_events'!$K$2703,"",INDEX('10_events'!$A$2:$A$2703,$H228))</x:f>
      </x:c>
      <x:c r="B228" t="str">
        <x:f>IF(227&gt;'10_events'!$K$2703,"",INDEX('10_events'!$B$2:$B$2703,$H228))</x:f>
      </x:c>
      <x:c r="C228" t="str">
        <x:f>IF(227&gt;'10_events'!$K$2703,"",INDEX('10_events'!$C$2:$C$2703,$H228))</x:f>
      </x:c>
      <x:c r="D228" t="str">
        <x:f>IF(227&gt;'10_events'!$K$2703,"",INDEX('10_events'!$F$2:$F$2703,$H228))</x:f>
      </x:c>
      <x:c r="E228" t="str">
        <x:f>IF(227&gt;'10_events'!$K$2703,"",INDEX('10_events'!$G$2:$G$2703,$H228))</x:f>
      </x:c>
      <x:c r="F228" t="str">
        <x:f>IF(227&gt;'10_events'!$K$2703,"",INDEX('10_events'!$H$2:$H$2703,$H228))</x:f>
      </x:c>
      <x:c r="G228" s="16" t="str">
        <x:f>IF(227&gt;'10_events'!$K$2703,"",INDEX('10_events'!$I$2:$I$2703,$H228))</x:f>
      </x:c>
      <x:c r="H228" t="n">
        <x:f>IF(227&gt;'10_events'!$K$2703,0,MATCH(227,'10_events'!$J$2:$J$2703,0))</x:f>
        <x:v>0</x:v>
      </x:c>
    </x:row>
    <x:row r="229" ht="25" customHeight="1">
      <x:c r="A229" t="str">
        <x:f>IF(228&gt;'10_events'!$K$2703,"",INDEX('10_events'!$A$2:$A$2703,$H229))</x:f>
      </x:c>
      <x:c r="B229" t="str">
        <x:f>IF(228&gt;'10_events'!$K$2703,"",INDEX('10_events'!$B$2:$B$2703,$H229))</x:f>
      </x:c>
      <x:c r="C229" t="str">
        <x:f>IF(228&gt;'10_events'!$K$2703,"",INDEX('10_events'!$C$2:$C$2703,$H229))</x:f>
      </x:c>
      <x:c r="D229" t="str">
        <x:f>IF(228&gt;'10_events'!$K$2703,"",INDEX('10_events'!$F$2:$F$2703,$H229))</x:f>
      </x:c>
      <x:c r="E229" t="str">
        <x:f>IF(228&gt;'10_events'!$K$2703,"",INDEX('10_events'!$G$2:$G$2703,$H229))</x:f>
      </x:c>
      <x:c r="F229" t="str">
        <x:f>IF(228&gt;'10_events'!$K$2703,"",INDEX('10_events'!$H$2:$H$2703,$H229))</x:f>
      </x:c>
      <x:c r="G229" s="16" t="str">
        <x:f>IF(228&gt;'10_events'!$K$2703,"",INDEX('10_events'!$I$2:$I$2703,$H229))</x:f>
      </x:c>
      <x:c r="H229" t="n">
        <x:f>IF(228&gt;'10_events'!$K$2703,0,MATCH(228,'10_events'!$J$2:$J$2703,0))</x:f>
        <x:v>0</x:v>
      </x:c>
    </x:row>
    <x:row r="230" ht="25" customHeight="1">
      <x:c r="A230" t="str">
        <x:f>IF(229&gt;'10_events'!$K$2703,"",INDEX('10_events'!$A$2:$A$2703,$H230))</x:f>
      </x:c>
      <x:c r="B230" t="str">
        <x:f>IF(229&gt;'10_events'!$K$2703,"",INDEX('10_events'!$B$2:$B$2703,$H230))</x:f>
      </x:c>
      <x:c r="C230" t="str">
        <x:f>IF(229&gt;'10_events'!$K$2703,"",INDEX('10_events'!$C$2:$C$2703,$H230))</x:f>
      </x:c>
      <x:c r="D230" t="str">
        <x:f>IF(229&gt;'10_events'!$K$2703,"",INDEX('10_events'!$F$2:$F$2703,$H230))</x:f>
      </x:c>
      <x:c r="E230" t="str">
        <x:f>IF(229&gt;'10_events'!$K$2703,"",INDEX('10_events'!$G$2:$G$2703,$H230))</x:f>
      </x:c>
      <x:c r="F230" t="str">
        <x:f>IF(229&gt;'10_events'!$K$2703,"",INDEX('10_events'!$H$2:$H$2703,$H230))</x:f>
      </x:c>
      <x:c r="G230" s="16" t="str">
        <x:f>IF(229&gt;'10_events'!$K$2703,"",INDEX('10_events'!$I$2:$I$2703,$H230))</x:f>
      </x:c>
      <x:c r="H230" t="n">
        <x:f>IF(229&gt;'10_events'!$K$2703,0,MATCH(229,'10_events'!$J$2:$J$2703,0))</x:f>
        <x:v>0</x:v>
      </x:c>
    </x:row>
    <x:row r="231" ht="25" customHeight="1">
      <x:c r="A231" t="str">
        <x:f>IF(230&gt;'10_events'!$K$2703,"",INDEX('10_events'!$A$2:$A$2703,$H231))</x:f>
      </x:c>
      <x:c r="B231" t="str">
        <x:f>IF(230&gt;'10_events'!$K$2703,"",INDEX('10_events'!$B$2:$B$2703,$H231))</x:f>
      </x:c>
      <x:c r="C231" t="str">
        <x:f>IF(230&gt;'10_events'!$K$2703,"",INDEX('10_events'!$C$2:$C$2703,$H231))</x:f>
      </x:c>
      <x:c r="D231" t="str">
        <x:f>IF(230&gt;'10_events'!$K$2703,"",INDEX('10_events'!$F$2:$F$2703,$H231))</x:f>
      </x:c>
      <x:c r="E231" t="str">
        <x:f>IF(230&gt;'10_events'!$K$2703,"",INDEX('10_events'!$G$2:$G$2703,$H231))</x:f>
      </x:c>
      <x:c r="F231" t="str">
        <x:f>IF(230&gt;'10_events'!$K$2703,"",INDEX('10_events'!$H$2:$H$2703,$H231))</x:f>
      </x:c>
      <x:c r="G231" s="16" t="str">
        <x:f>IF(230&gt;'10_events'!$K$2703,"",INDEX('10_events'!$I$2:$I$2703,$H231))</x:f>
      </x:c>
      <x:c r="H231" t="n">
        <x:f>IF(230&gt;'10_events'!$K$2703,0,MATCH(230,'10_events'!$J$2:$J$2703,0))</x:f>
        <x:v>0</x:v>
      </x:c>
    </x:row>
    <x:row r="232" ht="25" customHeight="1">
      <x:c r="A232" t="str">
        <x:f>IF(231&gt;'10_events'!$K$2703,"",INDEX('10_events'!$A$2:$A$2703,$H232))</x:f>
      </x:c>
      <x:c r="B232" t="str">
        <x:f>IF(231&gt;'10_events'!$K$2703,"",INDEX('10_events'!$B$2:$B$2703,$H232))</x:f>
      </x:c>
      <x:c r="C232" t="str">
        <x:f>IF(231&gt;'10_events'!$K$2703,"",INDEX('10_events'!$C$2:$C$2703,$H232))</x:f>
      </x:c>
      <x:c r="D232" t="str">
        <x:f>IF(231&gt;'10_events'!$K$2703,"",INDEX('10_events'!$F$2:$F$2703,$H232))</x:f>
      </x:c>
      <x:c r="E232" t="str">
        <x:f>IF(231&gt;'10_events'!$K$2703,"",INDEX('10_events'!$G$2:$G$2703,$H232))</x:f>
      </x:c>
      <x:c r="F232" t="str">
        <x:f>IF(231&gt;'10_events'!$K$2703,"",INDEX('10_events'!$H$2:$H$2703,$H232))</x:f>
      </x:c>
      <x:c r="G232" s="16" t="str">
        <x:f>IF(231&gt;'10_events'!$K$2703,"",INDEX('10_events'!$I$2:$I$2703,$H232))</x:f>
      </x:c>
      <x:c r="H232" t="n">
        <x:f>IF(231&gt;'10_events'!$K$2703,0,MATCH(231,'10_events'!$J$2:$J$2703,0))</x:f>
        <x:v>0</x:v>
      </x:c>
    </x:row>
    <x:row r="233" ht="25" customHeight="1">
      <x:c r="A233" t="str">
        <x:f>IF(232&gt;'10_events'!$K$2703,"",INDEX('10_events'!$A$2:$A$2703,$H233))</x:f>
      </x:c>
      <x:c r="B233" t="str">
        <x:f>IF(232&gt;'10_events'!$K$2703,"",INDEX('10_events'!$B$2:$B$2703,$H233))</x:f>
      </x:c>
      <x:c r="C233" t="str">
        <x:f>IF(232&gt;'10_events'!$K$2703,"",INDEX('10_events'!$C$2:$C$2703,$H233))</x:f>
      </x:c>
      <x:c r="D233" t="str">
        <x:f>IF(232&gt;'10_events'!$K$2703,"",INDEX('10_events'!$F$2:$F$2703,$H233))</x:f>
      </x:c>
      <x:c r="E233" t="str">
        <x:f>IF(232&gt;'10_events'!$K$2703,"",INDEX('10_events'!$G$2:$G$2703,$H233))</x:f>
      </x:c>
      <x:c r="F233" t="str">
        <x:f>IF(232&gt;'10_events'!$K$2703,"",INDEX('10_events'!$H$2:$H$2703,$H233))</x:f>
      </x:c>
      <x:c r="G233" s="16" t="str">
        <x:f>IF(232&gt;'10_events'!$K$2703,"",INDEX('10_events'!$I$2:$I$2703,$H233))</x:f>
      </x:c>
      <x:c r="H233" t="n">
        <x:f>IF(232&gt;'10_events'!$K$2703,0,MATCH(232,'10_events'!$J$2:$J$2703,0))</x:f>
        <x:v>0</x:v>
      </x:c>
    </x:row>
    <x:row r="234" ht="25" customHeight="1">
      <x:c r="A234" t="str">
        <x:f>IF(233&gt;'10_events'!$K$2703,"",INDEX('10_events'!$A$2:$A$2703,$H234))</x:f>
      </x:c>
      <x:c r="B234" t="str">
        <x:f>IF(233&gt;'10_events'!$K$2703,"",INDEX('10_events'!$B$2:$B$2703,$H234))</x:f>
      </x:c>
      <x:c r="C234" t="str">
        <x:f>IF(233&gt;'10_events'!$K$2703,"",INDEX('10_events'!$C$2:$C$2703,$H234))</x:f>
      </x:c>
      <x:c r="D234" t="str">
        <x:f>IF(233&gt;'10_events'!$K$2703,"",INDEX('10_events'!$F$2:$F$2703,$H234))</x:f>
      </x:c>
      <x:c r="E234" t="str">
        <x:f>IF(233&gt;'10_events'!$K$2703,"",INDEX('10_events'!$G$2:$G$2703,$H234))</x:f>
      </x:c>
      <x:c r="F234" t="str">
        <x:f>IF(233&gt;'10_events'!$K$2703,"",INDEX('10_events'!$H$2:$H$2703,$H234))</x:f>
      </x:c>
      <x:c r="G234" s="16" t="str">
        <x:f>IF(233&gt;'10_events'!$K$2703,"",INDEX('10_events'!$I$2:$I$2703,$H234))</x:f>
      </x:c>
      <x:c r="H234" t="n">
        <x:f>IF(233&gt;'10_events'!$K$2703,0,MATCH(233,'10_events'!$J$2:$J$2703,0))</x:f>
        <x:v>0</x:v>
      </x:c>
    </x:row>
    <x:row r="235" ht="25" customHeight="1">
      <x:c r="A235" t="str">
        <x:f>IF(234&gt;'10_events'!$K$2703,"",INDEX('10_events'!$A$2:$A$2703,$H235))</x:f>
      </x:c>
      <x:c r="B235" t="str">
        <x:f>IF(234&gt;'10_events'!$K$2703,"",INDEX('10_events'!$B$2:$B$2703,$H235))</x:f>
      </x:c>
      <x:c r="C235" t="str">
        <x:f>IF(234&gt;'10_events'!$K$2703,"",INDEX('10_events'!$C$2:$C$2703,$H235))</x:f>
      </x:c>
      <x:c r="D235" t="str">
        <x:f>IF(234&gt;'10_events'!$K$2703,"",INDEX('10_events'!$F$2:$F$2703,$H235))</x:f>
      </x:c>
      <x:c r="E235" t="str">
        <x:f>IF(234&gt;'10_events'!$K$2703,"",INDEX('10_events'!$G$2:$G$2703,$H235))</x:f>
      </x:c>
      <x:c r="F235" t="str">
        <x:f>IF(234&gt;'10_events'!$K$2703,"",INDEX('10_events'!$H$2:$H$2703,$H235))</x:f>
      </x:c>
      <x:c r="G235" s="16" t="str">
        <x:f>IF(234&gt;'10_events'!$K$2703,"",INDEX('10_events'!$I$2:$I$2703,$H235))</x:f>
      </x:c>
      <x:c r="H235" t="n">
        <x:f>IF(234&gt;'10_events'!$K$2703,0,MATCH(234,'10_events'!$J$2:$J$2703,0))</x:f>
        <x:v>0</x:v>
      </x:c>
    </x:row>
    <x:row r="236" ht="25" customHeight="1">
      <x:c r="A236" t="str">
        <x:f>IF(235&gt;'10_events'!$K$2703,"",INDEX('10_events'!$A$2:$A$2703,$H236))</x:f>
      </x:c>
      <x:c r="B236" t="str">
        <x:f>IF(235&gt;'10_events'!$K$2703,"",INDEX('10_events'!$B$2:$B$2703,$H236))</x:f>
      </x:c>
      <x:c r="C236" t="str">
        <x:f>IF(235&gt;'10_events'!$K$2703,"",INDEX('10_events'!$C$2:$C$2703,$H236))</x:f>
      </x:c>
      <x:c r="D236" t="str">
        <x:f>IF(235&gt;'10_events'!$K$2703,"",INDEX('10_events'!$F$2:$F$2703,$H236))</x:f>
      </x:c>
      <x:c r="E236" t="str">
        <x:f>IF(235&gt;'10_events'!$K$2703,"",INDEX('10_events'!$G$2:$G$2703,$H236))</x:f>
      </x:c>
      <x:c r="F236" t="str">
        <x:f>IF(235&gt;'10_events'!$K$2703,"",INDEX('10_events'!$H$2:$H$2703,$H236))</x:f>
      </x:c>
      <x:c r="G236" s="16" t="str">
        <x:f>IF(235&gt;'10_events'!$K$2703,"",INDEX('10_events'!$I$2:$I$2703,$H236))</x:f>
      </x:c>
      <x:c r="H236" t="n">
        <x:f>IF(235&gt;'10_events'!$K$2703,0,MATCH(235,'10_events'!$J$2:$J$2703,0))</x:f>
        <x:v>0</x:v>
      </x:c>
    </x:row>
    <x:row r="237" ht="25" customHeight="1">
      <x:c r="A237" t="str">
        <x:f>IF(236&gt;'10_events'!$K$2703,"",INDEX('10_events'!$A$2:$A$2703,$H237))</x:f>
      </x:c>
      <x:c r="B237" t="str">
        <x:f>IF(236&gt;'10_events'!$K$2703,"",INDEX('10_events'!$B$2:$B$2703,$H237))</x:f>
      </x:c>
      <x:c r="C237" t="str">
        <x:f>IF(236&gt;'10_events'!$K$2703,"",INDEX('10_events'!$C$2:$C$2703,$H237))</x:f>
      </x:c>
      <x:c r="D237" t="str">
        <x:f>IF(236&gt;'10_events'!$K$2703,"",INDEX('10_events'!$F$2:$F$2703,$H237))</x:f>
      </x:c>
      <x:c r="E237" t="str">
        <x:f>IF(236&gt;'10_events'!$K$2703,"",INDEX('10_events'!$G$2:$G$2703,$H237))</x:f>
      </x:c>
      <x:c r="F237" t="str">
        <x:f>IF(236&gt;'10_events'!$K$2703,"",INDEX('10_events'!$H$2:$H$2703,$H237))</x:f>
      </x:c>
      <x:c r="G237" s="16" t="str">
        <x:f>IF(236&gt;'10_events'!$K$2703,"",INDEX('10_events'!$I$2:$I$2703,$H237))</x:f>
      </x:c>
      <x:c r="H237" t="n">
        <x:f>IF(236&gt;'10_events'!$K$2703,0,MATCH(236,'10_events'!$J$2:$J$2703,0))</x:f>
        <x:v>0</x:v>
      </x:c>
    </x:row>
    <x:row r="238" ht="25" customHeight="1">
      <x:c r="A238" t="str">
        <x:f>IF(237&gt;'10_events'!$K$2703,"",INDEX('10_events'!$A$2:$A$2703,$H238))</x:f>
      </x:c>
      <x:c r="B238" t="str">
        <x:f>IF(237&gt;'10_events'!$K$2703,"",INDEX('10_events'!$B$2:$B$2703,$H238))</x:f>
      </x:c>
      <x:c r="C238" t="str">
        <x:f>IF(237&gt;'10_events'!$K$2703,"",INDEX('10_events'!$C$2:$C$2703,$H238))</x:f>
      </x:c>
      <x:c r="D238" t="str">
        <x:f>IF(237&gt;'10_events'!$K$2703,"",INDEX('10_events'!$F$2:$F$2703,$H238))</x:f>
      </x:c>
      <x:c r="E238" t="str">
        <x:f>IF(237&gt;'10_events'!$K$2703,"",INDEX('10_events'!$G$2:$G$2703,$H238))</x:f>
      </x:c>
      <x:c r="F238" t="str">
        <x:f>IF(237&gt;'10_events'!$K$2703,"",INDEX('10_events'!$H$2:$H$2703,$H238))</x:f>
      </x:c>
      <x:c r="G238" s="16" t="str">
        <x:f>IF(237&gt;'10_events'!$K$2703,"",INDEX('10_events'!$I$2:$I$2703,$H238))</x:f>
      </x:c>
      <x:c r="H238" t="n">
        <x:f>IF(237&gt;'10_events'!$K$2703,0,MATCH(237,'10_events'!$J$2:$J$2703,0))</x:f>
        <x:v>0</x:v>
      </x:c>
    </x:row>
    <x:row r="239" ht="25" customHeight="1">
      <x:c r="A239" t="str">
        <x:f>IF(238&gt;'10_events'!$K$2703,"",INDEX('10_events'!$A$2:$A$2703,$H239))</x:f>
      </x:c>
      <x:c r="B239" t="str">
        <x:f>IF(238&gt;'10_events'!$K$2703,"",INDEX('10_events'!$B$2:$B$2703,$H239))</x:f>
      </x:c>
      <x:c r="C239" t="str">
        <x:f>IF(238&gt;'10_events'!$K$2703,"",INDEX('10_events'!$C$2:$C$2703,$H239))</x:f>
      </x:c>
      <x:c r="D239" t="str">
        <x:f>IF(238&gt;'10_events'!$K$2703,"",INDEX('10_events'!$F$2:$F$2703,$H239))</x:f>
      </x:c>
      <x:c r="E239" t="str">
        <x:f>IF(238&gt;'10_events'!$K$2703,"",INDEX('10_events'!$G$2:$G$2703,$H239))</x:f>
      </x:c>
      <x:c r="F239" t="str">
        <x:f>IF(238&gt;'10_events'!$K$2703,"",INDEX('10_events'!$H$2:$H$2703,$H239))</x:f>
      </x:c>
      <x:c r="G239" s="16" t="str">
        <x:f>IF(238&gt;'10_events'!$K$2703,"",INDEX('10_events'!$I$2:$I$2703,$H239))</x:f>
      </x:c>
      <x:c r="H239" t="n">
        <x:f>IF(238&gt;'10_events'!$K$2703,0,MATCH(238,'10_events'!$J$2:$J$2703,0))</x:f>
        <x:v>0</x:v>
      </x:c>
    </x:row>
    <x:row r="240" ht="25" customHeight="1">
      <x:c r="A240" t="str">
        <x:f>IF(239&gt;'10_events'!$K$2703,"",INDEX('10_events'!$A$2:$A$2703,$H240))</x:f>
      </x:c>
      <x:c r="B240" t="str">
        <x:f>IF(239&gt;'10_events'!$K$2703,"",INDEX('10_events'!$B$2:$B$2703,$H240))</x:f>
      </x:c>
      <x:c r="C240" t="str">
        <x:f>IF(239&gt;'10_events'!$K$2703,"",INDEX('10_events'!$C$2:$C$2703,$H240))</x:f>
      </x:c>
      <x:c r="D240" t="str">
        <x:f>IF(239&gt;'10_events'!$K$2703,"",INDEX('10_events'!$F$2:$F$2703,$H240))</x:f>
      </x:c>
      <x:c r="E240" t="str">
        <x:f>IF(239&gt;'10_events'!$K$2703,"",INDEX('10_events'!$G$2:$G$2703,$H240))</x:f>
      </x:c>
      <x:c r="F240" t="str">
        <x:f>IF(239&gt;'10_events'!$K$2703,"",INDEX('10_events'!$H$2:$H$2703,$H240))</x:f>
      </x:c>
      <x:c r="G240" s="16" t="str">
        <x:f>IF(239&gt;'10_events'!$K$2703,"",INDEX('10_events'!$I$2:$I$2703,$H240))</x:f>
      </x:c>
      <x:c r="H240" t="n">
        <x:f>IF(239&gt;'10_events'!$K$2703,0,MATCH(239,'10_events'!$J$2:$J$2703,0))</x:f>
        <x:v>0</x:v>
      </x:c>
    </x:row>
    <x:row r="241" ht="25" customHeight="1">
      <x:c r="A241" t="str">
        <x:f>IF(240&gt;'10_events'!$K$2703,"",INDEX('10_events'!$A$2:$A$2703,$H241))</x:f>
      </x:c>
      <x:c r="B241" t="str">
        <x:f>IF(240&gt;'10_events'!$K$2703,"",INDEX('10_events'!$B$2:$B$2703,$H241))</x:f>
      </x:c>
      <x:c r="C241" t="str">
        <x:f>IF(240&gt;'10_events'!$K$2703,"",INDEX('10_events'!$C$2:$C$2703,$H241))</x:f>
      </x:c>
      <x:c r="D241" t="str">
        <x:f>IF(240&gt;'10_events'!$K$2703,"",INDEX('10_events'!$F$2:$F$2703,$H241))</x:f>
      </x:c>
      <x:c r="E241" t="str">
        <x:f>IF(240&gt;'10_events'!$K$2703,"",INDEX('10_events'!$G$2:$G$2703,$H241))</x:f>
      </x:c>
      <x:c r="F241" t="str">
        <x:f>IF(240&gt;'10_events'!$K$2703,"",INDEX('10_events'!$H$2:$H$2703,$H241))</x:f>
      </x:c>
      <x:c r="G241" s="16" t="str">
        <x:f>IF(240&gt;'10_events'!$K$2703,"",INDEX('10_events'!$I$2:$I$2703,$H241))</x:f>
      </x:c>
      <x:c r="H241" t="n">
        <x:f>IF(240&gt;'10_events'!$K$2703,0,MATCH(240,'10_events'!$J$2:$J$2703,0))</x:f>
        <x:v>0</x:v>
      </x:c>
    </x:row>
    <x:row r="242" ht="25" customHeight="1">
      <x:c r="A242" t="str">
        <x:f>IF(241&gt;'10_events'!$K$2703,"",INDEX('10_events'!$A$2:$A$2703,$H242))</x:f>
      </x:c>
      <x:c r="B242" t="str">
        <x:f>IF(241&gt;'10_events'!$K$2703,"",INDEX('10_events'!$B$2:$B$2703,$H242))</x:f>
      </x:c>
      <x:c r="C242" t="str">
        <x:f>IF(241&gt;'10_events'!$K$2703,"",INDEX('10_events'!$C$2:$C$2703,$H242))</x:f>
      </x:c>
      <x:c r="D242" t="str">
        <x:f>IF(241&gt;'10_events'!$K$2703,"",INDEX('10_events'!$F$2:$F$2703,$H242))</x:f>
      </x:c>
      <x:c r="E242" t="str">
        <x:f>IF(241&gt;'10_events'!$K$2703,"",INDEX('10_events'!$G$2:$G$2703,$H242))</x:f>
      </x:c>
      <x:c r="F242" t="str">
        <x:f>IF(241&gt;'10_events'!$K$2703,"",INDEX('10_events'!$H$2:$H$2703,$H242))</x:f>
      </x:c>
      <x:c r="G242" s="16" t="str">
        <x:f>IF(241&gt;'10_events'!$K$2703,"",INDEX('10_events'!$I$2:$I$2703,$H242))</x:f>
      </x:c>
      <x:c r="H242" t="n">
        <x:f>IF(241&gt;'10_events'!$K$2703,0,MATCH(241,'10_events'!$J$2:$J$2703,0))</x:f>
        <x:v>0</x:v>
      </x:c>
    </x:row>
    <x:row r="243" ht="25" customHeight="1">
      <x:c r="A243" t="str">
        <x:f>IF(242&gt;'10_events'!$K$2703,"",INDEX('10_events'!$A$2:$A$2703,$H243))</x:f>
      </x:c>
      <x:c r="B243" t="str">
        <x:f>IF(242&gt;'10_events'!$K$2703,"",INDEX('10_events'!$B$2:$B$2703,$H243))</x:f>
      </x:c>
      <x:c r="C243" t="str">
        <x:f>IF(242&gt;'10_events'!$K$2703,"",INDEX('10_events'!$C$2:$C$2703,$H243))</x:f>
      </x:c>
      <x:c r="D243" t="str">
        <x:f>IF(242&gt;'10_events'!$K$2703,"",INDEX('10_events'!$F$2:$F$2703,$H243))</x:f>
      </x:c>
      <x:c r="E243" t="str">
        <x:f>IF(242&gt;'10_events'!$K$2703,"",INDEX('10_events'!$G$2:$G$2703,$H243))</x:f>
      </x:c>
      <x:c r="F243" t="str">
        <x:f>IF(242&gt;'10_events'!$K$2703,"",INDEX('10_events'!$H$2:$H$2703,$H243))</x:f>
      </x:c>
      <x:c r="G243" s="16" t="str">
        <x:f>IF(242&gt;'10_events'!$K$2703,"",INDEX('10_events'!$I$2:$I$2703,$H243))</x:f>
      </x:c>
      <x:c r="H243" t="n">
        <x:f>IF(242&gt;'10_events'!$K$2703,0,MATCH(242,'10_events'!$J$2:$J$2703,0))</x:f>
        <x:v>0</x:v>
      </x:c>
    </x:row>
    <x:row r="244" ht="25" customHeight="1">
      <x:c r="A244" t="str">
        <x:f>IF(243&gt;'10_events'!$K$2703,"",INDEX('10_events'!$A$2:$A$2703,$H244))</x:f>
      </x:c>
      <x:c r="B244" t="str">
        <x:f>IF(243&gt;'10_events'!$K$2703,"",INDEX('10_events'!$B$2:$B$2703,$H244))</x:f>
      </x:c>
      <x:c r="C244" t="str">
        <x:f>IF(243&gt;'10_events'!$K$2703,"",INDEX('10_events'!$C$2:$C$2703,$H244))</x:f>
      </x:c>
      <x:c r="D244" t="str">
        <x:f>IF(243&gt;'10_events'!$K$2703,"",INDEX('10_events'!$F$2:$F$2703,$H244))</x:f>
      </x:c>
      <x:c r="E244" t="str">
        <x:f>IF(243&gt;'10_events'!$K$2703,"",INDEX('10_events'!$G$2:$G$2703,$H244))</x:f>
      </x:c>
      <x:c r="F244" t="str">
        <x:f>IF(243&gt;'10_events'!$K$2703,"",INDEX('10_events'!$H$2:$H$2703,$H244))</x:f>
      </x:c>
      <x:c r="G244" s="16" t="str">
        <x:f>IF(243&gt;'10_events'!$K$2703,"",INDEX('10_events'!$I$2:$I$2703,$H244))</x:f>
      </x:c>
      <x:c r="H244" t="n">
        <x:f>IF(243&gt;'10_events'!$K$2703,0,MATCH(243,'10_events'!$J$2:$J$2703,0))</x:f>
        <x:v>0</x:v>
      </x:c>
    </x:row>
    <x:row r="245" ht="25" customHeight="1">
      <x:c r="A245" t="str">
        <x:f>IF(244&gt;'10_events'!$K$2703,"",INDEX('10_events'!$A$2:$A$2703,$H245))</x:f>
      </x:c>
      <x:c r="B245" t="str">
        <x:f>IF(244&gt;'10_events'!$K$2703,"",INDEX('10_events'!$B$2:$B$2703,$H245))</x:f>
      </x:c>
      <x:c r="C245" t="str">
        <x:f>IF(244&gt;'10_events'!$K$2703,"",INDEX('10_events'!$C$2:$C$2703,$H245))</x:f>
      </x:c>
      <x:c r="D245" t="str">
        <x:f>IF(244&gt;'10_events'!$K$2703,"",INDEX('10_events'!$F$2:$F$2703,$H245))</x:f>
      </x:c>
      <x:c r="E245" t="str">
        <x:f>IF(244&gt;'10_events'!$K$2703,"",INDEX('10_events'!$G$2:$G$2703,$H245))</x:f>
      </x:c>
      <x:c r="F245" t="str">
        <x:f>IF(244&gt;'10_events'!$K$2703,"",INDEX('10_events'!$H$2:$H$2703,$H245))</x:f>
      </x:c>
      <x:c r="G245" s="16" t="str">
        <x:f>IF(244&gt;'10_events'!$K$2703,"",INDEX('10_events'!$I$2:$I$2703,$H245))</x:f>
      </x:c>
      <x:c r="H245" t="n">
        <x:f>IF(244&gt;'10_events'!$K$2703,0,MATCH(244,'10_events'!$J$2:$J$2703,0))</x:f>
        <x:v>0</x:v>
      </x:c>
    </x:row>
    <x:row r="246" ht="25" customHeight="1">
      <x:c r="A246" t="str">
        <x:f>IF(245&gt;'10_events'!$K$2703,"",INDEX('10_events'!$A$2:$A$2703,$H246))</x:f>
      </x:c>
      <x:c r="B246" t="str">
        <x:f>IF(245&gt;'10_events'!$K$2703,"",INDEX('10_events'!$B$2:$B$2703,$H246))</x:f>
      </x:c>
      <x:c r="C246" t="str">
        <x:f>IF(245&gt;'10_events'!$K$2703,"",INDEX('10_events'!$C$2:$C$2703,$H246))</x:f>
      </x:c>
      <x:c r="D246" t="str">
        <x:f>IF(245&gt;'10_events'!$K$2703,"",INDEX('10_events'!$F$2:$F$2703,$H246))</x:f>
      </x:c>
      <x:c r="E246" t="str">
        <x:f>IF(245&gt;'10_events'!$K$2703,"",INDEX('10_events'!$G$2:$G$2703,$H246))</x:f>
      </x:c>
      <x:c r="F246" t="str">
        <x:f>IF(245&gt;'10_events'!$K$2703,"",INDEX('10_events'!$H$2:$H$2703,$H246))</x:f>
      </x:c>
      <x:c r="G246" s="16" t="str">
        <x:f>IF(245&gt;'10_events'!$K$2703,"",INDEX('10_events'!$I$2:$I$2703,$H246))</x:f>
      </x:c>
      <x:c r="H246" t="n">
        <x:f>IF(245&gt;'10_events'!$K$2703,0,MATCH(245,'10_events'!$J$2:$J$2703,0))</x:f>
        <x:v>0</x:v>
      </x:c>
    </x:row>
    <x:row r="247" ht="25" customHeight="1">
      <x:c r="A247" t="str">
        <x:f>IF(246&gt;'10_events'!$K$2703,"",INDEX('10_events'!$A$2:$A$2703,$H247))</x:f>
      </x:c>
      <x:c r="B247" t="str">
        <x:f>IF(246&gt;'10_events'!$K$2703,"",INDEX('10_events'!$B$2:$B$2703,$H247))</x:f>
      </x:c>
      <x:c r="C247" t="str">
        <x:f>IF(246&gt;'10_events'!$K$2703,"",INDEX('10_events'!$C$2:$C$2703,$H247))</x:f>
      </x:c>
      <x:c r="D247" t="str">
        <x:f>IF(246&gt;'10_events'!$K$2703,"",INDEX('10_events'!$F$2:$F$2703,$H247))</x:f>
      </x:c>
      <x:c r="E247" t="str">
        <x:f>IF(246&gt;'10_events'!$K$2703,"",INDEX('10_events'!$G$2:$G$2703,$H247))</x:f>
      </x:c>
      <x:c r="F247" t="str">
        <x:f>IF(246&gt;'10_events'!$K$2703,"",INDEX('10_events'!$H$2:$H$2703,$H247))</x:f>
      </x:c>
      <x:c r="G247" s="16" t="str">
        <x:f>IF(246&gt;'10_events'!$K$2703,"",INDEX('10_events'!$I$2:$I$2703,$H247))</x:f>
      </x:c>
      <x:c r="H247" t="n">
        <x:f>IF(246&gt;'10_events'!$K$2703,0,MATCH(246,'10_events'!$J$2:$J$2703,0))</x:f>
        <x:v>0</x:v>
      </x:c>
    </x:row>
    <x:row r="248" ht="25" customHeight="1">
      <x:c r="A248" t="str">
        <x:f>IF(247&gt;'10_events'!$K$2703,"",INDEX('10_events'!$A$2:$A$2703,$H248))</x:f>
      </x:c>
      <x:c r="B248" t="str">
        <x:f>IF(247&gt;'10_events'!$K$2703,"",INDEX('10_events'!$B$2:$B$2703,$H248))</x:f>
      </x:c>
      <x:c r="C248" t="str">
        <x:f>IF(247&gt;'10_events'!$K$2703,"",INDEX('10_events'!$C$2:$C$2703,$H248))</x:f>
      </x:c>
      <x:c r="D248" t="str">
        <x:f>IF(247&gt;'10_events'!$K$2703,"",INDEX('10_events'!$F$2:$F$2703,$H248))</x:f>
      </x:c>
      <x:c r="E248" t="str">
        <x:f>IF(247&gt;'10_events'!$K$2703,"",INDEX('10_events'!$G$2:$G$2703,$H248))</x:f>
      </x:c>
      <x:c r="F248" t="str">
        <x:f>IF(247&gt;'10_events'!$K$2703,"",INDEX('10_events'!$H$2:$H$2703,$H248))</x:f>
      </x:c>
      <x:c r="G248" s="16" t="str">
        <x:f>IF(247&gt;'10_events'!$K$2703,"",INDEX('10_events'!$I$2:$I$2703,$H248))</x:f>
      </x:c>
      <x:c r="H248" t="n">
        <x:f>IF(247&gt;'10_events'!$K$2703,0,MATCH(247,'10_events'!$J$2:$J$2703,0))</x:f>
        <x:v>0</x:v>
      </x:c>
    </x:row>
    <x:row r="249" ht="25" customHeight="1">
      <x:c r="A249" t="str">
        <x:f>IF(248&gt;'10_events'!$K$2703,"",INDEX('10_events'!$A$2:$A$2703,$H249))</x:f>
      </x:c>
      <x:c r="B249" t="str">
        <x:f>IF(248&gt;'10_events'!$K$2703,"",INDEX('10_events'!$B$2:$B$2703,$H249))</x:f>
      </x:c>
      <x:c r="C249" t="str">
        <x:f>IF(248&gt;'10_events'!$K$2703,"",INDEX('10_events'!$C$2:$C$2703,$H249))</x:f>
      </x:c>
      <x:c r="D249" t="str">
        <x:f>IF(248&gt;'10_events'!$K$2703,"",INDEX('10_events'!$F$2:$F$2703,$H249))</x:f>
      </x:c>
      <x:c r="E249" t="str">
        <x:f>IF(248&gt;'10_events'!$K$2703,"",INDEX('10_events'!$G$2:$G$2703,$H249))</x:f>
      </x:c>
      <x:c r="F249" t="str">
        <x:f>IF(248&gt;'10_events'!$K$2703,"",INDEX('10_events'!$H$2:$H$2703,$H249))</x:f>
      </x:c>
      <x:c r="G249" s="16" t="str">
        <x:f>IF(248&gt;'10_events'!$K$2703,"",INDEX('10_events'!$I$2:$I$2703,$H249))</x:f>
      </x:c>
      <x:c r="H249" t="n">
        <x:f>IF(248&gt;'10_events'!$K$2703,0,MATCH(248,'10_events'!$J$2:$J$2703,0))</x:f>
        <x:v>0</x:v>
      </x:c>
    </x:row>
    <x:row r="250" ht="25" customHeight="1">
      <x:c r="A250" t="str">
        <x:f>IF(249&gt;'10_events'!$K$2703,"",INDEX('10_events'!$A$2:$A$2703,$H250))</x:f>
      </x:c>
      <x:c r="B250" t="str">
        <x:f>IF(249&gt;'10_events'!$K$2703,"",INDEX('10_events'!$B$2:$B$2703,$H250))</x:f>
      </x:c>
      <x:c r="C250" t="str">
        <x:f>IF(249&gt;'10_events'!$K$2703,"",INDEX('10_events'!$C$2:$C$2703,$H250))</x:f>
      </x:c>
      <x:c r="D250" t="str">
        <x:f>IF(249&gt;'10_events'!$K$2703,"",INDEX('10_events'!$F$2:$F$2703,$H250))</x:f>
      </x:c>
      <x:c r="E250" t="str">
        <x:f>IF(249&gt;'10_events'!$K$2703,"",INDEX('10_events'!$G$2:$G$2703,$H250))</x:f>
      </x:c>
      <x:c r="F250" t="str">
        <x:f>IF(249&gt;'10_events'!$K$2703,"",INDEX('10_events'!$H$2:$H$2703,$H250))</x:f>
      </x:c>
      <x:c r="G250" s="16" t="str">
        <x:f>IF(249&gt;'10_events'!$K$2703,"",INDEX('10_events'!$I$2:$I$2703,$H250))</x:f>
      </x:c>
      <x:c r="H250" t="n">
        <x:f>IF(249&gt;'10_events'!$K$2703,0,MATCH(249,'10_events'!$J$2:$J$2703,0))</x:f>
        <x:v>0</x:v>
      </x:c>
    </x:row>
    <x:row r="251" ht="25" customHeight="1">
      <x:c r="A251" t="str">
        <x:f>IF(250&gt;'10_events'!$K$2703,"",INDEX('10_events'!$A$2:$A$2703,$H251))</x:f>
      </x:c>
      <x:c r="B251" t="str">
        <x:f>IF(250&gt;'10_events'!$K$2703,"",INDEX('10_events'!$B$2:$B$2703,$H251))</x:f>
      </x:c>
      <x:c r="C251" t="str">
        <x:f>IF(250&gt;'10_events'!$K$2703,"",INDEX('10_events'!$C$2:$C$2703,$H251))</x:f>
      </x:c>
      <x:c r="D251" t="str">
        <x:f>IF(250&gt;'10_events'!$K$2703,"",INDEX('10_events'!$F$2:$F$2703,$H251))</x:f>
      </x:c>
      <x:c r="E251" t="str">
        <x:f>IF(250&gt;'10_events'!$K$2703,"",INDEX('10_events'!$G$2:$G$2703,$H251))</x:f>
      </x:c>
      <x:c r="F251" t="str">
        <x:f>IF(250&gt;'10_events'!$K$2703,"",INDEX('10_events'!$H$2:$H$2703,$H251))</x:f>
      </x:c>
      <x:c r="G251" s="16" t="str">
        <x:f>IF(250&gt;'10_events'!$K$2703,"",INDEX('10_events'!$I$2:$I$2703,$H251))</x:f>
      </x:c>
      <x:c r="H251" t="n">
        <x:f>IF(250&gt;'10_events'!$K$2703,0,MATCH(250,'10_events'!$J$2:$J$2703,0))</x:f>
        <x:v>0</x:v>
      </x:c>
    </x:row>
    <x:row r="252" ht="25" customHeight="1">
      <x:c r="A252" t="str">
        <x:f>IF(251&gt;'10_events'!$K$2703,"",INDEX('10_events'!$A$2:$A$2703,$H252))</x:f>
      </x:c>
      <x:c r="B252" t="str">
        <x:f>IF(251&gt;'10_events'!$K$2703,"",INDEX('10_events'!$B$2:$B$2703,$H252))</x:f>
      </x:c>
      <x:c r="C252" t="str">
        <x:f>IF(251&gt;'10_events'!$K$2703,"",INDEX('10_events'!$C$2:$C$2703,$H252))</x:f>
      </x:c>
      <x:c r="D252" t="str">
        <x:f>IF(251&gt;'10_events'!$K$2703,"",INDEX('10_events'!$F$2:$F$2703,$H252))</x:f>
      </x:c>
      <x:c r="E252" t="str">
        <x:f>IF(251&gt;'10_events'!$K$2703,"",INDEX('10_events'!$G$2:$G$2703,$H252))</x:f>
      </x:c>
      <x:c r="F252" t="str">
        <x:f>IF(251&gt;'10_events'!$K$2703,"",INDEX('10_events'!$H$2:$H$2703,$H252))</x:f>
      </x:c>
      <x:c r="G252" s="16" t="str">
        <x:f>IF(251&gt;'10_events'!$K$2703,"",INDEX('10_events'!$I$2:$I$2703,$H252))</x:f>
      </x:c>
      <x:c r="H252" t="n">
        <x:f>IF(251&gt;'10_events'!$K$2703,0,MATCH(251,'10_events'!$J$2:$J$2703,0))</x:f>
        <x:v>0</x:v>
      </x:c>
    </x:row>
    <x:row r="253" ht="25" customHeight="1">
      <x:c r="A253" t="str">
        <x:f>IF(252&gt;'10_events'!$K$2703,"",INDEX('10_events'!$A$2:$A$2703,$H253))</x:f>
      </x:c>
      <x:c r="B253" t="str">
        <x:f>IF(252&gt;'10_events'!$K$2703,"",INDEX('10_events'!$B$2:$B$2703,$H253))</x:f>
      </x:c>
      <x:c r="C253" t="str">
        <x:f>IF(252&gt;'10_events'!$K$2703,"",INDEX('10_events'!$C$2:$C$2703,$H253))</x:f>
      </x:c>
      <x:c r="D253" t="str">
        <x:f>IF(252&gt;'10_events'!$K$2703,"",INDEX('10_events'!$F$2:$F$2703,$H253))</x:f>
      </x:c>
      <x:c r="E253" t="str">
        <x:f>IF(252&gt;'10_events'!$K$2703,"",INDEX('10_events'!$G$2:$G$2703,$H253))</x:f>
      </x:c>
      <x:c r="F253" t="str">
        <x:f>IF(252&gt;'10_events'!$K$2703,"",INDEX('10_events'!$H$2:$H$2703,$H253))</x:f>
      </x:c>
      <x:c r="G253" s="16" t="str">
        <x:f>IF(252&gt;'10_events'!$K$2703,"",INDEX('10_events'!$I$2:$I$2703,$H253))</x:f>
      </x:c>
      <x:c r="H253" t="n">
        <x:f>IF(252&gt;'10_events'!$K$2703,0,MATCH(252,'10_events'!$J$2:$J$2703,0))</x:f>
        <x:v>0</x:v>
      </x:c>
    </x:row>
    <x:row r="254" ht="25" customHeight="1">
      <x:c r="A254" t="str">
        <x:f>IF(253&gt;'10_events'!$K$2703,"",INDEX('10_events'!$A$2:$A$2703,$H254))</x:f>
      </x:c>
      <x:c r="B254" t="str">
        <x:f>IF(253&gt;'10_events'!$K$2703,"",INDEX('10_events'!$B$2:$B$2703,$H254))</x:f>
      </x:c>
      <x:c r="C254" t="str">
        <x:f>IF(253&gt;'10_events'!$K$2703,"",INDEX('10_events'!$C$2:$C$2703,$H254))</x:f>
      </x:c>
      <x:c r="D254" t="str">
        <x:f>IF(253&gt;'10_events'!$K$2703,"",INDEX('10_events'!$F$2:$F$2703,$H254))</x:f>
      </x:c>
      <x:c r="E254" t="str">
        <x:f>IF(253&gt;'10_events'!$K$2703,"",INDEX('10_events'!$G$2:$G$2703,$H254))</x:f>
      </x:c>
      <x:c r="F254" t="str">
        <x:f>IF(253&gt;'10_events'!$K$2703,"",INDEX('10_events'!$H$2:$H$2703,$H254))</x:f>
      </x:c>
      <x:c r="G254" s="16" t="str">
        <x:f>IF(253&gt;'10_events'!$K$2703,"",INDEX('10_events'!$I$2:$I$2703,$H254))</x:f>
      </x:c>
      <x:c r="H254" t="n">
        <x:f>IF(253&gt;'10_events'!$K$2703,0,MATCH(253,'10_events'!$J$2:$J$2703,0))</x:f>
        <x:v>0</x:v>
      </x:c>
    </x:row>
    <x:row r="255" ht="25" customHeight="1">
      <x:c r="A255" t="str">
        <x:f>IF(254&gt;'10_events'!$K$2703,"",INDEX('10_events'!$A$2:$A$2703,$H255))</x:f>
      </x:c>
      <x:c r="B255" t="str">
        <x:f>IF(254&gt;'10_events'!$K$2703,"",INDEX('10_events'!$B$2:$B$2703,$H255))</x:f>
      </x:c>
      <x:c r="C255" t="str">
        <x:f>IF(254&gt;'10_events'!$K$2703,"",INDEX('10_events'!$C$2:$C$2703,$H255))</x:f>
      </x:c>
      <x:c r="D255" t="str">
        <x:f>IF(254&gt;'10_events'!$K$2703,"",INDEX('10_events'!$F$2:$F$2703,$H255))</x:f>
      </x:c>
      <x:c r="E255" t="str">
        <x:f>IF(254&gt;'10_events'!$K$2703,"",INDEX('10_events'!$G$2:$G$2703,$H255))</x:f>
      </x:c>
      <x:c r="F255" t="str">
        <x:f>IF(254&gt;'10_events'!$K$2703,"",INDEX('10_events'!$H$2:$H$2703,$H255))</x:f>
      </x:c>
      <x:c r="G255" s="16" t="str">
        <x:f>IF(254&gt;'10_events'!$K$2703,"",INDEX('10_events'!$I$2:$I$2703,$H255))</x:f>
      </x:c>
      <x:c r="H255" t="n">
        <x:f>IF(254&gt;'10_events'!$K$2703,0,MATCH(254,'10_events'!$J$2:$J$2703,0))</x:f>
        <x:v>0</x:v>
      </x:c>
    </x:row>
    <x:row r="256" ht="25" customHeight="1">
      <x:c r="A256" t="str">
        <x:f>IF(255&gt;'10_events'!$K$2703,"",INDEX('10_events'!$A$2:$A$2703,$H256))</x:f>
      </x:c>
      <x:c r="B256" t="str">
        <x:f>IF(255&gt;'10_events'!$K$2703,"",INDEX('10_events'!$B$2:$B$2703,$H256))</x:f>
      </x:c>
      <x:c r="C256" t="str">
        <x:f>IF(255&gt;'10_events'!$K$2703,"",INDEX('10_events'!$C$2:$C$2703,$H256))</x:f>
      </x:c>
      <x:c r="D256" t="str">
        <x:f>IF(255&gt;'10_events'!$K$2703,"",INDEX('10_events'!$F$2:$F$2703,$H256))</x:f>
      </x:c>
      <x:c r="E256" t="str">
        <x:f>IF(255&gt;'10_events'!$K$2703,"",INDEX('10_events'!$G$2:$G$2703,$H256))</x:f>
      </x:c>
      <x:c r="F256" t="str">
        <x:f>IF(255&gt;'10_events'!$K$2703,"",INDEX('10_events'!$H$2:$H$2703,$H256))</x:f>
      </x:c>
      <x:c r="G256" s="16" t="str">
        <x:f>IF(255&gt;'10_events'!$K$2703,"",INDEX('10_events'!$I$2:$I$2703,$H256))</x:f>
      </x:c>
      <x:c r="H256" t="n">
        <x:f>IF(255&gt;'10_events'!$K$2703,0,MATCH(255,'10_events'!$J$2:$J$2703,0))</x:f>
        <x:v>0</x:v>
      </x:c>
    </x:row>
    <x:row r="257" ht="25" customHeight="1">
      <x:c r="A257" t="str">
        <x:f>IF(256&gt;'10_events'!$K$2703,"",INDEX('10_events'!$A$2:$A$2703,$H257))</x:f>
      </x:c>
      <x:c r="B257" t="str">
        <x:f>IF(256&gt;'10_events'!$K$2703,"",INDEX('10_events'!$B$2:$B$2703,$H257))</x:f>
      </x:c>
      <x:c r="C257" t="str">
        <x:f>IF(256&gt;'10_events'!$K$2703,"",INDEX('10_events'!$C$2:$C$2703,$H257))</x:f>
      </x:c>
      <x:c r="D257" t="str">
        <x:f>IF(256&gt;'10_events'!$K$2703,"",INDEX('10_events'!$F$2:$F$2703,$H257))</x:f>
      </x:c>
      <x:c r="E257" t="str">
        <x:f>IF(256&gt;'10_events'!$K$2703,"",INDEX('10_events'!$G$2:$G$2703,$H257))</x:f>
      </x:c>
      <x:c r="F257" t="str">
        <x:f>IF(256&gt;'10_events'!$K$2703,"",INDEX('10_events'!$H$2:$H$2703,$H257))</x:f>
      </x:c>
      <x:c r="G257" s="16" t="str">
        <x:f>IF(256&gt;'10_events'!$K$2703,"",INDEX('10_events'!$I$2:$I$2703,$H257))</x:f>
      </x:c>
      <x:c r="H257" t="n">
        <x:f>IF(256&gt;'10_events'!$K$2703,0,MATCH(256,'10_events'!$J$2:$J$2703,0))</x:f>
        <x:v>0</x:v>
      </x:c>
    </x:row>
    <x:row r="258" ht="25" customHeight="1">
      <x:c r="A258" t="str">
        <x:f>IF(257&gt;'10_events'!$K$2703,"",INDEX('10_events'!$A$2:$A$2703,$H258))</x:f>
      </x:c>
      <x:c r="B258" t="str">
        <x:f>IF(257&gt;'10_events'!$K$2703,"",INDEX('10_events'!$B$2:$B$2703,$H258))</x:f>
      </x:c>
      <x:c r="C258" t="str">
        <x:f>IF(257&gt;'10_events'!$K$2703,"",INDEX('10_events'!$C$2:$C$2703,$H258))</x:f>
      </x:c>
      <x:c r="D258" t="str">
        <x:f>IF(257&gt;'10_events'!$K$2703,"",INDEX('10_events'!$F$2:$F$2703,$H258))</x:f>
      </x:c>
      <x:c r="E258" t="str">
        <x:f>IF(257&gt;'10_events'!$K$2703,"",INDEX('10_events'!$G$2:$G$2703,$H258))</x:f>
      </x:c>
      <x:c r="F258" t="str">
        <x:f>IF(257&gt;'10_events'!$K$2703,"",INDEX('10_events'!$H$2:$H$2703,$H258))</x:f>
      </x:c>
      <x:c r="G258" s="16" t="str">
        <x:f>IF(257&gt;'10_events'!$K$2703,"",INDEX('10_events'!$I$2:$I$2703,$H258))</x:f>
      </x:c>
      <x:c r="H258" t="n">
        <x:f>IF(257&gt;'10_events'!$K$2703,0,MATCH(257,'10_events'!$J$2:$J$2703,0))</x:f>
        <x:v>0</x:v>
      </x:c>
    </x:row>
    <x:row r="259" ht="25" customHeight="1">
      <x:c r="A259" t="str">
        <x:f>IF(258&gt;'10_events'!$K$2703,"",INDEX('10_events'!$A$2:$A$2703,$H259))</x:f>
      </x:c>
      <x:c r="B259" t="str">
        <x:f>IF(258&gt;'10_events'!$K$2703,"",INDEX('10_events'!$B$2:$B$2703,$H259))</x:f>
      </x:c>
      <x:c r="C259" t="str">
        <x:f>IF(258&gt;'10_events'!$K$2703,"",INDEX('10_events'!$C$2:$C$2703,$H259))</x:f>
      </x:c>
      <x:c r="D259" t="str">
        <x:f>IF(258&gt;'10_events'!$K$2703,"",INDEX('10_events'!$F$2:$F$2703,$H259))</x:f>
      </x:c>
      <x:c r="E259" t="str">
        <x:f>IF(258&gt;'10_events'!$K$2703,"",INDEX('10_events'!$G$2:$G$2703,$H259))</x:f>
      </x:c>
      <x:c r="F259" t="str">
        <x:f>IF(258&gt;'10_events'!$K$2703,"",INDEX('10_events'!$H$2:$H$2703,$H259))</x:f>
      </x:c>
      <x:c r="G259" s="16" t="str">
        <x:f>IF(258&gt;'10_events'!$K$2703,"",INDEX('10_events'!$I$2:$I$2703,$H259))</x:f>
      </x:c>
      <x:c r="H259" t="n">
        <x:f>IF(258&gt;'10_events'!$K$2703,0,MATCH(258,'10_events'!$J$2:$J$2703,0))</x:f>
        <x:v>0</x:v>
      </x:c>
    </x:row>
    <x:row r="260" ht="25" customHeight="1">
      <x:c r="A260" t="str">
        <x:f>IF(259&gt;'10_events'!$K$2703,"",INDEX('10_events'!$A$2:$A$2703,$H260))</x:f>
      </x:c>
      <x:c r="B260" t="str">
        <x:f>IF(259&gt;'10_events'!$K$2703,"",INDEX('10_events'!$B$2:$B$2703,$H260))</x:f>
      </x:c>
      <x:c r="C260" t="str">
        <x:f>IF(259&gt;'10_events'!$K$2703,"",INDEX('10_events'!$C$2:$C$2703,$H260))</x:f>
      </x:c>
      <x:c r="D260" t="str">
        <x:f>IF(259&gt;'10_events'!$K$2703,"",INDEX('10_events'!$F$2:$F$2703,$H260))</x:f>
      </x:c>
      <x:c r="E260" t="str">
        <x:f>IF(259&gt;'10_events'!$K$2703,"",INDEX('10_events'!$G$2:$G$2703,$H260))</x:f>
      </x:c>
      <x:c r="F260" t="str">
        <x:f>IF(259&gt;'10_events'!$K$2703,"",INDEX('10_events'!$H$2:$H$2703,$H260))</x:f>
      </x:c>
      <x:c r="G260" s="16" t="str">
        <x:f>IF(259&gt;'10_events'!$K$2703,"",INDEX('10_events'!$I$2:$I$2703,$H260))</x:f>
      </x:c>
      <x:c r="H260" t="n">
        <x:f>IF(259&gt;'10_events'!$K$2703,0,MATCH(259,'10_events'!$J$2:$J$2703,0))</x:f>
        <x:v>0</x:v>
      </x:c>
    </x:row>
    <x:row r="261" ht="25" customHeight="1">
      <x:c r="A261" t="str">
        <x:f>IF(260&gt;'10_events'!$K$2703,"",INDEX('10_events'!$A$2:$A$2703,$H261))</x:f>
      </x:c>
      <x:c r="B261" t="str">
        <x:f>IF(260&gt;'10_events'!$K$2703,"",INDEX('10_events'!$B$2:$B$2703,$H261))</x:f>
      </x:c>
      <x:c r="C261" t="str">
        <x:f>IF(260&gt;'10_events'!$K$2703,"",INDEX('10_events'!$C$2:$C$2703,$H261))</x:f>
      </x:c>
      <x:c r="D261" t="str">
        <x:f>IF(260&gt;'10_events'!$K$2703,"",INDEX('10_events'!$F$2:$F$2703,$H261))</x:f>
      </x:c>
      <x:c r="E261" t="str">
        <x:f>IF(260&gt;'10_events'!$K$2703,"",INDEX('10_events'!$G$2:$G$2703,$H261))</x:f>
      </x:c>
      <x:c r="F261" t="str">
        <x:f>IF(260&gt;'10_events'!$K$2703,"",INDEX('10_events'!$H$2:$H$2703,$H261))</x:f>
      </x:c>
      <x:c r="G261" s="16" t="str">
        <x:f>IF(260&gt;'10_events'!$K$2703,"",INDEX('10_events'!$I$2:$I$2703,$H261))</x:f>
      </x:c>
      <x:c r="H261" t="n">
        <x:f>IF(260&gt;'10_events'!$K$2703,0,MATCH(260,'10_events'!$J$2:$J$2703,0))</x:f>
        <x:v>0</x:v>
      </x:c>
    </x:row>
    <x:row r="262" ht="25" customHeight="1">
      <x:c r="A262" t="str">
        <x:f>IF(261&gt;'10_events'!$K$2703,"",INDEX('10_events'!$A$2:$A$2703,$H262))</x:f>
      </x:c>
      <x:c r="B262" t="str">
        <x:f>IF(261&gt;'10_events'!$K$2703,"",INDEX('10_events'!$B$2:$B$2703,$H262))</x:f>
      </x:c>
      <x:c r="C262" t="str">
        <x:f>IF(261&gt;'10_events'!$K$2703,"",INDEX('10_events'!$C$2:$C$2703,$H262))</x:f>
      </x:c>
      <x:c r="D262" t="str">
        <x:f>IF(261&gt;'10_events'!$K$2703,"",INDEX('10_events'!$F$2:$F$2703,$H262))</x:f>
      </x:c>
      <x:c r="E262" t="str">
        <x:f>IF(261&gt;'10_events'!$K$2703,"",INDEX('10_events'!$G$2:$G$2703,$H262))</x:f>
      </x:c>
      <x:c r="F262" t="str">
        <x:f>IF(261&gt;'10_events'!$K$2703,"",INDEX('10_events'!$H$2:$H$2703,$H262))</x:f>
      </x:c>
      <x:c r="G262" s="16" t="str">
        <x:f>IF(261&gt;'10_events'!$K$2703,"",INDEX('10_events'!$I$2:$I$2703,$H262))</x:f>
      </x:c>
      <x:c r="H262" t="n">
        <x:f>IF(261&gt;'10_events'!$K$2703,0,MATCH(261,'10_events'!$J$2:$J$2703,0))</x:f>
        <x:v>0</x:v>
      </x:c>
    </x:row>
    <x:row r="263" ht="25" customHeight="1">
      <x:c r="A263" t="str">
        <x:f>IF(262&gt;'10_events'!$K$2703,"",INDEX('10_events'!$A$2:$A$2703,$H263))</x:f>
      </x:c>
      <x:c r="B263" t="str">
        <x:f>IF(262&gt;'10_events'!$K$2703,"",INDEX('10_events'!$B$2:$B$2703,$H263))</x:f>
      </x:c>
      <x:c r="C263" t="str">
        <x:f>IF(262&gt;'10_events'!$K$2703,"",INDEX('10_events'!$C$2:$C$2703,$H263))</x:f>
      </x:c>
      <x:c r="D263" t="str">
        <x:f>IF(262&gt;'10_events'!$K$2703,"",INDEX('10_events'!$F$2:$F$2703,$H263))</x:f>
      </x:c>
      <x:c r="E263" t="str">
        <x:f>IF(262&gt;'10_events'!$K$2703,"",INDEX('10_events'!$G$2:$G$2703,$H263))</x:f>
      </x:c>
      <x:c r="F263" t="str">
        <x:f>IF(262&gt;'10_events'!$K$2703,"",INDEX('10_events'!$H$2:$H$2703,$H263))</x:f>
      </x:c>
      <x:c r="G263" s="16" t="str">
        <x:f>IF(262&gt;'10_events'!$K$2703,"",INDEX('10_events'!$I$2:$I$2703,$H263))</x:f>
      </x:c>
      <x:c r="H263" t="n">
        <x:f>IF(262&gt;'10_events'!$K$2703,0,MATCH(262,'10_events'!$J$2:$J$2703,0))</x:f>
        <x:v>0</x:v>
      </x:c>
    </x:row>
    <x:row r="264" ht="25" customHeight="1">
      <x:c r="A264" t="str">
        <x:f>IF(263&gt;'10_events'!$K$2703,"",INDEX('10_events'!$A$2:$A$2703,$H264))</x:f>
      </x:c>
      <x:c r="B264" t="str">
        <x:f>IF(263&gt;'10_events'!$K$2703,"",INDEX('10_events'!$B$2:$B$2703,$H264))</x:f>
      </x:c>
      <x:c r="C264" t="str">
        <x:f>IF(263&gt;'10_events'!$K$2703,"",INDEX('10_events'!$C$2:$C$2703,$H264))</x:f>
      </x:c>
      <x:c r="D264" t="str">
        <x:f>IF(263&gt;'10_events'!$K$2703,"",INDEX('10_events'!$F$2:$F$2703,$H264))</x:f>
      </x:c>
      <x:c r="E264" t="str">
        <x:f>IF(263&gt;'10_events'!$K$2703,"",INDEX('10_events'!$G$2:$G$2703,$H264))</x:f>
      </x:c>
      <x:c r="F264" t="str">
        <x:f>IF(263&gt;'10_events'!$K$2703,"",INDEX('10_events'!$H$2:$H$2703,$H264))</x:f>
      </x:c>
      <x:c r="G264" s="16" t="str">
        <x:f>IF(263&gt;'10_events'!$K$2703,"",INDEX('10_events'!$I$2:$I$2703,$H264))</x:f>
      </x:c>
      <x:c r="H264" t="n">
        <x:f>IF(263&gt;'10_events'!$K$2703,0,MATCH(263,'10_events'!$J$2:$J$2703,0))</x:f>
        <x:v>0</x:v>
      </x:c>
    </x:row>
    <x:row r="265" ht="25" customHeight="1">
      <x:c r="A265" t="str">
        <x:f>IF(264&gt;'10_events'!$K$2703,"",INDEX('10_events'!$A$2:$A$2703,$H265))</x:f>
      </x:c>
      <x:c r="B265" t="str">
        <x:f>IF(264&gt;'10_events'!$K$2703,"",INDEX('10_events'!$B$2:$B$2703,$H265))</x:f>
      </x:c>
      <x:c r="C265" t="str">
        <x:f>IF(264&gt;'10_events'!$K$2703,"",INDEX('10_events'!$C$2:$C$2703,$H265))</x:f>
      </x:c>
      <x:c r="D265" t="str">
        <x:f>IF(264&gt;'10_events'!$K$2703,"",INDEX('10_events'!$F$2:$F$2703,$H265))</x:f>
      </x:c>
      <x:c r="E265" t="str">
        <x:f>IF(264&gt;'10_events'!$K$2703,"",INDEX('10_events'!$G$2:$G$2703,$H265))</x:f>
      </x:c>
      <x:c r="F265" t="str">
        <x:f>IF(264&gt;'10_events'!$K$2703,"",INDEX('10_events'!$H$2:$H$2703,$H265))</x:f>
      </x:c>
      <x:c r="G265" s="16" t="str">
        <x:f>IF(264&gt;'10_events'!$K$2703,"",INDEX('10_events'!$I$2:$I$2703,$H265))</x:f>
      </x:c>
      <x:c r="H265" t="n">
        <x:f>IF(264&gt;'10_events'!$K$2703,0,MATCH(264,'10_events'!$J$2:$J$2703,0))</x:f>
        <x:v>0</x:v>
      </x:c>
    </x:row>
    <x:row r="266" ht="25" customHeight="1">
      <x:c r="A266" t="str">
        <x:f>IF(265&gt;'10_events'!$K$2703,"",INDEX('10_events'!$A$2:$A$2703,$H266))</x:f>
      </x:c>
      <x:c r="B266" t="str">
        <x:f>IF(265&gt;'10_events'!$K$2703,"",INDEX('10_events'!$B$2:$B$2703,$H266))</x:f>
      </x:c>
      <x:c r="C266" t="str">
        <x:f>IF(265&gt;'10_events'!$K$2703,"",INDEX('10_events'!$C$2:$C$2703,$H266))</x:f>
      </x:c>
      <x:c r="D266" t="str">
        <x:f>IF(265&gt;'10_events'!$K$2703,"",INDEX('10_events'!$F$2:$F$2703,$H266))</x:f>
      </x:c>
      <x:c r="E266" t="str">
        <x:f>IF(265&gt;'10_events'!$K$2703,"",INDEX('10_events'!$G$2:$G$2703,$H266))</x:f>
      </x:c>
      <x:c r="F266" t="str">
        <x:f>IF(265&gt;'10_events'!$K$2703,"",INDEX('10_events'!$H$2:$H$2703,$H266))</x:f>
      </x:c>
      <x:c r="G266" s="16" t="str">
        <x:f>IF(265&gt;'10_events'!$K$2703,"",INDEX('10_events'!$I$2:$I$2703,$H266))</x:f>
      </x:c>
      <x:c r="H266" t="n">
        <x:f>IF(265&gt;'10_events'!$K$2703,0,MATCH(265,'10_events'!$J$2:$J$2703,0))</x:f>
        <x:v>0</x:v>
      </x:c>
    </x:row>
    <x:row r="267" ht="25" customHeight="1">
      <x:c r="A267" t="str">
        <x:f>IF(266&gt;'10_events'!$K$2703,"",INDEX('10_events'!$A$2:$A$2703,$H267))</x:f>
      </x:c>
      <x:c r="B267" t="str">
        <x:f>IF(266&gt;'10_events'!$K$2703,"",INDEX('10_events'!$B$2:$B$2703,$H267))</x:f>
      </x:c>
      <x:c r="C267" t="str">
        <x:f>IF(266&gt;'10_events'!$K$2703,"",INDEX('10_events'!$C$2:$C$2703,$H267))</x:f>
      </x:c>
      <x:c r="D267" t="str">
        <x:f>IF(266&gt;'10_events'!$K$2703,"",INDEX('10_events'!$F$2:$F$2703,$H267))</x:f>
      </x:c>
      <x:c r="E267" t="str">
        <x:f>IF(266&gt;'10_events'!$K$2703,"",INDEX('10_events'!$G$2:$G$2703,$H267))</x:f>
      </x:c>
      <x:c r="F267" t="str">
        <x:f>IF(266&gt;'10_events'!$K$2703,"",INDEX('10_events'!$H$2:$H$2703,$H267))</x:f>
      </x:c>
      <x:c r="G267" s="16" t="str">
        <x:f>IF(266&gt;'10_events'!$K$2703,"",INDEX('10_events'!$I$2:$I$2703,$H267))</x:f>
      </x:c>
      <x:c r="H267" t="n">
        <x:f>IF(266&gt;'10_events'!$K$2703,0,MATCH(266,'10_events'!$J$2:$J$2703,0))</x:f>
        <x:v>0</x:v>
      </x:c>
    </x:row>
    <x:row r="268" ht="25" customHeight="1">
      <x:c r="A268" t="str">
        <x:f>IF(267&gt;'10_events'!$K$2703,"",INDEX('10_events'!$A$2:$A$2703,$H268))</x:f>
      </x:c>
      <x:c r="B268" t="str">
        <x:f>IF(267&gt;'10_events'!$K$2703,"",INDEX('10_events'!$B$2:$B$2703,$H268))</x:f>
      </x:c>
      <x:c r="C268" t="str">
        <x:f>IF(267&gt;'10_events'!$K$2703,"",INDEX('10_events'!$C$2:$C$2703,$H268))</x:f>
      </x:c>
      <x:c r="D268" t="str">
        <x:f>IF(267&gt;'10_events'!$K$2703,"",INDEX('10_events'!$F$2:$F$2703,$H268))</x:f>
      </x:c>
      <x:c r="E268" t="str">
        <x:f>IF(267&gt;'10_events'!$K$2703,"",INDEX('10_events'!$G$2:$G$2703,$H268))</x:f>
      </x:c>
      <x:c r="F268" t="str">
        <x:f>IF(267&gt;'10_events'!$K$2703,"",INDEX('10_events'!$H$2:$H$2703,$H268))</x:f>
      </x:c>
      <x:c r="G268" s="16" t="str">
        <x:f>IF(267&gt;'10_events'!$K$2703,"",INDEX('10_events'!$I$2:$I$2703,$H268))</x:f>
      </x:c>
      <x:c r="H268" t="n">
        <x:f>IF(267&gt;'10_events'!$K$2703,0,MATCH(267,'10_events'!$J$2:$J$2703,0))</x:f>
        <x:v>0</x:v>
      </x:c>
    </x:row>
    <x:row r="269" ht="25" customHeight="1">
      <x:c r="A269" t="str">
        <x:f>IF(268&gt;'10_events'!$K$2703,"",INDEX('10_events'!$A$2:$A$2703,$H269))</x:f>
      </x:c>
      <x:c r="B269" t="str">
        <x:f>IF(268&gt;'10_events'!$K$2703,"",INDEX('10_events'!$B$2:$B$2703,$H269))</x:f>
      </x:c>
      <x:c r="C269" t="str">
        <x:f>IF(268&gt;'10_events'!$K$2703,"",INDEX('10_events'!$C$2:$C$2703,$H269))</x:f>
      </x:c>
      <x:c r="D269" t="str">
        <x:f>IF(268&gt;'10_events'!$K$2703,"",INDEX('10_events'!$F$2:$F$2703,$H269))</x:f>
      </x:c>
      <x:c r="E269" t="str">
        <x:f>IF(268&gt;'10_events'!$K$2703,"",INDEX('10_events'!$G$2:$G$2703,$H269))</x:f>
      </x:c>
      <x:c r="F269" t="str">
        <x:f>IF(268&gt;'10_events'!$K$2703,"",INDEX('10_events'!$H$2:$H$2703,$H269))</x:f>
      </x:c>
      <x:c r="G269" s="16" t="str">
        <x:f>IF(268&gt;'10_events'!$K$2703,"",INDEX('10_events'!$I$2:$I$2703,$H269))</x:f>
      </x:c>
      <x:c r="H269" t="n">
        <x:f>IF(268&gt;'10_events'!$K$2703,0,MATCH(268,'10_events'!$J$2:$J$2703,0))</x:f>
        <x:v>0</x:v>
      </x:c>
    </x:row>
    <x:row r="270" ht="25" customHeight="1">
      <x:c r="A270" t="str">
        <x:f>IF(269&gt;'10_events'!$K$2703,"",INDEX('10_events'!$A$2:$A$2703,$H270))</x:f>
      </x:c>
      <x:c r="B270" t="str">
        <x:f>IF(269&gt;'10_events'!$K$2703,"",INDEX('10_events'!$B$2:$B$2703,$H270))</x:f>
      </x:c>
      <x:c r="C270" t="str">
        <x:f>IF(269&gt;'10_events'!$K$2703,"",INDEX('10_events'!$C$2:$C$2703,$H270))</x:f>
      </x:c>
      <x:c r="D270" t="str">
        <x:f>IF(269&gt;'10_events'!$K$2703,"",INDEX('10_events'!$F$2:$F$2703,$H270))</x:f>
      </x:c>
      <x:c r="E270" t="str">
        <x:f>IF(269&gt;'10_events'!$K$2703,"",INDEX('10_events'!$G$2:$G$2703,$H270))</x:f>
      </x:c>
      <x:c r="F270" t="str">
        <x:f>IF(269&gt;'10_events'!$K$2703,"",INDEX('10_events'!$H$2:$H$2703,$H270))</x:f>
      </x:c>
      <x:c r="G270" s="16" t="str">
        <x:f>IF(269&gt;'10_events'!$K$2703,"",INDEX('10_events'!$I$2:$I$2703,$H270))</x:f>
      </x:c>
      <x:c r="H270" t="n">
        <x:f>IF(269&gt;'10_events'!$K$2703,0,MATCH(269,'10_events'!$J$2:$J$2703,0))</x:f>
        <x:v>0</x:v>
      </x:c>
    </x:row>
    <x:row r="271" ht="25" customHeight="1">
      <x:c r="A271" t="str">
        <x:f>IF(270&gt;'10_events'!$K$2703,"",INDEX('10_events'!$A$2:$A$2703,$H271))</x:f>
      </x:c>
      <x:c r="B271" t="str">
        <x:f>IF(270&gt;'10_events'!$K$2703,"",INDEX('10_events'!$B$2:$B$2703,$H271))</x:f>
      </x:c>
      <x:c r="C271" t="str">
        <x:f>IF(270&gt;'10_events'!$K$2703,"",INDEX('10_events'!$C$2:$C$2703,$H271))</x:f>
      </x:c>
      <x:c r="D271" t="str">
        <x:f>IF(270&gt;'10_events'!$K$2703,"",INDEX('10_events'!$F$2:$F$2703,$H271))</x:f>
      </x:c>
      <x:c r="E271" t="str">
        <x:f>IF(270&gt;'10_events'!$K$2703,"",INDEX('10_events'!$G$2:$G$2703,$H271))</x:f>
      </x:c>
      <x:c r="F271" t="str">
        <x:f>IF(270&gt;'10_events'!$K$2703,"",INDEX('10_events'!$H$2:$H$2703,$H271))</x:f>
      </x:c>
      <x:c r="G271" s="16" t="str">
        <x:f>IF(270&gt;'10_events'!$K$2703,"",INDEX('10_events'!$I$2:$I$2703,$H271))</x:f>
      </x:c>
      <x:c r="H271" t="n">
        <x:f>IF(270&gt;'10_events'!$K$2703,0,MATCH(270,'10_events'!$J$2:$J$2703,0))</x:f>
        <x:v>0</x:v>
      </x:c>
    </x:row>
    <x:row r="272" ht="25" customHeight="1">
      <x:c r="A272" t="str">
        <x:f>IF(271&gt;'10_events'!$K$2703,"",INDEX('10_events'!$A$2:$A$2703,$H272))</x:f>
      </x:c>
      <x:c r="B272" t="str">
        <x:f>IF(271&gt;'10_events'!$K$2703,"",INDEX('10_events'!$B$2:$B$2703,$H272))</x:f>
      </x:c>
      <x:c r="C272" t="str">
        <x:f>IF(271&gt;'10_events'!$K$2703,"",INDEX('10_events'!$C$2:$C$2703,$H272))</x:f>
      </x:c>
      <x:c r="D272" t="str">
        <x:f>IF(271&gt;'10_events'!$K$2703,"",INDEX('10_events'!$F$2:$F$2703,$H272))</x:f>
      </x:c>
      <x:c r="E272" t="str">
        <x:f>IF(271&gt;'10_events'!$K$2703,"",INDEX('10_events'!$G$2:$G$2703,$H272))</x:f>
      </x:c>
      <x:c r="F272" t="str">
        <x:f>IF(271&gt;'10_events'!$K$2703,"",INDEX('10_events'!$H$2:$H$2703,$H272))</x:f>
      </x:c>
      <x:c r="G272" s="16" t="str">
        <x:f>IF(271&gt;'10_events'!$K$2703,"",INDEX('10_events'!$I$2:$I$2703,$H272))</x:f>
      </x:c>
      <x:c r="H272" t="n">
        <x:f>IF(271&gt;'10_events'!$K$2703,0,MATCH(271,'10_events'!$J$2:$J$2703,0))</x:f>
        <x:v>0</x:v>
      </x:c>
    </x:row>
    <x:row r="273" ht="25" customHeight="1">
      <x:c r="A273" t="str">
        <x:f>IF(272&gt;'10_events'!$K$2703,"",INDEX('10_events'!$A$2:$A$2703,$H273))</x:f>
      </x:c>
      <x:c r="B273" t="str">
        <x:f>IF(272&gt;'10_events'!$K$2703,"",INDEX('10_events'!$B$2:$B$2703,$H273))</x:f>
      </x:c>
      <x:c r="C273" t="str">
        <x:f>IF(272&gt;'10_events'!$K$2703,"",INDEX('10_events'!$C$2:$C$2703,$H273))</x:f>
      </x:c>
      <x:c r="D273" t="str">
        <x:f>IF(272&gt;'10_events'!$K$2703,"",INDEX('10_events'!$F$2:$F$2703,$H273))</x:f>
      </x:c>
      <x:c r="E273" t="str">
        <x:f>IF(272&gt;'10_events'!$K$2703,"",INDEX('10_events'!$G$2:$G$2703,$H273))</x:f>
      </x:c>
      <x:c r="F273" t="str">
        <x:f>IF(272&gt;'10_events'!$K$2703,"",INDEX('10_events'!$H$2:$H$2703,$H273))</x:f>
      </x:c>
      <x:c r="G273" s="16" t="str">
        <x:f>IF(272&gt;'10_events'!$K$2703,"",INDEX('10_events'!$I$2:$I$2703,$H273))</x:f>
      </x:c>
      <x:c r="H273" t="n">
        <x:f>IF(272&gt;'10_events'!$K$2703,0,MATCH(272,'10_events'!$J$2:$J$2703,0))</x:f>
        <x:v>0</x:v>
      </x:c>
    </x:row>
    <x:row r="274" ht="25" customHeight="1">
      <x:c r="A274" t="str">
        <x:f>IF(273&gt;'10_events'!$K$2703,"",INDEX('10_events'!$A$2:$A$2703,$H274))</x:f>
      </x:c>
      <x:c r="B274" t="str">
        <x:f>IF(273&gt;'10_events'!$K$2703,"",INDEX('10_events'!$B$2:$B$2703,$H274))</x:f>
      </x:c>
      <x:c r="C274" t="str">
        <x:f>IF(273&gt;'10_events'!$K$2703,"",INDEX('10_events'!$C$2:$C$2703,$H274))</x:f>
      </x:c>
      <x:c r="D274" t="str">
        <x:f>IF(273&gt;'10_events'!$K$2703,"",INDEX('10_events'!$F$2:$F$2703,$H274))</x:f>
      </x:c>
      <x:c r="E274" t="str">
        <x:f>IF(273&gt;'10_events'!$K$2703,"",INDEX('10_events'!$G$2:$G$2703,$H274))</x:f>
      </x:c>
      <x:c r="F274" t="str">
        <x:f>IF(273&gt;'10_events'!$K$2703,"",INDEX('10_events'!$H$2:$H$2703,$H274))</x:f>
      </x:c>
      <x:c r="G274" s="16" t="str">
        <x:f>IF(273&gt;'10_events'!$K$2703,"",INDEX('10_events'!$I$2:$I$2703,$H274))</x:f>
      </x:c>
      <x:c r="H274" t="n">
        <x:f>IF(273&gt;'10_events'!$K$2703,0,MATCH(273,'10_events'!$J$2:$J$2703,0))</x:f>
        <x:v>0</x:v>
      </x:c>
    </x:row>
    <x:row r="275" ht="25" customHeight="1">
      <x:c r="A275" t="str">
        <x:f>IF(274&gt;'10_events'!$K$2703,"",INDEX('10_events'!$A$2:$A$2703,$H275))</x:f>
      </x:c>
      <x:c r="B275" t="str">
        <x:f>IF(274&gt;'10_events'!$K$2703,"",INDEX('10_events'!$B$2:$B$2703,$H275))</x:f>
      </x:c>
      <x:c r="C275" t="str">
        <x:f>IF(274&gt;'10_events'!$K$2703,"",INDEX('10_events'!$C$2:$C$2703,$H275))</x:f>
      </x:c>
      <x:c r="D275" t="str">
        <x:f>IF(274&gt;'10_events'!$K$2703,"",INDEX('10_events'!$F$2:$F$2703,$H275))</x:f>
      </x:c>
      <x:c r="E275" t="str">
        <x:f>IF(274&gt;'10_events'!$K$2703,"",INDEX('10_events'!$G$2:$G$2703,$H275))</x:f>
      </x:c>
      <x:c r="F275" t="str">
        <x:f>IF(274&gt;'10_events'!$K$2703,"",INDEX('10_events'!$H$2:$H$2703,$H275))</x:f>
      </x:c>
      <x:c r="G275" s="16" t="str">
        <x:f>IF(274&gt;'10_events'!$K$2703,"",INDEX('10_events'!$I$2:$I$2703,$H275))</x:f>
      </x:c>
      <x:c r="H275" t="n">
        <x:f>IF(274&gt;'10_events'!$K$2703,0,MATCH(274,'10_events'!$J$2:$J$2703,0))</x:f>
        <x:v>0</x:v>
      </x:c>
    </x:row>
    <x:row r="276" ht="25" customHeight="1">
      <x:c r="A276" t="str">
        <x:f>IF(275&gt;'10_events'!$K$2703,"",INDEX('10_events'!$A$2:$A$2703,$H276))</x:f>
      </x:c>
      <x:c r="B276" t="str">
        <x:f>IF(275&gt;'10_events'!$K$2703,"",INDEX('10_events'!$B$2:$B$2703,$H276))</x:f>
      </x:c>
      <x:c r="C276" t="str">
        <x:f>IF(275&gt;'10_events'!$K$2703,"",INDEX('10_events'!$C$2:$C$2703,$H276))</x:f>
      </x:c>
      <x:c r="D276" t="str">
        <x:f>IF(275&gt;'10_events'!$K$2703,"",INDEX('10_events'!$F$2:$F$2703,$H276))</x:f>
      </x:c>
      <x:c r="E276" t="str">
        <x:f>IF(275&gt;'10_events'!$K$2703,"",INDEX('10_events'!$G$2:$G$2703,$H276))</x:f>
      </x:c>
      <x:c r="F276" t="str">
        <x:f>IF(275&gt;'10_events'!$K$2703,"",INDEX('10_events'!$H$2:$H$2703,$H276))</x:f>
      </x:c>
      <x:c r="G276" s="16" t="str">
        <x:f>IF(275&gt;'10_events'!$K$2703,"",INDEX('10_events'!$I$2:$I$2703,$H276))</x:f>
      </x:c>
      <x:c r="H276" t="n">
        <x:f>IF(275&gt;'10_events'!$K$2703,0,MATCH(275,'10_events'!$J$2:$J$2703,0))</x:f>
        <x:v>0</x:v>
      </x:c>
    </x:row>
    <x:row r="277" ht="25" customHeight="1">
      <x:c r="A277" t="str">
        <x:f>IF(276&gt;'10_events'!$K$2703,"",INDEX('10_events'!$A$2:$A$2703,$H277))</x:f>
      </x:c>
      <x:c r="B277" t="str">
        <x:f>IF(276&gt;'10_events'!$K$2703,"",INDEX('10_events'!$B$2:$B$2703,$H277))</x:f>
      </x:c>
      <x:c r="C277" t="str">
        <x:f>IF(276&gt;'10_events'!$K$2703,"",INDEX('10_events'!$C$2:$C$2703,$H277))</x:f>
      </x:c>
      <x:c r="D277" t="str">
        <x:f>IF(276&gt;'10_events'!$K$2703,"",INDEX('10_events'!$F$2:$F$2703,$H277))</x:f>
      </x:c>
      <x:c r="E277" t="str">
        <x:f>IF(276&gt;'10_events'!$K$2703,"",INDEX('10_events'!$G$2:$G$2703,$H277))</x:f>
      </x:c>
      <x:c r="F277" t="str">
        <x:f>IF(276&gt;'10_events'!$K$2703,"",INDEX('10_events'!$H$2:$H$2703,$H277))</x:f>
      </x:c>
      <x:c r="G277" s="16" t="str">
        <x:f>IF(276&gt;'10_events'!$K$2703,"",INDEX('10_events'!$I$2:$I$2703,$H277))</x:f>
      </x:c>
      <x:c r="H277" t="n">
        <x:f>IF(276&gt;'10_events'!$K$2703,0,MATCH(276,'10_events'!$J$2:$J$2703,0))</x:f>
        <x:v>0</x:v>
      </x:c>
    </x:row>
    <x:row r="278" ht="25" customHeight="1">
      <x:c r="A278" t="str">
        <x:f>IF(277&gt;'10_events'!$K$2703,"",INDEX('10_events'!$A$2:$A$2703,$H278))</x:f>
      </x:c>
      <x:c r="B278" t="str">
        <x:f>IF(277&gt;'10_events'!$K$2703,"",INDEX('10_events'!$B$2:$B$2703,$H278))</x:f>
      </x:c>
      <x:c r="C278" t="str">
        <x:f>IF(277&gt;'10_events'!$K$2703,"",INDEX('10_events'!$C$2:$C$2703,$H278))</x:f>
      </x:c>
      <x:c r="D278" t="str">
        <x:f>IF(277&gt;'10_events'!$K$2703,"",INDEX('10_events'!$F$2:$F$2703,$H278))</x:f>
      </x:c>
      <x:c r="E278" t="str">
        <x:f>IF(277&gt;'10_events'!$K$2703,"",INDEX('10_events'!$G$2:$G$2703,$H278))</x:f>
      </x:c>
      <x:c r="F278" t="str">
        <x:f>IF(277&gt;'10_events'!$K$2703,"",INDEX('10_events'!$H$2:$H$2703,$H278))</x:f>
      </x:c>
      <x:c r="G278" s="16" t="str">
        <x:f>IF(277&gt;'10_events'!$K$2703,"",INDEX('10_events'!$I$2:$I$2703,$H278))</x:f>
      </x:c>
      <x:c r="H278" t="n">
        <x:f>IF(277&gt;'10_events'!$K$2703,0,MATCH(277,'10_events'!$J$2:$J$2703,0))</x:f>
        <x:v>0</x:v>
      </x:c>
    </x:row>
    <x:row r="279" ht="25" customHeight="1">
      <x:c r="A279" t="str">
        <x:f>IF(278&gt;'10_events'!$K$2703,"",INDEX('10_events'!$A$2:$A$2703,$H279))</x:f>
      </x:c>
      <x:c r="B279" t="str">
        <x:f>IF(278&gt;'10_events'!$K$2703,"",INDEX('10_events'!$B$2:$B$2703,$H279))</x:f>
      </x:c>
      <x:c r="C279" t="str">
        <x:f>IF(278&gt;'10_events'!$K$2703,"",INDEX('10_events'!$C$2:$C$2703,$H279))</x:f>
      </x:c>
      <x:c r="D279" t="str">
        <x:f>IF(278&gt;'10_events'!$K$2703,"",INDEX('10_events'!$F$2:$F$2703,$H279))</x:f>
      </x:c>
      <x:c r="E279" t="str">
        <x:f>IF(278&gt;'10_events'!$K$2703,"",INDEX('10_events'!$G$2:$G$2703,$H279))</x:f>
      </x:c>
      <x:c r="F279" t="str">
        <x:f>IF(278&gt;'10_events'!$K$2703,"",INDEX('10_events'!$H$2:$H$2703,$H279))</x:f>
      </x:c>
      <x:c r="G279" s="16" t="str">
        <x:f>IF(278&gt;'10_events'!$K$2703,"",INDEX('10_events'!$I$2:$I$2703,$H279))</x:f>
      </x:c>
      <x:c r="H279" t="n">
        <x:f>IF(278&gt;'10_events'!$K$2703,0,MATCH(278,'10_events'!$J$2:$J$2703,0))</x:f>
        <x:v>0</x:v>
      </x:c>
    </x:row>
    <x:row r="280" ht="25" customHeight="1">
      <x:c r="A280" t="str">
        <x:f>IF(279&gt;'10_events'!$K$2703,"",INDEX('10_events'!$A$2:$A$2703,$H280))</x:f>
      </x:c>
      <x:c r="B280" t="str">
        <x:f>IF(279&gt;'10_events'!$K$2703,"",INDEX('10_events'!$B$2:$B$2703,$H280))</x:f>
      </x:c>
      <x:c r="C280" t="str">
        <x:f>IF(279&gt;'10_events'!$K$2703,"",INDEX('10_events'!$C$2:$C$2703,$H280))</x:f>
      </x:c>
      <x:c r="D280" t="str">
        <x:f>IF(279&gt;'10_events'!$K$2703,"",INDEX('10_events'!$F$2:$F$2703,$H280))</x:f>
      </x:c>
      <x:c r="E280" t="str">
        <x:f>IF(279&gt;'10_events'!$K$2703,"",INDEX('10_events'!$G$2:$G$2703,$H280))</x:f>
      </x:c>
      <x:c r="F280" t="str">
        <x:f>IF(279&gt;'10_events'!$K$2703,"",INDEX('10_events'!$H$2:$H$2703,$H280))</x:f>
      </x:c>
      <x:c r="G280" s="16" t="str">
        <x:f>IF(279&gt;'10_events'!$K$2703,"",INDEX('10_events'!$I$2:$I$2703,$H280))</x:f>
      </x:c>
      <x:c r="H280" t="n">
        <x:f>IF(279&gt;'10_events'!$K$2703,0,MATCH(279,'10_events'!$J$2:$J$2703,0))</x:f>
        <x:v>0</x:v>
      </x:c>
    </x:row>
    <x:row r="281" ht="25" customHeight="1">
      <x:c r="A281" t="str">
        <x:f>IF(280&gt;'10_events'!$K$2703,"",INDEX('10_events'!$A$2:$A$2703,$H281))</x:f>
      </x:c>
      <x:c r="B281" t="str">
        <x:f>IF(280&gt;'10_events'!$K$2703,"",INDEX('10_events'!$B$2:$B$2703,$H281))</x:f>
      </x:c>
      <x:c r="C281" t="str">
        <x:f>IF(280&gt;'10_events'!$K$2703,"",INDEX('10_events'!$C$2:$C$2703,$H281))</x:f>
      </x:c>
      <x:c r="D281" t="str">
        <x:f>IF(280&gt;'10_events'!$K$2703,"",INDEX('10_events'!$F$2:$F$2703,$H281))</x:f>
      </x:c>
      <x:c r="E281" t="str">
        <x:f>IF(280&gt;'10_events'!$K$2703,"",INDEX('10_events'!$G$2:$G$2703,$H281))</x:f>
      </x:c>
      <x:c r="F281" t="str">
        <x:f>IF(280&gt;'10_events'!$K$2703,"",INDEX('10_events'!$H$2:$H$2703,$H281))</x:f>
      </x:c>
      <x:c r="G281" s="16" t="str">
        <x:f>IF(280&gt;'10_events'!$K$2703,"",INDEX('10_events'!$I$2:$I$2703,$H281))</x:f>
      </x:c>
      <x:c r="H281" t="n">
        <x:f>IF(280&gt;'10_events'!$K$2703,0,MATCH(280,'10_events'!$J$2:$J$2703,0))</x:f>
        <x:v>0</x:v>
      </x:c>
    </x:row>
    <x:row r="282" ht="25" customHeight="1">
      <x:c r="A282" t="str">
        <x:f>IF(281&gt;'10_events'!$K$2703,"",INDEX('10_events'!$A$2:$A$2703,$H282))</x:f>
      </x:c>
      <x:c r="B282" t="str">
        <x:f>IF(281&gt;'10_events'!$K$2703,"",INDEX('10_events'!$B$2:$B$2703,$H282))</x:f>
      </x:c>
      <x:c r="C282" t="str">
        <x:f>IF(281&gt;'10_events'!$K$2703,"",INDEX('10_events'!$C$2:$C$2703,$H282))</x:f>
      </x:c>
      <x:c r="D282" t="str">
        <x:f>IF(281&gt;'10_events'!$K$2703,"",INDEX('10_events'!$F$2:$F$2703,$H282))</x:f>
      </x:c>
      <x:c r="E282" t="str">
        <x:f>IF(281&gt;'10_events'!$K$2703,"",INDEX('10_events'!$G$2:$G$2703,$H282))</x:f>
      </x:c>
      <x:c r="F282" t="str">
        <x:f>IF(281&gt;'10_events'!$K$2703,"",INDEX('10_events'!$H$2:$H$2703,$H282))</x:f>
      </x:c>
      <x:c r="G282" s="16" t="str">
        <x:f>IF(281&gt;'10_events'!$K$2703,"",INDEX('10_events'!$I$2:$I$2703,$H282))</x:f>
      </x:c>
      <x:c r="H282" t="n">
        <x:f>IF(281&gt;'10_events'!$K$2703,0,MATCH(281,'10_events'!$J$2:$J$2703,0))</x:f>
        <x:v>0</x:v>
      </x:c>
    </x:row>
    <x:row r="283" ht="25" customHeight="1">
      <x:c r="A283" t="str">
        <x:f>IF(282&gt;'10_events'!$K$2703,"",INDEX('10_events'!$A$2:$A$2703,$H283))</x:f>
      </x:c>
      <x:c r="B283" t="str">
        <x:f>IF(282&gt;'10_events'!$K$2703,"",INDEX('10_events'!$B$2:$B$2703,$H283))</x:f>
      </x:c>
      <x:c r="C283" t="str">
        <x:f>IF(282&gt;'10_events'!$K$2703,"",INDEX('10_events'!$C$2:$C$2703,$H283))</x:f>
      </x:c>
      <x:c r="D283" t="str">
        <x:f>IF(282&gt;'10_events'!$K$2703,"",INDEX('10_events'!$F$2:$F$2703,$H283))</x:f>
      </x:c>
      <x:c r="E283" t="str">
        <x:f>IF(282&gt;'10_events'!$K$2703,"",INDEX('10_events'!$G$2:$G$2703,$H283))</x:f>
      </x:c>
      <x:c r="F283" t="str">
        <x:f>IF(282&gt;'10_events'!$K$2703,"",INDEX('10_events'!$H$2:$H$2703,$H283))</x:f>
      </x:c>
      <x:c r="G283" s="16" t="str">
        <x:f>IF(282&gt;'10_events'!$K$2703,"",INDEX('10_events'!$I$2:$I$2703,$H283))</x:f>
      </x:c>
      <x:c r="H283" t="n">
        <x:f>IF(282&gt;'10_events'!$K$2703,0,MATCH(282,'10_events'!$J$2:$J$2703,0))</x:f>
        <x:v>0</x:v>
      </x:c>
    </x:row>
    <x:row r="284" ht="25" customHeight="1">
      <x:c r="A284" t="str">
        <x:f>IF(283&gt;'10_events'!$K$2703,"",INDEX('10_events'!$A$2:$A$2703,$H284))</x:f>
      </x:c>
      <x:c r="B284" t="str">
        <x:f>IF(283&gt;'10_events'!$K$2703,"",INDEX('10_events'!$B$2:$B$2703,$H284))</x:f>
      </x:c>
      <x:c r="C284" t="str">
        <x:f>IF(283&gt;'10_events'!$K$2703,"",INDEX('10_events'!$C$2:$C$2703,$H284))</x:f>
      </x:c>
      <x:c r="D284" t="str">
        <x:f>IF(283&gt;'10_events'!$K$2703,"",INDEX('10_events'!$F$2:$F$2703,$H284))</x:f>
      </x:c>
      <x:c r="E284" t="str">
        <x:f>IF(283&gt;'10_events'!$K$2703,"",INDEX('10_events'!$G$2:$G$2703,$H284))</x:f>
      </x:c>
      <x:c r="F284" t="str">
        <x:f>IF(283&gt;'10_events'!$K$2703,"",INDEX('10_events'!$H$2:$H$2703,$H284))</x:f>
      </x:c>
      <x:c r="G284" s="16" t="str">
        <x:f>IF(283&gt;'10_events'!$K$2703,"",INDEX('10_events'!$I$2:$I$2703,$H284))</x:f>
      </x:c>
      <x:c r="H284" t="n">
        <x:f>IF(283&gt;'10_events'!$K$2703,0,MATCH(283,'10_events'!$J$2:$J$2703,0))</x:f>
        <x:v>0</x:v>
      </x:c>
    </x:row>
    <x:row r="285" ht="25" customHeight="1">
      <x:c r="A285" t="str">
        <x:f>IF(284&gt;'10_events'!$K$2703,"",INDEX('10_events'!$A$2:$A$2703,$H285))</x:f>
      </x:c>
      <x:c r="B285" t="str">
        <x:f>IF(284&gt;'10_events'!$K$2703,"",INDEX('10_events'!$B$2:$B$2703,$H285))</x:f>
      </x:c>
      <x:c r="C285" t="str">
        <x:f>IF(284&gt;'10_events'!$K$2703,"",INDEX('10_events'!$C$2:$C$2703,$H285))</x:f>
      </x:c>
      <x:c r="D285" t="str">
        <x:f>IF(284&gt;'10_events'!$K$2703,"",INDEX('10_events'!$F$2:$F$2703,$H285))</x:f>
      </x:c>
      <x:c r="E285" t="str">
        <x:f>IF(284&gt;'10_events'!$K$2703,"",INDEX('10_events'!$G$2:$G$2703,$H285))</x:f>
      </x:c>
      <x:c r="F285" t="str">
        <x:f>IF(284&gt;'10_events'!$K$2703,"",INDEX('10_events'!$H$2:$H$2703,$H285))</x:f>
      </x:c>
      <x:c r="G285" s="16" t="str">
        <x:f>IF(284&gt;'10_events'!$K$2703,"",INDEX('10_events'!$I$2:$I$2703,$H285))</x:f>
      </x:c>
      <x:c r="H285" t="n">
        <x:f>IF(284&gt;'10_events'!$K$2703,0,MATCH(284,'10_events'!$J$2:$J$2703,0))</x:f>
        <x:v>0</x:v>
      </x:c>
    </x:row>
    <x:row r="286" ht="25" customHeight="1">
      <x:c r="A286" t="str">
        <x:f>IF(285&gt;'10_events'!$K$2703,"",INDEX('10_events'!$A$2:$A$2703,$H286))</x:f>
      </x:c>
      <x:c r="B286" t="str">
        <x:f>IF(285&gt;'10_events'!$K$2703,"",INDEX('10_events'!$B$2:$B$2703,$H286))</x:f>
      </x:c>
      <x:c r="C286" t="str">
        <x:f>IF(285&gt;'10_events'!$K$2703,"",INDEX('10_events'!$C$2:$C$2703,$H286))</x:f>
      </x:c>
      <x:c r="D286" t="str">
        <x:f>IF(285&gt;'10_events'!$K$2703,"",INDEX('10_events'!$F$2:$F$2703,$H286))</x:f>
      </x:c>
      <x:c r="E286" t="str">
        <x:f>IF(285&gt;'10_events'!$K$2703,"",INDEX('10_events'!$G$2:$G$2703,$H286))</x:f>
      </x:c>
      <x:c r="F286" t="str">
        <x:f>IF(285&gt;'10_events'!$K$2703,"",INDEX('10_events'!$H$2:$H$2703,$H286))</x:f>
      </x:c>
      <x:c r="G286" s="16" t="str">
        <x:f>IF(285&gt;'10_events'!$K$2703,"",INDEX('10_events'!$I$2:$I$2703,$H286))</x:f>
      </x:c>
      <x:c r="H286" t="n">
        <x:f>IF(285&gt;'10_events'!$K$2703,0,MATCH(285,'10_events'!$J$2:$J$2703,0))</x:f>
        <x:v>0</x:v>
      </x:c>
    </x:row>
    <x:row r="287" ht="25" customHeight="1">
      <x:c r="A287" t="str">
        <x:f>IF(286&gt;'10_events'!$K$2703,"",INDEX('10_events'!$A$2:$A$2703,$H287))</x:f>
      </x:c>
      <x:c r="B287" t="str">
        <x:f>IF(286&gt;'10_events'!$K$2703,"",INDEX('10_events'!$B$2:$B$2703,$H287))</x:f>
      </x:c>
      <x:c r="C287" t="str">
        <x:f>IF(286&gt;'10_events'!$K$2703,"",INDEX('10_events'!$C$2:$C$2703,$H287))</x:f>
      </x:c>
      <x:c r="D287" t="str">
        <x:f>IF(286&gt;'10_events'!$K$2703,"",INDEX('10_events'!$F$2:$F$2703,$H287))</x:f>
      </x:c>
      <x:c r="E287" t="str">
        <x:f>IF(286&gt;'10_events'!$K$2703,"",INDEX('10_events'!$G$2:$G$2703,$H287))</x:f>
      </x:c>
      <x:c r="F287" t="str">
        <x:f>IF(286&gt;'10_events'!$K$2703,"",INDEX('10_events'!$H$2:$H$2703,$H287))</x:f>
      </x:c>
      <x:c r="G287" s="16" t="str">
        <x:f>IF(286&gt;'10_events'!$K$2703,"",INDEX('10_events'!$I$2:$I$2703,$H287))</x:f>
      </x:c>
      <x:c r="H287" t="n">
        <x:f>IF(286&gt;'10_events'!$K$2703,0,MATCH(286,'10_events'!$J$2:$J$2703,0))</x:f>
        <x:v>0</x:v>
      </x:c>
    </x:row>
    <x:row r="288" ht="25" customHeight="1">
      <x:c r="A288" t="str">
        <x:f>IF(287&gt;'10_events'!$K$2703,"",INDEX('10_events'!$A$2:$A$2703,$H288))</x:f>
      </x:c>
      <x:c r="B288" t="str">
        <x:f>IF(287&gt;'10_events'!$K$2703,"",INDEX('10_events'!$B$2:$B$2703,$H288))</x:f>
      </x:c>
      <x:c r="C288" t="str">
        <x:f>IF(287&gt;'10_events'!$K$2703,"",INDEX('10_events'!$C$2:$C$2703,$H288))</x:f>
      </x:c>
      <x:c r="D288" t="str">
        <x:f>IF(287&gt;'10_events'!$K$2703,"",INDEX('10_events'!$F$2:$F$2703,$H288))</x:f>
      </x:c>
      <x:c r="E288" t="str">
        <x:f>IF(287&gt;'10_events'!$K$2703,"",INDEX('10_events'!$G$2:$G$2703,$H288))</x:f>
      </x:c>
      <x:c r="F288" t="str">
        <x:f>IF(287&gt;'10_events'!$K$2703,"",INDEX('10_events'!$H$2:$H$2703,$H288))</x:f>
      </x:c>
      <x:c r="G288" s="16" t="str">
        <x:f>IF(287&gt;'10_events'!$K$2703,"",INDEX('10_events'!$I$2:$I$2703,$H288))</x:f>
      </x:c>
      <x:c r="H288" t="n">
        <x:f>IF(287&gt;'10_events'!$K$2703,0,MATCH(287,'10_events'!$J$2:$J$2703,0))</x:f>
        <x:v>0</x:v>
      </x:c>
    </x:row>
    <x:row r="289" ht="25" customHeight="1">
      <x:c r="A289" t="str">
        <x:f>IF(288&gt;'10_events'!$K$2703,"",INDEX('10_events'!$A$2:$A$2703,$H289))</x:f>
      </x:c>
      <x:c r="B289" t="str">
        <x:f>IF(288&gt;'10_events'!$K$2703,"",INDEX('10_events'!$B$2:$B$2703,$H289))</x:f>
      </x:c>
      <x:c r="C289" t="str">
        <x:f>IF(288&gt;'10_events'!$K$2703,"",INDEX('10_events'!$C$2:$C$2703,$H289))</x:f>
      </x:c>
      <x:c r="D289" t="str">
        <x:f>IF(288&gt;'10_events'!$K$2703,"",INDEX('10_events'!$F$2:$F$2703,$H289))</x:f>
      </x:c>
      <x:c r="E289" t="str">
        <x:f>IF(288&gt;'10_events'!$K$2703,"",INDEX('10_events'!$G$2:$G$2703,$H289))</x:f>
      </x:c>
      <x:c r="F289" t="str">
        <x:f>IF(288&gt;'10_events'!$K$2703,"",INDEX('10_events'!$H$2:$H$2703,$H289))</x:f>
      </x:c>
      <x:c r="G289" s="16" t="str">
        <x:f>IF(288&gt;'10_events'!$K$2703,"",INDEX('10_events'!$I$2:$I$2703,$H289))</x:f>
      </x:c>
      <x:c r="H289" t="n">
        <x:f>IF(288&gt;'10_events'!$K$2703,0,MATCH(288,'10_events'!$J$2:$J$2703,0))</x:f>
        <x:v>0</x:v>
      </x:c>
    </x:row>
    <x:row r="290" ht="25" customHeight="1">
      <x:c r="A290" t="str">
        <x:f>IF(289&gt;'10_events'!$K$2703,"",INDEX('10_events'!$A$2:$A$2703,$H290))</x:f>
      </x:c>
      <x:c r="B290" t="str">
        <x:f>IF(289&gt;'10_events'!$K$2703,"",INDEX('10_events'!$B$2:$B$2703,$H290))</x:f>
      </x:c>
      <x:c r="C290" t="str">
        <x:f>IF(289&gt;'10_events'!$K$2703,"",INDEX('10_events'!$C$2:$C$2703,$H290))</x:f>
      </x:c>
      <x:c r="D290" t="str">
        <x:f>IF(289&gt;'10_events'!$K$2703,"",INDEX('10_events'!$F$2:$F$2703,$H290))</x:f>
      </x:c>
      <x:c r="E290" t="str">
        <x:f>IF(289&gt;'10_events'!$K$2703,"",INDEX('10_events'!$G$2:$G$2703,$H290))</x:f>
      </x:c>
      <x:c r="F290" t="str">
        <x:f>IF(289&gt;'10_events'!$K$2703,"",INDEX('10_events'!$H$2:$H$2703,$H290))</x:f>
      </x:c>
      <x:c r="G290" s="16" t="str">
        <x:f>IF(289&gt;'10_events'!$K$2703,"",INDEX('10_events'!$I$2:$I$2703,$H290))</x:f>
      </x:c>
      <x:c r="H290" t="n">
        <x:f>IF(289&gt;'10_events'!$K$2703,0,MATCH(289,'10_events'!$J$2:$J$2703,0))</x:f>
        <x:v>0</x:v>
      </x:c>
    </x:row>
    <x:row r="291" ht="25" customHeight="1">
      <x:c r="A291" t="str">
        <x:f>IF(290&gt;'10_events'!$K$2703,"",INDEX('10_events'!$A$2:$A$2703,$H291))</x:f>
      </x:c>
      <x:c r="B291" t="str">
        <x:f>IF(290&gt;'10_events'!$K$2703,"",INDEX('10_events'!$B$2:$B$2703,$H291))</x:f>
      </x:c>
      <x:c r="C291" t="str">
        <x:f>IF(290&gt;'10_events'!$K$2703,"",INDEX('10_events'!$C$2:$C$2703,$H291))</x:f>
      </x:c>
      <x:c r="D291" t="str">
        <x:f>IF(290&gt;'10_events'!$K$2703,"",INDEX('10_events'!$F$2:$F$2703,$H291))</x:f>
      </x:c>
      <x:c r="E291" t="str">
        <x:f>IF(290&gt;'10_events'!$K$2703,"",INDEX('10_events'!$G$2:$G$2703,$H291))</x:f>
      </x:c>
      <x:c r="F291" t="str">
        <x:f>IF(290&gt;'10_events'!$K$2703,"",INDEX('10_events'!$H$2:$H$2703,$H291))</x:f>
      </x:c>
      <x:c r="G291" s="16" t="str">
        <x:f>IF(290&gt;'10_events'!$K$2703,"",INDEX('10_events'!$I$2:$I$2703,$H291))</x:f>
      </x:c>
      <x:c r="H291" t="n">
        <x:f>IF(290&gt;'10_events'!$K$2703,0,MATCH(290,'10_events'!$J$2:$J$2703,0))</x:f>
        <x:v>0</x:v>
      </x:c>
    </x:row>
    <x:row r="292" ht="25" customHeight="1">
      <x:c r="A292" t="str">
        <x:f>IF(291&gt;'10_events'!$K$2703,"",INDEX('10_events'!$A$2:$A$2703,$H292))</x:f>
      </x:c>
      <x:c r="B292" t="str">
        <x:f>IF(291&gt;'10_events'!$K$2703,"",INDEX('10_events'!$B$2:$B$2703,$H292))</x:f>
      </x:c>
      <x:c r="C292" t="str">
        <x:f>IF(291&gt;'10_events'!$K$2703,"",INDEX('10_events'!$C$2:$C$2703,$H292))</x:f>
      </x:c>
      <x:c r="D292" t="str">
        <x:f>IF(291&gt;'10_events'!$K$2703,"",INDEX('10_events'!$F$2:$F$2703,$H292))</x:f>
      </x:c>
      <x:c r="E292" t="str">
        <x:f>IF(291&gt;'10_events'!$K$2703,"",INDEX('10_events'!$G$2:$G$2703,$H292))</x:f>
      </x:c>
      <x:c r="F292" t="str">
        <x:f>IF(291&gt;'10_events'!$K$2703,"",INDEX('10_events'!$H$2:$H$2703,$H292))</x:f>
      </x:c>
      <x:c r="G292" s="16" t="str">
        <x:f>IF(291&gt;'10_events'!$K$2703,"",INDEX('10_events'!$I$2:$I$2703,$H292))</x:f>
      </x:c>
      <x:c r="H292" t="n">
        <x:f>IF(291&gt;'10_events'!$K$2703,0,MATCH(291,'10_events'!$J$2:$J$2703,0))</x:f>
        <x:v>0</x:v>
      </x:c>
    </x:row>
    <x:row r="293" ht="25" customHeight="1">
      <x:c r="A293" t="str">
        <x:f>IF(292&gt;'10_events'!$K$2703,"",INDEX('10_events'!$A$2:$A$2703,$H293))</x:f>
      </x:c>
      <x:c r="B293" t="str">
        <x:f>IF(292&gt;'10_events'!$K$2703,"",INDEX('10_events'!$B$2:$B$2703,$H293))</x:f>
      </x:c>
      <x:c r="C293" t="str">
        <x:f>IF(292&gt;'10_events'!$K$2703,"",INDEX('10_events'!$C$2:$C$2703,$H293))</x:f>
      </x:c>
      <x:c r="D293" t="str">
        <x:f>IF(292&gt;'10_events'!$K$2703,"",INDEX('10_events'!$F$2:$F$2703,$H293))</x:f>
      </x:c>
      <x:c r="E293" t="str">
        <x:f>IF(292&gt;'10_events'!$K$2703,"",INDEX('10_events'!$G$2:$G$2703,$H293))</x:f>
      </x:c>
      <x:c r="F293" t="str">
        <x:f>IF(292&gt;'10_events'!$K$2703,"",INDEX('10_events'!$H$2:$H$2703,$H293))</x:f>
      </x:c>
      <x:c r="G293" s="16" t="str">
        <x:f>IF(292&gt;'10_events'!$K$2703,"",INDEX('10_events'!$I$2:$I$2703,$H293))</x:f>
      </x:c>
      <x:c r="H293" t="n">
        <x:f>IF(292&gt;'10_events'!$K$2703,0,MATCH(292,'10_events'!$J$2:$J$2703,0))</x:f>
        <x:v>0</x:v>
      </x:c>
    </x:row>
    <x:row r="294" ht="25" customHeight="1">
      <x:c r="A294" t="str">
        <x:f>IF(293&gt;'10_events'!$K$2703,"",INDEX('10_events'!$A$2:$A$2703,$H294))</x:f>
      </x:c>
      <x:c r="B294" t="str">
        <x:f>IF(293&gt;'10_events'!$K$2703,"",INDEX('10_events'!$B$2:$B$2703,$H294))</x:f>
      </x:c>
      <x:c r="C294" t="str">
        <x:f>IF(293&gt;'10_events'!$K$2703,"",INDEX('10_events'!$C$2:$C$2703,$H294))</x:f>
      </x:c>
      <x:c r="D294" t="str">
        <x:f>IF(293&gt;'10_events'!$K$2703,"",INDEX('10_events'!$F$2:$F$2703,$H294))</x:f>
      </x:c>
      <x:c r="E294" t="str">
        <x:f>IF(293&gt;'10_events'!$K$2703,"",INDEX('10_events'!$G$2:$G$2703,$H294))</x:f>
      </x:c>
      <x:c r="F294" t="str">
        <x:f>IF(293&gt;'10_events'!$K$2703,"",INDEX('10_events'!$H$2:$H$2703,$H294))</x:f>
      </x:c>
      <x:c r="G294" s="16" t="str">
        <x:f>IF(293&gt;'10_events'!$K$2703,"",INDEX('10_events'!$I$2:$I$2703,$H294))</x:f>
      </x:c>
      <x:c r="H294" t="n">
        <x:f>IF(293&gt;'10_events'!$K$2703,0,MATCH(293,'10_events'!$J$2:$J$2703,0))</x:f>
        <x:v>0</x:v>
      </x:c>
    </x:row>
    <x:row r="295" ht="25" customHeight="1">
      <x:c r="A295" t="str">
        <x:f>IF(294&gt;'10_events'!$K$2703,"",INDEX('10_events'!$A$2:$A$2703,$H295))</x:f>
      </x:c>
      <x:c r="B295" t="str">
        <x:f>IF(294&gt;'10_events'!$K$2703,"",INDEX('10_events'!$B$2:$B$2703,$H295))</x:f>
      </x:c>
      <x:c r="C295" t="str">
        <x:f>IF(294&gt;'10_events'!$K$2703,"",INDEX('10_events'!$C$2:$C$2703,$H295))</x:f>
      </x:c>
      <x:c r="D295" t="str">
        <x:f>IF(294&gt;'10_events'!$K$2703,"",INDEX('10_events'!$F$2:$F$2703,$H295))</x:f>
      </x:c>
      <x:c r="E295" t="str">
        <x:f>IF(294&gt;'10_events'!$K$2703,"",INDEX('10_events'!$G$2:$G$2703,$H295))</x:f>
      </x:c>
      <x:c r="F295" t="str">
        <x:f>IF(294&gt;'10_events'!$K$2703,"",INDEX('10_events'!$H$2:$H$2703,$H295))</x:f>
      </x:c>
      <x:c r="G295" s="16" t="str">
        <x:f>IF(294&gt;'10_events'!$K$2703,"",INDEX('10_events'!$I$2:$I$2703,$H295))</x:f>
      </x:c>
      <x:c r="H295" t="n">
        <x:f>IF(294&gt;'10_events'!$K$2703,0,MATCH(294,'10_events'!$J$2:$J$2703,0))</x:f>
        <x:v>0</x:v>
      </x:c>
    </x:row>
    <x:row r="296" ht="25" customHeight="1">
      <x:c r="A296" t="str">
        <x:f>IF(295&gt;'10_events'!$K$2703,"",INDEX('10_events'!$A$2:$A$2703,$H296))</x:f>
      </x:c>
      <x:c r="B296" t="str">
        <x:f>IF(295&gt;'10_events'!$K$2703,"",INDEX('10_events'!$B$2:$B$2703,$H296))</x:f>
      </x:c>
      <x:c r="C296" t="str">
        <x:f>IF(295&gt;'10_events'!$K$2703,"",INDEX('10_events'!$C$2:$C$2703,$H296))</x:f>
      </x:c>
      <x:c r="D296" t="str">
        <x:f>IF(295&gt;'10_events'!$K$2703,"",INDEX('10_events'!$F$2:$F$2703,$H296))</x:f>
      </x:c>
      <x:c r="E296" t="str">
        <x:f>IF(295&gt;'10_events'!$K$2703,"",INDEX('10_events'!$G$2:$G$2703,$H296))</x:f>
      </x:c>
      <x:c r="F296" t="str">
        <x:f>IF(295&gt;'10_events'!$K$2703,"",INDEX('10_events'!$H$2:$H$2703,$H296))</x:f>
      </x:c>
      <x:c r="G296" s="16" t="str">
        <x:f>IF(295&gt;'10_events'!$K$2703,"",INDEX('10_events'!$I$2:$I$2703,$H296))</x:f>
      </x:c>
      <x:c r="H296" t="n">
        <x:f>IF(295&gt;'10_events'!$K$2703,0,MATCH(295,'10_events'!$J$2:$J$2703,0))</x:f>
        <x:v>0</x:v>
      </x:c>
    </x:row>
    <x:row r="297" ht="25" customHeight="1">
      <x:c r="A297" t="str">
        <x:f>IF(296&gt;'10_events'!$K$2703,"",INDEX('10_events'!$A$2:$A$2703,$H297))</x:f>
      </x:c>
      <x:c r="B297" t="str">
        <x:f>IF(296&gt;'10_events'!$K$2703,"",INDEX('10_events'!$B$2:$B$2703,$H297))</x:f>
      </x:c>
      <x:c r="C297" t="str">
        <x:f>IF(296&gt;'10_events'!$K$2703,"",INDEX('10_events'!$C$2:$C$2703,$H297))</x:f>
      </x:c>
      <x:c r="D297" t="str">
        <x:f>IF(296&gt;'10_events'!$K$2703,"",INDEX('10_events'!$F$2:$F$2703,$H297))</x:f>
      </x:c>
      <x:c r="E297" t="str">
        <x:f>IF(296&gt;'10_events'!$K$2703,"",INDEX('10_events'!$G$2:$G$2703,$H297))</x:f>
      </x:c>
      <x:c r="F297" t="str">
        <x:f>IF(296&gt;'10_events'!$K$2703,"",INDEX('10_events'!$H$2:$H$2703,$H297))</x:f>
      </x:c>
      <x:c r="G297" s="16" t="str">
        <x:f>IF(296&gt;'10_events'!$K$2703,"",INDEX('10_events'!$I$2:$I$2703,$H297))</x:f>
      </x:c>
      <x:c r="H297" t="n">
        <x:f>IF(296&gt;'10_events'!$K$2703,0,MATCH(296,'10_events'!$J$2:$J$2703,0))</x:f>
        <x:v>0</x:v>
      </x:c>
    </x:row>
    <x:row r="298" ht="25" customHeight="1">
      <x:c r="A298" t="str">
        <x:f>IF(297&gt;'10_events'!$K$2703,"",INDEX('10_events'!$A$2:$A$2703,$H298))</x:f>
      </x:c>
      <x:c r="B298" t="str">
        <x:f>IF(297&gt;'10_events'!$K$2703,"",INDEX('10_events'!$B$2:$B$2703,$H298))</x:f>
      </x:c>
      <x:c r="C298" t="str">
        <x:f>IF(297&gt;'10_events'!$K$2703,"",INDEX('10_events'!$C$2:$C$2703,$H298))</x:f>
      </x:c>
      <x:c r="D298" t="str">
        <x:f>IF(297&gt;'10_events'!$K$2703,"",INDEX('10_events'!$F$2:$F$2703,$H298))</x:f>
      </x:c>
      <x:c r="E298" t="str">
        <x:f>IF(297&gt;'10_events'!$K$2703,"",INDEX('10_events'!$G$2:$G$2703,$H298))</x:f>
      </x:c>
      <x:c r="F298" t="str">
        <x:f>IF(297&gt;'10_events'!$K$2703,"",INDEX('10_events'!$H$2:$H$2703,$H298))</x:f>
      </x:c>
      <x:c r="G298" s="16" t="str">
        <x:f>IF(297&gt;'10_events'!$K$2703,"",INDEX('10_events'!$I$2:$I$2703,$H298))</x:f>
      </x:c>
      <x:c r="H298" t="n">
        <x:f>IF(297&gt;'10_events'!$K$2703,0,MATCH(297,'10_events'!$J$2:$J$2703,0))</x:f>
        <x:v>0</x:v>
      </x:c>
    </x:row>
    <x:row r="299" ht="25" customHeight="1">
      <x:c r="A299" t="str">
        <x:f>IF(298&gt;'10_events'!$K$2703,"",INDEX('10_events'!$A$2:$A$2703,$H299))</x:f>
      </x:c>
      <x:c r="B299" t="str">
        <x:f>IF(298&gt;'10_events'!$K$2703,"",INDEX('10_events'!$B$2:$B$2703,$H299))</x:f>
      </x:c>
      <x:c r="C299" t="str">
        <x:f>IF(298&gt;'10_events'!$K$2703,"",INDEX('10_events'!$C$2:$C$2703,$H299))</x:f>
      </x:c>
      <x:c r="D299" t="str">
        <x:f>IF(298&gt;'10_events'!$K$2703,"",INDEX('10_events'!$F$2:$F$2703,$H299))</x:f>
      </x:c>
      <x:c r="E299" t="str">
        <x:f>IF(298&gt;'10_events'!$K$2703,"",INDEX('10_events'!$G$2:$G$2703,$H299))</x:f>
      </x:c>
      <x:c r="F299" t="str">
        <x:f>IF(298&gt;'10_events'!$K$2703,"",INDEX('10_events'!$H$2:$H$2703,$H299))</x:f>
      </x:c>
      <x:c r="G299" s="16" t="str">
        <x:f>IF(298&gt;'10_events'!$K$2703,"",INDEX('10_events'!$I$2:$I$2703,$H299))</x:f>
      </x:c>
      <x:c r="H299" t="n">
        <x:f>IF(298&gt;'10_events'!$K$2703,0,MATCH(298,'10_events'!$J$2:$J$2703,0))</x:f>
        <x:v>0</x:v>
      </x:c>
    </x:row>
    <x:row r="300" ht="25" customHeight="1">
      <x:c r="A300" t="str">
        <x:f>IF(299&gt;'10_events'!$K$2703,"",INDEX('10_events'!$A$2:$A$2703,$H300))</x:f>
      </x:c>
      <x:c r="B300" t="str">
        <x:f>IF(299&gt;'10_events'!$K$2703,"",INDEX('10_events'!$B$2:$B$2703,$H300))</x:f>
      </x:c>
      <x:c r="C300" t="str">
        <x:f>IF(299&gt;'10_events'!$K$2703,"",INDEX('10_events'!$C$2:$C$2703,$H300))</x:f>
      </x:c>
      <x:c r="D300" t="str">
        <x:f>IF(299&gt;'10_events'!$K$2703,"",INDEX('10_events'!$F$2:$F$2703,$H300))</x:f>
      </x:c>
      <x:c r="E300" t="str">
        <x:f>IF(299&gt;'10_events'!$K$2703,"",INDEX('10_events'!$G$2:$G$2703,$H300))</x:f>
      </x:c>
      <x:c r="F300" t="str">
        <x:f>IF(299&gt;'10_events'!$K$2703,"",INDEX('10_events'!$H$2:$H$2703,$H300))</x:f>
      </x:c>
      <x:c r="G300" s="16" t="str">
        <x:f>IF(299&gt;'10_events'!$K$2703,"",INDEX('10_events'!$I$2:$I$2703,$H300))</x:f>
      </x:c>
      <x:c r="H300" t="n">
        <x:f>IF(299&gt;'10_events'!$K$2703,0,MATCH(299,'10_events'!$J$2:$J$2703,0))</x:f>
        <x:v>0</x:v>
      </x:c>
    </x:row>
    <x:row r="301" ht="25" customHeight="1">
      <x:c r="A301" t="str">
        <x:f>IF(300&gt;'10_events'!$K$2703,"",INDEX('10_events'!$A$2:$A$2703,$H301))</x:f>
      </x:c>
      <x:c r="B301" t="str">
        <x:f>IF(300&gt;'10_events'!$K$2703,"",INDEX('10_events'!$B$2:$B$2703,$H301))</x:f>
      </x:c>
      <x:c r="C301" t="str">
        <x:f>IF(300&gt;'10_events'!$K$2703,"",INDEX('10_events'!$C$2:$C$2703,$H301))</x:f>
      </x:c>
      <x:c r="D301" t="str">
        <x:f>IF(300&gt;'10_events'!$K$2703,"",INDEX('10_events'!$F$2:$F$2703,$H301))</x:f>
      </x:c>
      <x:c r="E301" t="str">
        <x:f>IF(300&gt;'10_events'!$K$2703,"",INDEX('10_events'!$G$2:$G$2703,$H301))</x:f>
      </x:c>
      <x:c r="F301" t="str">
        <x:f>IF(300&gt;'10_events'!$K$2703,"",INDEX('10_events'!$H$2:$H$2703,$H301))</x:f>
      </x:c>
      <x:c r="G301" s="16" t="str">
        <x:f>IF(300&gt;'10_events'!$K$2703,"",INDEX('10_events'!$I$2:$I$2703,$H301))</x:f>
      </x:c>
      <x:c r="H301" t="n">
        <x:f>IF(300&gt;'10_events'!$K$2703,0,MATCH(300,'10_events'!$J$2:$J$2703,0))</x:f>
        <x:v>0</x:v>
      </x:c>
    </x:row>
    <x:row r="302" ht="25" customHeight="1">
      <x:c r="A302" t="str">
        <x:f>IF(301&gt;'10_events'!$K$2703,"",INDEX('10_events'!$A$2:$A$2703,$H302))</x:f>
      </x:c>
      <x:c r="B302" t="str">
        <x:f>IF(301&gt;'10_events'!$K$2703,"",INDEX('10_events'!$B$2:$B$2703,$H302))</x:f>
      </x:c>
      <x:c r="C302" t="str">
        <x:f>IF(301&gt;'10_events'!$K$2703,"",INDEX('10_events'!$C$2:$C$2703,$H302))</x:f>
      </x:c>
      <x:c r="D302" t="str">
        <x:f>IF(301&gt;'10_events'!$K$2703,"",INDEX('10_events'!$F$2:$F$2703,$H302))</x:f>
      </x:c>
      <x:c r="E302" t="str">
        <x:f>IF(301&gt;'10_events'!$K$2703,"",INDEX('10_events'!$G$2:$G$2703,$H302))</x:f>
      </x:c>
      <x:c r="F302" t="str">
        <x:f>IF(301&gt;'10_events'!$K$2703,"",INDEX('10_events'!$H$2:$H$2703,$H302))</x:f>
      </x:c>
      <x:c r="G302" s="16" t="str">
        <x:f>IF(301&gt;'10_events'!$K$2703,"",INDEX('10_events'!$I$2:$I$2703,$H302))</x:f>
      </x:c>
      <x:c r="H302" t="n">
        <x:f>IF(301&gt;'10_events'!$K$2703,0,MATCH(301,'10_events'!$J$2:$J$2703,0))</x:f>
        <x:v>0</x:v>
      </x:c>
    </x:row>
    <x:row r="303" ht="25" customHeight="1">
      <x:c r="A303" t="str">
        <x:f>IF(302&gt;'10_events'!$K$2703,"",INDEX('10_events'!$A$2:$A$2703,$H303))</x:f>
      </x:c>
      <x:c r="B303" t="str">
        <x:f>IF(302&gt;'10_events'!$K$2703,"",INDEX('10_events'!$B$2:$B$2703,$H303))</x:f>
      </x:c>
      <x:c r="C303" t="str">
        <x:f>IF(302&gt;'10_events'!$K$2703,"",INDEX('10_events'!$C$2:$C$2703,$H303))</x:f>
      </x:c>
      <x:c r="D303" t="str">
        <x:f>IF(302&gt;'10_events'!$K$2703,"",INDEX('10_events'!$F$2:$F$2703,$H303))</x:f>
      </x:c>
      <x:c r="E303" t="str">
        <x:f>IF(302&gt;'10_events'!$K$2703,"",INDEX('10_events'!$G$2:$G$2703,$H303))</x:f>
      </x:c>
      <x:c r="F303" t="str">
        <x:f>IF(302&gt;'10_events'!$K$2703,"",INDEX('10_events'!$H$2:$H$2703,$H303))</x:f>
      </x:c>
      <x:c r="G303" s="16" t="str">
        <x:f>IF(302&gt;'10_events'!$K$2703,"",INDEX('10_events'!$I$2:$I$2703,$H303))</x:f>
      </x:c>
      <x:c r="H303" t="n">
        <x:f>IF(302&gt;'10_events'!$K$2703,0,MATCH(302,'10_events'!$J$2:$J$2703,0))</x:f>
        <x:v>0</x:v>
      </x:c>
    </x:row>
    <x:row r="304" ht="25" customHeight="1">
      <x:c r="A304" t="str">
        <x:f>IF(303&gt;'10_events'!$K$2703,"",INDEX('10_events'!$A$2:$A$2703,$H304))</x:f>
      </x:c>
      <x:c r="B304" t="str">
        <x:f>IF(303&gt;'10_events'!$K$2703,"",INDEX('10_events'!$B$2:$B$2703,$H304))</x:f>
      </x:c>
      <x:c r="C304" t="str">
        <x:f>IF(303&gt;'10_events'!$K$2703,"",INDEX('10_events'!$C$2:$C$2703,$H304))</x:f>
      </x:c>
      <x:c r="D304" t="str">
        <x:f>IF(303&gt;'10_events'!$K$2703,"",INDEX('10_events'!$F$2:$F$2703,$H304))</x:f>
      </x:c>
      <x:c r="E304" t="str">
        <x:f>IF(303&gt;'10_events'!$K$2703,"",INDEX('10_events'!$G$2:$G$2703,$H304))</x:f>
      </x:c>
      <x:c r="F304" t="str">
        <x:f>IF(303&gt;'10_events'!$K$2703,"",INDEX('10_events'!$H$2:$H$2703,$H304))</x:f>
      </x:c>
      <x:c r="G304" s="16" t="str">
        <x:f>IF(303&gt;'10_events'!$K$2703,"",INDEX('10_events'!$I$2:$I$2703,$H304))</x:f>
      </x:c>
      <x:c r="H304" t="n">
        <x:f>IF(303&gt;'10_events'!$K$2703,0,MATCH(303,'10_events'!$J$2:$J$2703,0))</x:f>
        <x:v>0</x:v>
      </x:c>
    </x:row>
    <x:row r="305" ht="25" customHeight="1">
      <x:c r="A305" t="str">
        <x:f>IF(304&gt;'10_events'!$K$2703,"",INDEX('10_events'!$A$2:$A$2703,$H305))</x:f>
      </x:c>
      <x:c r="B305" t="str">
        <x:f>IF(304&gt;'10_events'!$K$2703,"",INDEX('10_events'!$B$2:$B$2703,$H305))</x:f>
      </x:c>
      <x:c r="C305" t="str">
        <x:f>IF(304&gt;'10_events'!$K$2703,"",INDEX('10_events'!$C$2:$C$2703,$H305))</x:f>
      </x:c>
      <x:c r="D305" t="str">
        <x:f>IF(304&gt;'10_events'!$K$2703,"",INDEX('10_events'!$F$2:$F$2703,$H305))</x:f>
      </x:c>
      <x:c r="E305" t="str">
        <x:f>IF(304&gt;'10_events'!$K$2703,"",INDEX('10_events'!$G$2:$G$2703,$H305))</x:f>
      </x:c>
      <x:c r="F305" t="str">
        <x:f>IF(304&gt;'10_events'!$K$2703,"",INDEX('10_events'!$H$2:$H$2703,$H305))</x:f>
      </x:c>
      <x:c r="G305" s="16" t="str">
        <x:f>IF(304&gt;'10_events'!$K$2703,"",INDEX('10_events'!$I$2:$I$2703,$H305))</x:f>
      </x:c>
      <x:c r="H305" t="n">
        <x:f>IF(304&gt;'10_events'!$K$2703,0,MATCH(304,'10_events'!$J$2:$J$2703,0))</x:f>
        <x:v>0</x:v>
      </x:c>
    </x:row>
    <x:row r="306" ht="25" customHeight="1">
      <x:c r="A306" t="str">
        <x:f>IF(305&gt;'10_events'!$K$2703,"",INDEX('10_events'!$A$2:$A$2703,$H306))</x:f>
      </x:c>
      <x:c r="B306" t="str">
        <x:f>IF(305&gt;'10_events'!$K$2703,"",INDEX('10_events'!$B$2:$B$2703,$H306))</x:f>
      </x:c>
      <x:c r="C306" t="str">
        <x:f>IF(305&gt;'10_events'!$K$2703,"",INDEX('10_events'!$C$2:$C$2703,$H306))</x:f>
      </x:c>
      <x:c r="D306" t="str">
        <x:f>IF(305&gt;'10_events'!$K$2703,"",INDEX('10_events'!$F$2:$F$2703,$H306))</x:f>
      </x:c>
      <x:c r="E306" t="str">
        <x:f>IF(305&gt;'10_events'!$K$2703,"",INDEX('10_events'!$G$2:$G$2703,$H306))</x:f>
      </x:c>
      <x:c r="F306" t="str">
        <x:f>IF(305&gt;'10_events'!$K$2703,"",INDEX('10_events'!$H$2:$H$2703,$H306))</x:f>
      </x:c>
      <x:c r="G306" s="16" t="str">
        <x:f>IF(305&gt;'10_events'!$K$2703,"",INDEX('10_events'!$I$2:$I$2703,$H306))</x:f>
      </x:c>
      <x:c r="H306" t="n">
        <x:f>IF(305&gt;'10_events'!$K$2703,0,MATCH(305,'10_events'!$J$2:$J$2703,0))</x:f>
        <x:v>0</x:v>
      </x:c>
    </x:row>
    <x:row r="307" ht="25" customHeight="1">
      <x:c r="A307" t="str">
        <x:f>IF(306&gt;'10_events'!$K$2703,"",INDEX('10_events'!$A$2:$A$2703,$H307))</x:f>
      </x:c>
      <x:c r="B307" t="str">
        <x:f>IF(306&gt;'10_events'!$K$2703,"",INDEX('10_events'!$B$2:$B$2703,$H307))</x:f>
      </x:c>
      <x:c r="C307" t="str">
        <x:f>IF(306&gt;'10_events'!$K$2703,"",INDEX('10_events'!$C$2:$C$2703,$H307))</x:f>
      </x:c>
      <x:c r="D307" t="str">
        <x:f>IF(306&gt;'10_events'!$K$2703,"",INDEX('10_events'!$F$2:$F$2703,$H307))</x:f>
      </x:c>
      <x:c r="E307" t="str">
        <x:f>IF(306&gt;'10_events'!$K$2703,"",INDEX('10_events'!$G$2:$G$2703,$H307))</x:f>
      </x:c>
      <x:c r="F307" t="str">
        <x:f>IF(306&gt;'10_events'!$K$2703,"",INDEX('10_events'!$H$2:$H$2703,$H307))</x:f>
      </x:c>
      <x:c r="G307" s="16" t="str">
        <x:f>IF(306&gt;'10_events'!$K$2703,"",INDEX('10_events'!$I$2:$I$2703,$H307))</x:f>
      </x:c>
      <x:c r="H307" t="n">
        <x:f>IF(306&gt;'10_events'!$K$2703,0,MATCH(306,'10_events'!$J$2:$J$2703,0))</x:f>
        <x:v>0</x:v>
      </x:c>
    </x:row>
    <x:row r="308" ht="25" customHeight="1">
      <x:c r="A308" t="str">
        <x:f>IF(307&gt;'10_events'!$K$2703,"",INDEX('10_events'!$A$2:$A$2703,$H308))</x:f>
      </x:c>
      <x:c r="B308" t="str">
        <x:f>IF(307&gt;'10_events'!$K$2703,"",INDEX('10_events'!$B$2:$B$2703,$H308))</x:f>
      </x:c>
      <x:c r="C308" t="str">
        <x:f>IF(307&gt;'10_events'!$K$2703,"",INDEX('10_events'!$C$2:$C$2703,$H308))</x:f>
      </x:c>
      <x:c r="D308" t="str">
        <x:f>IF(307&gt;'10_events'!$K$2703,"",INDEX('10_events'!$F$2:$F$2703,$H308))</x:f>
      </x:c>
      <x:c r="E308" t="str">
        <x:f>IF(307&gt;'10_events'!$K$2703,"",INDEX('10_events'!$G$2:$G$2703,$H308))</x:f>
      </x:c>
      <x:c r="F308" t="str">
        <x:f>IF(307&gt;'10_events'!$K$2703,"",INDEX('10_events'!$H$2:$H$2703,$H308))</x:f>
      </x:c>
      <x:c r="G308" s="16" t="str">
        <x:f>IF(307&gt;'10_events'!$K$2703,"",INDEX('10_events'!$I$2:$I$2703,$H308))</x:f>
      </x:c>
      <x:c r="H308" t="n">
        <x:f>IF(307&gt;'10_events'!$K$2703,0,MATCH(307,'10_events'!$J$2:$J$2703,0))</x:f>
        <x:v>0</x:v>
      </x:c>
    </x:row>
    <x:row r="309" ht="25" customHeight="1">
      <x:c r="A309" t="str">
        <x:f>IF(308&gt;'10_events'!$K$2703,"",INDEX('10_events'!$A$2:$A$2703,$H309))</x:f>
      </x:c>
      <x:c r="B309" t="str">
        <x:f>IF(308&gt;'10_events'!$K$2703,"",INDEX('10_events'!$B$2:$B$2703,$H309))</x:f>
      </x:c>
      <x:c r="C309" t="str">
        <x:f>IF(308&gt;'10_events'!$K$2703,"",INDEX('10_events'!$C$2:$C$2703,$H309))</x:f>
      </x:c>
      <x:c r="D309" t="str">
        <x:f>IF(308&gt;'10_events'!$K$2703,"",INDEX('10_events'!$F$2:$F$2703,$H309))</x:f>
      </x:c>
      <x:c r="E309" t="str">
        <x:f>IF(308&gt;'10_events'!$K$2703,"",INDEX('10_events'!$G$2:$G$2703,$H309))</x:f>
      </x:c>
      <x:c r="F309" t="str">
        <x:f>IF(308&gt;'10_events'!$K$2703,"",INDEX('10_events'!$H$2:$H$2703,$H309))</x:f>
      </x:c>
      <x:c r="G309" s="16" t="str">
        <x:f>IF(308&gt;'10_events'!$K$2703,"",INDEX('10_events'!$I$2:$I$2703,$H309))</x:f>
      </x:c>
      <x:c r="H309" t="n">
        <x:f>IF(308&gt;'10_events'!$K$2703,0,MATCH(308,'10_events'!$J$2:$J$2703,0))</x:f>
        <x:v>0</x:v>
      </x:c>
    </x:row>
    <x:row r="310" ht="25" customHeight="1">
      <x:c r="A310" t="str">
        <x:f>IF(309&gt;'10_events'!$K$2703,"",INDEX('10_events'!$A$2:$A$2703,$H310))</x:f>
      </x:c>
      <x:c r="B310" t="str">
        <x:f>IF(309&gt;'10_events'!$K$2703,"",INDEX('10_events'!$B$2:$B$2703,$H310))</x:f>
      </x:c>
      <x:c r="C310" t="str">
        <x:f>IF(309&gt;'10_events'!$K$2703,"",INDEX('10_events'!$C$2:$C$2703,$H310))</x:f>
      </x:c>
      <x:c r="D310" t="str">
        <x:f>IF(309&gt;'10_events'!$K$2703,"",INDEX('10_events'!$F$2:$F$2703,$H310))</x:f>
      </x:c>
      <x:c r="E310" t="str">
        <x:f>IF(309&gt;'10_events'!$K$2703,"",INDEX('10_events'!$G$2:$G$2703,$H310))</x:f>
      </x:c>
      <x:c r="F310" t="str">
        <x:f>IF(309&gt;'10_events'!$K$2703,"",INDEX('10_events'!$H$2:$H$2703,$H310))</x:f>
      </x:c>
      <x:c r="G310" s="16" t="str">
        <x:f>IF(309&gt;'10_events'!$K$2703,"",INDEX('10_events'!$I$2:$I$2703,$H310))</x:f>
      </x:c>
      <x:c r="H310" t="n">
        <x:f>IF(309&gt;'10_events'!$K$2703,0,MATCH(309,'10_events'!$J$2:$J$2703,0))</x:f>
        <x:v>0</x:v>
      </x:c>
    </x:row>
    <x:row r="311" ht="25" customHeight="1">
      <x:c r="A311" t="str">
        <x:f>IF(310&gt;'10_events'!$K$2703,"",INDEX('10_events'!$A$2:$A$2703,$H311))</x:f>
      </x:c>
      <x:c r="B311" t="str">
        <x:f>IF(310&gt;'10_events'!$K$2703,"",INDEX('10_events'!$B$2:$B$2703,$H311))</x:f>
      </x:c>
      <x:c r="C311" t="str">
        <x:f>IF(310&gt;'10_events'!$K$2703,"",INDEX('10_events'!$C$2:$C$2703,$H311))</x:f>
      </x:c>
      <x:c r="D311" t="str">
        <x:f>IF(310&gt;'10_events'!$K$2703,"",INDEX('10_events'!$F$2:$F$2703,$H311))</x:f>
      </x:c>
      <x:c r="E311" t="str">
        <x:f>IF(310&gt;'10_events'!$K$2703,"",INDEX('10_events'!$G$2:$G$2703,$H311))</x:f>
      </x:c>
      <x:c r="F311" t="str">
        <x:f>IF(310&gt;'10_events'!$K$2703,"",INDEX('10_events'!$H$2:$H$2703,$H311))</x:f>
      </x:c>
      <x:c r="G311" s="16" t="str">
        <x:f>IF(310&gt;'10_events'!$K$2703,"",INDEX('10_events'!$I$2:$I$2703,$H311))</x:f>
      </x:c>
      <x:c r="H311" t="n">
        <x:f>IF(310&gt;'10_events'!$K$2703,0,MATCH(310,'10_events'!$J$2:$J$2703,0))</x:f>
        <x:v>0</x:v>
      </x:c>
    </x:row>
    <x:row r="312" ht="25" customHeight="1">
      <x:c r="A312" t="str">
        <x:f>IF(311&gt;'10_events'!$K$2703,"",INDEX('10_events'!$A$2:$A$2703,$H312))</x:f>
      </x:c>
      <x:c r="B312" t="str">
        <x:f>IF(311&gt;'10_events'!$K$2703,"",INDEX('10_events'!$B$2:$B$2703,$H312))</x:f>
      </x:c>
      <x:c r="C312" t="str">
        <x:f>IF(311&gt;'10_events'!$K$2703,"",INDEX('10_events'!$C$2:$C$2703,$H312))</x:f>
      </x:c>
      <x:c r="D312" t="str">
        <x:f>IF(311&gt;'10_events'!$K$2703,"",INDEX('10_events'!$F$2:$F$2703,$H312))</x:f>
      </x:c>
      <x:c r="E312" t="str">
        <x:f>IF(311&gt;'10_events'!$K$2703,"",INDEX('10_events'!$G$2:$G$2703,$H312))</x:f>
      </x:c>
      <x:c r="F312" t="str">
        <x:f>IF(311&gt;'10_events'!$K$2703,"",INDEX('10_events'!$H$2:$H$2703,$H312))</x:f>
      </x:c>
      <x:c r="G312" s="16" t="str">
        <x:f>IF(311&gt;'10_events'!$K$2703,"",INDEX('10_events'!$I$2:$I$2703,$H312))</x:f>
      </x:c>
      <x:c r="H312" t="n">
        <x:f>IF(311&gt;'10_events'!$K$2703,0,MATCH(311,'10_events'!$J$2:$J$2703,0))</x:f>
        <x:v>0</x:v>
      </x:c>
    </x:row>
    <x:row r="313" ht="25" customHeight="1">
      <x:c r="A313" t="str">
        <x:f>IF(312&gt;'10_events'!$K$2703,"",INDEX('10_events'!$A$2:$A$2703,$H313))</x:f>
      </x:c>
      <x:c r="B313" t="str">
        <x:f>IF(312&gt;'10_events'!$K$2703,"",INDEX('10_events'!$B$2:$B$2703,$H313))</x:f>
      </x:c>
      <x:c r="C313" t="str">
        <x:f>IF(312&gt;'10_events'!$K$2703,"",INDEX('10_events'!$C$2:$C$2703,$H313))</x:f>
      </x:c>
      <x:c r="D313" t="str">
        <x:f>IF(312&gt;'10_events'!$K$2703,"",INDEX('10_events'!$F$2:$F$2703,$H313))</x:f>
      </x:c>
      <x:c r="E313" t="str">
        <x:f>IF(312&gt;'10_events'!$K$2703,"",INDEX('10_events'!$G$2:$G$2703,$H313))</x:f>
      </x:c>
      <x:c r="F313" t="str">
        <x:f>IF(312&gt;'10_events'!$K$2703,"",INDEX('10_events'!$H$2:$H$2703,$H313))</x:f>
      </x:c>
      <x:c r="G313" s="16" t="str">
        <x:f>IF(312&gt;'10_events'!$K$2703,"",INDEX('10_events'!$I$2:$I$2703,$H313))</x:f>
      </x:c>
      <x:c r="H313" t="n">
        <x:f>IF(312&gt;'10_events'!$K$2703,0,MATCH(312,'10_events'!$J$2:$J$2703,0))</x:f>
        <x:v>0</x:v>
      </x:c>
    </x:row>
    <x:row r="314" ht="25" customHeight="1">
      <x:c r="A314" t="str">
        <x:f>IF(313&gt;'10_events'!$K$2703,"",INDEX('10_events'!$A$2:$A$2703,$H314))</x:f>
      </x:c>
      <x:c r="B314" t="str">
        <x:f>IF(313&gt;'10_events'!$K$2703,"",INDEX('10_events'!$B$2:$B$2703,$H314))</x:f>
      </x:c>
      <x:c r="C314" t="str">
        <x:f>IF(313&gt;'10_events'!$K$2703,"",INDEX('10_events'!$C$2:$C$2703,$H314))</x:f>
      </x:c>
      <x:c r="D314" t="str">
        <x:f>IF(313&gt;'10_events'!$K$2703,"",INDEX('10_events'!$F$2:$F$2703,$H314))</x:f>
      </x:c>
      <x:c r="E314" t="str">
        <x:f>IF(313&gt;'10_events'!$K$2703,"",INDEX('10_events'!$G$2:$G$2703,$H314))</x:f>
      </x:c>
      <x:c r="F314" t="str">
        <x:f>IF(313&gt;'10_events'!$K$2703,"",INDEX('10_events'!$H$2:$H$2703,$H314))</x:f>
      </x:c>
      <x:c r="G314" s="16" t="str">
        <x:f>IF(313&gt;'10_events'!$K$2703,"",INDEX('10_events'!$I$2:$I$2703,$H314))</x:f>
      </x:c>
      <x:c r="H314" t="n">
        <x:f>IF(313&gt;'10_events'!$K$2703,0,MATCH(313,'10_events'!$J$2:$J$2703,0))</x:f>
        <x:v>0</x:v>
      </x:c>
    </x:row>
    <x:row r="315" ht="25" customHeight="1">
      <x:c r="A315" t="str">
        <x:f>IF(314&gt;'10_events'!$K$2703,"",INDEX('10_events'!$A$2:$A$2703,$H315))</x:f>
      </x:c>
      <x:c r="B315" t="str">
        <x:f>IF(314&gt;'10_events'!$K$2703,"",INDEX('10_events'!$B$2:$B$2703,$H315))</x:f>
      </x:c>
      <x:c r="C315" t="str">
        <x:f>IF(314&gt;'10_events'!$K$2703,"",INDEX('10_events'!$C$2:$C$2703,$H315))</x:f>
      </x:c>
      <x:c r="D315" t="str">
        <x:f>IF(314&gt;'10_events'!$K$2703,"",INDEX('10_events'!$F$2:$F$2703,$H315))</x:f>
      </x:c>
      <x:c r="E315" t="str">
        <x:f>IF(314&gt;'10_events'!$K$2703,"",INDEX('10_events'!$G$2:$G$2703,$H315))</x:f>
      </x:c>
      <x:c r="F315" t="str">
        <x:f>IF(314&gt;'10_events'!$K$2703,"",INDEX('10_events'!$H$2:$H$2703,$H315))</x:f>
      </x:c>
      <x:c r="G315" s="16" t="str">
        <x:f>IF(314&gt;'10_events'!$K$2703,"",INDEX('10_events'!$I$2:$I$2703,$H315))</x:f>
      </x:c>
      <x:c r="H315" t="n">
        <x:f>IF(314&gt;'10_events'!$K$2703,0,MATCH(314,'10_events'!$J$2:$J$2703,0))</x:f>
        <x:v>0</x:v>
      </x:c>
    </x:row>
    <x:row r="316" ht="25" customHeight="1">
      <x:c r="A316" t="str">
        <x:f>IF(315&gt;'10_events'!$K$2703,"",INDEX('10_events'!$A$2:$A$2703,$H316))</x:f>
      </x:c>
      <x:c r="B316" t="str">
        <x:f>IF(315&gt;'10_events'!$K$2703,"",INDEX('10_events'!$B$2:$B$2703,$H316))</x:f>
      </x:c>
      <x:c r="C316" t="str">
        <x:f>IF(315&gt;'10_events'!$K$2703,"",INDEX('10_events'!$C$2:$C$2703,$H316))</x:f>
      </x:c>
      <x:c r="D316" t="str">
        <x:f>IF(315&gt;'10_events'!$K$2703,"",INDEX('10_events'!$F$2:$F$2703,$H316))</x:f>
      </x:c>
      <x:c r="E316" t="str">
        <x:f>IF(315&gt;'10_events'!$K$2703,"",INDEX('10_events'!$G$2:$G$2703,$H316))</x:f>
      </x:c>
      <x:c r="F316" t="str">
        <x:f>IF(315&gt;'10_events'!$K$2703,"",INDEX('10_events'!$H$2:$H$2703,$H316))</x:f>
      </x:c>
      <x:c r="G316" s="16" t="str">
        <x:f>IF(315&gt;'10_events'!$K$2703,"",INDEX('10_events'!$I$2:$I$2703,$H316))</x:f>
      </x:c>
      <x:c r="H316" t="n">
        <x:f>IF(315&gt;'10_events'!$K$2703,0,MATCH(315,'10_events'!$J$2:$J$2703,0))</x:f>
        <x:v>0</x:v>
      </x:c>
    </x:row>
    <x:row r="317" ht="25" customHeight="1">
      <x:c r="A317" t="str">
        <x:f>IF(316&gt;'10_events'!$K$2703,"",INDEX('10_events'!$A$2:$A$2703,$H317))</x:f>
      </x:c>
      <x:c r="B317" t="str">
        <x:f>IF(316&gt;'10_events'!$K$2703,"",INDEX('10_events'!$B$2:$B$2703,$H317))</x:f>
      </x:c>
      <x:c r="C317" t="str">
        <x:f>IF(316&gt;'10_events'!$K$2703,"",INDEX('10_events'!$C$2:$C$2703,$H317))</x:f>
      </x:c>
      <x:c r="D317" t="str">
        <x:f>IF(316&gt;'10_events'!$K$2703,"",INDEX('10_events'!$F$2:$F$2703,$H317))</x:f>
      </x:c>
      <x:c r="E317" t="str">
        <x:f>IF(316&gt;'10_events'!$K$2703,"",INDEX('10_events'!$G$2:$G$2703,$H317))</x:f>
      </x:c>
      <x:c r="F317" t="str">
        <x:f>IF(316&gt;'10_events'!$K$2703,"",INDEX('10_events'!$H$2:$H$2703,$H317))</x:f>
      </x:c>
      <x:c r="G317" s="16" t="str">
        <x:f>IF(316&gt;'10_events'!$K$2703,"",INDEX('10_events'!$I$2:$I$2703,$H317))</x:f>
      </x:c>
      <x:c r="H317" t="n">
        <x:f>IF(316&gt;'10_events'!$K$2703,0,MATCH(316,'10_events'!$J$2:$J$2703,0))</x:f>
        <x:v>0</x:v>
      </x:c>
    </x:row>
    <x:row r="318" ht="25" customHeight="1">
      <x:c r="A318" t="str">
        <x:f>IF(317&gt;'10_events'!$K$2703,"",INDEX('10_events'!$A$2:$A$2703,$H318))</x:f>
      </x:c>
      <x:c r="B318" t="str">
        <x:f>IF(317&gt;'10_events'!$K$2703,"",INDEX('10_events'!$B$2:$B$2703,$H318))</x:f>
      </x:c>
      <x:c r="C318" t="str">
        <x:f>IF(317&gt;'10_events'!$K$2703,"",INDEX('10_events'!$C$2:$C$2703,$H318))</x:f>
      </x:c>
      <x:c r="D318" t="str">
        <x:f>IF(317&gt;'10_events'!$K$2703,"",INDEX('10_events'!$F$2:$F$2703,$H318))</x:f>
      </x:c>
      <x:c r="E318" t="str">
        <x:f>IF(317&gt;'10_events'!$K$2703,"",INDEX('10_events'!$G$2:$G$2703,$H318))</x:f>
      </x:c>
      <x:c r="F318" t="str">
        <x:f>IF(317&gt;'10_events'!$K$2703,"",INDEX('10_events'!$H$2:$H$2703,$H318))</x:f>
      </x:c>
      <x:c r="G318" s="16" t="str">
        <x:f>IF(317&gt;'10_events'!$K$2703,"",INDEX('10_events'!$I$2:$I$2703,$H318))</x:f>
      </x:c>
      <x:c r="H318" t="n">
        <x:f>IF(317&gt;'10_events'!$K$2703,0,MATCH(317,'10_events'!$J$2:$J$2703,0))</x:f>
        <x:v>0</x:v>
      </x:c>
    </x:row>
    <x:row r="319" ht="25" customHeight="1">
      <x:c r="A319" t="str">
        <x:f>IF(318&gt;'10_events'!$K$2703,"",INDEX('10_events'!$A$2:$A$2703,$H319))</x:f>
      </x:c>
      <x:c r="B319" t="str">
        <x:f>IF(318&gt;'10_events'!$K$2703,"",INDEX('10_events'!$B$2:$B$2703,$H319))</x:f>
      </x:c>
      <x:c r="C319" t="str">
        <x:f>IF(318&gt;'10_events'!$K$2703,"",INDEX('10_events'!$C$2:$C$2703,$H319))</x:f>
      </x:c>
      <x:c r="D319" t="str">
        <x:f>IF(318&gt;'10_events'!$K$2703,"",INDEX('10_events'!$F$2:$F$2703,$H319))</x:f>
      </x:c>
      <x:c r="E319" t="str">
        <x:f>IF(318&gt;'10_events'!$K$2703,"",INDEX('10_events'!$G$2:$G$2703,$H319))</x:f>
      </x:c>
      <x:c r="F319" t="str">
        <x:f>IF(318&gt;'10_events'!$K$2703,"",INDEX('10_events'!$H$2:$H$2703,$H319))</x:f>
      </x:c>
      <x:c r="G319" s="16" t="str">
        <x:f>IF(318&gt;'10_events'!$K$2703,"",INDEX('10_events'!$I$2:$I$2703,$H319))</x:f>
      </x:c>
      <x:c r="H319" t="n">
        <x:f>IF(318&gt;'10_events'!$K$2703,0,MATCH(318,'10_events'!$J$2:$J$2703,0))</x:f>
        <x:v>0</x:v>
      </x:c>
    </x:row>
    <x:row r="320" ht="25" customHeight="1">
      <x:c r="A320" t="str">
        <x:f>IF(319&gt;'10_events'!$K$2703,"",INDEX('10_events'!$A$2:$A$2703,$H320))</x:f>
      </x:c>
      <x:c r="B320" t="str">
        <x:f>IF(319&gt;'10_events'!$K$2703,"",INDEX('10_events'!$B$2:$B$2703,$H320))</x:f>
      </x:c>
      <x:c r="C320" t="str">
        <x:f>IF(319&gt;'10_events'!$K$2703,"",INDEX('10_events'!$C$2:$C$2703,$H320))</x:f>
      </x:c>
      <x:c r="D320" t="str">
        <x:f>IF(319&gt;'10_events'!$K$2703,"",INDEX('10_events'!$F$2:$F$2703,$H320))</x:f>
      </x:c>
      <x:c r="E320" t="str">
        <x:f>IF(319&gt;'10_events'!$K$2703,"",INDEX('10_events'!$G$2:$G$2703,$H320))</x:f>
      </x:c>
      <x:c r="F320" t="str">
        <x:f>IF(319&gt;'10_events'!$K$2703,"",INDEX('10_events'!$H$2:$H$2703,$H320))</x:f>
      </x:c>
      <x:c r="G320" s="16" t="str">
        <x:f>IF(319&gt;'10_events'!$K$2703,"",INDEX('10_events'!$I$2:$I$2703,$H320))</x:f>
      </x:c>
      <x:c r="H320" t="n">
        <x:f>IF(319&gt;'10_events'!$K$2703,0,MATCH(319,'10_events'!$J$2:$J$2703,0))</x:f>
        <x:v>0</x:v>
      </x:c>
    </x:row>
    <x:row r="321" ht="25" customHeight="1">
      <x:c r="A321" t="str">
        <x:f>IF(320&gt;'10_events'!$K$2703,"",INDEX('10_events'!$A$2:$A$2703,$H321))</x:f>
      </x:c>
      <x:c r="B321" t="str">
        <x:f>IF(320&gt;'10_events'!$K$2703,"",INDEX('10_events'!$B$2:$B$2703,$H321))</x:f>
      </x:c>
      <x:c r="C321" t="str">
        <x:f>IF(320&gt;'10_events'!$K$2703,"",INDEX('10_events'!$C$2:$C$2703,$H321))</x:f>
      </x:c>
      <x:c r="D321" t="str">
        <x:f>IF(320&gt;'10_events'!$K$2703,"",INDEX('10_events'!$F$2:$F$2703,$H321))</x:f>
      </x:c>
      <x:c r="E321" t="str">
        <x:f>IF(320&gt;'10_events'!$K$2703,"",INDEX('10_events'!$G$2:$G$2703,$H321))</x:f>
      </x:c>
      <x:c r="F321" t="str">
        <x:f>IF(320&gt;'10_events'!$K$2703,"",INDEX('10_events'!$H$2:$H$2703,$H321))</x:f>
      </x:c>
      <x:c r="G321" s="16" t="str">
        <x:f>IF(320&gt;'10_events'!$K$2703,"",INDEX('10_events'!$I$2:$I$2703,$H321))</x:f>
      </x:c>
      <x:c r="H321" t="n">
        <x:f>IF(320&gt;'10_events'!$K$2703,0,MATCH(320,'10_events'!$J$2:$J$2703,0))</x:f>
        <x:v>0</x:v>
      </x:c>
    </x:row>
    <x:row r="322" ht="25" customHeight="1">
      <x:c r="A322" t="str">
        <x:f>IF(321&gt;'10_events'!$K$2703,"",INDEX('10_events'!$A$2:$A$2703,$H322))</x:f>
      </x:c>
      <x:c r="B322" t="str">
        <x:f>IF(321&gt;'10_events'!$K$2703,"",INDEX('10_events'!$B$2:$B$2703,$H322))</x:f>
      </x:c>
      <x:c r="C322" t="str">
        <x:f>IF(321&gt;'10_events'!$K$2703,"",INDEX('10_events'!$C$2:$C$2703,$H322))</x:f>
      </x:c>
      <x:c r="D322" t="str">
        <x:f>IF(321&gt;'10_events'!$K$2703,"",INDEX('10_events'!$F$2:$F$2703,$H322))</x:f>
      </x:c>
      <x:c r="E322" t="str">
        <x:f>IF(321&gt;'10_events'!$K$2703,"",INDEX('10_events'!$G$2:$G$2703,$H322))</x:f>
      </x:c>
      <x:c r="F322" t="str">
        <x:f>IF(321&gt;'10_events'!$K$2703,"",INDEX('10_events'!$H$2:$H$2703,$H322))</x:f>
      </x:c>
      <x:c r="G322" s="16" t="str">
        <x:f>IF(321&gt;'10_events'!$K$2703,"",INDEX('10_events'!$I$2:$I$2703,$H322))</x:f>
      </x:c>
      <x:c r="H322" t="n">
        <x:f>IF(321&gt;'10_events'!$K$2703,0,MATCH(321,'10_events'!$J$2:$J$2703,0))</x:f>
        <x:v>0</x:v>
      </x:c>
    </x:row>
    <x:row r="323" ht="25" customHeight="1">
      <x:c r="A323" t="str">
        <x:f>IF(322&gt;'10_events'!$K$2703,"",INDEX('10_events'!$A$2:$A$2703,$H323))</x:f>
      </x:c>
      <x:c r="B323" t="str">
        <x:f>IF(322&gt;'10_events'!$K$2703,"",INDEX('10_events'!$B$2:$B$2703,$H323))</x:f>
      </x:c>
      <x:c r="C323" t="str">
        <x:f>IF(322&gt;'10_events'!$K$2703,"",INDEX('10_events'!$C$2:$C$2703,$H323))</x:f>
      </x:c>
      <x:c r="D323" t="str">
        <x:f>IF(322&gt;'10_events'!$K$2703,"",INDEX('10_events'!$F$2:$F$2703,$H323))</x:f>
      </x:c>
      <x:c r="E323" t="str">
        <x:f>IF(322&gt;'10_events'!$K$2703,"",INDEX('10_events'!$G$2:$G$2703,$H323))</x:f>
      </x:c>
      <x:c r="F323" t="str">
        <x:f>IF(322&gt;'10_events'!$K$2703,"",INDEX('10_events'!$H$2:$H$2703,$H323))</x:f>
      </x:c>
      <x:c r="G323" s="16" t="str">
        <x:f>IF(322&gt;'10_events'!$K$2703,"",INDEX('10_events'!$I$2:$I$2703,$H323))</x:f>
      </x:c>
      <x:c r="H323" t="n">
        <x:f>IF(322&gt;'10_events'!$K$2703,0,MATCH(322,'10_events'!$J$2:$J$2703,0))</x:f>
        <x:v>0</x:v>
      </x:c>
    </x:row>
    <x:row r="324" ht="25" customHeight="1">
      <x:c r="A324" t="str">
        <x:f>IF(323&gt;'10_events'!$K$2703,"",INDEX('10_events'!$A$2:$A$2703,$H324))</x:f>
      </x:c>
      <x:c r="B324" t="str">
        <x:f>IF(323&gt;'10_events'!$K$2703,"",INDEX('10_events'!$B$2:$B$2703,$H324))</x:f>
      </x:c>
      <x:c r="C324" t="str">
        <x:f>IF(323&gt;'10_events'!$K$2703,"",INDEX('10_events'!$C$2:$C$2703,$H324))</x:f>
      </x:c>
      <x:c r="D324" t="str">
        <x:f>IF(323&gt;'10_events'!$K$2703,"",INDEX('10_events'!$F$2:$F$2703,$H324))</x:f>
      </x:c>
      <x:c r="E324" t="str">
        <x:f>IF(323&gt;'10_events'!$K$2703,"",INDEX('10_events'!$G$2:$G$2703,$H324))</x:f>
      </x:c>
      <x:c r="F324" t="str">
        <x:f>IF(323&gt;'10_events'!$K$2703,"",INDEX('10_events'!$H$2:$H$2703,$H324))</x:f>
      </x:c>
      <x:c r="G324" s="16" t="str">
        <x:f>IF(323&gt;'10_events'!$K$2703,"",INDEX('10_events'!$I$2:$I$2703,$H324))</x:f>
      </x:c>
      <x:c r="H324" t="n">
        <x:f>IF(323&gt;'10_events'!$K$2703,0,MATCH(323,'10_events'!$J$2:$J$2703,0))</x:f>
        <x:v>0</x:v>
      </x:c>
    </x:row>
    <x:row r="325" ht="25" customHeight="1">
      <x:c r="A325" t="str">
        <x:f>IF(324&gt;'10_events'!$K$2703,"",INDEX('10_events'!$A$2:$A$2703,$H325))</x:f>
      </x:c>
      <x:c r="B325" t="str">
        <x:f>IF(324&gt;'10_events'!$K$2703,"",INDEX('10_events'!$B$2:$B$2703,$H325))</x:f>
      </x:c>
      <x:c r="C325" t="str">
        <x:f>IF(324&gt;'10_events'!$K$2703,"",INDEX('10_events'!$C$2:$C$2703,$H325))</x:f>
      </x:c>
      <x:c r="D325" t="str">
        <x:f>IF(324&gt;'10_events'!$K$2703,"",INDEX('10_events'!$F$2:$F$2703,$H325))</x:f>
      </x:c>
      <x:c r="E325" t="str">
        <x:f>IF(324&gt;'10_events'!$K$2703,"",INDEX('10_events'!$G$2:$G$2703,$H325))</x:f>
      </x:c>
      <x:c r="F325" t="str">
        <x:f>IF(324&gt;'10_events'!$K$2703,"",INDEX('10_events'!$H$2:$H$2703,$H325))</x:f>
      </x:c>
      <x:c r="G325" s="16" t="str">
        <x:f>IF(324&gt;'10_events'!$K$2703,"",INDEX('10_events'!$I$2:$I$2703,$H325))</x:f>
      </x:c>
      <x:c r="H325" t="n">
        <x:f>IF(324&gt;'10_events'!$K$2703,0,MATCH(324,'10_events'!$J$2:$J$2703,0))</x:f>
        <x:v>0</x:v>
      </x:c>
    </x:row>
    <x:row r="326" ht="25" customHeight="1">
      <x:c r="A326" t="str">
        <x:f>IF(325&gt;'10_events'!$K$2703,"",INDEX('10_events'!$A$2:$A$2703,$H326))</x:f>
      </x:c>
      <x:c r="B326" t="str">
        <x:f>IF(325&gt;'10_events'!$K$2703,"",INDEX('10_events'!$B$2:$B$2703,$H326))</x:f>
      </x:c>
      <x:c r="C326" t="str">
        <x:f>IF(325&gt;'10_events'!$K$2703,"",INDEX('10_events'!$C$2:$C$2703,$H326))</x:f>
      </x:c>
      <x:c r="D326" t="str">
        <x:f>IF(325&gt;'10_events'!$K$2703,"",INDEX('10_events'!$F$2:$F$2703,$H326))</x:f>
      </x:c>
      <x:c r="E326" t="str">
        <x:f>IF(325&gt;'10_events'!$K$2703,"",INDEX('10_events'!$G$2:$G$2703,$H326))</x:f>
      </x:c>
      <x:c r="F326" t="str">
        <x:f>IF(325&gt;'10_events'!$K$2703,"",INDEX('10_events'!$H$2:$H$2703,$H326))</x:f>
      </x:c>
      <x:c r="G326" s="16" t="str">
        <x:f>IF(325&gt;'10_events'!$K$2703,"",INDEX('10_events'!$I$2:$I$2703,$H326))</x:f>
      </x:c>
      <x:c r="H326" t="n">
        <x:f>IF(325&gt;'10_events'!$K$2703,0,MATCH(325,'10_events'!$J$2:$J$2703,0))</x:f>
        <x:v>0</x:v>
      </x:c>
    </x:row>
    <x:row r="327" ht="25" customHeight="1">
      <x:c r="A327" t="str">
        <x:f>IF(326&gt;'10_events'!$K$2703,"",INDEX('10_events'!$A$2:$A$2703,$H327))</x:f>
      </x:c>
      <x:c r="B327" t="str">
        <x:f>IF(326&gt;'10_events'!$K$2703,"",INDEX('10_events'!$B$2:$B$2703,$H327))</x:f>
      </x:c>
      <x:c r="C327" t="str">
        <x:f>IF(326&gt;'10_events'!$K$2703,"",INDEX('10_events'!$C$2:$C$2703,$H327))</x:f>
      </x:c>
      <x:c r="D327" t="str">
        <x:f>IF(326&gt;'10_events'!$K$2703,"",INDEX('10_events'!$F$2:$F$2703,$H327))</x:f>
      </x:c>
      <x:c r="E327" t="str">
        <x:f>IF(326&gt;'10_events'!$K$2703,"",INDEX('10_events'!$G$2:$G$2703,$H327))</x:f>
      </x:c>
      <x:c r="F327" t="str">
        <x:f>IF(326&gt;'10_events'!$K$2703,"",INDEX('10_events'!$H$2:$H$2703,$H327))</x:f>
      </x:c>
      <x:c r="G327" s="16" t="str">
        <x:f>IF(326&gt;'10_events'!$K$2703,"",INDEX('10_events'!$I$2:$I$2703,$H327))</x:f>
      </x:c>
      <x:c r="H327" t="n">
        <x:f>IF(326&gt;'10_events'!$K$2703,0,MATCH(326,'10_events'!$J$2:$J$2703,0))</x:f>
        <x:v>0</x:v>
      </x:c>
    </x:row>
    <x:row r="328" ht="25" customHeight="1">
      <x:c r="A328" t="str">
        <x:f>IF(327&gt;'10_events'!$K$2703,"",INDEX('10_events'!$A$2:$A$2703,$H328))</x:f>
      </x:c>
      <x:c r="B328" t="str">
        <x:f>IF(327&gt;'10_events'!$K$2703,"",INDEX('10_events'!$B$2:$B$2703,$H328))</x:f>
      </x:c>
      <x:c r="C328" t="str">
        <x:f>IF(327&gt;'10_events'!$K$2703,"",INDEX('10_events'!$C$2:$C$2703,$H328))</x:f>
      </x:c>
      <x:c r="D328" t="str">
        <x:f>IF(327&gt;'10_events'!$K$2703,"",INDEX('10_events'!$F$2:$F$2703,$H328))</x:f>
      </x:c>
      <x:c r="E328" t="str">
        <x:f>IF(327&gt;'10_events'!$K$2703,"",INDEX('10_events'!$G$2:$G$2703,$H328))</x:f>
      </x:c>
      <x:c r="F328" t="str">
        <x:f>IF(327&gt;'10_events'!$K$2703,"",INDEX('10_events'!$H$2:$H$2703,$H328))</x:f>
      </x:c>
      <x:c r="G328" s="16" t="str">
        <x:f>IF(327&gt;'10_events'!$K$2703,"",INDEX('10_events'!$I$2:$I$2703,$H328))</x:f>
      </x:c>
      <x:c r="H328" t="n">
        <x:f>IF(327&gt;'10_events'!$K$2703,0,MATCH(327,'10_events'!$J$2:$J$2703,0))</x:f>
        <x:v>0</x:v>
      </x:c>
    </x:row>
    <x:row r="329" ht="25" customHeight="1">
      <x:c r="A329" t="str">
        <x:f>IF(328&gt;'10_events'!$K$2703,"",INDEX('10_events'!$A$2:$A$2703,$H329))</x:f>
      </x:c>
      <x:c r="B329" t="str">
        <x:f>IF(328&gt;'10_events'!$K$2703,"",INDEX('10_events'!$B$2:$B$2703,$H329))</x:f>
      </x:c>
      <x:c r="C329" t="str">
        <x:f>IF(328&gt;'10_events'!$K$2703,"",INDEX('10_events'!$C$2:$C$2703,$H329))</x:f>
      </x:c>
      <x:c r="D329" t="str">
        <x:f>IF(328&gt;'10_events'!$K$2703,"",INDEX('10_events'!$F$2:$F$2703,$H329))</x:f>
      </x:c>
      <x:c r="E329" t="str">
        <x:f>IF(328&gt;'10_events'!$K$2703,"",INDEX('10_events'!$G$2:$G$2703,$H329))</x:f>
      </x:c>
      <x:c r="F329" t="str">
        <x:f>IF(328&gt;'10_events'!$K$2703,"",INDEX('10_events'!$H$2:$H$2703,$H329))</x:f>
      </x:c>
      <x:c r="G329" s="16" t="str">
        <x:f>IF(328&gt;'10_events'!$K$2703,"",INDEX('10_events'!$I$2:$I$2703,$H329))</x:f>
      </x:c>
      <x:c r="H329" t="n">
        <x:f>IF(328&gt;'10_events'!$K$2703,0,MATCH(328,'10_events'!$J$2:$J$2703,0))</x:f>
        <x:v>0</x:v>
      </x:c>
    </x:row>
    <x:row r="330" ht="25" customHeight="1">
      <x:c r="A330" t="str">
        <x:f>IF(329&gt;'10_events'!$K$2703,"",INDEX('10_events'!$A$2:$A$2703,$H330))</x:f>
      </x:c>
      <x:c r="B330" t="str">
        <x:f>IF(329&gt;'10_events'!$K$2703,"",INDEX('10_events'!$B$2:$B$2703,$H330))</x:f>
      </x:c>
      <x:c r="C330" t="str">
        <x:f>IF(329&gt;'10_events'!$K$2703,"",INDEX('10_events'!$C$2:$C$2703,$H330))</x:f>
      </x:c>
      <x:c r="D330" t="str">
        <x:f>IF(329&gt;'10_events'!$K$2703,"",INDEX('10_events'!$F$2:$F$2703,$H330))</x:f>
      </x:c>
      <x:c r="E330" t="str">
        <x:f>IF(329&gt;'10_events'!$K$2703,"",INDEX('10_events'!$G$2:$G$2703,$H330))</x:f>
      </x:c>
      <x:c r="F330" t="str">
        <x:f>IF(329&gt;'10_events'!$K$2703,"",INDEX('10_events'!$H$2:$H$2703,$H330))</x:f>
      </x:c>
      <x:c r="G330" s="16" t="str">
        <x:f>IF(329&gt;'10_events'!$K$2703,"",INDEX('10_events'!$I$2:$I$2703,$H330))</x:f>
      </x:c>
      <x:c r="H330" t="n">
        <x:f>IF(329&gt;'10_events'!$K$2703,0,MATCH(329,'10_events'!$J$2:$J$2703,0))</x:f>
        <x:v>0</x:v>
      </x:c>
    </x:row>
    <x:row r="331" ht="25" customHeight="1">
      <x:c r="A331" t="str">
        <x:f>IF(330&gt;'10_events'!$K$2703,"",INDEX('10_events'!$A$2:$A$2703,$H331))</x:f>
      </x:c>
      <x:c r="B331" t="str">
        <x:f>IF(330&gt;'10_events'!$K$2703,"",INDEX('10_events'!$B$2:$B$2703,$H331))</x:f>
      </x:c>
      <x:c r="C331" t="str">
        <x:f>IF(330&gt;'10_events'!$K$2703,"",INDEX('10_events'!$C$2:$C$2703,$H331))</x:f>
      </x:c>
      <x:c r="D331" t="str">
        <x:f>IF(330&gt;'10_events'!$K$2703,"",INDEX('10_events'!$F$2:$F$2703,$H331))</x:f>
      </x:c>
      <x:c r="E331" t="str">
        <x:f>IF(330&gt;'10_events'!$K$2703,"",INDEX('10_events'!$G$2:$G$2703,$H331))</x:f>
      </x:c>
      <x:c r="F331" t="str">
        <x:f>IF(330&gt;'10_events'!$K$2703,"",INDEX('10_events'!$H$2:$H$2703,$H331))</x:f>
      </x:c>
      <x:c r="G331" s="16" t="str">
        <x:f>IF(330&gt;'10_events'!$K$2703,"",INDEX('10_events'!$I$2:$I$2703,$H331))</x:f>
      </x:c>
      <x:c r="H331" t="n">
        <x:f>IF(330&gt;'10_events'!$K$2703,0,MATCH(330,'10_events'!$J$2:$J$2703,0))</x:f>
        <x:v>0</x:v>
      </x:c>
    </x:row>
    <x:row r="332" ht="25" customHeight="1">
      <x:c r="A332" t="str">
        <x:f>IF(331&gt;'10_events'!$K$2703,"",INDEX('10_events'!$A$2:$A$2703,$H332))</x:f>
      </x:c>
      <x:c r="B332" t="str">
        <x:f>IF(331&gt;'10_events'!$K$2703,"",INDEX('10_events'!$B$2:$B$2703,$H332))</x:f>
      </x:c>
      <x:c r="C332" t="str">
        <x:f>IF(331&gt;'10_events'!$K$2703,"",INDEX('10_events'!$C$2:$C$2703,$H332))</x:f>
      </x:c>
      <x:c r="D332" t="str">
        <x:f>IF(331&gt;'10_events'!$K$2703,"",INDEX('10_events'!$F$2:$F$2703,$H332))</x:f>
      </x:c>
      <x:c r="E332" t="str">
        <x:f>IF(331&gt;'10_events'!$K$2703,"",INDEX('10_events'!$G$2:$G$2703,$H332))</x:f>
      </x:c>
      <x:c r="F332" t="str">
        <x:f>IF(331&gt;'10_events'!$K$2703,"",INDEX('10_events'!$H$2:$H$2703,$H332))</x:f>
      </x:c>
      <x:c r="G332" s="16" t="str">
        <x:f>IF(331&gt;'10_events'!$K$2703,"",INDEX('10_events'!$I$2:$I$2703,$H332))</x:f>
      </x:c>
      <x:c r="H332" t="n">
        <x:f>IF(331&gt;'10_events'!$K$2703,0,MATCH(331,'10_events'!$J$2:$J$2703,0))</x:f>
        <x:v>0</x:v>
      </x:c>
    </x:row>
    <x:row r="333" ht="25" customHeight="1">
      <x:c r="A333" t="str">
        <x:f>IF(332&gt;'10_events'!$K$2703,"",INDEX('10_events'!$A$2:$A$2703,$H333))</x:f>
      </x:c>
      <x:c r="B333" t="str">
        <x:f>IF(332&gt;'10_events'!$K$2703,"",INDEX('10_events'!$B$2:$B$2703,$H333))</x:f>
      </x:c>
      <x:c r="C333" t="str">
        <x:f>IF(332&gt;'10_events'!$K$2703,"",INDEX('10_events'!$C$2:$C$2703,$H333))</x:f>
      </x:c>
      <x:c r="D333" t="str">
        <x:f>IF(332&gt;'10_events'!$K$2703,"",INDEX('10_events'!$F$2:$F$2703,$H333))</x:f>
      </x:c>
      <x:c r="E333" t="str">
        <x:f>IF(332&gt;'10_events'!$K$2703,"",INDEX('10_events'!$G$2:$G$2703,$H333))</x:f>
      </x:c>
      <x:c r="F333" t="str">
        <x:f>IF(332&gt;'10_events'!$K$2703,"",INDEX('10_events'!$H$2:$H$2703,$H333))</x:f>
      </x:c>
      <x:c r="G333" s="16" t="str">
        <x:f>IF(332&gt;'10_events'!$K$2703,"",INDEX('10_events'!$I$2:$I$2703,$H333))</x:f>
      </x:c>
      <x:c r="H333" t="n">
        <x:f>IF(332&gt;'10_events'!$K$2703,0,MATCH(332,'10_events'!$J$2:$J$2703,0))</x:f>
        <x:v>0</x:v>
      </x:c>
    </x:row>
    <x:row r="334" ht="25" customHeight="1">
      <x:c r="A334" t="str">
        <x:f>IF(333&gt;'10_events'!$K$2703,"",INDEX('10_events'!$A$2:$A$2703,$H334))</x:f>
      </x:c>
      <x:c r="B334" t="str">
        <x:f>IF(333&gt;'10_events'!$K$2703,"",INDEX('10_events'!$B$2:$B$2703,$H334))</x:f>
      </x:c>
      <x:c r="C334" t="str">
        <x:f>IF(333&gt;'10_events'!$K$2703,"",INDEX('10_events'!$C$2:$C$2703,$H334))</x:f>
      </x:c>
      <x:c r="D334" t="str">
        <x:f>IF(333&gt;'10_events'!$K$2703,"",INDEX('10_events'!$F$2:$F$2703,$H334))</x:f>
      </x:c>
      <x:c r="E334" t="str">
        <x:f>IF(333&gt;'10_events'!$K$2703,"",INDEX('10_events'!$G$2:$G$2703,$H334))</x:f>
      </x:c>
      <x:c r="F334" t="str">
        <x:f>IF(333&gt;'10_events'!$K$2703,"",INDEX('10_events'!$H$2:$H$2703,$H334))</x:f>
      </x:c>
      <x:c r="G334" s="16" t="str">
        <x:f>IF(333&gt;'10_events'!$K$2703,"",INDEX('10_events'!$I$2:$I$2703,$H334))</x:f>
      </x:c>
      <x:c r="H334" t="n">
        <x:f>IF(333&gt;'10_events'!$K$2703,0,MATCH(333,'10_events'!$J$2:$J$2703,0))</x:f>
        <x:v>0</x:v>
      </x:c>
    </x:row>
    <x:row r="335" ht="25" customHeight="1">
      <x:c r="A335" t="str">
        <x:f>IF(334&gt;'10_events'!$K$2703,"",INDEX('10_events'!$A$2:$A$2703,$H335))</x:f>
      </x:c>
      <x:c r="B335" t="str">
        <x:f>IF(334&gt;'10_events'!$K$2703,"",INDEX('10_events'!$B$2:$B$2703,$H335))</x:f>
      </x:c>
      <x:c r="C335" t="str">
        <x:f>IF(334&gt;'10_events'!$K$2703,"",INDEX('10_events'!$C$2:$C$2703,$H335))</x:f>
      </x:c>
      <x:c r="D335" t="str">
        <x:f>IF(334&gt;'10_events'!$K$2703,"",INDEX('10_events'!$F$2:$F$2703,$H335))</x:f>
      </x:c>
      <x:c r="E335" t="str">
        <x:f>IF(334&gt;'10_events'!$K$2703,"",INDEX('10_events'!$G$2:$G$2703,$H335))</x:f>
      </x:c>
      <x:c r="F335" t="str">
        <x:f>IF(334&gt;'10_events'!$K$2703,"",INDEX('10_events'!$H$2:$H$2703,$H335))</x:f>
      </x:c>
      <x:c r="G335" s="16" t="str">
        <x:f>IF(334&gt;'10_events'!$K$2703,"",INDEX('10_events'!$I$2:$I$2703,$H335))</x:f>
      </x:c>
      <x:c r="H335" t="n">
        <x:f>IF(334&gt;'10_events'!$K$2703,0,MATCH(334,'10_events'!$J$2:$J$2703,0))</x:f>
        <x:v>0</x:v>
      </x:c>
    </x:row>
    <x:row r="336" ht="25" customHeight="1">
      <x:c r="A336" t="str">
        <x:f>IF(335&gt;'10_events'!$K$2703,"",INDEX('10_events'!$A$2:$A$2703,$H336))</x:f>
      </x:c>
      <x:c r="B336" t="str">
        <x:f>IF(335&gt;'10_events'!$K$2703,"",INDEX('10_events'!$B$2:$B$2703,$H336))</x:f>
      </x:c>
      <x:c r="C336" t="str">
        <x:f>IF(335&gt;'10_events'!$K$2703,"",INDEX('10_events'!$C$2:$C$2703,$H336))</x:f>
      </x:c>
      <x:c r="D336" t="str">
        <x:f>IF(335&gt;'10_events'!$K$2703,"",INDEX('10_events'!$F$2:$F$2703,$H336))</x:f>
      </x:c>
      <x:c r="E336" t="str">
        <x:f>IF(335&gt;'10_events'!$K$2703,"",INDEX('10_events'!$G$2:$G$2703,$H336))</x:f>
      </x:c>
      <x:c r="F336" t="str">
        <x:f>IF(335&gt;'10_events'!$K$2703,"",INDEX('10_events'!$H$2:$H$2703,$H336))</x:f>
      </x:c>
      <x:c r="G336" s="16" t="str">
        <x:f>IF(335&gt;'10_events'!$K$2703,"",INDEX('10_events'!$I$2:$I$2703,$H336))</x:f>
      </x:c>
      <x:c r="H336" t="n">
        <x:f>IF(335&gt;'10_events'!$K$2703,0,MATCH(335,'10_events'!$J$2:$J$2703,0))</x:f>
        <x:v>0</x:v>
      </x:c>
    </x:row>
    <x:row r="337" ht="25" customHeight="1">
      <x:c r="A337" t="str">
        <x:f>IF(336&gt;'10_events'!$K$2703,"",INDEX('10_events'!$A$2:$A$2703,$H337))</x:f>
      </x:c>
      <x:c r="B337" t="str">
        <x:f>IF(336&gt;'10_events'!$K$2703,"",INDEX('10_events'!$B$2:$B$2703,$H337))</x:f>
      </x:c>
      <x:c r="C337" t="str">
        <x:f>IF(336&gt;'10_events'!$K$2703,"",INDEX('10_events'!$C$2:$C$2703,$H337))</x:f>
      </x:c>
      <x:c r="D337" t="str">
        <x:f>IF(336&gt;'10_events'!$K$2703,"",INDEX('10_events'!$F$2:$F$2703,$H337))</x:f>
      </x:c>
      <x:c r="E337" t="str">
        <x:f>IF(336&gt;'10_events'!$K$2703,"",INDEX('10_events'!$G$2:$G$2703,$H337))</x:f>
      </x:c>
      <x:c r="F337" t="str">
        <x:f>IF(336&gt;'10_events'!$K$2703,"",INDEX('10_events'!$H$2:$H$2703,$H337))</x:f>
      </x:c>
      <x:c r="G337" s="16" t="str">
        <x:f>IF(336&gt;'10_events'!$K$2703,"",INDEX('10_events'!$I$2:$I$2703,$H337))</x:f>
      </x:c>
      <x:c r="H337" t="n">
        <x:f>IF(336&gt;'10_events'!$K$2703,0,MATCH(336,'10_events'!$J$2:$J$2703,0))</x:f>
        <x:v>0</x:v>
      </x:c>
    </x:row>
    <x:row r="338" ht="25" customHeight="1">
      <x:c r="A338" t="str">
        <x:f>IF(337&gt;'10_events'!$K$2703,"",INDEX('10_events'!$A$2:$A$2703,$H338))</x:f>
      </x:c>
      <x:c r="B338" t="str">
        <x:f>IF(337&gt;'10_events'!$K$2703,"",INDEX('10_events'!$B$2:$B$2703,$H338))</x:f>
      </x:c>
      <x:c r="C338" t="str">
        <x:f>IF(337&gt;'10_events'!$K$2703,"",INDEX('10_events'!$C$2:$C$2703,$H338))</x:f>
      </x:c>
      <x:c r="D338" t="str">
        <x:f>IF(337&gt;'10_events'!$K$2703,"",INDEX('10_events'!$F$2:$F$2703,$H338))</x:f>
      </x:c>
      <x:c r="E338" t="str">
        <x:f>IF(337&gt;'10_events'!$K$2703,"",INDEX('10_events'!$G$2:$G$2703,$H338))</x:f>
      </x:c>
      <x:c r="F338" t="str">
        <x:f>IF(337&gt;'10_events'!$K$2703,"",INDEX('10_events'!$H$2:$H$2703,$H338))</x:f>
      </x:c>
      <x:c r="G338" s="16" t="str">
        <x:f>IF(337&gt;'10_events'!$K$2703,"",INDEX('10_events'!$I$2:$I$2703,$H338))</x:f>
      </x:c>
      <x:c r="H338" t="n">
        <x:f>IF(337&gt;'10_events'!$K$2703,0,MATCH(337,'10_events'!$J$2:$J$2703,0))</x:f>
        <x:v>0</x:v>
      </x:c>
    </x:row>
    <x:row r="339" ht="25" customHeight="1">
      <x:c r="A339" t="str">
        <x:f>IF(338&gt;'10_events'!$K$2703,"",INDEX('10_events'!$A$2:$A$2703,$H339))</x:f>
      </x:c>
      <x:c r="B339" t="str">
        <x:f>IF(338&gt;'10_events'!$K$2703,"",INDEX('10_events'!$B$2:$B$2703,$H339))</x:f>
      </x:c>
      <x:c r="C339" t="str">
        <x:f>IF(338&gt;'10_events'!$K$2703,"",INDEX('10_events'!$C$2:$C$2703,$H339))</x:f>
      </x:c>
      <x:c r="D339" t="str">
        <x:f>IF(338&gt;'10_events'!$K$2703,"",INDEX('10_events'!$F$2:$F$2703,$H339))</x:f>
      </x:c>
      <x:c r="E339" t="str">
        <x:f>IF(338&gt;'10_events'!$K$2703,"",INDEX('10_events'!$G$2:$G$2703,$H339))</x:f>
      </x:c>
      <x:c r="F339" t="str">
        <x:f>IF(338&gt;'10_events'!$K$2703,"",INDEX('10_events'!$H$2:$H$2703,$H339))</x:f>
      </x:c>
      <x:c r="G339" s="16" t="str">
        <x:f>IF(338&gt;'10_events'!$K$2703,"",INDEX('10_events'!$I$2:$I$2703,$H339))</x:f>
      </x:c>
      <x:c r="H339" t="n">
        <x:f>IF(338&gt;'10_events'!$K$2703,0,MATCH(338,'10_events'!$J$2:$J$2703,0))</x:f>
        <x:v>0</x:v>
      </x:c>
    </x:row>
    <x:row r="340" ht="25" customHeight="1">
      <x:c r="A340" t="str">
        <x:f>IF(339&gt;'10_events'!$K$2703,"",INDEX('10_events'!$A$2:$A$2703,$H340))</x:f>
      </x:c>
      <x:c r="B340" t="str">
        <x:f>IF(339&gt;'10_events'!$K$2703,"",INDEX('10_events'!$B$2:$B$2703,$H340))</x:f>
      </x:c>
      <x:c r="C340" t="str">
        <x:f>IF(339&gt;'10_events'!$K$2703,"",INDEX('10_events'!$C$2:$C$2703,$H340))</x:f>
      </x:c>
      <x:c r="D340" t="str">
        <x:f>IF(339&gt;'10_events'!$K$2703,"",INDEX('10_events'!$F$2:$F$2703,$H340))</x:f>
      </x:c>
      <x:c r="E340" t="str">
        <x:f>IF(339&gt;'10_events'!$K$2703,"",INDEX('10_events'!$G$2:$G$2703,$H340))</x:f>
      </x:c>
      <x:c r="F340" t="str">
        <x:f>IF(339&gt;'10_events'!$K$2703,"",INDEX('10_events'!$H$2:$H$2703,$H340))</x:f>
      </x:c>
      <x:c r="G340" s="16" t="str">
        <x:f>IF(339&gt;'10_events'!$K$2703,"",INDEX('10_events'!$I$2:$I$2703,$H340))</x:f>
      </x:c>
      <x:c r="H340" t="n">
        <x:f>IF(339&gt;'10_events'!$K$2703,0,MATCH(339,'10_events'!$J$2:$J$2703,0))</x:f>
        <x:v>0</x:v>
      </x:c>
    </x:row>
    <x:row r="341" ht="25" customHeight="1">
      <x:c r="A341" t="str">
        <x:f>IF(340&gt;'10_events'!$K$2703,"",INDEX('10_events'!$A$2:$A$2703,$H341))</x:f>
      </x:c>
      <x:c r="B341" t="str">
        <x:f>IF(340&gt;'10_events'!$K$2703,"",INDEX('10_events'!$B$2:$B$2703,$H341))</x:f>
      </x:c>
      <x:c r="C341" t="str">
        <x:f>IF(340&gt;'10_events'!$K$2703,"",INDEX('10_events'!$C$2:$C$2703,$H341))</x:f>
      </x:c>
      <x:c r="D341" t="str">
        <x:f>IF(340&gt;'10_events'!$K$2703,"",INDEX('10_events'!$F$2:$F$2703,$H341))</x:f>
      </x:c>
      <x:c r="E341" t="str">
        <x:f>IF(340&gt;'10_events'!$K$2703,"",INDEX('10_events'!$G$2:$G$2703,$H341))</x:f>
      </x:c>
      <x:c r="F341" t="str">
        <x:f>IF(340&gt;'10_events'!$K$2703,"",INDEX('10_events'!$H$2:$H$2703,$H341))</x:f>
      </x:c>
      <x:c r="G341" s="16" t="str">
        <x:f>IF(340&gt;'10_events'!$K$2703,"",INDEX('10_events'!$I$2:$I$2703,$H341))</x:f>
      </x:c>
      <x:c r="H341" t="n">
        <x:f>IF(340&gt;'10_events'!$K$2703,0,MATCH(340,'10_events'!$J$2:$J$2703,0))</x:f>
        <x:v>0</x:v>
      </x:c>
    </x:row>
    <x:row r="342" ht="25" customHeight="1">
      <x:c r="A342" t="str">
        <x:f>IF(341&gt;'10_events'!$K$2703,"",INDEX('10_events'!$A$2:$A$2703,$H342))</x:f>
      </x:c>
      <x:c r="B342" t="str">
        <x:f>IF(341&gt;'10_events'!$K$2703,"",INDEX('10_events'!$B$2:$B$2703,$H342))</x:f>
      </x:c>
      <x:c r="C342" t="str">
        <x:f>IF(341&gt;'10_events'!$K$2703,"",INDEX('10_events'!$C$2:$C$2703,$H342))</x:f>
      </x:c>
      <x:c r="D342" t="str">
        <x:f>IF(341&gt;'10_events'!$K$2703,"",INDEX('10_events'!$F$2:$F$2703,$H342))</x:f>
      </x:c>
      <x:c r="E342" t="str">
        <x:f>IF(341&gt;'10_events'!$K$2703,"",INDEX('10_events'!$G$2:$G$2703,$H342))</x:f>
      </x:c>
      <x:c r="F342" t="str">
        <x:f>IF(341&gt;'10_events'!$K$2703,"",INDEX('10_events'!$H$2:$H$2703,$H342))</x:f>
      </x:c>
      <x:c r="G342" s="16" t="str">
        <x:f>IF(341&gt;'10_events'!$K$2703,"",INDEX('10_events'!$I$2:$I$2703,$H342))</x:f>
      </x:c>
      <x:c r="H342" t="n">
        <x:f>IF(341&gt;'10_events'!$K$2703,0,MATCH(341,'10_events'!$J$2:$J$2703,0))</x:f>
        <x:v>0</x:v>
      </x:c>
    </x:row>
    <x:row r="343" ht="25" customHeight="1">
      <x:c r="A343" t="str">
        <x:f>IF(342&gt;'10_events'!$K$2703,"",INDEX('10_events'!$A$2:$A$2703,$H343))</x:f>
      </x:c>
      <x:c r="B343" t="str">
        <x:f>IF(342&gt;'10_events'!$K$2703,"",INDEX('10_events'!$B$2:$B$2703,$H343))</x:f>
      </x:c>
      <x:c r="C343" t="str">
        <x:f>IF(342&gt;'10_events'!$K$2703,"",INDEX('10_events'!$C$2:$C$2703,$H343))</x:f>
      </x:c>
      <x:c r="D343" t="str">
        <x:f>IF(342&gt;'10_events'!$K$2703,"",INDEX('10_events'!$F$2:$F$2703,$H343))</x:f>
      </x:c>
      <x:c r="E343" t="str">
        <x:f>IF(342&gt;'10_events'!$K$2703,"",INDEX('10_events'!$G$2:$G$2703,$H343))</x:f>
      </x:c>
      <x:c r="F343" t="str">
        <x:f>IF(342&gt;'10_events'!$K$2703,"",INDEX('10_events'!$H$2:$H$2703,$H343))</x:f>
      </x:c>
      <x:c r="G343" s="16" t="str">
        <x:f>IF(342&gt;'10_events'!$K$2703,"",INDEX('10_events'!$I$2:$I$2703,$H343))</x:f>
      </x:c>
      <x:c r="H343" t="n">
        <x:f>IF(342&gt;'10_events'!$K$2703,0,MATCH(342,'10_events'!$J$2:$J$2703,0))</x:f>
        <x:v>0</x:v>
      </x:c>
    </x:row>
    <x:row r="344" ht="25" customHeight="1">
      <x:c r="A344" t="str">
        <x:f>IF(343&gt;'10_events'!$K$2703,"",INDEX('10_events'!$A$2:$A$2703,$H344))</x:f>
      </x:c>
      <x:c r="B344" t="str">
        <x:f>IF(343&gt;'10_events'!$K$2703,"",INDEX('10_events'!$B$2:$B$2703,$H344))</x:f>
      </x:c>
      <x:c r="C344" t="str">
        <x:f>IF(343&gt;'10_events'!$K$2703,"",INDEX('10_events'!$C$2:$C$2703,$H344))</x:f>
      </x:c>
      <x:c r="D344" t="str">
        <x:f>IF(343&gt;'10_events'!$K$2703,"",INDEX('10_events'!$F$2:$F$2703,$H344))</x:f>
      </x:c>
      <x:c r="E344" t="str">
        <x:f>IF(343&gt;'10_events'!$K$2703,"",INDEX('10_events'!$G$2:$G$2703,$H344))</x:f>
      </x:c>
      <x:c r="F344" t="str">
        <x:f>IF(343&gt;'10_events'!$K$2703,"",INDEX('10_events'!$H$2:$H$2703,$H344))</x:f>
      </x:c>
      <x:c r="G344" s="16" t="str">
        <x:f>IF(343&gt;'10_events'!$K$2703,"",INDEX('10_events'!$I$2:$I$2703,$H344))</x:f>
      </x:c>
      <x:c r="H344" t="n">
        <x:f>IF(343&gt;'10_events'!$K$2703,0,MATCH(343,'10_events'!$J$2:$J$2703,0))</x:f>
        <x:v>0</x:v>
      </x:c>
    </x:row>
    <x:row r="345" ht="25" customHeight="1">
      <x:c r="A345" t="str">
        <x:f>IF(344&gt;'10_events'!$K$2703,"",INDEX('10_events'!$A$2:$A$2703,$H345))</x:f>
      </x:c>
      <x:c r="B345" t="str">
        <x:f>IF(344&gt;'10_events'!$K$2703,"",INDEX('10_events'!$B$2:$B$2703,$H345))</x:f>
      </x:c>
      <x:c r="C345" t="str">
        <x:f>IF(344&gt;'10_events'!$K$2703,"",INDEX('10_events'!$C$2:$C$2703,$H345))</x:f>
      </x:c>
      <x:c r="D345" t="str">
        <x:f>IF(344&gt;'10_events'!$K$2703,"",INDEX('10_events'!$F$2:$F$2703,$H345))</x:f>
      </x:c>
      <x:c r="E345" t="str">
        <x:f>IF(344&gt;'10_events'!$K$2703,"",INDEX('10_events'!$G$2:$G$2703,$H345))</x:f>
      </x:c>
      <x:c r="F345" t="str">
        <x:f>IF(344&gt;'10_events'!$K$2703,"",INDEX('10_events'!$H$2:$H$2703,$H345))</x:f>
      </x:c>
      <x:c r="G345" s="16" t="str">
        <x:f>IF(344&gt;'10_events'!$K$2703,"",INDEX('10_events'!$I$2:$I$2703,$H345))</x:f>
      </x:c>
      <x:c r="H345" t="n">
        <x:f>IF(344&gt;'10_events'!$K$2703,0,MATCH(344,'10_events'!$J$2:$J$2703,0))</x:f>
        <x:v>0</x:v>
      </x:c>
    </x:row>
    <x:row r="346" ht="25" customHeight="1">
      <x:c r="A346" t="str">
        <x:f>IF(345&gt;'10_events'!$K$2703,"",INDEX('10_events'!$A$2:$A$2703,$H346))</x:f>
      </x:c>
      <x:c r="B346" t="str">
        <x:f>IF(345&gt;'10_events'!$K$2703,"",INDEX('10_events'!$B$2:$B$2703,$H346))</x:f>
      </x:c>
      <x:c r="C346" t="str">
        <x:f>IF(345&gt;'10_events'!$K$2703,"",INDEX('10_events'!$C$2:$C$2703,$H346))</x:f>
      </x:c>
      <x:c r="D346" t="str">
        <x:f>IF(345&gt;'10_events'!$K$2703,"",INDEX('10_events'!$F$2:$F$2703,$H346))</x:f>
      </x:c>
      <x:c r="E346" t="str">
        <x:f>IF(345&gt;'10_events'!$K$2703,"",INDEX('10_events'!$G$2:$G$2703,$H346))</x:f>
      </x:c>
      <x:c r="F346" t="str">
        <x:f>IF(345&gt;'10_events'!$K$2703,"",INDEX('10_events'!$H$2:$H$2703,$H346))</x:f>
      </x:c>
      <x:c r="G346" s="16" t="str">
        <x:f>IF(345&gt;'10_events'!$K$2703,"",INDEX('10_events'!$I$2:$I$2703,$H346))</x:f>
      </x:c>
      <x:c r="H346" t="n">
        <x:f>IF(345&gt;'10_events'!$K$2703,0,MATCH(345,'10_events'!$J$2:$J$2703,0))</x:f>
        <x:v>0</x:v>
      </x:c>
    </x:row>
    <x:row r="347" ht="25" customHeight="1">
      <x:c r="A347" t="str">
        <x:f>IF(346&gt;'10_events'!$K$2703,"",INDEX('10_events'!$A$2:$A$2703,$H347))</x:f>
      </x:c>
      <x:c r="B347" t="str">
        <x:f>IF(346&gt;'10_events'!$K$2703,"",INDEX('10_events'!$B$2:$B$2703,$H347))</x:f>
      </x:c>
      <x:c r="C347" t="str">
        <x:f>IF(346&gt;'10_events'!$K$2703,"",INDEX('10_events'!$C$2:$C$2703,$H347))</x:f>
      </x:c>
      <x:c r="D347" t="str">
        <x:f>IF(346&gt;'10_events'!$K$2703,"",INDEX('10_events'!$F$2:$F$2703,$H347))</x:f>
      </x:c>
      <x:c r="E347" t="str">
        <x:f>IF(346&gt;'10_events'!$K$2703,"",INDEX('10_events'!$G$2:$G$2703,$H347))</x:f>
      </x:c>
      <x:c r="F347" t="str">
        <x:f>IF(346&gt;'10_events'!$K$2703,"",INDEX('10_events'!$H$2:$H$2703,$H347))</x:f>
      </x:c>
      <x:c r="G347" s="16" t="str">
        <x:f>IF(346&gt;'10_events'!$K$2703,"",INDEX('10_events'!$I$2:$I$2703,$H347))</x:f>
      </x:c>
      <x:c r="H347" t="n">
        <x:f>IF(346&gt;'10_events'!$K$2703,0,MATCH(346,'10_events'!$J$2:$J$2703,0))</x:f>
        <x:v>0</x:v>
      </x:c>
    </x:row>
    <x:row r="348" ht="25" customHeight="1">
      <x:c r="A348" t="str">
        <x:f>IF(347&gt;'10_events'!$K$2703,"",INDEX('10_events'!$A$2:$A$2703,$H348))</x:f>
      </x:c>
      <x:c r="B348" t="str">
        <x:f>IF(347&gt;'10_events'!$K$2703,"",INDEX('10_events'!$B$2:$B$2703,$H348))</x:f>
      </x:c>
      <x:c r="C348" t="str">
        <x:f>IF(347&gt;'10_events'!$K$2703,"",INDEX('10_events'!$C$2:$C$2703,$H348))</x:f>
      </x:c>
      <x:c r="D348" t="str">
        <x:f>IF(347&gt;'10_events'!$K$2703,"",INDEX('10_events'!$F$2:$F$2703,$H348))</x:f>
      </x:c>
      <x:c r="E348" t="str">
        <x:f>IF(347&gt;'10_events'!$K$2703,"",INDEX('10_events'!$G$2:$G$2703,$H348))</x:f>
      </x:c>
      <x:c r="F348" t="str">
        <x:f>IF(347&gt;'10_events'!$K$2703,"",INDEX('10_events'!$H$2:$H$2703,$H348))</x:f>
      </x:c>
      <x:c r="G348" s="16" t="str">
        <x:f>IF(347&gt;'10_events'!$K$2703,"",INDEX('10_events'!$I$2:$I$2703,$H348))</x:f>
      </x:c>
      <x:c r="H348" t="n">
        <x:f>IF(347&gt;'10_events'!$K$2703,0,MATCH(347,'10_events'!$J$2:$J$2703,0))</x:f>
        <x:v>0</x:v>
      </x:c>
    </x:row>
    <x:row r="349" ht="25" customHeight="1">
      <x:c r="A349" t="str">
        <x:f>IF(348&gt;'10_events'!$K$2703,"",INDEX('10_events'!$A$2:$A$2703,$H349))</x:f>
      </x:c>
      <x:c r="B349" t="str">
        <x:f>IF(348&gt;'10_events'!$K$2703,"",INDEX('10_events'!$B$2:$B$2703,$H349))</x:f>
      </x:c>
      <x:c r="C349" t="str">
        <x:f>IF(348&gt;'10_events'!$K$2703,"",INDEX('10_events'!$C$2:$C$2703,$H349))</x:f>
      </x:c>
      <x:c r="D349" t="str">
        <x:f>IF(348&gt;'10_events'!$K$2703,"",INDEX('10_events'!$F$2:$F$2703,$H349))</x:f>
      </x:c>
      <x:c r="E349" t="str">
        <x:f>IF(348&gt;'10_events'!$K$2703,"",INDEX('10_events'!$G$2:$G$2703,$H349))</x:f>
      </x:c>
      <x:c r="F349" t="str">
        <x:f>IF(348&gt;'10_events'!$K$2703,"",INDEX('10_events'!$H$2:$H$2703,$H349))</x:f>
      </x:c>
      <x:c r="G349" s="16" t="str">
        <x:f>IF(348&gt;'10_events'!$K$2703,"",INDEX('10_events'!$I$2:$I$2703,$H349))</x:f>
      </x:c>
      <x:c r="H349" t="n">
        <x:f>IF(348&gt;'10_events'!$K$2703,0,MATCH(348,'10_events'!$J$2:$J$2703,0))</x:f>
        <x:v>0</x:v>
      </x:c>
    </x:row>
    <x:row r="350" ht="25" customHeight="1">
      <x:c r="A350" t="str">
        <x:f>IF(349&gt;'10_events'!$K$2703,"",INDEX('10_events'!$A$2:$A$2703,$H350))</x:f>
      </x:c>
      <x:c r="B350" t="str">
        <x:f>IF(349&gt;'10_events'!$K$2703,"",INDEX('10_events'!$B$2:$B$2703,$H350))</x:f>
      </x:c>
      <x:c r="C350" t="str">
        <x:f>IF(349&gt;'10_events'!$K$2703,"",INDEX('10_events'!$C$2:$C$2703,$H350))</x:f>
      </x:c>
      <x:c r="D350" t="str">
        <x:f>IF(349&gt;'10_events'!$K$2703,"",INDEX('10_events'!$F$2:$F$2703,$H350))</x:f>
      </x:c>
      <x:c r="E350" t="str">
        <x:f>IF(349&gt;'10_events'!$K$2703,"",INDEX('10_events'!$G$2:$G$2703,$H350))</x:f>
      </x:c>
      <x:c r="F350" t="str">
        <x:f>IF(349&gt;'10_events'!$K$2703,"",INDEX('10_events'!$H$2:$H$2703,$H350))</x:f>
      </x:c>
      <x:c r="G350" s="16" t="str">
        <x:f>IF(349&gt;'10_events'!$K$2703,"",INDEX('10_events'!$I$2:$I$2703,$H350))</x:f>
      </x:c>
      <x:c r="H350" t="n">
        <x:f>IF(349&gt;'10_events'!$K$2703,0,MATCH(349,'10_events'!$J$2:$J$2703,0))</x:f>
        <x:v>0</x:v>
      </x:c>
    </x:row>
    <x:row r="351" ht="25" customHeight="1">
      <x:c r="A351" t="str">
        <x:f>IF(350&gt;'10_events'!$K$2703,"",INDEX('10_events'!$A$2:$A$2703,$H351))</x:f>
      </x:c>
      <x:c r="B351" t="str">
        <x:f>IF(350&gt;'10_events'!$K$2703,"",INDEX('10_events'!$B$2:$B$2703,$H351))</x:f>
      </x:c>
      <x:c r="C351" t="str">
        <x:f>IF(350&gt;'10_events'!$K$2703,"",INDEX('10_events'!$C$2:$C$2703,$H351))</x:f>
      </x:c>
      <x:c r="D351" t="str">
        <x:f>IF(350&gt;'10_events'!$K$2703,"",INDEX('10_events'!$F$2:$F$2703,$H351))</x:f>
      </x:c>
      <x:c r="E351" t="str">
        <x:f>IF(350&gt;'10_events'!$K$2703,"",INDEX('10_events'!$G$2:$G$2703,$H351))</x:f>
      </x:c>
      <x:c r="F351" t="str">
        <x:f>IF(350&gt;'10_events'!$K$2703,"",INDEX('10_events'!$H$2:$H$2703,$H351))</x:f>
      </x:c>
      <x:c r="G351" s="16" t="str">
        <x:f>IF(350&gt;'10_events'!$K$2703,"",INDEX('10_events'!$I$2:$I$2703,$H351))</x:f>
      </x:c>
      <x:c r="H351" t="n">
        <x:f>IF(350&gt;'10_events'!$K$2703,0,MATCH(350,'10_events'!$J$2:$J$2703,0))</x:f>
        <x:v>0</x:v>
      </x:c>
    </x:row>
    <x:row r="352" ht="25" customHeight="1">
      <x:c r="A352" t="str">
        <x:f>IF(351&gt;'10_events'!$K$2703,"",INDEX('10_events'!$A$2:$A$2703,$H352))</x:f>
      </x:c>
      <x:c r="B352" t="str">
        <x:f>IF(351&gt;'10_events'!$K$2703,"",INDEX('10_events'!$B$2:$B$2703,$H352))</x:f>
      </x:c>
      <x:c r="C352" t="str">
        <x:f>IF(351&gt;'10_events'!$K$2703,"",INDEX('10_events'!$C$2:$C$2703,$H352))</x:f>
      </x:c>
      <x:c r="D352" t="str">
        <x:f>IF(351&gt;'10_events'!$K$2703,"",INDEX('10_events'!$F$2:$F$2703,$H352))</x:f>
      </x:c>
      <x:c r="E352" t="str">
        <x:f>IF(351&gt;'10_events'!$K$2703,"",INDEX('10_events'!$G$2:$G$2703,$H352))</x:f>
      </x:c>
      <x:c r="F352" t="str">
        <x:f>IF(351&gt;'10_events'!$K$2703,"",INDEX('10_events'!$H$2:$H$2703,$H352))</x:f>
      </x:c>
      <x:c r="G352" s="16" t="str">
        <x:f>IF(351&gt;'10_events'!$K$2703,"",INDEX('10_events'!$I$2:$I$2703,$H352))</x:f>
      </x:c>
      <x:c r="H352" t="n">
        <x:f>IF(351&gt;'10_events'!$K$2703,0,MATCH(351,'10_events'!$J$2:$J$2703,0))</x:f>
        <x:v>0</x:v>
      </x:c>
    </x:row>
    <x:row r="353" ht="25" customHeight="1">
      <x:c r="A353" t="str">
        <x:f>IF(352&gt;'10_events'!$K$2703,"",INDEX('10_events'!$A$2:$A$2703,$H353))</x:f>
      </x:c>
      <x:c r="B353" t="str">
        <x:f>IF(352&gt;'10_events'!$K$2703,"",INDEX('10_events'!$B$2:$B$2703,$H353))</x:f>
      </x:c>
      <x:c r="C353" t="str">
        <x:f>IF(352&gt;'10_events'!$K$2703,"",INDEX('10_events'!$C$2:$C$2703,$H353))</x:f>
      </x:c>
      <x:c r="D353" t="str">
        <x:f>IF(352&gt;'10_events'!$K$2703,"",INDEX('10_events'!$F$2:$F$2703,$H353))</x:f>
      </x:c>
      <x:c r="E353" t="str">
        <x:f>IF(352&gt;'10_events'!$K$2703,"",INDEX('10_events'!$G$2:$G$2703,$H353))</x:f>
      </x:c>
      <x:c r="F353" t="str">
        <x:f>IF(352&gt;'10_events'!$K$2703,"",INDEX('10_events'!$H$2:$H$2703,$H353))</x:f>
      </x:c>
      <x:c r="G353" s="16" t="str">
        <x:f>IF(352&gt;'10_events'!$K$2703,"",INDEX('10_events'!$I$2:$I$2703,$H353))</x:f>
      </x:c>
      <x:c r="H353" t="n">
        <x:f>IF(352&gt;'10_events'!$K$2703,0,MATCH(352,'10_events'!$J$2:$J$2703,0))</x:f>
        <x:v>0</x:v>
      </x:c>
    </x:row>
    <x:row r="354" ht="25" customHeight="1">
      <x:c r="A354" t="str">
        <x:f>IF(353&gt;'10_events'!$K$2703,"",INDEX('10_events'!$A$2:$A$2703,$H354))</x:f>
      </x:c>
      <x:c r="B354" t="str">
        <x:f>IF(353&gt;'10_events'!$K$2703,"",INDEX('10_events'!$B$2:$B$2703,$H354))</x:f>
      </x:c>
      <x:c r="C354" t="str">
        <x:f>IF(353&gt;'10_events'!$K$2703,"",INDEX('10_events'!$C$2:$C$2703,$H354))</x:f>
      </x:c>
      <x:c r="D354" t="str">
        <x:f>IF(353&gt;'10_events'!$K$2703,"",INDEX('10_events'!$F$2:$F$2703,$H354))</x:f>
      </x:c>
      <x:c r="E354" t="str">
        <x:f>IF(353&gt;'10_events'!$K$2703,"",INDEX('10_events'!$G$2:$G$2703,$H354))</x:f>
      </x:c>
      <x:c r="F354" t="str">
        <x:f>IF(353&gt;'10_events'!$K$2703,"",INDEX('10_events'!$H$2:$H$2703,$H354))</x:f>
      </x:c>
      <x:c r="G354" s="16" t="str">
        <x:f>IF(353&gt;'10_events'!$K$2703,"",INDEX('10_events'!$I$2:$I$2703,$H354))</x:f>
      </x:c>
      <x:c r="H354" t="n">
        <x:f>IF(353&gt;'10_events'!$K$2703,0,MATCH(353,'10_events'!$J$2:$J$2703,0))</x:f>
        <x:v>0</x:v>
      </x:c>
    </x:row>
    <x:row r="355" ht="25" customHeight="1">
      <x:c r="A355" t="str">
        <x:f>IF(354&gt;'10_events'!$K$2703,"",INDEX('10_events'!$A$2:$A$2703,$H355))</x:f>
      </x:c>
      <x:c r="B355" t="str">
        <x:f>IF(354&gt;'10_events'!$K$2703,"",INDEX('10_events'!$B$2:$B$2703,$H355))</x:f>
      </x:c>
      <x:c r="C355" t="str">
        <x:f>IF(354&gt;'10_events'!$K$2703,"",INDEX('10_events'!$C$2:$C$2703,$H355))</x:f>
      </x:c>
      <x:c r="D355" t="str">
        <x:f>IF(354&gt;'10_events'!$K$2703,"",INDEX('10_events'!$F$2:$F$2703,$H355))</x:f>
      </x:c>
      <x:c r="E355" t="str">
        <x:f>IF(354&gt;'10_events'!$K$2703,"",INDEX('10_events'!$G$2:$G$2703,$H355))</x:f>
      </x:c>
      <x:c r="F355" t="str">
        <x:f>IF(354&gt;'10_events'!$K$2703,"",INDEX('10_events'!$H$2:$H$2703,$H355))</x:f>
      </x:c>
      <x:c r="G355" s="16" t="str">
        <x:f>IF(354&gt;'10_events'!$K$2703,"",INDEX('10_events'!$I$2:$I$2703,$H355))</x:f>
      </x:c>
      <x:c r="H355" t="n">
        <x:f>IF(354&gt;'10_events'!$K$2703,0,MATCH(354,'10_events'!$J$2:$J$2703,0))</x:f>
        <x:v>0</x:v>
      </x:c>
    </x:row>
    <x:row r="356" ht="25" customHeight="1">
      <x:c r="A356" t="str">
        <x:f>IF(355&gt;'10_events'!$K$2703,"",INDEX('10_events'!$A$2:$A$2703,$H356))</x:f>
      </x:c>
      <x:c r="B356" t="str">
        <x:f>IF(355&gt;'10_events'!$K$2703,"",INDEX('10_events'!$B$2:$B$2703,$H356))</x:f>
      </x:c>
      <x:c r="C356" t="str">
        <x:f>IF(355&gt;'10_events'!$K$2703,"",INDEX('10_events'!$C$2:$C$2703,$H356))</x:f>
      </x:c>
      <x:c r="D356" t="str">
        <x:f>IF(355&gt;'10_events'!$K$2703,"",INDEX('10_events'!$F$2:$F$2703,$H356))</x:f>
      </x:c>
      <x:c r="E356" t="str">
        <x:f>IF(355&gt;'10_events'!$K$2703,"",INDEX('10_events'!$G$2:$G$2703,$H356))</x:f>
      </x:c>
      <x:c r="F356" t="str">
        <x:f>IF(355&gt;'10_events'!$K$2703,"",INDEX('10_events'!$H$2:$H$2703,$H356))</x:f>
      </x:c>
      <x:c r="G356" s="16" t="str">
        <x:f>IF(355&gt;'10_events'!$K$2703,"",INDEX('10_events'!$I$2:$I$2703,$H356))</x:f>
      </x:c>
      <x:c r="H356" t="n">
        <x:f>IF(355&gt;'10_events'!$K$2703,0,MATCH(355,'10_events'!$J$2:$J$2703,0))</x:f>
        <x:v>0</x:v>
      </x:c>
    </x:row>
    <x:row r="357" ht="25" customHeight="1">
      <x:c r="A357" t="str">
        <x:f>IF(356&gt;'10_events'!$K$2703,"",INDEX('10_events'!$A$2:$A$2703,$H357))</x:f>
      </x:c>
      <x:c r="B357" t="str">
        <x:f>IF(356&gt;'10_events'!$K$2703,"",INDEX('10_events'!$B$2:$B$2703,$H357))</x:f>
      </x:c>
      <x:c r="C357" t="str">
        <x:f>IF(356&gt;'10_events'!$K$2703,"",INDEX('10_events'!$C$2:$C$2703,$H357))</x:f>
      </x:c>
      <x:c r="D357" t="str">
        <x:f>IF(356&gt;'10_events'!$K$2703,"",INDEX('10_events'!$F$2:$F$2703,$H357))</x:f>
      </x:c>
      <x:c r="E357" t="str">
        <x:f>IF(356&gt;'10_events'!$K$2703,"",INDEX('10_events'!$G$2:$G$2703,$H357))</x:f>
      </x:c>
      <x:c r="F357" t="str">
        <x:f>IF(356&gt;'10_events'!$K$2703,"",INDEX('10_events'!$H$2:$H$2703,$H357))</x:f>
      </x:c>
      <x:c r="G357" s="16" t="str">
        <x:f>IF(356&gt;'10_events'!$K$2703,"",INDEX('10_events'!$I$2:$I$2703,$H357))</x:f>
      </x:c>
      <x:c r="H357" t="n">
        <x:f>IF(356&gt;'10_events'!$K$2703,0,MATCH(356,'10_events'!$J$2:$J$2703,0))</x:f>
        <x:v>0</x:v>
      </x:c>
    </x:row>
    <x:row r="358" ht="25" customHeight="1">
      <x:c r="A358" t="str">
        <x:f>IF(357&gt;'10_events'!$K$2703,"",INDEX('10_events'!$A$2:$A$2703,$H358))</x:f>
      </x:c>
      <x:c r="B358" t="str">
        <x:f>IF(357&gt;'10_events'!$K$2703,"",INDEX('10_events'!$B$2:$B$2703,$H358))</x:f>
      </x:c>
      <x:c r="C358" t="str">
        <x:f>IF(357&gt;'10_events'!$K$2703,"",INDEX('10_events'!$C$2:$C$2703,$H358))</x:f>
      </x:c>
      <x:c r="D358" t="str">
        <x:f>IF(357&gt;'10_events'!$K$2703,"",INDEX('10_events'!$F$2:$F$2703,$H358))</x:f>
      </x:c>
      <x:c r="E358" t="str">
        <x:f>IF(357&gt;'10_events'!$K$2703,"",INDEX('10_events'!$G$2:$G$2703,$H358))</x:f>
      </x:c>
      <x:c r="F358" t="str">
        <x:f>IF(357&gt;'10_events'!$K$2703,"",INDEX('10_events'!$H$2:$H$2703,$H358))</x:f>
      </x:c>
      <x:c r="G358" s="16" t="str">
        <x:f>IF(357&gt;'10_events'!$K$2703,"",INDEX('10_events'!$I$2:$I$2703,$H358))</x:f>
      </x:c>
      <x:c r="H358" t="n">
        <x:f>IF(357&gt;'10_events'!$K$2703,0,MATCH(357,'10_events'!$J$2:$J$2703,0))</x:f>
        <x:v>0</x:v>
      </x:c>
    </x:row>
    <x:row r="359" ht="25" customHeight="1">
      <x:c r="A359" t="str">
        <x:f>IF(358&gt;'10_events'!$K$2703,"",INDEX('10_events'!$A$2:$A$2703,$H359))</x:f>
      </x:c>
      <x:c r="B359" t="str">
        <x:f>IF(358&gt;'10_events'!$K$2703,"",INDEX('10_events'!$B$2:$B$2703,$H359))</x:f>
      </x:c>
      <x:c r="C359" t="str">
        <x:f>IF(358&gt;'10_events'!$K$2703,"",INDEX('10_events'!$C$2:$C$2703,$H359))</x:f>
      </x:c>
      <x:c r="D359" t="str">
        <x:f>IF(358&gt;'10_events'!$K$2703,"",INDEX('10_events'!$F$2:$F$2703,$H359))</x:f>
      </x:c>
      <x:c r="E359" t="str">
        <x:f>IF(358&gt;'10_events'!$K$2703,"",INDEX('10_events'!$G$2:$G$2703,$H359))</x:f>
      </x:c>
      <x:c r="F359" t="str">
        <x:f>IF(358&gt;'10_events'!$K$2703,"",INDEX('10_events'!$H$2:$H$2703,$H359))</x:f>
      </x:c>
      <x:c r="G359" s="16" t="str">
        <x:f>IF(358&gt;'10_events'!$K$2703,"",INDEX('10_events'!$I$2:$I$2703,$H359))</x:f>
      </x:c>
      <x:c r="H359" t="n">
        <x:f>IF(358&gt;'10_events'!$K$2703,0,MATCH(358,'10_events'!$J$2:$J$2703,0))</x:f>
        <x:v>0</x:v>
      </x:c>
    </x:row>
    <x:row r="360" ht="25" customHeight="1">
      <x:c r="A360" t="str">
        <x:f>IF(359&gt;'10_events'!$K$2703,"",INDEX('10_events'!$A$2:$A$2703,$H360))</x:f>
      </x:c>
      <x:c r="B360" t="str">
        <x:f>IF(359&gt;'10_events'!$K$2703,"",INDEX('10_events'!$B$2:$B$2703,$H360))</x:f>
      </x:c>
      <x:c r="C360" t="str">
        <x:f>IF(359&gt;'10_events'!$K$2703,"",INDEX('10_events'!$C$2:$C$2703,$H360))</x:f>
      </x:c>
      <x:c r="D360" t="str">
        <x:f>IF(359&gt;'10_events'!$K$2703,"",INDEX('10_events'!$F$2:$F$2703,$H360))</x:f>
      </x:c>
      <x:c r="E360" t="str">
        <x:f>IF(359&gt;'10_events'!$K$2703,"",INDEX('10_events'!$G$2:$G$2703,$H360))</x:f>
      </x:c>
      <x:c r="F360" t="str">
        <x:f>IF(359&gt;'10_events'!$K$2703,"",INDEX('10_events'!$H$2:$H$2703,$H360))</x:f>
      </x:c>
      <x:c r="G360" s="16" t="str">
        <x:f>IF(359&gt;'10_events'!$K$2703,"",INDEX('10_events'!$I$2:$I$2703,$H360))</x:f>
      </x:c>
      <x:c r="H360" t="n">
        <x:f>IF(359&gt;'10_events'!$K$2703,0,MATCH(359,'10_events'!$J$2:$J$2703,0))</x:f>
        <x:v>0</x:v>
      </x:c>
    </x:row>
    <x:row r="361" ht="25" customHeight="1">
      <x:c r="A361" t="str">
        <x:f>IF(360&gt;'10_events'!$K$2703,"",INDEX('10_events'!$A$2:$A$2703,$H361))</x:f>
      </x:c>
      <x:c r="B361" t="str">
        <x:f>IF(360&gt;'10_events'!$K$2703,"",INDEX('10_events'!$B$2:$B$2703,$H361))</x:f>
      </x:c>
      <x:c r="C361" t="str">
        <x:f>IF(360&gt;'10_events'!$K$2703,"",INDEX('10_events'!$C$2:$C$2703,$H361))</x:f>
      </x:c>
      <x:c r="D361" t="str">
        <x:f>IF(360&gt;'10_events'!$K$2703,"",INDEX('10_events'!$F$2:$F$2703,$H361))</x:f>
      </x:c>
      <x:c r="E361" t="str">
        <x:f>IF(360&gt;'10_events'!$K$2703,"",INDEX('10_events'!$G$2:$G$2703,$H361))</x:f>
      </x:c>
      <x:c r="F361" t="str">
        <x:f>IF(360&gt;'10_events'!$K$2703,"",INDEX('10_events'!$H$2:$H$2703,$H361))</x:f>
      </x:c>
      <x:c r="G361" s="16" t="str">
        <x:f>IF(360&gt;'10_events'!$K$2703,"",INDEX('10_events'!$I$2:$I$2703,$H361))</x:f>
      </x:c>
      <x:c r="H361" t="n">
        <x:f>IF(360&gt;'10_events'!$K$2703,0,MATCH(360,'10_events'!$J$2:$J$2703,0))</x:f>
        <x:v>0</x:v>
      </x:c>
    </x:row>
    <x:row r="362" ht="25" customHeight="1">
      <x:c r="A362" t="str">
        <x:f>IF(361&gt;'10_events'!$K$2703,"",INDEX('10_events'!$A$2:$A$2703,$H362))</x:f>
      </x:c>
      <x:c r="B362" t="str">
        <x:f>IF(361&gt;'10_events'!$K$2703,"",INDEX('10_events'!$B$2:$B$2703,$H362))</x:f>
      </x:c>
      <x:c r="C362" t="str">
        <x:f>IF(361&gt;'10_events'!$K$2703,"",INDEX('10_events'!$C$2:$C$2703,$H362))</x:f>
      </x:c>
      <x:c r="D362" t="str">
        <x:f>IF(361&gt;'10_events'!$K$2703,"",INDEX('10_events'!$F$2:$F$2703,$H362))</x:f>
      </x:c>
      <x:c r="E362" t="str">
        <x:f>IF(361&gt;'10_events'!$K$2703,"",INDEX('10_events'!$G$2:$G$2703,$H362))</x:f>
      </x:c>
      <x:c r="F362" t="str">
        <x:f>IF(361&gt;'10_events'!$K$2703,"",INDEX('10_events'!$H$2:$H$2703,$H362))</x:f>
      </x:c>
      <x:c r="G362" s="16" t="str">
        <x:f>IF(361&gt;'10_events'!$K$2703,"",INDEX('10_events'!$I$2:$I$2703,$H362))</x:f>
      </x:c>
      <x:c r="H362" t="n">
        <x:f>IF(361&gt;'10_events'!$K$2703,0,MATCH(361,'10_events'!$J$2:$J$2703,0))</x:f>
        <x:v>0</x:v>
      </x:c>
    </x:row>
    <x:row r="363" ht="25" customHeight="1">
      <x:c r="A363" t="str">
        <x:f>IF(362&gt;'10_events'!$K$2703,"",INDEX('10_events'!$A$2:$A$2703,$H363))</x:f>
      </x:c>
      <x:c r="B363" t="str">
        <x:f>IF(362&gt;'10_events'!$K$2703,"",INDEX('10_events'!$B$2:$B$2703,$H363))</x:f>
      </x:c>
      <x:c r="C363" t="str">
        <x:f>IF(362&gt;'10_events'!$K$2703,"",INDEX('10_events'!$C$2:$C$2703,$H363))</x:f>
      </x:c>
      <x:c r="D363" t="str">
        <x:f>IF(362&gt;'10_events'!$K$2703,"",INDEX('10_events'!$F$2:$F$2703,$H363))</x:f>
      </x:c>
      <x:c r="E363" t="str">
        <x:f>IF(362&gt;'10_events'!$K$2703,"",INDEX('10_events'!$G$2:$G$2703,$H363))</x:f>
      </x:c>
      <x:c r="F363" t="str">
        <x:f>IF(362&gt;'10_events'!$K$2703,"",INDEX('10_events'!$H$2:$H$2703,$H363))</x:f>
      </x:c>
      <x:c r="G363" s="16" t="str">
        <x:f>IF(362&gt;'10_events'!$K$2703,"",INDEX('10_events'!$I$2:$I$2703,$H363))</x:f>
      </x:c>
      <x:c r="H363" t="n">
        <x:f>IF(362&gt;'10_events'!$K$2703,0,MATCH(362,'10_events'!$J$2:$J$2703,0))</x:f>
        <x:v>0</x:v>
      </x:c>
    </x:row>
    <x:row r="364" ht="25" customHeight="1">
      <x:c r="A364" t="str">
        <x:f>IF(363&gt;'10_events'!$K$2703,"",INDEX('10_events'!$A$2:$A$2703,$H364))</x:f>
      </x:c>
      <x:c r="B364" t="str">
        <x:f>IF(363&gt;'10_events'!$K$2703,"",INDEX('10_events'!$B$2:$B$2703,$H364))</x:f>
      </x:c>
      <x:c r="C364" t="str">
        <x:f>IF(363&gt;'10_events'!$K$2703,"",INDEX('10_events'!$C$2:$C$2703,$H364))</x:f>
      </x:c>
      <x:c r="D364" t="str">
        <x:f>IF(363&gt;'10_events'!$K$2703,"",INDEX('10_events'!$F$2:$F$2703,$H364))</x:f>
      </x:c>
      <x:c r="E364" t="str">
        <x:f>IF(363&gt;'10_events'!$K$2703,"",INDEX('10_events'!$G$2:$G$2703,$H364))</x:f>
      </x:c>
      <x:c r="F364" t="str">
        <x:f>IF(363&gt;'10_events'!$K$2703,"",INDEX('10_events'!$H$2:$H$2703,$H364))</x:f>
      </x:c>
      <x:c r="G364" s="16" t="str">
        <x:f>IF(363&gt;'10_events'!$K$2703,"",INDEX('10_events'!$I$2:$I$2703,$H364))</x:f>
      </x:c>
      <x:c r="H364" t="n">
        <x:f>IF(363&gt;'10_events'!$K$2703,0,MATCH(363,'10_events'!$J$2:$J$2703,0))</x:f>
        <x:v>0</x:v>
      </x:c>
    </x:row>
    <x:row r="365" ht="25" customHeight="1">
      <x:c r="A365" t="str">
        <x:f>IF(364&gt;'10_events'!$K$2703,"",INDEX('10_events'!$A$2:$A$2703,$H365))</x:f>
      </x:c>
      <x:c r="B365" t="str">
        <x:f>IF(364&gt;'10_events'!$K$2703,"",INDEX('10_events'!$B$2:$B$2703,$H365))</x:f>
      </x:c>
      <x:c r="C365" t="str">
        <x:f>IF(364&gt;'10_events'!$K$2703,"",INDEX('10_events'!$C$2:$C$2703,$H365))</x:f>
      </x:c>
      <x:c r="D365" t="str">
        <x:f>IF(364&gt;'10_events'!$K$2703,"",INDEX('10_events'!$F$2:$F$2703,$H365))</x:f>
      </x:c>
      <x:c r="E365" t="str">
        <x:f>IF(364&gt;'10_events'!$K$2703,"",INDEX('10_events'!$G$2:$G$2703,$H365))</x:f>
      </x:c>
      <x:c r="F365" t="str">
        <x:f>IF(364&gt;'10_events'!$K$2703,"",INDEX('10_events'!$H$2:$H$2703,$H365))</x:f>
      </x:c>
      <x:c r="G365" s="16" t="str">
        <x:f>IF(364&gt;'10_events'!$K$2703,"",INDEX('10_events'!$I$2:$I$2703,$H365))</x:f>
      </x:c>
      <x:c r="H365" t="n">
        <x:f>IF(364&gt;'10_events'!$K$2703,0,MATCH(364,'10_events'!$J$2:$J$2703,0))</x:f>
        <x:v>0</x:v>
      </x:c>
    </x:row>
    <x:row r="366" ht="25" customHeight="1">
      <x:c r="A366" t="str">
        <x:f>IF(365&gt;'10_events'!$K$2703,"",INDEX('10_events'!$A$2:$A$2703,$H366))</x:f>
      </x:c>
      <x:c r="B366" t="str">
        <x:f>IF(365&gt;'10_events'!$K$2703,"",INDEX('10_events'!$B$2:$B$2703,$H366))</x:f>
      </x:c>
      <x:c r="C366" t="str">
        <x:f>IF(365&gt;'10_events'!$K$2703,"",INDEX('10_events'!$C$2:$C$2703,$H366))</x:f>
      </x:c>
      <x:c r="D366" t="str">
        <x:f>IF(365&gt;'10_events'!$K$2703,"",INDEX('10_events'!$F$2:$F$2703,$H366))</x:f>
      </x:c>
      <x:c r="E366" t="str">
        <x:f>IF(365&gt;'10_events'!$K$2703,"",INDEX('10_events'!$G$2:$G$2703,$H366))</x:f>
      </x:c>
      <x:c r="F366" t="str">
        <x:f>IF(365&gt;'10_events'!$K$2703,"",INDEX('10_events'!$H$2:$H$2703,$H366))</x:f>
      </x:c>
      <x:c r="G366" s="16" t="str">
        <x:f>IF(365&gt;'10_events'!$K$2703,"",INDEX('10_events'!$I$2:$I$2703,$H366))</x:f>
      </x:c>
      <x:c r="H366" t="n">
        <x:f>IF(365&gt;'10_events'!$K$2703,0,MATCH(365,'10_events'!$J$2:$J$2703,0))</x:f>
        <x:v>0</x:v>
      </x:c>
    </x:row>
    <x:row r="367" ht="25" customHeight="1">
      <x:c r="A367" t="str">
        <x:f>IF(366&gt;'10_events'!$K$2703,"",INDEX('10_events'!$A$2:$A$2703,$H367))</x:f>
      </x:c>
      <x:c r="B367" t="str">
        <x:f>IF(366&gt;'10_events'!$K$2703,"",INDEX('10_events'!$B$2:$B$2703,$H367))</x:f>
      </x:c>
      <x:c r="C367" t="str">
        <x:f>IF(366&gt;'10_events'!$K$2703,"",INDEX('10_events'!$C$2:$C$2703,$H367))</x:f>
      </x:c>
      <x:c r="D367" t="str">
        <x:f>IF(366&gt;'10_events'!$K$2703,"",INDEX('10_events'!$F$2:$F$2703,$H367))</x:f>
      </x:c>
      <x:c r="E367" t="str">
        <x:f>IF(366&gt;'10_events'!$K$2703,"",INDEX('10_events'!$G$2:$G$2703,$H367))</x:f>
      </x:c>
      <x:c r="F367" t="str">
        <x:f>IF(366&gt;'10_events'!$K$2703,"",INDEX('10_events'!$H$2:$H$2703,$H367))</x:f>
      </x:c>
      <x:c r="G367" s="16" t="str">
        <x:f>IF(366&gt;'10_events'!$K$2703,"",INDEX('10_events'!$I$2:$I$2703,$H367))</x:f>
      </x:c>
      <x:c r="H367" t="n">
        <x:f>IF(366&gt;'10_events'!$K$2703,0,MATCH(366,'10_events'!$J$2:$J$2703,0))</x:f>
        <x:v>0</x:v>
      </x:c>
    </x:row>
    <x:row r="368" ht="25" customHeight="1">
      <x:c r="A368" t="str">
        <x:f>IF(367&gt;'10_events'!$K$2703,"",INDEX('10_events'!$A$2:$A$2703,$H368))</x:f>
      </x:c>
      <x:c r="B368" t="str">
        <x:f>IF(367&gt;'10_events'!$K$2703,"",INDEX('10_events'!$B$2:$B$2703,$H368))</x:f>
      </x:c>
      <x:c r="C368" t="str">
        <x:f>IF(367&gt;'10_events'!$K$2703,"",INDEX('10_events'!$C$2:$C$2703,$H368))</x:f>
      </x:c>
      <x:c r="D368" t="str">
        <x:f>IF(367&gt;'10_events'!$K$2703,"",INDEX('10_events'!$F$2:$F$2703,$H368))</x:f>
      </x:c>
      <x:c r="E368" t="str">
        <x:f>IF(367&gt;'10_events'!$K$2703,"",INDEX('10_events'!$G$2:$G$2703,$H368))</x:f>
      </x:c>
      <x:c r="F368" t="str">
        <x:f>IF(367&gt;'10_events'!$K$2703,"",INDEX('10_events'!$H$2:$H$2703,$H368))</x:f>
      </x:c>
      <x:c r="G368" s="16" t="str">
        <x:f>IF(367&gt;'10_events'!$K$2703,"",INDEX('10_events'!$I$2:$I$2703,$H368))</x:f>
      </x:c>
      <x:c r="H368" t="n">
        <x:f>IF(367&gt;'10_events'!$K$2703,0,MATCH(367,'10_events'!$J$2:$J$2703,0))</x:f>
        <x:v>0</x:v>
      </x:c>
    </x:row>
    <x:row r="369" ht="25" customHeight="1">
      <x:c r="A369" t="str">
        <x:f>IF(368&gt;'10_events'!$K$2703,"",INDEX('10_events'!$A$2:$A$2703,$H369))</x:f>
      </x:c>
      <x:c r="B369" t="str">
        <x:f>IF(368&gt;'10_events'!$K$2703,"",INDEX('10_events'!$B$2:$B$2703,$H369))</x:f>
      </x:c>
      <x:c r="C369" t="str">
        <x:f>IF(368&gt;'10_events'!$K$2703,"",INDEX('10_events'!$C$2:$C$2703,$H369))</x:f>
      </x:c>
      <x:c r="D369" t="str">
        <x:f>IF(368&gt;'10_events'!$K$2703,"",INDEX('10_events'!$F$2:$F$2703,$H369))</x:f>
      </x:c>
      <x:c r="E369" t="str">
        <x:f>IF(368&gt;'10_events'!$K$2703,"",INDEX('10_events'!$G$2:$G$2703,$H369))</x:f>
      </x:c>
      <x:c r="F369" t="str">
        <x:f>IF(368&gt;'10_events'!$K$2703,"",INDEX('10_events'!$H$2:$H$2703,$H369))</x:f>
      </x:c>
      <x:c r="G369" s="16" t="str">
        <x:f>IF(368&gt;'10_events'!$K$2703,"",INDEX('10_events'!$I$2:$I$2703,$H369))</x:f>
      </x:c>
      <x:c r="H369" t="n">
        <x:f>IF(368&gt;'10_events'!$K$2703,0,MATCH(368,'10_events'!$J$2:$J$2703,0))</x:f>
        <x:v>0</x:v>
      </x:c>
    </x:row>
    <x:row r="370" ht="25" customHeight="1">
      <x:c r="A370" t="str">
        <x:f>IF(369&gt;'10_events'!$K$2703,"",INDEX('10_events'!$A$2:$A$2703,$H370))</x:f>
      </x:c>
      <x:c r="B370" t="str">
        <x:f>IF(369&gt;'10_events'!$K$2703,"",INDEX('10_events'!$B$2:$B$2703,$H370))</x:f>
      </x:c>
      <x:c r="C370" t="str">
        <x:f>IF(369&gt;'10_events'!$K$2703,"",INDEX('10_events'!$C$2:$C$2703,$H370))</x:f>
      </x:c>
      <x:c r="D370" t="str">
        <x:f>IF(369&gt;'10_events'!$K$2703,"",INDEX('10_events'!$F$2:$F$2703,$H370))</x:f>
      </x:c>
      <x:c r="E370" t="str">
        <x:f>IF(369&gt;'10_events'!$K$2703,"",INDEX('10_events'!$G$2:$G$2703,$H370))</x:f>
      </x:c>
      <x:c r="F370" t="str">
        <x:f>IF(369&gt;'10_events'!$K$2703,"",INDEX('10_events'!$H$2:$H$2703,$H370))</x:f>
      </x:c>
      <x:c r="G370" s="16" t="str">
        <x:f>IF(369&gt;'10_events'!$K$2703,"",INDEX('10_events'!$I$2:$I$2703,$H370))</x:f>
      </x:c>
      <x:c r="H370" t="n">
        <x:f>IF(369&gt;'10_events'!$K$2703,0,MATCH(369,'10_events'!$J$2:$J$2703,0))</x:f>
        <x:v>0</x:v>
      </x:c>
    </x:row>
    <x:row r="371" ht="25" customHeight="1">
      <x:c r="A371" t="str">
        <x:f>IF(370&gt;'10_events'!$K$2703,"",INDEX('10_events'!$A$2:$A$2703,$H371))</x:f>
      </x:c>
      <x:c r="B371" t="str">
        <x:f>IF(370&gt;'10_events'!$K$2703,"",INDEX('10_events'!$B$2:$B$2703,$H371))</x:f>
      </x:c>
      <x:c r="C371" t="str">
        <x:f>IF(370&gt;'10_events'!$K$2703,"",INDEX('10_events'!$C$2:$C$2703,$H371))</x:f>
      </x:c>
      <x:c r="D371" t="str">
        <x:f>IF(370&gt;'10_events'!$K$2703,"",INDEX('10_events'!$F$2:$F$2703,$H371))</x:f>
      </x:c>
      <x:c r="E371" t="str">
        <x:f>IF(370&gt;'10_events'!$K$2703,"",INDEX('10_events'!$G$2:$G$2703,$H371))</x:f>
      </x:c>
      <x:c r="F371" t="str">
        <x:f>IF(370&gt;'10_events'!$K$2703,"",INDEX('10_events'!$H$2:$H$2703,$H371))</x:f>
      </x:c>
      <x:c r="G371" s="16" t="str">
        <x:f>IF(370&gt;'10_events'!$K$2703,"",INDEX('10_events'!$I$2:$I$2703,$H371))</x:f>
      </x:c>
      <x:c r="H371" t="n">
        <x:f>IF(370&gt;'10_events'!$K$2703,0,MATCH(370,'10_events'!$J$2:$J$2703,0))</x:f>
        <x:v>0</x:v>
      </x:c>
    </x:row>
    <x:row r="372" ht="25" customHeight="1">
      <x:c r="A372" t="str">
        <x:f>IF(371&gt;'10_events'!$K$2703,"",INDEX('10_events'!$A$2:$A$2703,$H372))</x:f>
      </x:c>
      <x:c r="B372" t="str">
        <x:f>IF(371&gt;'10_events'!$K$2703,"",INDEX('10_events'!$B$2:$B$2703,$H372))</x:f>
      </x:c>
      <x:c r="C372" t="str">
        <x:f>IF(371&gt;'10_events'!$K$2703,"",INDEX('10_events'!$C$2:$C$2703,$H372))</x:f>
      </x:c>
      <x:c r="D372" t="str">
        <x:f>IF(371&gt;'10_events'!$K$2703,"",INDEX('10_events'!$F$2:$F$2703,$H372))</x:f>
      </x:c>
      <x:c r="E372" t="str">
        <x:f>IF(371&gt;'10_events'!$K$2703,"",INDEX('10_events'!$G$2:$G$2703,$H372))</x:f>
      </x:c>
      <x:c r="F372" t="str">
        <x:f>IF(371&gt;'10_events'!$K$2703,"",INDEX('10_events'!$H$2:$H$2703,$H372))</x:f>
      </x:c>
      <x:c r="G372" s="16" t="str">
        <x:f>IF(371&gt;'10_events'!$K$2703,"",INDEX('10_events'!$I$2:$I$2703,$H372))</x:f>
      </x:c>
      <x:c r="H372" t="n">
        <x:f>IF(371&gt;'10_events'!$K$2703,0,MATCH(371,'10_events'!$J$2:$J$2703,0))</x:f>
        <x:v>0</x:v>
      </x:c>
    </x:row>
    <x:row r="373" ht="25" customHeight="1">
      <x:c r="A373" t="str">
        <x:f>IF(372&gt;'10_events'!$K$2703,"",INDEX('10_events'!$A$2:$A$2703,$H373))</x:f>
      </x:c>
      <x:c r="B373" t="str">
        <x:f>IF(372&gt;'10_events'!$K$2703,"",INDEX('10_events'!$B$2:$B$2703,$H373))</x:f>
      </x:c>
      <x:c r="C373" t="str">
        <x:f>IF(372&gt;'10_events'!$K$2703,"",INDEX('10_events'!$C$2:$C$2703,$H373))</x:f>
      </x:c>
      <x:c r="D373" t="str">
        <x:f>IF(372&gt;'10_events'!$K$2703,"",INDEX('10_events'!$F$2:$F$2703,$H373))</x:f>
      </x:c>
      <x:c r="E373" t="str">
        <x:f>IF(372&gt;'10_events'!$K$2703,"",INDEX('10_events'!$G$2:$G$2703,$H373))</x:f>
      </x:c>
      <x:c r="F373" t="str">
        <x:f>IF(372&gt;'10_events'!$K$2703,"",INDEX('10_events'!$H$2:$H$2703,$H373))</x:f>
      </x:c>
      <x:c r="G373" s="16" t="str">
        <x:f>IF(372&gt;'10_events'!$K$2703,"",INDEX('10_events'!$I$2:$I$2703,$H373))</x:f>
      </x:c>
      <x:c r="H373" t="n">
        <x:f>IF(372&gt;'10_events'!$K$2703,0,MATCH(372,'10_events'!$J$2:$J$2703,0))</x:f>
        <x:v>0</x:v>
      </x:c>
    </x:row>
    <x:row r="374" ht="25" customHeight="1">
      <x:c r="A374" t="str">
        <x:f>IF(373&gt;'10_events'!$K$2703,"",INDEX('10_events'!$A$2:$A$2703,$H374))</x:f>
      </x:c>
      <x:c r="B374" t="str">
        <x:f>IF(373&gt;'10_events'!$K$2703,"",INDEX('10_events'!$B$2:$B$2703,$H374))</x:f>
      </x:c>
      <x:c r="C374" t="str">
        <x:f>IF(373&gt;'10_events'!$K$2703,"",INDEX('10_events'!$C$2:$C$2703,$H374))</x:f>
      </x:c>
      <x:c r="D374" t="str">
        <x:f>IF(373&gt;'10_events'!$K$2703,"",INDEX('10_events'!$F$2:$F$2703,$H374))</x:f>
      </x:c>
      <x:c r="E374" t="str">
        <x:f>IF(373&gt;'10_events'!$K$2703,"",INDEX('10_events'!$G$2:$G$2703,$H374))</x:f>
      </x:c>
      <x:c r="F374" t="str">
        <x:f>IF(373&gt;'10_events'!$K$2703,"",INDEX('10_events'!$H$2:$H$2703,$H374))</x:f>
      </x:c>
      <x:c r="G374" s="16" t="str">
        <x:f>IF(373&gt;'10_events'!$K$2703,"",INDEX('10_events'!$I$2:$I$2703,$H374))</x:f>
      </x:c>
      <x:c r="H374" t="n">
        <x:f>IF(373&gt;'10_events'!$K$2703,0,MATCH(373,'10_events'!$J$2:$J$2703,0))</x:f>
        <x:v>0</x:v>
      </x:c>
    </x:row>
    <x:row r="375" ht="25" customHeight="1">
      <x:c r="A375" t="str">
        <x:f>IF(374&gt;'10_events'!$K$2703,"",INDEX('10_events'!$A$2:$A$2703,$H375))</x:f>
      </x:c>
      <x:c r="B375" t="str">
        <x:f>IF(374&gt;'10_events'!$K$2703,"",INDEX('10_events'!$B$2:$B$2703,$H375))</x:f>
      </x:c>
      <x:c r="C375" t="str">
        <x:f>IF(374&gt;'10_events'!$K$2703,"",INDEX('10_events'!$C$2:$C$2703,$H375))</x:f>
      </x:c>
      <x:c r="D375" t="str">
        <x:f>IF(374&gt;'10_events'!$K$2703,"",INDEX('10_events'!$F$2:$F$2703,$H375))</x:f>
      </x:c>
      <x:c r="E375" t="str">
        <x:f>IF(374&gt;'10_events'!$K$2703,"",INDEX('10_events'!$G$2:$G$2703,$H375))</x:f>
      </x:c>
      <x:c r="F375" t="str">
        <x:f>IF(374&gt;'10_events'!$K$2703,"",INDEX('10_events'!$H$2:$H$2703,$H375))</x:f>
      </x:c>
      <x:c r="G375" s="16" t="str">
        <x:f>IF(374&gt;'10_events'!$K$2703,"",INDEX('10_events'!$I$2:$I$2703,$H375))</x:f>
      </x:c>
      <x:c r="H375" t="n">
        <x:f>IF(374&gt;'10_events'!$K$2703,0,MATCH(374,'10_events'!$J$2:$J$2703,0))</x:f>
        <x:v>0</x:v>
      </x:c>
    </x:row>
    <x:row r="376" ht="25" customHeight="1">
      <x:c r="A376" t="str">
        <x:f>IF(375&gt;'10_events'!$K$2703,"",INDEX('10_events'!$A$2:$A$2703,$H376))</x:f>
      </x:c>
      <x:c r="B376" t="str">
        <x:f>IF(375&gt;'10_events'!$K$2703,"",INDEX('10_events'!$B$2:$B$2703,$H376))</x:f>
      </x:c>
      <x:c r="C376" t="str">
        <x:f>IF(375&gt;'10_events'!$K$2703,"",INDEX('10_events'!$C$2:$C$2703,$H376))</x:f>
      </x:c>
      <x:c r="D376" t="str">
        <x:f>IF(375&gt;'10_events'!$K$2703,"",INDEX('10_events'!$F$2:$F$2703,$H376))</x:f>
      </x:c>
      <x:c r="E376" t="str">
        <x:f>IF(375&gt;'10_events'!$K$2703,"",INDEX('10_events'!$G$2:$G$2703,$H376))</x:f>
      </x:c>
      <x:c r="F376" t="str">
        <x:f>IF(375&gt;'10_events'!$K$2703,"",INDEX('10_events'!$H$2:$H$2703,$H376))</x:f>
      </x:c>
      <x:c r="G376" s="16" t="str">
        <x:f>IF(375&gt;'10_events'!$K$2703,"",INDEX('10_events'!$I$2:$I$2703,$H376))</x:f>
      </x:c>
      <x:c r="H376" t="n">
        <x:f>IF(375&gt;'10_events'!$K$2703,0,MATCH(375,'10_events'!$J$2:$J$2703,0))</x:f>
        <x:v>0</x:v>
      </x:c>
    </x:row>
    <x:row r="377" ht="25" customHeight="1">
      <x:c r="A377" t="str">
        <x:f>IF(376&gt;'10_events'!$K$2703,"",INDEX('10_events'!$A$2:$A$2703,$H377))</x:f>
      </x:c>
      <x:c r="B377" t="str">
        <x:f>IF(376&gt;'10_events'!$K$2703,"",INDEX('10_events'!$B$2:$B$2703,$H377))</x:f>
      </x:c>
      <x:c r="C377" t="str">
        <x:f>IF(376&gt;'10_events'!$K$2703,"",INDEX('10_events'!$C$2:$C$2703,$H377))</x:f>
      </x:c>
      <x:c r="D377" t="str">
        <x:f>IF(376&gt;'10_events'!$K$2703,"",INDEX('10_events'!$F$2:$F$2703,$H377))</x:f>
      </x:c>
      <x:c r="E377" t="str">
        <x:f>IF(376&gt;'10_events'!$K$2703,"",INDEX('10_events'!$G$2:$G$2703,$H377))</x:f>
      </x:c>
      <x:c r="F377" t="str">
        <x:f>IF(376&gt;'10_events'!$K$2703,"",INDEX('10_events'!$H$2:$H$2703,$H377))</x:f>
      </x:c>
      <x:c r="G377" s="16" t="str">
        <x:f>IF(376&gt;'10_events'!$K$2703,"",INDEX('10_events'!$I$2:$I$2703,$H377))</x:f>
      </x:c>
      <x:c r="H377" t="n">
        <x:f>IF(376&gt;'10_events'!$K$2703,0,MATCH(376,'10_events'!$J$2:$J$2703,0))</x:f>
        <x:v>0</x:v>
      </x:c>
    </x:row>
    <x:row r="378" ht="25" customHeight="1">
      <x:c r="A378" t="str">
        <x:f>IF(377&gt;'10_events'!$K$2703,"",INDEX('10_events'!$A$2:$A$2703,$H378))</x:f>
      </x:c>
      <x:c r="B378" t="str">
        <x:f>IF(377&gt;'10_events'!$K$2703,"",INDEX('10_events'!$B$2:$B$2703,$H378))</x:f>
      </x:c>
      <x:c r="C378" t="str">
        <x:f>IF(377&gt;'10_events'!$K$2703,"",INDEX('10_events'!$C$2:$C$2703,$H378))</x:f>
      </x:c>
      <x:c r="D378" t="str">
        <x:f>IF(377&gt;'10_events'!$K$2703,"",INDEX('10_events'!$F$2:$F$2703,$H378))</x:f>
      </x:c>
      <x:c r="E378" t="str">
        <x:f>IF(377&gt;'10_events'!$K$2703,"",INDEX('10_events'!$G$2:$G$2703,$H378))</x:f>
      </x:c>
      <x:c r="F378" t="str">
        <x:f>IF(377&gt;'10_events'!$K$2703,"",INDEX('10_events'!$H$2:$H$2703,$H378))</x:f>
      </x:c>
      <x:c r="G378" s="16" t="str">
        <x:f>IF(377&gt;'10_events'!$K$2703,"",INDEX('10_events'!$I$2:$I$2703,$H378))</x:f>
      </x:c>
      <x:c r="H378" t="n">
        <x:f>IF(377&gt;'10_events'!$K$2703,0,MATCH(377,'10_events'!$J$2:$J$2703,0))</x:f>
        <x:v>0</x:v>
      </x:c>
    </x:row>
    <x:row r="379" ht="25" customHeight="1">
      <x:c r="A379" t="str">
        <x:f>IF(378&gt;'10_events'!$K$2703,"",INDEX('10_events'!$A$2:$A$2703,$H379))</x:f>
      </x:c>
      <x:c r="B379" t="str">
        <x:f>IF(378&gt;'10_events'!$K$2703,"",INDEX('10_events'!$B$2:$B$2703,$H379))</x:f>
      </x:c>
      <x:c r="C379" t="str">
        <x:f>IF(378&gt;'10_events'!$K$2703,"",INDEX('10_events'!$C$2:$C$2703,$H379))</x:f>
      </x:c>
      <x:c r="D379" t="str">
        <x:f>IF(378&gt;'10_events'!$K$2703,"",INDEX('10_events'!$F$2:$F$2703,$H379))</x:f>
      </x:c>
      <x:c r="E379" t="str">
        <x:f>IF(378&gt;'10_events'!$K$2703,"",INDEX('10_events'!$G$2:$G$2703,$H379))</x:f>
      </x:c>
      <x:c r="F379" t="str">
        <x:f>IF(378&gt;'10_events'!$K$2703,"",INDEX('10_events'!$H$2:$H$2703,$H379))</x:f>
      </x:c>
      <x:c r="G379" s="16" t="str">
        <x:f>IF(378&gt;'10_events'!$K$2703,"",INDEX('10_events'!$I$2:$I$2703,$H379))</x:f>
      </x:c>
      <x:c r="H379" t="n">
        <x:f>IF(378&gt;'10_events'!$K$2703,0,MATCH(378,'10_events'!$J$2:$J$2703,0))</x:f>
        <x:v>0</x:v>
      </x:c>
    </x:row>
    <x:row r="380" ht="25" customHeight="1">
      <x:c r="A380" t="str">
        <x:f>IF(379&gt;'10_events'!$K$2703,"",INDEX('10_events'!$A$2:$A$2703,$H380))</x:f>
      </x:c>
      <x:c r="B380" t="str">
        <x:f>IF(379&gt;'10_events'!$K$2703,"",INDEX('10_events'!$B$2:$B$2703,$H380))</x:f>
      </x:c>
      <x:c r="C380" t="str">
        <x:f>IF(379&gt;'10_events'!$K$2703,"",INDEX('10_events'!$C$2:$C$2703,$H380))</x:f>
      </x:c>
      <x:c r="D380" t="str">
        <x:f>IF(379&gt;'10_events'!$K$2703,"",INDEX('10_events'!$F$2:$F$2703,$H380))</x:f>
      </x:c>
      <x:c r="E380" t="str">
        <x:f>IF(379&gt;'10_events'!$K$2703,"",INDEX('10_events'!$G$2:$G$2703,$H380))</x:f>
      </x:c>
      <x:c r="F380" t="str">
        <x:f>IF(379&gt;'10_events'!$K$2703,"",INDEX('10_events'!$H$2:$H$2703,$H380))</x:f>
      </x:c>
      <x:c r="G380" s="16" t="str">
        <x:f>IF(379&gt;'10_events'!$K$2703,"",INDEX('10_events'!$I$2:$I$2703,$H380))</x:f>
      </x:c>
      <x:c r="H380" t="n">
        <x:f>IF(379&gt;'10_events'!$K$2703,0,MATCH(379,'10_events'!$J$2:$J$2703,0))</x:f>
        <x:v>0</x:v>
      </x:c>
    </x:row>
    <x:row r="381" ht="25" customHeight="1">
      <x:c r="A381" t="str">
        <x:f>IF(380&gt;'10_events'!$K$2703,"",INDEX('10_events'!$A$2:$A$2703,$H381))</x:f>
      </x:c>
      <x:c r="B381" t="str">
        <x:f>IF(380&gt;'10_events'!$K$2703,"",INDEX('10_events'!$B$2:$B$2703,$H381))</x:f>
      </x:c>
      <x:c r="C381" t="str">
        <x:f>IF(380&gt;'10_events'!$K$2703,"",INDEX('10_events'!$C$2:$C$2703,$H381))</x:f>
      </x:c>
      <x:c r="D381" t="str">
        <x:f>IF(380&gt;'10_events'!$K$2703,"",INDEX('10_events'!$F$2:$F$2703,$H381))</x:f>
      </x:c>
      <x:c r="E381" t="str">
        <x:f>IF(380&gt;'10_events'!$K$2703,"",INDEX('10_events'!$G$2:$G$2703,$H381))</x:f>
      </x:c>
      <x:c r="F381" t="str">
        <x:f>IF(380&gt;'10_events'!$K$2703,"",INDEX('10_events'!$H$2:$H$2703,$H381))</x:f>
      </x:c>
      <x:c r="G381" s="16" t="str">
        <x:f>IF(380&gt;'10_events'!$K$2703,"",INDEX('10_events'!$I$2:$I$2703,$H381))</x:f>
      </x:c>
      <x:c r="H381" t="n">
        <x:f>IF(380&gt;'10_events'!$K$2703,0,MATCH(380,'10_events'!$J$2:$J$2703,0))</x:f>
        <x:v>0</x:v>
      </x:c>
    </x:row>
    <x:row r="382" ht="25" customHeight="1">
      <x:c r="A382" t="str">
        <x:f>IF(381&gt;'10_events'!$K$2703,"",INDEX('10_events'!$A$2:$A$2703,$H382))</x:f>
      </x:c>
      <x:c r="B382" t="str">
        <x:f>IF(381&gt;'10_events'!$K$2703,"",INDEX('10_events'!$B$2:$B$2703,$H382))</x:f>
      </x:c>
      <x:c r="C382" t="str">
        <x:f>IF(381&gt;'10_events'!$K$2703,"",INDEX('10_events'!$C$2:$C$2703,$H382))</x:f>
      </x:c>
      <x:c r="D382" t="str">
        <x:f>IF(381&gt;'10_events'!$K$2703,"",INDEX('10_events'!$F$2:$F$2703,$H382))</x:f>
      </x:c>
      <x:c r="E382" t="str">
        <x:f>IF(381&gt;'10_events'!$K$2703,"",INDEX('10_events'!$G$2:$G$2703,$H382))</x:f>
      </x:c>
      <x:c r="F382" t="str">
        <x:f>IF(381&gt;'10_events'!$K$2703,"",INDEX('10_events'!$H$2:$H$2703,$H382))</x:f>
      </x:c>
      <x:c r="G382" s="16" t="str">
        <x:f>IF(381&gt;'10_events'!$K$2703,"",INDEX('10_events'!$I$2:$I$2703,$H382))</x:f>
      </x:c>
      <x:c r="H382" t="n">
        <x:f>IF(381&gt;'10_events'!$K$2703,0,MATCH(381,'10_events'!$J$2:$J$2703,0))</x:f>
        <x:v>0</x:v>
      </x:c>
    </x:row>
    <x:row r="383" ht="25" customHeight="1">
      <x:c r="A383" t="str">
        <x:f>IF(382&gt;'10_events'!$K$2703,"",INDEX('10_events'!$A$2:$A$2703,$H383))</x:f>
      </x:c>
      <x:c r="B383" t="str">
        <x:f>IF(382&gt;'10_events'!$K$2703,"",INDEX('10_events'!$B$2:$B$2703,$H383))</x:f>
      </x:c>
      <x:c r="C383" t="str">
        <x:f>IF(382&gt;'10_events'!$K$2703,"",INDEX('10_events'!$C$2:$C$2703,$H383))</x:f>
      </x:c>
      <x:c r="D383" t="str">
        <x:f>IF(382&gt;'10_events'!$K$2703,"",INDEX('10_events'!$F$2:$F$2703,$H383))</x:f>
      </x:c>
      <x:c r="E383" t="str">
        <x:f>IF(382&gt;'10_events'!$K$2703,"",INDEX('10_events'!$G$2:$G$2703,$H383))</x:f>
      </x:c>
      <x:c r="F383" t="str">
        <x:f>IF(382&gt;'10_events'!$K$2703,"",INDEX('10_events'!$H$2:$H$2703,$H383))</x:f>
      </x:c>
      <x:c r="G383" s="16" t="str">
        <x:f>IF(382&gt;'10_events'!$K$2703,"",INDEX('10_events'!$I$2:$I$2703,$H383))</x:f>
      </x:c>
      <x:c r="H383" t="n">
        <x:f>IF(382&gt;'10_events'!$K$2703,0,MATCH(382,'10_events'!$J$2:$J$2703,0))</x:f>
        <x:v>0</x:v>
      </x:c>
    </x:row>
    <x:row r="384" ht="25" customHeight="1">
      <x:c r="A384" t="str">
        <x:f>IF(383&gt;'10_events'!$K$2703,"",INDEX('10_events'!$A$2:$A$2703,$H384))</x:f>
      </x:c>
      <x:c r="B384" t="str">
        <x:f>IF(383&gt;'10_events'!$K$2703,"",INDEX('10_events'!$B$2:$B$2703,$H384))</x:f>
      </x:c>
      <x:c r="C384" t="str">
        <x:f>IF(383&gt;'10_events'!$K$2703,"",INDEX('10_events'!$C$2:$C$2703,$H384))</x:f>
      </x:c>
      <x:c r="D384" t="str">
        <x:f>IF(383&gt;'10_events'!$K$2703,"",INDEX('10_events'!$F$2:$F$2703,$H384))</x:f>
      </x:c>
      <x:c r="E384" t="str">
        <x:f>IF(383&gt;'10_events'!$K$2703,"",INDEX('10_events'!$G$2:$G$2703,$H384))</x:f>
      </x:c>
      <x:c r="F384" t="str">
        <x:f>IF(383&gt;'10_events'!$K$2703,"",INDEX('10_events'!$H$2:$H$2703,$H384))</x:f>
      </x:c>
      <x:c r="G384" s="16" t="str">
        <x:f>IF(383&gt;'10_events'!$K$2703,"",INDEX('10_events'!$I$2:$I$2703,$H384))</x:f>
      </x:c>
      <x:c r="H384" t="n">
        <x:f>IF(383&gt;'10_events'!$K$2703,0,MATCH(383,'10_events'!$J$2:$J$2703,0))</x:f>
        <x:v>0</x:v>
      </x:c>
    </x:row>
    <x:row r="385" ht="25" customHeight="1">
      <x:c r="A385" t="str">
        <x:f>IF(384&gt;'10_events'!$K$2703,"",INDEX('10_events'!$A$2:$A$2703,$H385))</x:f>
      </x:c>
      <x:c r="B385" t="str">
        <x:f>IF(384&gt;'10_events'!$K$2703,"",INDEX('10_events'!$B$2:$B$2703,$H385))</x:f>
      </x:c>
      <x:c r="C385" t="str">
        <x:f>IF(384&gt;'10_events'!$K$2703,"",INDEX('10_events'!$C$2:$C$2703,$H385))</x:f>
      </x:c>
      <x:c r="D385" t="str">
        <x:f>IF(384&gt;'10_events'!$K$2703,"",INDEX('10_events'!$F$2:$F$2703,$H385))</x:f>
      </x:c>
      <x:c r="E385" t="str">
        <x:f>IF(384&gt;'10_events'!$K$2703,"",INDEX('10_events'!$G$2:$G$2703,$H385))</x:f>
      </x:c>
      <x:c r="F385" t="str">
        <x:f>IF(384&gt;'10_events'!$K$2703,"",INDEX('10_events'!$H$2:$H$2703,$H385))</x:f>
      </x:c>
      <x:c r="G385" s="16" t="str">
        <x:f>IF(384&gt;'10_events'!$K$2703,"",INDEX('10_events'!$I$2:$I$2703,$H385))</x:f>
      </x:c>
      <x:c r="H385" t="n">
        <x:f>IF(384&gt;'10_events'!$K$2703,0,MATCH(384,'10_events'!$J$2:$J$2703,0))</x:f>
        <x:v>0</x:v>
      </x:c>
    </x:row>
    <x:row r="386" ht="25" customHeight="1">
      <x:c r="A386" t="str">
        <x:f>IF(385&gt;'10_events'!$K$2703,"",INDEX('10_events'!$A$2:$A$2703,$H386))</x:f>
      </x:c>
      <x:c r="B386" t="str">
        <x:f>IF(385&gt;'10_events'!$K$2703,"",INDEX('10_events'!$B$2:$B$2703,$H386))</x:f>
      </x:c>
      <x:c r="C386" t="str">
        <x:f>IF(385&gt;'10_events'!$K$2703,"",INDEX('10_events'!$C$2:$C$2703,$H386))</x:f>
      </x:c>
      <x:c r="D386" t="str">
        <x:f>IF(385&gt;'10_events'!$K$2703,"",INDEX('10_events'!$F$2:$F$2703,$H386))</x:f>
      </x:c>
      <x:c r="E386" t="str">
        <x:f>IF(385&gt;'10_events'!$K$2703,"",INDEX('10_events'!$G$2:$G$2703,$H386))</x:f>
      </x:c>
      <x:c r="F386" t="str">
        <x:f>IF(385&gt;'10_events'!$K$2703,"",INDEX('10_events'!$H$2:$H$2703,$H386))</x:f>
      </x:c>
      <x:c r="G386" s="16" t="str">
        <x:f>IF(385&gt;'10_events'!$K$2703,"",INDEX('10_events'!$I$2:$I$2703,$H386))</x:f>
      </x:c>
      <x:c r="H386" t="n">
        <x:f>IF(385&gt;'10_events'!$K$2703,0,MATCH(385,'10_events'!$J$2:$J$2703,0))</x:f>
        <x:v>0</x:v>
      </x:c>
    </x:row>
    <x:row r="387" ht="25" customHeight="1">
      <x:c r="A387" t="str">
        <x:f>IF(386&gt;'10_events'!$K$2703,"",INDEX('10_events'!$A$2:$A$2703,$H387))</x:f>
      </x:c>
      <x:c r="B387" t="str">
        <x:f>IF(386&gt;'10_events'!$K$2703,"",INDEX('10_events'!$B$2:$B$2703,$H387))</x:f>
      </x:c>
      <x:c r="C387" t="str">
        <x:f>IF(386&gt;'10_events'!$K$2703,"",INDEX('10_events'!$C$2:$C$2703,$H387))</x:f>
      </x:c>
      <x:c r="D387" t="str">
        <x:f>IF(386&gt;'10_events'!$K$2703,"",INDEX('10_events'!$F$2:$F$2703,$H387))</x:f>
      </x:c>
      <x:c r="E387" t="str">
        <x:f>IF(386&gt;'10_events'!$K$2703,"",INDEX('10_events'!$G$2:$G$2703,$H387))</x:f>
      </x:c>
      <x:c r="F387" t="str">
        <x:f>IF(386&gt;'10_events'!$K$2703,"",INDEX('10_events'!$H$2:$H$2703,$H387))</x:f>
      </x:c>
      <x:c r="G387" s="16" t="str">
        <x:f>IF(386&gt;'10_events'!$K$2703,"",INDEX('10_events'!$I$2:$I$2703,$H387))</x:f>
      </x:c>
      <x:c r="H387" t="n">
        <x:f>IF(386&gt;'10_events'!$K$2703,0,MATCH(386,'10_events'!$J$2:$J$2703,0))</x:f>
        <x:v>0</x:v>
      </x:c>
    </x:row>
    <x:row r="388" ht="25" customHeight="1">
      <x:c r="A388" t="str">
        <x:f>IF(387&gt;'10_events'!$K$2703,"",INDEX('10_events'!$A$2:$A$2703,$H388))</x:f>
      </x:c>
      <x:c r="B388" t="str">
        <x:f>IF(387&gt;'10_events'!$K$2703,"",INDEX('10_events'!$B$2:$B$2703,$H388))</x:f>
      </x:c>
      <x:c r="C388" t="str">
        <x:f>IF(387&gt;'10_events'!$K$2703,"",INDEX('10_events'!$C$2:$C$2703,$H388))</x:f>
      </x:c>
      <x:c r="D388" t="str">
        <x:f>IF(387&gt;'10_events'!$K$2703,"",INDEX('10_events'!$F$2:$F$2703,$H388))</x:f>
      </x:c>
      <x:c r="E388" t="str">
        <x:f>IF(387&gt;'10_events'!$K$2703,"",INDEX('10_events'!$G$2:$G$2703,$H388))</x:f>
      </x:c>
      <x:c r="F388" t="str">
        <x:f>IF(387&gt;'10_events'!$K$2703,"",INDEX('10_events'!$H$2:$H$2703,$H388))</x:f>
      </x:c>
      <x:c r="G388" s="16" t="str">
        <x:f>IF(387&gt;'10_events'!$K$2703,"",INDEX('10_events'!$I$2:$I$2703,$H388))</x:f>
      </x:c>
      <x:c r="H388" t="n">
        <x:f>IF(387&gt;'10_events'!$K$2703,0,MATCH(387,'10_events'!$J$2:$J$2703,0))</x:f>
        <x:v>0</x:v>
      </x:c>
    </x:row>
    <x:row r="389" ht="25" customHeight="1">
      <x:c r="A389" t="str">
        <x:f>IF(388&gt;'10_events'!$K$2703,"",INDEX('10_events'!$A$2:$A$2703,$H389))</x:f>
      </x:c>
      <x:c r="B389" t="str">
        <x:f>IF(388&gt;'10_events'!$K$2703,"",INDEX('10_events'!$B$2:$B$2703,$H389))</x:f>
      </x:c>
      <x:c r="C389" t="str">
        <x:f>IF(388&gt;'10_events'!$K$2703,"",INDEX('10_events'!$C$2:$C$2703,$H389))</x:f>
      </x:c>
      <x:c r="D389" t="str">
        <x:f>IF(388&gt;'10_events'!$K$2703,"",INDEX('10_events'!$F$2:$F$2703,$H389))</x:f>
      </x:c>
      <x:c r="E389" t="str">
        <x:f>IF(388&gt;'10_events'!$K$2703,"",INDEX('10_events'!$G$2:$G$2703,$H389))</x:f>
      </x:c>
      <x:c r="F389" t="str">
        <x:f>IF(388&gt;'10_events'!$K$2703,"",INDEX('10_events'!$H$2:$H$2703,$H389))</x:f>
      </x:c>
      <x:c r="G389" s="16" t="str">
        <x:f>IF(388&gt;'10_events'!$K$2703,"",INDEX('10_events'!$I$2:$I$2703,$H389))</x:f>
      </x:c>
      <x:c r="H389" t="n">
        <x:f>IF(388&gt;'10_events'!$K$2703,0,MATCH(388,'10_events'!$J$2:$J$2703,0))</x:f>
        <x:v>0</x:v>
      </x:c>
    </x:row>
    <x:row r="390" ht="25" customHeight="1">
      <x:c r="A390" t="str">
        <x:f>IF(389&gt;'10_events'!$K$2703,"",INDEX('10_events'!$A$2:$A$2703,$H390))</x:f>
      </x:c>
      <x:c r="B390" t="str">
        <x:f>IF(389&gt;'10_events'!$K$2703,"",INDEX('10_events'!$B$2:$B$2703,$H390))</x:f>
      </x:c>
      <x:c r="C390" t="str">
        <x:f>IF(389&gt;'10_events'!$K$2703,"",INDEX('10_events'!$C$2:$C$2703,$H390))</x:f>
      </x:c>
      <x:c r="D390" t="str">
        <x:f>IF(389&gt;'10_events'!$K$2703,"",INDEX('10_events'!$F$2:$F$2703,$H390))</x:f>
      </x:c>
      <x:c r="E390" t="str">
        <x:f>IF(389&gt;'10_events'!$K$2703,"",INDEX('10_events'!$G$2:$G$2703,$H390))</x:f>
      </x:c>
      <x:c r="F390" t="str">
        <x:f>IF(389&gt;'10_events'!$K$2703,"",INDEX('10_events'!$H$2:$H$2703,$H390))</x:f>
      </x:c>
      <x:c r="G390" s="16" t="str">
        <x:f>IF(389&gt;'10_events'!$K$2703,"",INDEX('10_events'!$I$2:$I$2703,$H390))</x:f>
      </x:c>
      <x:c r="H390" t="n">
        <x:f>IF(389&gt;'10_events'!$K$2703,0,MATCH(389,'10_events'!$J$2:$J$2703,0))</x:f>
        <x:v>0</x:v>
      </x:c>
    </x:row>
    <x:row r="391" ht="25" customHeight="1">
      <x:c r="A391" t="str">
        <x:f>IF(390&gt;'10_events'!$K$2703,"",INDEX('10_events'!$A$2:$A$2703,$H391))</x:f>
      </x:c>
      <x:c r="B391" t="str">
        <x:f>IF(390&gt;'10_events'!$K$2703,"",INDEX('10_events'!$B$2:$B$2703,$H391))</x:f>
      </x:c>
      <x:c r="C391" t="str">
        <x:f>IF(390&gt;'10_events'!$K$2703,"",INDEX('10_events'!$C$2:$C$2703,$H391))</x:f>
      </x:c>
      <x:c r="D391" t="str">
        <x:f>IF(390&gt;'10_events'!$K$2703,"",INDEX('10_events'!$F$2:$F$2703,$H391))</x:f>
      </x:c>
      <x:c r="E391" t="str">
        <x:f>IF(390&gt;'10_events'!$K$2703,"",INDEX('10_events'!$G$2:$G$2703,$H391))</x:f>
      </x:c>
      <x:c r="F391" t="str">
        <x:f>IF(390&gt;'10_events'!$K$2703,"",INDEX('10_events'!$H$2:$H$2703,$H391))</x:f>
      </x:c>
      <x:c r="G391" s="16" t="str">
        <x:f>IF(390&gt;'10_events'!$K$2703,"",INDEX('10_events'!$I$2:$I$2703,$H391))</x:f>
      </x:c>
      <x:c r="H391" t="n">
        <x:f>IF(390&gt;'10_events'!$K$2703,0,MATCH(390,'10_events'!$J$2:$J$2703,0))</x:f>
        <x:v>0</x:v>
      </x:c>
    </x:row>
    <x:row r="392" ht="25" customHeight="1">
      <x:c r="A392" t="str">
        <x:f>IF(391&gt;'10_events'!$K$2703,"",INDEX('10_events'!$A$2:$A$2703,$H392))</x:f>
      </x:c>
      <x:c r="B392" t="str">
        <x:f>IF(391&gt;'10_events'!$K$2703,"",INDEX('10_events'!$B$2:$B$2703,$H392))</x:f>
      </x:c>
      <x:c r="C392" t="str">
        <x:f>IF(391&gt;'10_events'!$K$2703,"",INDEX('10_events'!$C$2:$C$2703,$H392))</x:f>
      </x:c>
      <x:c r="D392" t="str">
        <x:f>IF(391&gt;'10_events'!$K$2703,"",INDEX('10_events'!$F$2:$F$2703,$H392))</x:f>
      </x:c>
      <x:c r="E392" t="str">
        <x:f>IF(391&gt;'10_events'!$K$2703,"",INDEX('10_events'!$G$2:$G$2703,$H392))</x:f>
      </x:c>
      <x:c r="F392" t="str">
        <x:f>IF(391&gt;'10_events'!$K$2703,"",INDEX('10_events'!$H$2:$H$2703,$H392))</x:f>
      </x:c>
      <x:c r="G392" s="16" t="str">
        <x:f>IF(391&gt;'10_events'!$K$2703,"",INDEX('10_events'!$I$2:$I$2703,$H392))</x:f>
      </x:c>
      <x:c r="H392" t="n">
        <x:f>IF(391&gt;'10_events'!$K$2703,0,MATCH(391,'10_events'!$J$2:$J$2703,0))</x:f>
        <x:v>0</x:v>
      </x:c>
    </x:row>
    <x:row r="393" ht="25" customHeight="1">
      <x:c r="A393" t="str">
        <x:f>IF(392&gt;'10_events'!$K$2703,"",INDEX('10_events'!$A$2:$A$2703,$H393))</x:f>
      </x:c>
      <x:c r="B393" t="str">
        <x:f>IF(392&gt;'10_events'!$K$2703,"",INDEX('10_events'!$B$2:$B$2703,$H393))</x:f>
      </x:c>
      <x:c r="C393" t="str">
        <x:f>IF(392&gt;'10_events'!$K$2703,"",INDEX('10_events'!$C$2:$C$2703,$H393))</x:f>
      </x:c>
      <x:c r="D393" t="str">
        <x:f>IF(392&gt;'10_events'!$K$2703,"",INDEX('10_events'!$F$2:$F$2703,$H393))</x:f>
      </x:c>
      <x:c r="E393" t="str">
        <x:f>IF(392&gt;'10_events'!$K$2703,"",INDEX('10_events'!$G$2:$G$2703,$H393))</x:f>
      </x:c>
      <x:c r="F393" t="str">
        <x:f>IF(392&gt;'10_events'!$K$2703,"",INDEX('10_events'!$H$2:$H$2703,$H393))</x:f>
      </x:c>
      <x:c r="G393" s="16" t="str">
        <x:f>IF(392&gt;'10_events'!$K$2703,"",INDEX('10_events'!$I$2:$I$2703,$H393))</x:f>
      </x:c>
      <x:c r="H393" t="n">
        <x:f>IF(392&gt;'10_events'!$K$2703,0,MATCH(392,'10_events'!$J$2:$J$2703,0))</x:f>
        <x:v>0</x:v>
      </x:c>
    </x:row>
    <x:row r="394" ht="25" customHeight="1">
      <x:c r="A394" t="str">
        <x:f>IF(393&gt;'10_events'!$K$2703,"",INDEX('10_events'!$A$2:$A$2703,$H394))</x:f>
      </x:c>
      <x:c r="B394" t="str">
        <x:f>IF(393&gt;'10_events'!$K$2703,"",INDEX('10_events'!$B$2:$B$2703,$H394))</x:f>
      </x:c>
      <x:c r="C394" t="str">
        <x:f>IF(393&gt;'10_events'!$K$2703,"",INDEX('10_events'!$C$2:$C$2703,$H394))</x:f>
      </x:c>
      <x:c r="D394" t="str">
        <x:f>IF(393&gt;'10_events'!$K$2703,"",INDEX('10_events'!$F$2:$F$2703,$H394))</x:f>
      </x:c>
      <x:c r="E394" t="str">
        <x:f>IF(393&gt;'10_events'!$K$2703,"",INDEX('10_events'!$G$2:$G$2703,$H394))</x:f>
      </x:c>
      <x:c r="F394" t="str">
        <x:f>IF(393&gt;'10_events'!$K$2703,"",INDEX('10_events'!$H$2:$H$2703,$H394))</x:f>
      </x:c>
      <x:c r="G394" s="16" t="str">
        <x:f>IF(393&gt;'10_events'!$K$2703,"",INDEX('10_events'!$I$2:$I$2703,$H394))</x:f>
      </x:c>
      <x:c r="H394" t="n">
        <x:f>IF(393&gt;'10_events'!$K$2703,0,MATCH(393,'10_events'!$J$2:$J$2703,0))</x:f>
        <x:v>0</x:v>
      </x:c>
    </x:row>
    <x:row r="395" ht="25" customHeight="1">
      <x:c r="A395" t="str">
        <x:f>IF(394&gt;'10_events'!$K$2703,"",INDEX('10_events'!$A$2:$A$2703,$H395))</x:f>
      </x:c>
      <x:c r="B395" t="str">
        <x:f>IF(394&gt;'10_events'!$K$2703,"",INDEX('10_events'!$B$2:$B$2703,$H395))</x:f>
      </x:c>
      <x:c r="C395" t="str">
        <x:f>IF(394&gt;'10_events'!$K$2703,"",INDEX('10_events'!$C$2:$C$2703,$H395))</x:f>
      </x:c>
      <x:c r="D395" t="str">
        <x:f>IF(394&gt;'10_events'!$K$2703,"",INDEX('10_events'!$F$2:$F$2703,$H395))</x:f>
      </x:c>
      <x:c r="E395" t="str">
        <x:f>IF(394&gt;'10_events'!$K$2703,"",INDEX('10_events'!$G$2:$G$2703,$H395))</x:f>
      </x:c>
      <x:c r="F395" t="str">
        <x:f>IF(394&gt;'10_events'!$K$2703,"",INDEX('10_events'!$H$2:$H$2703,$H395))</x:f>
      </x:c>
      <x:c r="G395" s="16" t="str">
        <x:f>IF(394&gt;'10_events'!$K$2703,"",INDEX('10_events'!$I$2:$I$2703,$H395))</x:f>
      </x:c>
      <x:c r="H395" t="n">
        <x:f>IF(394&gt;'10_events'!$K$2703,0,MATCH(394,'10_events'!$J$2:$J$2703,0))</x:f>
        <x:v>0</x:v>
      </x:c>
    </x:row>
    <x:row r="396" ht="25" customHeight="1">
      <x:c r="A396" t="str">
        <x:f>IF(395&gt;'10_events'!$K$2703,"",INDEX('10_events'!$A$2:$A$2703,$H396))</x:f>
      </x:c>
      <x:c r="B396" t="str">
        <x:f>IF(395&gt;'10_events'!$K$2703,"",INDEX('10_events'!$B$2:$B$2703,$H396))</x:f>
      </x:c>
      <x:c r="C396" t="str">
        <x:f>IF(395&gt;'10_events'!$K$2703,"",INDEX('10_events'!$C$2:$C$2703,$H396))</x:f>
      </x:c>
      <x:c r="D396" t="str">
        <x:f>IF(395&gt;'10_events'!$K$2703,"",INDEX('10_events'!$F$2:$F$2703,$H396))</x:f>
      </x:c>
      <x:c r="E396" t="str">
        <x:f>IF(395&gt;'10_events'!$K$2703,"",INDEX('10_events'!$G$2:$G$2703,$H396))</x:f>
      </x:c>
      <x:c r="F396" t="str">
        <x:f>IF(395&gt;'10_events'!$K$2703,"",INDEX('10_events'!$H$2:$H$2703,$H396))</x:f>
      </x:c>
      <x:c r="G396" s="16" t="str">
        <x:f>IF(395&gt;'10_events'!$K$2703,"",INDEX('10_events'!$I$2:$I$2703,$H396))</x:f>
      </x:c>
      <x:c r="H396" t="n">
        <x:f>IF(395&gt;'10_events'!$K$2703,0,MATCH(395,'10_events'!$J$2:$J$2703,0))</x:f>
        <x:v>0</x:v>
      </x:c>
    </x:row>
    <x:row r="397" ht="25" customHeight="1">
      <x:c r="A397" t="str">
        <x:f>IF(396&gt;'10_events'!$K$2703,"",INDEX('10_events'!$A$2:$A$2703,$H397))</x:f>
      </x:c>
      <x:c r="B397" t="str">
        <x:f>IF(396&gt;'10_events'!$K$2703,"",INDEX('10_events'!$B$2:$B$2703,$H397))</x:f>
      </x:c>
      <x:c r="C397" t="str">
        <x:f>IF(396&gt;'10_events'!$K$2703,"",INDEX('10_events'!$C$2:$C$2703,$H397))</x:f>
      </x:c>
      <x:c r="D397" t="str">
        <x:f>IF(396&gt;'10_events'!$K$2703,"",INDEX('10_events'!$F$2:$F$2703,$H397))</x:f>
      </x:c>
      <x:c r="E397" t="str">
        <x:f>IF(396&gt;'10_events'!$K$2703,"",INDEX('10_events'!$G$2:$G$2703,$H397))</x:f>
      </x:c>
      <x:c r="F397" t="str">
        <x:f>IF(396&gt;'10_events'!$K$2703,"",INDEX('10_events'!$H$2:$H$2703,$H397))</x:f>
      </x:c>
      <x:c r="G397" s="16" t="str">
        <x:f>IF(396&gt;'10_events'!$K$2703,"",INDEX('10_events'!$I$2:$I$2703,$H397))</x:f>
      </x:c>
      <x:c r="H397" t="n">
        <x:f>IF(396&gt;'10_events'!$K$2703,0,MATCH(396,'10_events'!$J$2:$J$2703,0))</x:f>
        <x:v>0</x:v>
      </x:c>
    </x:row>
    <x:row r="398" ht="25" customHeight="1">
      <x:c r="A398" t="str">
        <x:f>IF(397&gt;'10_events'!$K$2703,"",INDEX('10_events'!$A$2:$A$2703,$H398))</x:f>
      </x:c>
      <x:c r="B398" t="str">
        <x:f>IF(397&gt;'10_events'!$K$2703,"",INDEX('10_events'!$B$2:$B$2703,$H398))</x:f>
      </x:c>
      <x:c r="C398" t="str">
        <x:f>IF(397&gt;'10_events'!$K$2703,"",INDEX('10_events'!$C$2:$C$2703,$H398))</x:f>
      </x:c>
      <x:c r="D398" t="str">
        <x:f>IF(397&gt;'10_events'!$K$2703,"",INDEX('10_events'!$F$2:$F$2703,$H398))</x:f>
      </x:c>
      <x:c r="E398" t="str">
        <x:f>IF(397&gt;'10_events'!$K$2703,"",INDEX('10_events'!$G$2:$G$2703,$H398))</x:f>
      </x:c>
      <x:c r="F398" t="str">
        <x:f>IF(397&gt;'10_events'!$K$2703,"",INDEX('10_events'!$H$2:$H$2703,$H398))</x:f>
      </x:c>
      <x:c r="G398" s="16" t="str">
        <x:f>IF(397&gt;'10_events'!$K$2703,"",INDEX('10_events'!$I$2:$I$2703,$H398))</x:f>
      </x:c>
      <x:c r="H398" t="n">
        <x:f>IF(397&gt;'10_events'!$K$2703,0,MATCH(397,'10_events'!$J$2:$J$2703,0))</x:f>
        <x:v>0</x:v>
      </x:c>
    </x:row>
    <x:row r="399" ht="25" customHeight="1">
      <x:c r="A399" t="str">
        <x:f>IF(398&gt;'10_events'!$K$2703,"",INDEX('10_events'!$A$2:$A$2703,$H399))</x:f>
      </x:c>
      <x:c r="B399" t="str">
        <x:f>IF(398&gt;'10_events'!$K$2703,"",INDEX('10_events'!$B$2:$B$2703,$H399))</x:f>
      </x:c>
      <x:c r="C399" t="str">
        <x:f>IF(398&gt;'10_events'!$K$2703,"",INDEX('10_events'!$C$2:$C$2703,$H399))</x:f>
      </x:c>
      <x:c r="D399" t="str">
        <x:f>IF(398&gt;'10_events'!$K$2703,"",INDEX('10_events'!$F$2:$F$2703,$H399))</x:f>
      </x:c>
      <x:c r="E399" t="str">
        <x:f>IF(398&gt;'10_events'!$K$2703,"",INDEX('10_events'!$G$2:$G$2703,$H399))</x:f>
      </x:c>
      <x:c r="F399" t="str">
        <x:f>IF(398&gt;'10_events'!$K$2703,"",INDEX('10_events'!$H$2:$H$2703,$H399))</x:f>
      </x:c>
      <x:c r="G399" s="16" t="str">
        <x:f>IF(398&gt;'10_events'!$K$2703,"",INDEX('10_events'!$I$2:$I$2703,$H399))</x:f>
      </x:c>
      <x:c r="H399" t="n">
        <x:f>IF(398&gt;'10_events'!$K$2703,0,MATCH(398,'10_events'!$J$2:$J$2703,0))</x:f>
        <x:v>0</x:v>
      </x:c>
    </x:row>
    <x:row r="400" ht="25" customHeight="1">
      <x:c r="A400" t="str">
        <x:f>IF(399&gt;'10_events'!$K$2703,"",INDEX('10_events'!$A$2:$A$2703,$H400))</x:f>
      </x:c>
      <x:c r="B400" t="str">
        <x:f>IF(399&gt;'10_events'!$K$2703,"",INDEX('10_events'!$B$2:$B$2703,$H400))</x:f>
      </x:c>
      <x:c r="C400" t="str">
        <x:f>IF(399&gt;'10_events'!$K$2703,"",INDEX('10_events'!$C$2:$C$2703,$H400))</x:f>
      </x:c>
      <x:c r="D400" t="str">
        <x:f>IF(399&gt;'10_events'!$K$2703,"",INDEX('10_events'!$F$2:$F$2703,$H400))</x:f>
      </x:c>
      <x:c r="E400" t="str">
        <x:f>IF(399&gt;'10_events'!$K$2703,"",INDEX('10_events'!$G$2:$G$2703,$H400))</x:f>
      </x:c>
      <x:c r="F400" t="str">
        <x:f>IF(399&gt;'10_events'!$K$2703,"",INDEX('10_events'!$H$2:$H$2703,$H400))</x:f>
      </x:c>
      <x:c r="G400" s="16" t="str">
        <x:f>IF(399&gt;'10_events'!$K$2703,"",INDEX('10_events'!$I$2:$I$2703,$H400))</x:f>
      </x:c>
      <x:c r="H400" t="n">
        <x:f>IF(399&gt;'10_events'!$K$2703,0,MATCH(399,'10_events'!$J$2:$J$2703,0))</x:f>
        <x:v>0</x:v>
      </x:c>
    </x:row>
    <x:row r="401" ht="25" customHeight="1">
      <x:c r="A401" t="str">
        <x:f>IF(400&gt;'10_events'!$K$2703,"",INDEX('10_events'!$A$2:$A$2703,$H401))</x:f>
      </x:c>
      <x:c r="B401" t="str">
        <x:f>IF(400&gt;'10_events'!$K$2703,"",INDEX('10_events'!$B$2:$B$2703,$H401))</x:f>
      </x:c>
      <x:c r="C401" t="str">
        <x:f>IF(400&gt;'10_events'!$K$2703,"",INDEX('10_events'!$C$2:$C$2703,$H401))</x:f>
      </x:c>
      <x:c r="D401" t="str">
        <x:f>IF(400&gt;'10_events'!$K$2703,"",INDEX('10_events'!$F$2:$F$2703,$H401))</x:f>
      </x:c>
      <x:c r="E401" t="str">
        <x:f>IF(400&gt;'10_events'!$K$2703,"",INDEX('10_events'!$G$2:$G$2703,$H401))</x:f>
      </x:c>
      <x:c r="F401" t="str">
        <x:f>IF(400&gt;'10_events'!$K$2703,"",INDEX('10_events'!$H$2:$H$2703,$H401))</x:f>
      </x:c>
      <x:c r="G401" s="16" t="str">
        <x:f>IF(400&gt;'10_events'!$K$2703,"",INDEX('10_events'!$I$2:$I$2703,$H401))</x:f>
      </x:c>
      <x:c r="H401" t="n">
        <x:f>IF(400&gt;'10_events'!$K$2703,0,MATCH(400,'10_events'!$J$2:$J$2703,0))</x:f>
        <x:v>0</x:v>
      </x:c>
    </x:row>
    <x:row r="402" ht="25" customHeight="1">
      <x:c r="A402" t="str">
        <x:f>IF(401&gt;'10_events'!$K$2703,"",INDEX('10_events'!$A$2:$A$2703,$H402))</x:f>
      </x:c>
      <x:c r="B402" t="str">
        <x:f>IF(401&gt;'10_events'!$K$2703,"",INDEX('10_events'!$B$2:$B$2703,$H402))</x:f>
      </x:c>
      <x:c r="C402" t="str">
        <x:f>IF(401&gt;'10_events'!$K$2703,"",INDEX('10_events'!$C$2:$C$2703,$H402))</x:f>
      </x:c>
      <x:c r="D402" t="str">
        <x:f>IF(401&gt;'10_events'!$K$2703,"",INDEX('10_events'!$F$2:$F$2703,$H402))</x:f>
      </x:c>
      <x:c r="E402" t="str">
        <x:f>IF(401&gt;'10_events'!$K$2703,"",INDEX('10_events'!$G$2:$G$2703,$H402))</x:f>
      </x:c>
      <x:c r="F402" t="str">
        <x:f>IF(401&gt;'10_events'!$K$2703,"",INDEX('10_events'!$H$2:$H$2703,$H402))</x:f>
      </x:c>
      <x:c r="G402" s="16" t="str">
        <x:f>IF(401&gt;'10_events'!$K$2703,"",INDEX('10_events'!$I$2:$I$2703,$H402))</x:f>
      </x:c>
      <x:c r="H402" t="n">
        <x:f>IF(401&gt;'10_events'!$K$2703,0,MATCH(401,'10_events'!$J$2:$J$2703,0))</x:f>
        <x:v>0</x:v>
      </x:c>
    </x:row>
    <x:row r="403" ht="25" customHeight="1">
      <x:c r="A403" t="str">
        <x:f>IF(402&gt;'10_events'!$K$2703,"",INDEX('10_events'!$A$2:$A$2703,$H403))</x:f>
      </x:c>
      <x:c r="B403" t="str">
        <x:f>IF(402&gt;'10_events'!$K$2703,"",INDEX('10_events'!$B$2:$B$2703,$H403))</x:f>
      </x:c>
      <x:c r="C403" t="str">
        <x:f>IF(402&gt;'10_events'!$K$2703,"",INDEX('10_events'!$C$2:$C$2703,$H403))</x:f>
      </x:c>
      <x:c r="D403" t="str">
        <x:f>IF(402&gt;'10_events'!$K$2703,"",INDEX('10_events'!$F$2:$F$2703,$H403))</x:f>
      </x:c>
      <x:c r="E403" t="str">
        <x:f>IF(402&gt;'10_events'!$K$2703,"",INDEX('10_events'!$G$2:$G$2703,$H403))</x:f>
      </x:c>
      <x:c r="F403" t="str">
        <x:f>IF(402&gt;'10_events'!$K$2703,"",INDEX('10_events'!$H$2:$H$2703,$H403))</x:f>
      </x:c>
      <x:c r="G403" s="16" t="str">
        <x:f>IF(402&gt;'10_events'!$K$2703,"",INDEX('10_events'!$I$2:$I$2703,$H403))</x:f>
      </x:c>
      <x:c r="H403" t="n">
        <x:f>IF(402&gt;'10_events'!$K$2703,0,MATCH(402,'10_events'!$J$2:$J$2703,0))</x:f>
        <x:v>0</x:v>
      </x:c>
    </x:row>
    <x:row r="404" ht="25" customHeight="1">
      <x:c r="A404" t="str">
        <x:f>IF(403&gt;'10_events'!$K$2703,"",INDEX('10_events'!$A$2:$A$2703,$H404))</x:f>
      </x:c>
      <x:c r="B404" t="str">
        <x:f>IF(403&gt;'10_events'!$K$2703,"",INDEX('10_events'!$B$2:$B$2703,$H404))</x:f>
      </x:c>
      <x:c r="C404" t="str">
        <x:f>IF(403&gt;'10_events'!$K$2703,"",INDEX('10_events'!$C$2:$C$2703,$H404))</x:f>
      </x:c>
      <x:c r="D404" t="str">
        <x:f>IF(403&gt;'10_events'!$K$2703,"",INDEX('10_events'!$F$2:$F$2703,$H404))</x:f>
      </x:c>
      <x:c r="E404" t="str">
        <x:f>IF(403&gt;'10_events'!$K$2703,"",INDEX('10_events'!$G$2:$G$2703,$H404))</x:f>
      </x:c>
      <x:c r="F404" t="str">
        <x:f>IF(403&gt;'10_events'!$K$2703,"",INDEX('10_events'!$H$2:$H$2703,$H404))</x:f>
      </x:c>
      <x:c r="G404" s="16" t="str">
        <x:f>IF(403&gt;'10_events'!$K$2703,"",INDEX('10_events'!$I$2:$I$2703,$H404))</x:f>
      </x:c>
      <x:c r="H404" t="n">
        <x:f>IF(403&gt;'10_events'!$K$2703,0,MATCH(403,'10_events'!$J$2:$J$2703,0))</x:f>
        <x:v>0</x:v>
      </x:c>
    </x:row>
    <x:row r="405" ht="25" customHeight="1">
      <x:c r="A405" t="str">
        <x:f>IF(404&gt;'10_events'!$K$2703,"",INDEX('10_events'!$A$2:$A$2703,$H405))</x:f>
      </x:c>
      <x:c r="B405" t="str">
        <x:f>IF(404&gt;'10_events'!$K$2703,"",INDEX('10_events'!$B$2:$B$2703,$H405))</x:f>
      </x:c>
      <x:c r="C405" t="str">
        <x:f>IF(404&gt;'10_events'!$K$2703,"",INDEX('10_events'!$C$2:$C$2703,$H405))</x:f>
      </x:c>
      <x:c r="D405" t="str">
        <x:f>IF(404&gt;'10_events'!$K$2703,"",INDEX('10_events'!$F$2:$F$2703,$H405))</x:f>
      </x:c>
      <x:c r="E405" t="str">
        <x:f>IF(404&gt;'10_events'!$K$2703,"",INDEX('10_events'!$G$2:$G$2703,$H405))</x:f>
      </x:c>
      <x:c r="F405" t="str">
        <x:f>IF(404&gt;'10_events'!$K$2703,"",INDEX('10_events'!$H$2:$H$2703,$H405))</x:f>
      </x:c>
      <x:c r="G405" s="16" t="str">
        <x:f>IF(404&gt;'10_events'!$K$2703,"",INDEX('10_events'!$I$2:$I$2703,$H405))</x:f>
      </x:c>
      <x:c r="H405" t="n">
        <x:f>IF(404&gt;'10_events'!$K$2703,0,MATCH(404,'10_events'!$J$2:$J$2703,0))</x:f>
        <x:v>0</x:v>
      </x:c>
    </x:row>
    <x:row r="406" ht="25" customHeight="1">
      <x:c r="A406" t="str">
        <x:f>IF(405&gt;'10_events'!$K$2703,"",INDEX('10_events'!$A$2:$A$2703,$H406))</x:f>
      </x:c>
      <x:c r="B406" t="str">
        <x:f>IF(405&gt;'10_events'!$K$2703,"",INDEX('10_events'!$B$2:$B$2703,$H406))</x:f>
      </x:c>
      <x:c r="C406" t="str">
        <x:f>IF(405&gt;'10_events'!$K$2703,"",INDEX('10_events'!$C$2:$C$2703,$H406))</x:f>
      </x:c>
      <x:c r="D406" t="str">
        <x:f>IF(405&gt;'10_events'!$K$2703,"",INDEX('10_events'!$F$2:$F$2703,$H406))</x:f>
      </x:c>
      <x:c r="E406" t="str">
        <x:f>IF(405&gt;'10_events'!$K$2703,"",INDEX('10_events'!$G$2:$G$2703,$H406))</x:f>
      </x:c>
      <x:c r="F406" t="str">
        <x:f>IF(405&gt;'10_events'!$K$2703,"",INDEX('10_events'!$H$2:$H$2703,$H406))</x:f>
      </x:c>
      <x:c r="G406" s="16" t="str">
        <x:f>IF(405&gt;'10_events'!$K$2703,"",INDEX('10_events'!$I$2:$I$2703,$H406))</x:f>
      </x:c>
      <x:c r="H406" t="n">
        <x:f>IF(405&gt;'10_events'!$K$2703,0,MATCH(405,'10_events'!$J$2:$J$2703,0))</x:f>
        <x:v>0</x:v>
      </x:c>
    </x:row>
    <x:row r="407" ht="25" customHeight="1">
      <x:c r="A407" t="str">
        <x:f>IF(406&gt;'10_events'!$K$2703,"",INDEX('10_events'!$A$2:$A$2703,$H407))</x:f>
      </x:c>
      <x:c r="B407" t="str">
        <x:f>IF(406&gt;'10_events'!$K$2703,"",INDEX('10_events'!$B$2:$B$2703,$H407))</x:f>
      </x:c>
      <x:c r="C407" t="str">
        <x:f>IF(406&gt;'10_events'!$K$2703,"",INDEX('10_events'!$C$2:$C$2703,$H407))</x:f>
      </x:c>
      <x:c r="D407" t="str">
        <x:f>IF(406&gt;'10_events'!$K$2703,"",INDEX('10_events'!$F$2:$F$2703,$H407))</x:f>
      </x:c>
      <x:c r="E407" t="str">
        <x:f>IF(406&gt;'10_events'!$K$2703,"",INDEX('10_events'!$G$2:$G$2703,$H407))</x:f>
      </x:c>
      <x:c r="F407" t="str">
        <x:f>IF(406&gt;'10_events'!$K$2703,"",INDEX('10_events'!$H$2:$H$2703,$H407))</x:f>
      </x:c>
      <x:c r="G407" s="16" t="str">
        <x:f>IF(406&gt;'10_events'!$K$2703,"",INDEX('10_events'!$I$2:$I$2703,$H407))</x:f>
      </x:c>
      <x:c r="H407" t="n">
        <x:f>IF(406&gt;'10_events'!$K$2703,0,MATCH(406,'10_events'!$J$2:$J$2703,0))</x:f>
        <x:v>0</x:v>
      </x:c>
    </x:row>
    <x:row r="408" ht="25" customHeight="1">
      <x:c r="A408" t="str">
        <x:f>IF(407&gt;'10_events'!$K$2703,"",INDEX('10_events'!$A$2:$A$2703,$H408))</x:f>
      </x:c>
      <x:c r="B408" t="str">
        <x:f>IF(407&gt;'10_events'!$K$2703,"",INDEX('10_events'!$B$2:$B$2703,$H408))</x:f>
      </x:c>
      <x:c r="C408" t="str">
        <x:f>IF(407&gt;'10_events'!$K$2703,"",INDEX('10_events'!$C$2:$C$2703,$H408))</x:f>
      </x:c>
      <x:c r="D408" t="str">
        <x:f>IF(407&gt;'10_events'!$K$2703,"",INDEX('10_events'!$F$2:$F$2703,$H408))</x:f>
      </x:c>
      <x:c r="E408" t="str">
        <x:f>IF(407&gt;'10_events'!$K$2703,"",INDEX('10_events'!$G$2:$G$2703,$H408))</x:f>
      </x:c>
      <x:c r="F408" t="str">
        <x:f>IF(407&gt;'10_events'!$K$2703,"",INDEX('10_events'!$H$2:$H$2703,$H408))</x:f>
      </x:c>
      <x:c r="G408" s="16" t="str">
        <x:f>IF(407&gt;'10_events'!$K$2703,"",INDEX('10_events'!$I$2:$I$2703,$H408))</x:f>
      </x:c>
      <x:c r="H408" t="n">
        <x:f>IF(407&gt;'10_events'!$K$2703,0,MATCH(407,'10_events'!$J$2:$J$2703,0))</x:f>
        <x:v>0</x:v>
      </x:c>
    </x:row>
    <x:row r="409" ht="25" customHeight="1">
      <x:c r="A409" t="str">
        <x:f>IF(408&gt;'10_events'!$K$2703,"",INDEX('10_events'!$A$2:$A$2703,$H409))</x:f>
      </x:c>
      <x:c r="B409" t="str">
        <x:f>IF(408&gt;'10_events'!$K$2703,"",INDEX('10_events'!$B$2:$B$2703,$H409))</x:f>
      </x:c>
      <x:c r="C409" t="str">
        <x:f>IF(408&gt;'10_events'!$K$2703,"",INDEX('10_events'!$C$2:$C$2703,$H409))</x:f>
      </x:c>
      <x:c r="D409" t="str">
        <x:f>IF(408&gt;'10_events'!$K$2703,"",INDEX('10_events'!$F$2:$F$2703,$H409))</x:f>
      </x:c>
      <x:c r="E409" t="str">
        <x:f>IF(408&gt;'10_events'!$K$2703,"",INDEX('10_events'!$G$2:$G$2703,$H409))</x:f>
      </x:c>
      <x:c r="F409" t="str">
        <x:f>IF(408&gt;'10_events'!$K$2703,"",INDEX('10_events'!$H$2:$H$2703,$H409))</x:f>
      </x:c>
      <x:c r="G409" s="16" t="str">
        <x:f>IF(408&gt;'10_events'!$K$2703,"",INDEX('10_events'!$I$2:$I$2703,$H409))</x:f>
      </x:c>
      <x:c r="H409" t="n">
        <x:f>IF(408&gt;'10_events'!$K$2703,0,MATCH(408,'10_events'!$J$2:$J$2703,0))</x:f>
        <x:v>0</x:v>
      </x:c>
    </x:row>
    <x:row r="410" ht="25" customHeight="1">
      <x:c r="A410" t="str">
        <x:f>IF(409&gt;'10_events'!$K$2703,"",INDEX('10_events'!$A$2:$A$2703,$H410))</x:f>
      </x:c>
      <x:c r="B410" t="str">
        <x:f>IF(409&gt;'10_events'!$K$2703,"",INDEX('10_events'!$B$2:$B$2703,$H410))</x:f>
      </x:c>
      <x:c r="C410" t="str">
        <x:f>IF(409&gt;'10_events'!$K$2703,"",INDEX('10_events'!$C$2:$C$2703,$H410))</x:f>
      </x:c>
      <x:c r="D410" t="str">
        <x:f>IF(409&gt;'10_events'!$K$2703,"",INDEX('10_events'!$F$2:$F$2703,$H410))</x:f>
      </x:c>
      <x:c r="E410" t="str">
        <x:f>IF(409&gt;'10_events'!$K$2703,"",INDEX('10_events'!$G$2:$G$2703,$H410))</x:f>
      </x:c>
      <x:c r="F410" t="str">
        <x:f>IF(409&gt;'10_events'!$K$2703,"",INDEX('10_events'!$H$2:$H$2703,$H410))</x:f>
      </x:c>
      <x:c r="G410" s="16" t="str">
        <x:f>IF(409&gt;'10_events'!$K$2703,"",INDEX('10_events'!$I$2:$I$2703,$H410))</x:f>
      </x:c>
      <x:c r="H410" t="n">
        <x:f>IF(409&gt;'10_events'!$K$2703,0,MATCH(409,'10_events'!$J$2:$J$2703,0))</x:f>
        <x:v>0</x:v>
      </x:c>
    </x:row>
    <x:row r="411" ht="25" customHeight="1">
      <x:c r="A411" t="str">
        <x:f>IF(410&gt;'10_events'!$K$2703,"",INDEX('10_events'!$A$2:$A$2703,$H411))</x:f>
      </x:c>
      <x:c r="B411" t="str">
        <x:f>IF(410&gt;'10_events'!$K$2703,"",INDEX('10_events'!$B$2:$B$2703,$H411))</x:f>
      </x:c>
      <x:c r="C411" t="str">
        <x:f>IF(410&gt;'10_events'!$K$2703,"",INDEX('10_events'!$C$2:$C$2703,$H411))</x:f>
      </x:c>
      <x:c r="D411" t="str">
        <x:f>IF(410&gt;'10_events'!$K$2703,"",INDEX('10_events'!$F$2:$F$2703,$H411))</x:f>
      </x:c>
      <x:c r="E411" t="str">
        <x:f>IF(410&gt;'10_events'!$K$2703,"",INDEX('10_events'!$G$2:$G$2703,$H411))</x:f>
      </x:c>
      <x:c r="F411" t="str">
        <x:f>IF(410&gt;'10_events'!$K$2703,"",INDEX('10_events'!$H$2:$H$2703,$H411))</x:f>
      </x:c>
      <x:c r="G411" s="16" t="str">
        <x:f>IF(410&gt;'10_events'!$K$2703,"",INDEX('10_events'!$I$2:$I$2703,$H411))</x:f>
      </x:c>
      <x:c r="H411" t="n">
        <x:f>IF(410&gt;'10_events'!$K$2703,0,MATCH(410,'10_events'!$J$2:$J$2703,0))</x:f>
        <x:v>0</x:v>
      </x:c>
    </x:row>
    <x:row r="412" ht="25" customHeight="1">
      <x:c r="A412" t="str">
        <x:f>IF(411&gt;'10_events'!$K$2703,"",INDEX('10_events'!$A$2:$A$2703,$H412))</x:f>
      </x:c>
      <x:c r="B412" t="str">
        <x:f>IF(411&gt;'10_events'!$K$2703,"",INDEX('10_events'!$B$2:$B$2703,$H412))</x:f>
      </x:c>
      <x:c r="C412" t="str">
        <x:f>IF(411&gt;'10_events'!$K$2703,"",INDEX('10_events'!$C$2:$C$2703,$H412))</x:f>
      </x:c>
      <x:c r="D412" t="str">
        <x:f>IF(411&gt;'10_events'!$K$2703,"",INDEX('10_events'!$F$2:$F$2703,$H412))</x:f>
      </x:c>
      <x:c r="E412" t="str">
        <x:f>IF(411&gt;'10_events'!$K$2703,"",INDEX('10_events'!$G$2:$G$2703,$H412))</x:f>
      </x:c>
      <x:c r="F412" t="str">
        <x:f>IF(411&gt;'10_events'!$K$2703,"",INDEX('10_events'!$H$2:$H$2703,$H412))</x:f>
      </x:c>
      <x:c r="G412" s="16" t="str">
        <x:f>IF(411&gt;'10_events'!$K$2703,"",INDEX('10_events'!$I$2:$I$2703,$H412))</x:f>
      </x:c>
      <x:c r="H412" t="n">
        <x:f>IF(411&gt;'10_events'!$K$2703,0,MATCH(411,'10_events'!$J$2:$J$2703,0))</x:f>
        <x:v>0</x:v>
      </x:c>
    </x:row>
    <x:row r="413" ht="25" customHeight="1">
      <x:c r="A413" t="str">
        <x:f>IF(412&gt;'10_events'!$K$2703,"",INDEX('10_events'!$A$2:$A$2703,$H413))</x:f>
      </x:c>
      <x:c r="B413" t="str">
        <x:f>IF(412&gt;'10_events'!$K$2703,"",INDEX('10_events'!$B$2:$B$2703,$H413))</x:f>
      </x:c>
      <x:c r="C413" t="str">
        <x:f>IF(412&gt;'10_events'!$K$2703,"",INDEX('10_events'!$C$2:$C$2703,$H413))</x:f>
      </x:c>
      <x:c r="D413" t="str">
        <x:f>IF(412&gt;'10_events'!$K$2703,"",INDEX('10_events'!$F$2:$F$2703,$H413))</x:f>
      </x:c>
      <x:c r="E413" t="str">
        <x:f>IF(412&gt;'10_events'!$K$2703,"",INDEX('10_events'!$G$2:$G$2703,$H413))</x:f>
      </x:c>
      <x:c r="F413" t="str">
        <x:f>IF(412&gt;'10_events'!$K$2703,"",INDEX('10_events'!$H$2:$H$2703,$H413))</x:f>
      </x:c>
      <x:c r="G413" s="16" t="str">
        <x:f>IF(412&gt;'10_events'!$K$2703,"",INDEX('10_events'!$I$2:$I$2703,$H413))</x:f>
      </x:c>
      <x:c r="H413" t="n">
        <x:f>IF(412&gt;'10_events'!$K$2703,0,MATCH(412,'10_events'!$J$2:$J$2703,0))</x:f>
        <x:v>0</x:v>
      </x:c>
    </x:row>
    <x:row r="414" ht="25" customHeight="1">
      <x:c r="A414" t="str">
        <x:f>IF(413&gt;'10_events'!$K$2703,"",INDEX('10_events'!$A$2:$A$2703,$H414))</x:f>
      </x:c>
      <x:c r="B414" t="str">
        <x:f>IF(413&gt;'10_events'!$K$2703,"",INDEX('10_events'!$B$2:$B$2703,$H414))</x:f>
      </x:c>
      <x:c r="C414" t="str">
        <x:f>IF(413&gt;'10_events'!$K$2703,"",INDEX('10_events'!$C$2:$C$2703,$H414))</x:f>
      </x:c>
      <x:c r="D414" t="str">
        <x:f>IF(413&gt;'10_events'!$K$2703,"",INDEX('10_events'!$F$2:$F$2703,$H414))</x:f>
      </x:c>
      <x:c r="E414" t="str">
        <x:f>IF(413&gt;'10_events'!$K$2703,"",INDEX('10_events'!$G$2:$G$2703,$H414))</x:f>
      </x:c>
      <x:c r="F414" t="str">
        <x:f>IF(413&gt;'10_events'!$K$2703,"",INDEX('10_events'!$H$2:$H$2703,$H414))</x:f>
      </x:c>
      <x:c r="G414" s="16" t="str">
        <x:f>IF(413&gt;'10_events'!$K$2703,"",INDEX('10_events'!$I$2:$I$2703,$H414))</x:f>
      </x:c>
      <x:c r="H414" t="n">
        <x:f>IF(413&gt;'10_events'!$K$2703,0,MATCH(413,'10_events'!$J$2:$J$2703,0))</x:f>
        <x:v>0</x:v>
      </x:c>
    </x:row>
    <x:row r="415" ht="25" customHeight="1">
      <x:c r="A415" t="str">
        <x:f>IF(414&gt;'10_events'!$K$2703,"",INDEX('10_events'!$A$2:$A$2703,$H415))</x:f>
      </x:c>
      <x:c r="B415" t="str">
        <x:f>IF(414&gt;'10_events'!$K$2703,"",INDEX('10_events'!$B$2:$B$2703,$H415))</x:f>
      </x:c>
      <x:c r="C415" t="str">
        <x:f>IF(414&gt;'10_events'!$K$2703,"",INDEX('10_events'!$C$2:$C$2703,$H415))</x:f>
      </x:c>
      <x:c r="D415" t="str">
        <x:f>IF(414&gt;'10_events'!$K$2703,"",INDEX('10_events'!$F$2:$F$2703,$H415))</x:f>
      </x:c>
      <x:c r="E415" t="str">
        <x:f>IF(414&gt;'10_events'!$K$2703,"",INDEX('10_events'!$G$2:$G$2703,$H415))</x:f>
      </x:c>
      <x:c r="F415" t="str">
        <x:f>IF(414&gt;'10_events'!$K$2703,"",INDEX('10_events'!$H$2:$H$2703,$H415))</x:f>
      </x:c>
      <x:c r="G415" s="16" t="str">
        <x:f>IF(414&gt;'10_events'!$K$2703,"",INDEX('10_events'!$I$2:$I$2703,$H415))</x:f>
      </x:c>
      <x:c r="H415" t="n">
        <x:f>IF(414&gt;'10_events'!$K$2703,0,MATCH(414,'10_events'!$J$2:$J$2703,0))</x:f>
        <x:v>0</x:v>
      </x:c>
    </x:row>
    <x:row r="416" ht="25" customHeight="1">
      <x:c r="A416" t="str">
        <x:f>IF(415&gt;'10_events'!$K$2703,"",INDEX('10_events'!$A$2:$A$2703,$H416))</x:f>
      </x:c>
      <x:c r="B416" t="str">
        <x:f>IF(415&gt;'10_events'!$K$2703,"",INDEX('10_events'!$B$2:$B$2703,$H416))</x:f>
      </x:c>
      <x:c r="C416" t="str">
        <x:f>IF(415&gt;'10_events'!$K$2703,"",INDEX('10_events'!$C$2:$C$2703,$H416))</x:f>
      </x:c>
      <x:c r="D416" t="str">
        <x:f>IF(415&gt;'10_events'!$K$2703,"",INDEX('10_events'!$F$2:$F$2703,$H416))</x:f>
      </x:c>
      <x:c r="E416" t="str">
        <x:f>IF(415&gt;'10_events'!$K$2703,"",INDEX('10_events'!$G$2:$G$2703,$H416))</x:f>
      </x:c>
      <x:c r="F416" t="str">
        <x:f>IF(415&gt;'10_events'!$K$2703,"",INDEX('10_events'!$H$2:$H$2703,$H416))</x:f>
      </x:c>
      <x:c r="G416" s="16" t="str">
        <x:f>IF(415&gt;'10_events'!$K$2703,"",INDEX('10_events'!$I$2:$I$2703,$H416))</x:f>
      </x:c>
      <x:c r="H416" t="n">
        <x:f>IF(415&gt;'10_events'!$K$2703,0,MATCH(415,'10_events'!$J$2:$J$2703,0))</x:f>
        <x:v>0</x:v>
      </x:c>
    </x:row>
    <x:row r="417" ht="25" customHeight="1">
      <x:c r="A417" t="str">
        <x:f>IF(416&gt;'10_events'!$K$2703,"",INDEX('10_events'!$A$2:$A$2703,$H417))</x:f>
      </x:c>
      <x:c r="B417" t="str">
        <x:f>IF(416&gt;'10_events'!$K$2703,"",INDEX('10_events'!$B$2:$B$2703,$H417))</x:f>
      </x:c>
      <x:c r="C417" t="str">
        <x:f>IF(416&gt;'10_events'!$K$2703,"",INDEX('10_events'!$C$2:$C$2703,$H417))</x:f>
      </x:c>
      <x:c r="D417" t="str">
        <x:f>IF(416&gt;'10_events'!$K$2703,"",INDEX('10_events'!$F$2:$F$2703,$H417))</x:f>
      </x:c>
      <x:c r="E417" t="str">
        <x:f>IF(416&gt;'10_events'!$K$2703,"",INDEX('10_events'!$G$2:$G$2703,$H417))</x:f>
      </x:c>
      <x:c r="F417" t="str">
        <x:f>IF(416&gt;'10_events'!$K$2703,"",INDEX('10_events'!$H$2:$H$2703,$H417))</x:f>
      </x:c>
      <x:c r="G417" s="16" t="str">
        <x:f>IF(416&gt;'10_events'!$K$2703,"",INDEX('10_events'!$I$2:$I$2703,$H417))</x:f>
      </x:c>
      <x:c r="H417" t="n">
        <x:f>IF(416&gt;'10_events'!$K$2703,0,MATCH(416,'10_events'!$J$2:$J$2703,0))</x:f>
        <x:v>0</x:v>
      </x:c>
    </x:row>
    <x:row r="418" ht="25" customHeight="1">
      <x:c r="A418" t="str">
        <x:f>IF(417&gt;'10_events'!$K$2703,"",INDEX('10_events'!$A$2:$A$2703,$H418))</x:f>
      </x:c>
      <x:c r="B418" t="str">
        <x:f>IF(417&gt;'10_events'!$K$2703,"",INDEX('10_events'!$B$2:$B$2703,$H418))</x:f>
      </x:c>
      <x:c r="C418" t="str">
        <x:f>IF(417&gt;'10_events'!$K$2703,"",INDEX('10_events'!$C$2:$C$2703,$H418))</x:f>
      </x:c>
      <x:c r="D418" t="str">
        <x:f>IF(417&gt;'10_events'!$K$2703,"",INDEX('10_events'!$F$2:$F$2703,$H418))</x:f>
      </x:c>
      <x:c r="E418" t="str">
        <x:f>IF(417&gt;'10_events'!$K$2703,"",INDEX('10_events'!$G$2:$G$2703,$H418))</x:f>
      </x:c>
      <x:c r="F418" t="str">
        <x:f>IF(417&gt;'10_events'!$K$2703,"",INDEX('10_events'!$H$2:$H$2703,$H418))</x:f>
      </x:c>
      <x:c r="G418" s="16" t="str">
        <x:f>IF(417&gt;'10_events'!$K$2703,"",INDEX('10_events'!$I$2:$I$2703,$H418))</x:f>
      </x:c>
      <x:c r="H418" t="n">
        <x:f>IF(417&gt;'10_events'!$K$2703,0,MATCH(417,'10_events'!$J$2:$J$2703,0))</x:f>
        <x:v>0</x:v>
      </x:c>
    </x:row>
    <x:row r="419" ht="25" customHeight="1">
      <x:c r="A419" t="str">
        <x:f>IF(418&gt;'10_events'!$K$2703,"",INDEX('10_events'!$A$2:$A$2703,$H419))</x:f>
      </x:c>
      <x:c r="B419" t="str">
        <x:f>IF(418&gt;'10_events'!$K$2703,"",INDEX('10_events'!$B$2:$B$2703,$H419))</x:f>
      </x:c>
      <x:c r="C419" t="str">
        <x:f>IF(418&gt;'10_events'!$K$2703,"",INDEX('10_events'!$C$2:$C$2703,$H419))</x:f>
      </x:c>
      <x:c r="D419" t="str">
        <x:f>IF(418&gt;'10_events'!$K$2703,"",INDEX('10_events'!$F$2:$F$2703,$H419))</x:f>
      </x:c>
      <x:c r="E419" t="str">
        <x:f>IF(418&gt;'10_events'!$K$2703,"",INDEX('10_events'!$G$2:$G$2703,$H419))</x:f>
      </x:c>
      <x:c r="F419" t="str">
        <x:f>IF(418&gt;'10_events'!$K$2703,"",INDEX('10_events'!$H$2:$H$2703,$H419))</x:f>
      </x:c>
      <x:c r="G419" s="16" t="str">
        <x:f>IF(418&gt;'10_events'!$K$2703,"",INDEX('10_events'!$I$2:$I$2703,$H419))</x:f>
      </x:c>
      <x:c r="H419" t="n">
        <x:f>IF(418&gt;'10_events'!$K$2703,0,MATCH(418,'10_events'!$J$2:$J$2703,0))</x:f>
        <x:v>0</x:v>
      </x:c>
    </x:row>
    <x:row r="420" ht="25" customHeight="1">
      <x:c r="A420" t="str">
        <x:f>IF(419&gt;'10_events'!$K$2703,"",INDEX('10_events'!$A$2:$A$2703,$H420))</x:f>
      </x:c>
      <x:c r="B420" t="str">
        <x:f>IF(419&gt;'10_events'!$K$2703,"",INDEX('10_events'!$B$2:$B$2703,$H420))</x:f>
      </x:c>
      <x:c r="C420" t="str">
        <x:f>IF(419&gt;'10_events'!$K$2703,"",INDEX('10_events'!$C$2:$C$2703,$H420))</x:f>
      </x:c>
      <x:c r="D420" t="str">
        <x:f>IF(419&gt;'10_events'!$K$2703,"",INDEX('10_events'!$F$2:$F$2703,$H420))</x:f>
      </x:c>
      <x:c r="E420" t="str">
        <x:f>IF(419&gt;'10_events'!$K$2703,"",INDEX('10_events'!$G$2:$G$2703,$H420))</x:f>
      </x:c>
      <x:c r="F420" t="str">
        <x:f>IF(419&gt;'10_events'!$K$2703,"",INDEX('10_events'!$H$2:$H$2703,$H420))</x:f>
      </x:c>
      <x:c r="G420" s="16" t="str">
        <x:f>IF(419&gt;'10_events'!$K$2703,"",INDEX('10_events'!$I$2:$I$2703,$H420))</x:f>
      </x:c>
      <x:c r="H420" t="n">
        <x:f>IF(419&gt;'10_events'!$K$2703,0,MATCH(419,'10_events'!$J$2:$J$2703,0))</x:f>
        <x:v>0</x:v>
      </x:c>
    </x:row>
    <x:row r="421" ht="25" customHeight="1">
      <x:c r="A421" t="str">
        <x:f>IF(420&gt;'10_events'!$K$2703,"",INDEX('10_events'!$A$2:$A$2703,$H421))</x:f>
      </x:c>
      <x:c r="B421" t="str">
        <x:f>IF(420&gt;'10_events'!$K$2703,"",INDEX('10_events'!$B$2:$B$2703,$H421))</x:f>
      </x:c>
      <x:c r="C421" t="str">
        <x:f>IF(420&gt;'10_events'!$K$2703,"",INDEX('10_events'!$C$2:$C$2703,$H421))</x:f>
      </x:c>
      <x:c r="D421" t="str">
        <x:f>IF(420&gt;'10_events'!$K$2703,"",INDEX('10_events'!$F$2:$F$2703,$H421))</x:f>
      </x:c>
      <x:c r="E421" t="str">
        <x:f>IF(420&gt;'10_events'!$K$2703,"",INDEX('10_events'!$G$2:$G$2703,$H421))</x:f>
      </x:c>
      <x:c r="F421" t="str">
        <x:f>IF(420&gt;'10_events'!$K$2703,"",INDEX('10_events'!$H$2:$H$2703,$H421))</x:f>
      </x:c>
      <x:c r="G421" s="16" t="str">
        <x:f>IF(420&gt;'10_events'!$K$2703,"",INDEX('10_events'!$I$2:$I$2703,$H421))</x:f>
      </x:c>
      <x:c r="H421" t="n">
        <x:f>IF(420&gt;'10_events'!$K$2703,0,MATCH(420,'10_events'!$J$2:$J$2703,0))</x:f>
        <x:v>0</x:v>
      </x:c>
    </x:row>
    <x:row r="422" ht="25" customHeight="1">
      <x:c r="A422" t="str">
        <x:f>IF(421&gt;'10_events'!$K$2703,"",INDEX('10_events'!$A$2:$A$2703,$H422))</x:f>
      </x:c>
      <x:c r="B422" t="str">
        <x:f>IF(421&gt;'10_events'!$K$2703,"",INDEX('10_events'!$B$2:$B$2703,$H422))</x:f>
      </x:c>
      <x:c r="C422" t="str">
        <x:f>IF(421&gt;'10_events'!$K$2703,"",INDEX('10_events'!$C$2:$C$2703,$H422))</x:f>
      </x:c>
      <x:c r="D422" t="str">
        <x:f>IF(421&gt;'10_events'!$K$2703,"",INDEX('10_events'!$F$2:$F$2703,$H422))</x:f>
      </x:c>
      <x:c r="E422" t="str">
        <x:f>IF(421&gt;'10_events'!$K$2703,"",INDEX('10_events'!$G$2:$G$2703,$H422))</x:f>
      </x:c>
      <x:c r="F422" t="str">
        <x:f>IF(421&gt;'10_events'!$K$2703,"",INDEX('10_events'!$H$2:$H$2703,$H422))</x:f>
      </x:c>
      <x:c r="G422" s="16" t="str">
        <x:f>IF(421&gt;'10_events'!$K$2703,"",INDEX('10_events'!$I$2:$I$2703,$H422))</x:f>
      </x:c>
      <x:c r="H422" t="n">
        <x:f>IF(421&gt;'10_events'!$K$2703,0,MATCH(421,'10_events'!$J$2:$J$2703,0))</x:f>
        <x:v>0</x:v>
      </x:c>
    </x:row>
    <x:row r="423" ht="25" customHeight="1">
      <x:c r="A423" t="str">
        <x:f>IF(422&gt;'10_events'!$K$2703,"",INDEX('10_events'!$A$2:$A$2703,$H423))</x:f>
      </x:c>
      <x:c r="B423" t="str">
        <x:f>IF(422&gt;'10_events'!$K$2703,"",INDEX('10_events'!$B$2:$B$2703,$H423))</x:f>
      </x:c>
      <x:c r="C423" t="str">
        <x:f>IF(422&gt;'10_events'!$K$2703,"",INDEX('10_events'!$C$2:$C$2703,$H423))</x:f>
      </x:c>
      <x:c r="D423" t="str">
        <x:f>IF(422&gt;'10_events'!$K$2703,"",INDEX('10_events'!$F$2:$F$2703,$H423))</x:f>
      </x:c>
      <x:c r="E423" t="str">
        <x:f>IF(422&gt;'10_events'!$K$2703,"",INDEX('10_events'!$G$2:$G$2703,$H423))</x:f>
      </x:c>
      <x:c r="F423" t="str">
        <x:f>IF(422&gt;'10_events'!$K$2703,"",INDEX('10_events'!$H$2:$H$2703,$H423))</x:f>
      </x:c>
      <x:c r="G423" s="16" t="str">
        <x:f>IF(422&gt;'10_events'!$K$2703,"",INDEX('10_events'!$I$2:$I$2703,$H423))</x:f>
      </x:c>
      <x:c r="H423" t="n">
        <x:f>IF(422&gt;'10_events'!$K$2703,0,MATCH(422,'10_events'!$J$2:$J$2703,0))</x:f>
        <x:v>0</x:v>
      </x:c>
    </x:row>
    <x:row r="424" ht="25" customHeight="1">
      <x:c r="A424" t="str">
        <x:f>IF(423&gt;'10_events'!$K$2703,"",INDEX('10_events'!$A$2:$A$2703,$H424))</x:f>
      </x:c>
      <x:c r="B424" t="str">
        <x:f>IF(423&gt;'10_events'!$K$2703,"",INDEX('10_events'!$B$2:$B$2703,$H424))</x:f>
      </x:c>
      <x:c r="C424" t="str">
        <x:f>IF(423&gt;'10_events'!$K$2703,"",INDEX('10_events'!$C$2:$C$2703,$H424))</x:f>
      </x:c>
      <x:c r="D424" t="str">
        <x:f>IF(423&gt;'10_events'!$K$2703,"",INDEX('10_events'!$F$2:$F$2703,$H424))</x:f>
      </x:c>
      <x:c r="E424" t="str">
        <x:f>IF(423&gt;'10_events'!$K$2703,"",INDEX('10_events'!$G$2:$G$2703,$H424))</x:f>
      </x:c>
      <x:c r="F424" t="str">
        <x:f>IF(423&gt;'10_events'!$K$2703,"",INDEX('10_events'!$H$2:$H$2703,$H424))</x:f>
      </x:c>
      <x:c r="G424" s="16" t="str">
        <x:f>IF(423&gt;'10_events'!$K$2703,"",INDEX('10_events'!$I$2:$I$2703,$H424))</x:f>
      </x:c>
      <x:c r="H424" t="n">
        <x:f>IF(423&gt;'10_events'!$K$2703,0,MATCH(423,'10_events'!$J$2:$J$2703,0))</x:f>
        <x:v>0</x:v>
      </x:c>
    </x:row>
    <x:row r="425" ht="25" customHeight="1">
      <x:c r="A425" t="str">
        <x:f>IF(424&gt;'10_events'!$K$2703,"",INDEX('10_events'!$A$2:$A$2703,$H425))</x:f>
      </x:c>
      <x:c r="B425" t="str">
        <x:f>IF(424&gt;'10_events'!$K$2703,"",INDEX('10_events'!$B$2:$B$2703,$H425))</x:f>
      </x:c>
      <x:c r="C425" t="str">
        <x:f>IF(424&gt;'10_events'!$K$2703,"",INDEX('10_events'!$C$2:$C$2703,$H425))</x:f>
      </x:c>
      <x:c r="D425" t="str">
        <x:f>IF(424&gt;'10_events'!$K$2703,"",INDEX('10_events'!$F$2:$F$2703,$H425))</x:f>
      </x:c>
      <x:c r="E425" t="str">
        <x:f>IF(424&gt;'10_events'!$K$2703,"",INDEX('10_events'!$G$2:$G$2703,$H425))</x:f>
      </x:c>
      <x:c r="F425" t="str">
        <x:f>IF(424&gt;'10_events'!$K$2703,"",INDEX('10_events'!$H$2:$H$2703,$H425))</x:f>
      </x:c>
      <x:c r="G425" s="16" t="str">
        <x:f>IF(424&gt;'10_events'!$K$2703,"",INDEX('10_events'!$I$2:$I$2703,$H425))</x:f>
      </x:c>
      <x:c r="H425" t="n">
        <x:f>IF(424&gt;'10_events'!$K$2703,0,MATCH(424,'10_events'!$J$2:$J$2703,0))</x:f>
        <x:v>0</x:v>
      </x:c>
    </x:row>
    <x:row r="426" ht="25" customHeight="1">
      <x:c r="A426" t="str">
        <x:f>IF(425&gt;'10_events'!$K$2703,"",INDEX('10_events'!$A$2:$A$2703,$H426))</x:f>
      </x:c>
      <x:c r="B426" t="str">
        <x:f>IF(425&gt;'10_events'!$K$2703,"",INDEX('10_events'!$B$2:$B$2703,$H426))</x:f>
      </x:c>
      <x:c r="C426" t="str">
        <x:f>IF(425&gt;'10_events'!$K$2703,"",INDEX('10_events'!$C$2:$C$2703,$H426))</x:f>
      </x:c>
      <x:c r="D426" t="str">
        <x:f>IF(425&gt;'10_events'!$K$2703,"",INDEX('10_events'!$F$2:$F$2703,$H426))</x:f>
      </x:c>
      <x:c r="E426" t="str">
        <x:f>IF(425&gt;'10_events'!$K$2703,"",INDEX('10_events'!$G$2:$G$2703,$H426))</x:f>
      </x:c>
      <x:c r="F426" t="str">
        <x:f>IF(425&gt;'10_events'!$K$2703,"",INDEX('10_events'!$H$2:$H$2703,$H426))</x:f>
      </x:c>
      <x:c r="G426" s="16" t="str">
        <x:f>IF(425&gt;'10_events'!$K$2703,"",INDEX('10_events'!$I$2:$I$2703,$H426))</x:f>
      </x:c>
      <x:c r="H426" t="n">
        <x:f>IF(425&gt;'10_events'!$K$2703,0,MATCH(425,'10_events'!$J$2:$J$2703,0))</x:f>
        <x:v>0</x:v>
      </x:c>
    </x:row>
    <x:row r="427" ht="25" customHeight="1">
      <x:c r="A427" t="str">
        <x:f>IF(426&gt;'10_events'!$K$2703,"",INDEX('10_events'!$A$2:$A$2703,$H427))</x:f>
      </x:c>
      <x:c r="B427" t="str">
        <x:f>IF(426&gt;'10_events'!$K$2703,"",INDEX('10_events'!$B$2:$B$2703,$H427))</x:f>
      </x:c>
      <x:c r="C427" t="str">
        <x:f>IF(426&gt;'10_events'!$K$2703,"",INDEX('10_events'!$C$2:$C$2703,$H427))</x:f>
      </x:c>
      <x:c r="D427" t="str">
        <x:f>IF(426&gt;'10_events'!$K$2703,"",INDEX('10_events'!$F$2:$F$2703,$H427))</x:f>
      </x:c>
      <x:c r="E427" t="str">
        <x:f>IF(426&gt;'10_events'!$K$2703,"",INDEX('10_events'!$G$2:$G$2703,$H427))</x:f>
      </x:c>
      <x:c r="F427" t="str">
        <x:f>IF(426&gt;'10_events'!$K$2703,"",INDEX('10_events'!$H$2:$H$2703,$H427))</x:f>
      </x:c>
      <x:c r="G427" s="16" t="str">
        <x:f>IF(426&gt;'10_events'!$K$2703,"",INDEX('10_events'!$I$2:$I$2703,$H427))</x:f>
      </x:c>
      <x:c r="H427" t="n">
        <x:f>IF(426&gt;'10_events'!$K$2703,0,MATCH(426,'10_events'!$J$2:$J$2703,0))</x:f>
        <x:v>0</x:v>
      </x:c>
    </x:row>
    <x:row r="428" ht="25" customHeight="1">
      <x:c r="A428" t="str">
        <x:f>IF(427&gt;'10_events'!$K$2703,"",INDEX('10_events'!$A$2:$A$2703,$H428))</x:f>
      </x:c>
      <x:c r="B428" t="str">
        <x:f>IF(427&gt;'10_events'!$K$2703,"",INDEX('10_events'!$B$2:$B$2703,$H428))</x:f>
      </x:c>
      <x:c r="C428" t="str">
        <x:f>IF(427&gt;'10_events'!$K$2703,"",INDEX('10_events'!$C$2:$C$2703,$H428))</x:f>
      </x:c>
      <x:c r="D428" t="str">
        <x:f>IF(427&gt;'10_events'!$K$2703,"",INDEX('10_events'!$F$2:$F$2703,$H428))</x:f>
      </x:c>
      <x:c r="E428" t="str">
        <x:f>IF(427&gt;'10_events'!$K$2703,"",INDEX('10_events'!$G$2:$G$2703,$H428))</x:f>
      </x:c>
      <x:c r="F428" t="str">
        <x:f>IF(427&gt;'10_events'!$K$2703,"",INDEX('10_events'!$H$2:$H$2703,$H428))</x:f>
      </x:c>
      <x:c r="G428" s="16" t="str">
        <x:f>IF(427&gt;'10_events'!$K$2703,"",INDEX('10_events'!$I$2:$I$2703,$H428))</x:f>
      </x:c>
      <x:c r="H428" t="n">
        <x:f>IF(427&gt;'10_events'!$K$2703,0,MATCH(427,'10_events'!$J$2:$J$2703,0))</x:f>
        <x:v>0</x:v>
      </x:c>
    </x:row>
    <x:row r="429" ht="25" customHeight="1">
      <x:c r="A429" t="str">
        <x:f>IF(428&gt;'10_events'!$K$2703,"",INDEX('10_events'!$A$2:$A$2703,$H429))</x:f>
      </x:c>
      <x:c r="B429" t="str">
        <x:f>IF(428&gt;'10_events'!$K$2703,"",INDEX('10_events'!$B$2:$B$2703,$H429))</x:f>
      </x:c>
      <x:c r="C429" t="str">
        <x:f>IF(428&gt;'10_events'!$K$2703,"",INDEX('10_events'!$C$2:$C$2703,$H429))</x:f>
      </x:c>
      <x:c r="D429" t="str">
        <x:f>IF(428&gt;'10_events'!$K$2703,"",INDEX('10_events'!$F$2:$F$2703,$H429))</x:f>
      </x:c>
      <x:c r="E429" t="str">
        <x:f>IF(428&gt;'10_events'!$K$2703,"",INDEX('10_events'!$G$2:$G$2703,$H429))</x:f>
      </x:c>
      <x:c r="F429" t="str">
        <x:f>IF(428&gt;'10_events'!$K$2703,"",INDEX('10_events'!$H$2:$H$2703,$H429))</x:f>
      </x:c>
      <x:c r="G429" s="16" t="str">
        <x:f>IF(428&gt;'10_events'!$K$2703,"",INDEX('10_events'!$I$2:$I$2703,$H429))</x:f>
      </x:c>
      <x:c r="H429" t="n">
        <x:f>IF(428&gt;'10_events'!$K$2703,0,MATCH(428,'10_events'!$J$2:$J$2703,0))</x:f>
        <x:v>0</x:v>
      </x:c>
    </x:row>
    <x:row r="430" ht="25" customHeight="1">
      <x:c r="A430" t="str">
        <x:f>IF(429&gt;'10_events'!$K$2703,"",INDEX('10_events'!$A$2:$A$2703,$H430))</x:f>
      </x:c>
      <x:c r="B430" t="str">
        <x:f>IF(429&gt;'10_events'!$K$2703,"",INDEX('10_events'!$B$2:$B$2703,$H430))</x:f>
      </x:c>
      <x:c r="C430" t="str">
        <x:f>IF(429&gt;'10_events'!$K$2703,"",INDEX('10_events'!$C$2:$C$2703,$H430))</x:f>
      </x:c>
      <x:c r="D430" t="str">
        <x:f>IF(429&gt;'10_events'!$K$2703,"",INDEX('10_events'!$F$2:$F$2703,$H430))</x:f>
      </x:c>
      <x:c r="E430" t="str">
        <x:f>IF(429&gt;'10_events'!$K$2703,"",INDEX('10_events'!$G$2:$G$2703,$H430))</x:f>
      </x:c>
      <x:c r="F430" t="str">
        <x:f>IF(429&gt;'10_events'!$K$2703,"",INDEX('10_events'!$H$2:$H$2703,$H430))</x:f>
      </x:c>
      <x:c r="G430" s="16" t="str">
        <x:f>IF(429&gt;'10_events'!$K$2703,"",INDEX('10_events'!$I$2:$I$2703,$H430))</x:f>
      </x:c>
      <x:c r="H430" t="n">
        <x:f>IF(429&gt;'10_events'!$K$2703,0,MATCH(429,'10_events'!$J$2:$J$2703,0))</x:f>
        <x:v>0</x:v>
      </x:c>
    </x:row>
    <x:row r="431" ht="25" customHeight="1">
      <x:c r="A431" t="str">
        <x:f>IF(430&gt;'10_events'!$K$2703,"",INDEX('10_events'!$A$2:$A$2703,$H431))</x:f>
      </x:c>
      <x:c r="B431" t="str">
        <x:f>IF(430&gt;'10_events'!$K$2703,"",INDEX('10_events'!$B$2:$B$2703,$H431))</x:f>
      </x:c>
      <x:c r="C431" t="str">
        <x:f>IF(430&gt;'10_events'!$K$2703,"",INDEX('10_events'!$C$2:$C$2703,$H431))</x:f>
      </x:c>
      <x:c r="D431" t="str">
        <x:f>IF(430&gt;'10_events'!$K$2703,"",INDEX('10_events'!$F$2:$F$2703,$H431))</x:f>
      </x:c>
      <x:c r="E431" t="str">
        <x:f>IF(430&gt;'10_events'!$K$2703,"",INDEX('10_events'!$G$2:$G$2703,$H431))</x:f>
      </x:c>
      <x:c r="F431" t="str">
        <x:f>IF(430&gt;'10_events'!$K$2703,"",INDEX('10_events'!$H$2:$H$2703,$H431))</x:f>
      </x:c>
      <x:c r="G431" s="16" t="str">
        <x:f>IF(430&gt;'10_events'!$K$2703,"",INDEX('10_events'!$I$2:$I$2703,$H431))</x:f>
      </x:c>
      <x:c r="H431" t="n">
        <x:f>IF(430&gt;'10_events'!$K$2703,0,MATCH(430,'10_events'!$J$2:$J$2703,0))</x:f>
        <x:v>0</x:v>
      </x:c>
    </x:row>
    <x:row r="432" ht="25" customHeight="1">
      <x:c r="A432" t="str">
        <x:f>IF(431&gt;'10_events'!$K$2703,"",INDEX('10_events'!$A$2:$A$2703,$H432))</x:f>
      </x:c>
      <x:c r="B432" t="str">
        <x:f>IF(431&gt;'10_events'!$K$2703,"",INDEX('10_events'!$B$2:$B$2703,$H432))</x:f>
      </x:c>
      <x:c r="C432" t="str">
        <x:f>IF(431&gt;'10_events'!$K$2703,"",INDEX('10_events'!$C$2:$C$2703,$H432))</x:f>
      </x:c>
      <x:c r="D432" t="str">
        <x:f>IF(431&gt;'10_events'!$K$2703,"",INDEX('10_events'!$F$2:$F$2703,$H432))</x:f>
      </x:c>
      <x:c r="E432" t="str">
        <x:f>IF(431&gt;'10_events'!$K$2703,"",INDEX('10_events'!$G$2:$G$2703,$H432))</x:f>
      </x:c>
      <x:c r="F432" t="str">
        <x:f>IF(431&gt;'10_events'!$K$2703,"",INDEX('10_events'!$H$2:$H$2703,$H432))</x:f>
      </x:c>
      <x:c r="G432" s="16" t="str">
        <x:f>IF(431&gt;'10_events'!$K$2703,"",INDEX('10_events'!$I$2:$I$2703,$H432))</x:f>
      </x:c>
      <x:c r="H432" t="n">
        <x:f>IF(431&gt;'10_events'!$K$2703,0,MATCH(431,'10_events'!$J$2:$J$2703,0))</x:f>
        <x:v>0</x:v>
      </x:c>
    </x:row>
    <x:row r="433" ht="25" customHeight="1">
      <x:c r="A433" t="str">
        <x:f>IF(432&gt;'10_events'!$K$2703,"",INDEX('10_events'!$A$2:$A$2703,$H433))</x:f>
      </x:c>
      <x:c r="B433" t="str">
        <x:f>IF(432&gt;'10_events'!$K$2703,"",INDEX('10_events'!$B$2:$B$2703,$H433))</x:f>
      </x:c>
      <x:c r="C433" t="str">
        <x:f>IF(432&gt;'10_events'!$K$2703,"",INDEX('10_events'!$C$2:$C$2703,$H433))</x:f>
      </x:c>
      <x:c r="D433" t="str">
        <x:f>IF(432&gt;'10_events'!$K$2703,"",INDEX('10_events'!$F$2:$F$2703,$H433))</x:f>
      </x:c>
      <x:c r="E433" t="str">
        <x:f>IF(432&gt;'10_events'!$K$2703,"",INDEX('10_events'!$G$2:$G$2703,$H433))</x:f>
      </x:c>
      <x:c r="F433" t="str">
        <x:f>IF(432&gt;'10_events'!$K$2703,"",INDEX('10_events'!$H$2:$H$2703,$H433))</x:f>
      </x:c>
      <x:c r="G433" s="16" t="str">
        <x:f>IF(432&gt;'10_events'!$K$2703,"",INDEX('10_events'!$I$2:$I$2703,$H433))</x:f>
      </x:c>
      <x:c r="H433" t="n">
        <x:f>IF(432&gt;'10_events'!$K$2703,0,MATCH(432,'10_events'!$J$2:$J$2703,0))</x:f>
        <x:v>0</x:v>
      </x:c>
    </x:row>
    <x:row r="434" ht="25" customHeight="1">
      <x:c r="A434" t="str">
        <x:f>IF(433&gt;'10_events'!$K$2703,"",INDEX('10_events'!$A$2:$A$2703,$H434))</x:f>
      </x:c>
      <x:c r="B434" t="str">
        <x:f>IF(433&gt;'10_events'!$K$2703,"",INDEX('10_events'!$B$2:$B$2703,$H434))</x:f>
      </x:c>
      <x:c r="C434" t="str">
        <x:f>IF(433&gt;'10_events'!$K$2703,"",INDEX('10_events'!$C$2:$C$2703,$H434))</x:f>
      </x:c>
      <x:c r="D434" t="str">
        <x:f>IF(433&gt;'10_events'!$K$2703,"",INDEX('10_events'!$F$2:$F$2703,$H434))</x:f>
      </x:c>
      <x:c r="E434" t="str">
        <x:f>IF(433&gt;'10_events'!$K$2703,"",INDEX('10_events'!$G$2:$G$2703,$H434))</x:f>
      </x:c>
      <x:c r="F434" t="str">
        <x:f>IF(433&gt;'10_events'!$K$2703,"",INDEX('10_events'!$H$2:$H$2703,$H434))</x:f>
      </x:c>
      <x:c r="G434" s="16" t="str">
        <x:f>IF(433&gt;'10_events'!$K$2703,"",INDEX('10_events'!$I$2:$I$2703,$H434))</x:f>
      </x:c>
      <x:c r="H434" t="n">
        <x:f>IF(433&gt;'10_events'!$K$2703,0,MATCH(433,'10_events'!$J$2:$J$2703,0))</x:f>
        <x:v>0</x:v>
      </x:c>
    </x:row>
    <x:row r="435" ht="25" customHeight="1">
      <x:c r="A435" t="str">
        <x:f>IF(434&gt;'10_events'!$K$2703,"",INDEX('10_events'!$A$2:$A$2703,$H435))</x:f>
      </x:c>
      <x:c r="B435" t="str">
        <x:f>IF(434&gt;'10_events'!$K$2703,"",INDEX('10_events'!$B$2:$B$2703,$H435))</x:f>
      </x:c>
      <x:c r="C435" t="str">
        <x:f>IF(434&gt;'10_events'!$K$2703,"",INDEX('10_events'!$C$2:$C$2703,$H435))</x:f>
      </x:c>
      <x:c r="D435" t="str">
        <x:f>IF(434&gt;'10_events'!$K$2703,"",INDEX('10_events'!$F$2:$F$2703,$H435))</x:f>
      </x:c>
      <x:c r="E435" t="str">
        <x:f>IF(434&gt;'10_events'!$K$2703,"",INDEX('10_events'!$G$2:$G$2703,$H435))</x:f>
      </x:c>
      <x:c r="F435" t="str">
        <x:f>IF(434&gt;'10_events'!$K$2703,"",INDEX('10_events'!$H$2:$H$2703,$H435))</x:f>
      </x:c>
      <x:c r="G435" s="16" t="str">
        <x:f>IF(434&gt;'10_events'!$K$2703,"",INDEX('10_events'!$I$2:$I$2703,$H435))</x:f>
      </x:c>
      <x:c r="H435" t="n">
        <x:f>IF(434&gt;'10_events'!$K$2703,0,MATCH(434,'10_events'!$J$2:$J$2703,0))</x:f>
        <x:v>0</x:v>
      </x:c>
    </x:row>
    <x:row r="436" ht="25" customHeight="1">
      <x:c r="A436" t="str">
        <x:f>IF(435&gt;'10_events'!$K$2703,"",INDEX('10_events'!$A$2:$A$2703,$H436))</x:f>
      </x:c>
      <x:c r="B436" t="str">
        <x:f>IF(435&gt;'10_events'!$K$2703,"",INDEX('10_events'!$B$2:$B$2703,$H436))</x:f>
      </x:c>
      <x:c r="C436" t="str">
        <x:f>IF(435&gt;'10_events'!$K$2703,"",INDEX('10_events'!$C$2:$C$2703,$H436))</x:f>
      </x:c>
      <x:c r="D436" t="str">
        <x:f>IF(435&gt;'10_events'!$K$2703,"",INDEX('10_events'!$F$2:$F$2703,$H436))</x:f>
      </x:c>
      <x:c r="E436" t="str">
        <x:f>IF(435&gt;'10_events'!$K$2703,"",INDEX('10_events'!$G$2:$G$2703,$H436))</x:f>
      </x:c>
      <x:c r="F436" t="str">
        <x:f>IF(435&gt;'10_events'!$K$2703,"",INDEX('10_events'!$H$2:$H$2703,$H436))</x:f>
      </x:c>
      <x:c r="G436" s="16" t="str">
        <x:f>IF(435&gt;'10_events'!$K$2703,"",INDEX('10_events'!$I$2:$I$2703,$H436))</x:f>
      </x:c>
      <x:c r="H436" t="n">
        <x:f>IF(435&gt;'10_events'!$K$2703,0,MATCH(435,'10_events'!$J$2:$J$2703,0))</x:f>
        <x:v>0</x:v>
      </x:c>
    </x:row>
    <x:row r="437" ht="25" customHeight="1">
      <x:c r="A437" t="str">
        <x:f>IF(436&gt;'10_events'!$K$2703,"",INDEX('10_events'!$A$2:$A$2703,$H437))</x:f>
      </x:c>
      <x:c r="B437" t="str">
        <x:f>IF(436&gt;'10_events'!$K$2703,"",INDEX('10_events'!$B$2:$B$2703,$H437))</x:f>
      </x:c>
      <x:c r="C437" t="str">
        <x:f>IF(436&gt;'10_events'!$K$2703,"",INDEX('10_events'!$C$2:$C$2703,$H437))</x:f>
      </x:c>
      <x:c r="D437" t="str">
        <x:f>IF(436&gt;'10_events'!$K$2703,"",INDEX('10_events'!$F$2:$F$2703,$H437))</x:f>
      </x:c>
      <x:c r="E437" t="str">
        <x:f>IF(436&gt;'10_events'!$K$2703,"",INDEX('10_events'!$G$2:$G$2703,$H437))</x:f>
      </x:c>
      <x:c r="F437" t="str">
        <x:f>IF(436&gt;'10_events'!$K$2703,"",INDEX('10_events'!$H$2:$H$2703,$H437))</x:f>
      </x:c>
      <x:c r="G437" s="16" t="str">
        <x:f>IF(436&gt;'10_events'!$K$2703,"",INDEX('10_events'!$I$2:$I$2703,$H437))</x:f>
      </x:c>
      <x:c r="H437" t="n">
        <x:f>IF(436&gt;'10_events'!$K$2703,0,MATCH(436,'10_events'!$J$2:$J$2703,0))</x:f>
        <x:v>0</x:v>
      </x:c>
    </x:row>
    <x:row r="438" ht="25" customHeight="1">
      <x:c r="A438" t="str">
        <x:f>IF(437&gt;'10_events'!$K$2703,"",INDEX('10_events'!$A$2:$A$2703,$H438))</x:f>
      </x:c>
      <x:c r="B438" t="str">
        <x:f>IF(437&gt;'10_events'!$K$2703,"",INDEX('10_events'!$B$2:$B$2703,$H438))</x:f>
      </x:c>
      <x:c r="C438" t="str">
        <x:f>IF(437&gt;'10_events'!$K$2703,"",INDEX('10_events'!$C$2:$C$2703,$H438))</x:f>
      </x:c>
      <x:c r="D438" t="str">
        <x:f>IF(437&gt;'10_events'!$K$2703,"",INDEX('10_events'!$F$2:$F$2703,$H438))</x:f>
      </x:c>
      <x:c r="E438" t="str">
        <x:f>IF(437&gt;'10_events'!$K$2703,"",INDEX('10_events'!$G$2:$G$2703,$H438))</x:f>
      </x:c>
      <x:c r="F438" t="str">
        <x:f>IF(437&gt;'10_events'!$K$2703,"",INDEX('10_events'!$H$2:$H$2703,$H438))</x:f>
      </x:c>
      <x:c r="G438" s="16" t="str">
        <x:f>IF(437&gt;'10_events'!$K$2703,"",INDEX('10_events'!$I$2:$I$2703,$H438))</x:f>
      </x:c>
      <x:c r="H438" t="n">
        <x:f>IF(437&gt;'10_events'!$K$2703,0,MATCH(437,'10_events'!$J$2:$J$2703,0))</x:f>
        <x:v>0</x:v>
      </x:c>
    </x:row>
    <x:row r="439" ht="25" customHeight="1">
      <x:c r="A439" t="str">
        <x:f>IF(438&gt;'10_events'!$K$2703,"",INDEX('10_events'!$A$2:$A$2703,$H439))</x:f>
      </x:c>
      <x:c r="B439" t="str">
        <x:f>IF(438&gt;'10_events'!$K$2703,"",INDEX('10_events'!$B$2:$B$2703,$H439))</x:f>
      </x:c>
      <x:c r="C439" t="str">
        <x:f>IF(438&gt;'10_events'!$K$2703,"",INDEX('10_events'!$C$2:$C$2703,$H439))</x:f>
      </x:c>
      <x:c r="D439" t="str">
        <x:f>IF(438&gt;'10_events'!$K$2703,"",INDEX('10_events'!$F$2:$F$2703,$H439))</x:f>
      </x:c>
      <x:c r="E439" t="str">
        <x:f>IF(438&gt;'10_events'!$K$2703,"",INDEX('10_events'!$G$2:$G$2703,$H439))</x:f>
      </x:c>
      <x:c r="F439" t="str">
        <x:f>IF(438&gt;'10_events'!$K$2703,"",INDEX('10_events'!$H$2:$H$2703,$H439))</x:f>
      </x:c>
      <x:c r="G439" s="16" t="str">
        <x:f>IF(438&gt;'10_events'!$K$2703,"",INDEX('10_events'!$I$2:$I$2703,$H439))</x:f>
      </x:c>
      <x:c r="H439" t="n">
        <x:f>IF(438&gt;'10_events'!$K$2703,0,MATCH(438,'10_events'!$J$2:$J$2703,0))</x:f>
        <x:v>0</x:v>
      </x:c>
    </x:row>
    <x:row r="440" ht="25" customHeight="1">
      <x:c r="A440" t="str">
        <x:f>IF(439&gt;'10_events'!$K$2703,"",INDEX('10_events'!$A$2:$A$2703,$H440))</x:f>
      </x:c>
      <x:c r="B440" t="str">
        <x:f>IF(439&gt;'10_events'!$K$2703,"",INDEX('10_events'!$B$2:$B$2703,$H440))</x:f>
      </x:c>
      <x:c r="C440" t="str">
        <x:f>IF(439&gt;'10_events'!$K$2703,"",INDEX('10_events'!$C$2:$C$2703,$H440))</x:f>
      </x:c>
      <x:c r="D440" t="str">
        <x:f>IF(439&gt;'10_events'!$K$2703,"",INDEX('10_events'!$F$2:$F$2703,$H440))</x:f>
      </x:c>
      <x:c r="E440" t="str">
        <x:f>IF(439&gt;'10_events'!$K$2703,"",INDEX('10_events'!$G$2:$G$2703,$H440))</x:f>
      </x:c>
      <x:c r="F440" t="str">
        <x:f>IF(439&gt;'10_events'!$K$2703,"",INDEX('10_events'!$H$2:$H$2703,$H440))</x:f>
      </x:c>
      <x:c r="G440" s="16" t="str">
        <x:f>IF(439&gt;'10_events'!$K$2703,"",INDEX('10_events'!$I$2:$I$2703,$H440))</x:f>
      </x:c>
      <x:c r="H440" t="n">
        <x:f>IF(439&gt;'10_events'!$K$2703,0,MATCH(439,'10_events'!$J$2:$J$2703,0))</x:f>
        <x:v>0</x:v>
      </x:c>
    </x:row>
    <x:row r="441" ht="25" customHeight="1">
      <x:c r="A441" t="str">
        <x:f>IF(440&gt;'10_events'!$K$2703,"",INDEX('10_events'!$A$2:$A$2703,$H441))</x:f>
      </x:c>
      <x:c r="B441" t="str">
        <x:f>IF(440&gt;'10_events'!$K$2703,"",INDEX('10_events'!$B$2:$B$2703,$H441))</x:f>
      </x:c>
      <x:c r="C441" t="str">
        <x:f>IF(440&gt;'10_events'!$K$2703,"",INDEX('10_events'!$C$2:$C$2703,$H441))</x:f>
      </x:c>
      <x:c r="D441" t="str">
        <x:f>IF(440&gt;'10_events'!$K$2703,"",INDEX('10_events'!$F$2:$F$2703,$H441))</x:f>
      </x:c>
      <x:c r="E441" t="str">
        <x:f>IF(440&gt;'10_events'!$K$2703,"",INDEX('10_events'!$G$2:$G$2703,$H441))</x:f>
      </x:c>
      <x:c r="F441" t="str">
        <x:f>IF(440&gt;'10_events'!$K$2703,"",INDEX('10_events'!$H$2:$H$2703,$H441))</x:f>
      </x:c>
      <x:c r="G441" s="16" t="str">
        <x:f>IF(440&gt;'10_events'!$K$2703,"",INDEX('10_events'!$I$2:$I$2703,$H441))</x:f>
      </x:c>
      <x:c r="H441" t="n">
        <x:f>IF(440&gt;'10_events'!$K$2703,0,MATCH(440,'10_events'!$J$2:$J$2703,0))</x:f>
        <x:v>0</x:v>
      </x:c>
    </x:row>
    <x:row r="442" ht="25" customHeight="1">
      <x:c r="A442" t="str">
        <x:f>IF(441&gt;'10_events'!$K$2703,"",INDEX('10_events'!$A$2:$A$2703,$H442))</x:f>
      </x:c>
      <x:c r="B442" t="str">
        <x:f>IF(441&gt;'10_events'!$K$2703,"",INDEX('10_events'!$B$2:$B$2703,$H442))</x:f>
      </x:c>
      <x:c r="C442" t="str">
        <x:f>IF(441&gt;'10_events'!$K$2703,"",INDEX('10_events'!$C$2:$C$2703,$H442))</x:f>
      </x:c>
      <x:c r="D442" t="str">
        <x:f>IF(441&gt;'10_events'!$K$2703,"",INDEX('10_events'!$F$2:$F$2703,$H442))</x:f>
      </x:c>
      <x:c r="E442" t="str">
        <x:f>IF(441&gt;'10_events'!$K$2703,"",INDEX('10_events'!$G$2:$G$2703,$H442))</x:f>
      </x:c>
      <x:c r="F442" t="str">
        <x:f>IF(441&gt;'10_events'!$K$2703,"",INDEX('10_events'!$H$2:$H$2703,$H442))</x:f>
      </x:c>
      <x:c r="G442" s="16" t="str">
        <x:f>IF(441&gt;'10_events'!$K$2703,"",INDEX('10_events'!$I$2:$I$2703,$H442))</x:f>
      </x:c>
      <x:c r="H442" t="n">
        <x:f>IF(441&gt;'10_events'!$K$2703,0,MATCH(441,'10_events'!$J$2:$J$2703,0))</x:f>
        <x:v>0</x:v>
      </x:c>
    </x:row>
    <x:row r="443" ht="25" customHeight="1">
      <x:c r="A443" t="str">
        <x:f>IF(442&gt;'10_events'!$K$2703,"",INDEX('10_events'!$A$2:$A$2703,$H443))</x:f>
      </x:c>
      <x:c r="B443" t="str">
        <x:f>IF(442&gt;'10_events'!$K$2703,"",INDEX('10_events'!$B$2:$B$2703,$H443))</x:f>
      </x:c>
      <x:c r="C443" t="str">
        <x:f>IF(442&gt;'10_events'!$K$2703,"",INDEX('10_events'!$C$2:$C$2703,$H443))</x:f>
      </x:c>
      <x:c r="D443" t="str">
        <x:f>IF(442&gt;'10_events'!$K$2703,"",INDEX('10_events'!$F$2:$F$2703,$H443))</x:f>
      </x:c>
      <x:c r="E443" t="str">
        <x:f>IF(442&gt;'10_events'!$K$2703,"",INDEX('10_events'!$G$2:$G$2703,$H443))</x:f>
      </x:c>
      <x:c r="F443" t="str">
        <x:f>IF(442&gt;'10_events'!$K$2703,"",INDEX('10_events'!$H$2:$H$2703,$H443))</x:f>
      </x:c>
      <x:c r="G443" s="16" t="str">
        <x:f>IF(442&gt;'10_events'!$K$2703,"",INDEX('10_events'!$I$2:$I$2703,$H443))</x:f>
      </x:c>
      <x:c r="H443" t="n">
        <x:f>IF(442&gt;'10_events'!$K$2703,0,MATCH(442,'10_events'!$J$2:$J$2703,0))</x:f>
        <x:v>0</x:v>
      </x:c>
    </x:row>
    <x:row r="444" ht="25" customHeight="1">
      <x:c r="A444" t="str">
        <x:f>IF(443&gt;'10_events'!$K$2703,"",INDEX('10_events'!$A$2:$A$2703,$H444))</x:f>
      </x:c>
      <x:c r="B444" t="str">
        <x:f>IF(443&gt;'10_events'!$K$2703,"",INDEX('10_events'!$B$2:$B$2703,$H444))</x:f>
      </x:c>
      <x:c r="C444" t="str">
        <x:f>IF(443&gt;'10_events'!$K$2703,"",INDEX('10_events'!$C$2:$C$2703,$H444))</x:f>
      </x:c>
      <x:c r="D444" t="str">
        <x:f>IF(443&gt;'10_events'!$K$2703,"",INDEX('10_events'!$F$2:$F$2703,$H444))</x:f>
      </x:c>
      <x:c r="E444" t="str">
        <x:f>IF(443&gt;'10_events'!$K$2703,"",INDEX('10_events'!$G$2:$G$2703,$H444))</x:f>
      </x:c>
      <x:c r="F444" t="str">
        <x:f>IF(443&gt;'10_events'!$K$2703,"",INDEX('10_events'!$H$2:$H$2703,$H444))</x:f>
      </x:c>
      <x:c r="G444" s="16" t="str">
        <x:f>IF(443&gt;'10_events'!$K$2703,"",INDEX('10_events'!$I$2:$I$2703,$H444))</x:f>
      </x:c>
      <x:c r="H444" t="n">
        <x:f>IF(443&gt;'10_events'!$K$2703,0,MATCH(443,'10_events'!$J$2:$J$2703,0))</x:f>
        <x:v>0</x:v>
      </x:c>
    </x:row>
    <x:row r="445" ht="25" customHeight="1">
      <x:c r="A445" t="str">
        <x:f>IF(444&gt;'10_events'!$K$2703,"",INDEX('10_events'!$A$2:$A$2703,$H445))</x:f>
      </x:c>
      <x:c r="B445" t="str">
        <x:f>IF(444&gt;'10_events'!$K$2703,"",INDEX('10_events'!$B$2:$B$2703,$H445))</x:f>
      </x:c>
      <x:c r="C445" t="str">
        <x:f>IF(444&gt;'10_events'!$K$2703,"",INDEX('10_events'!$C$2:$C$2703,$H445))</x:f>
      </x:c>
      <x:c r="D445" t="str">
        <x:f>IF(444&gt;'10_events'!$K$2703,"",INDEX('10_events'!$F$2:$F$2703,$H445))</x:f>
      </x:c>
      <x:c r="E445" t="str">
        <x:f>IF(444&gt;'10_events'!$K$2703,"",INDEX('10_events'!$G$2:$G$2703,$H445))</x:f>
      </x:c>
      <x:c r="F445" t="str">
        <x:f>IF(444&gt;'10_events'!$K$2703,"",INDEX('10_events'!$H$2:$H$2703,$H445))</x:f>
      </x:c>
      <x:c r="G445" s="16" t="str">
        <x:f>IF(444&gt;'10_events'!$K$2703,"",INDEX('10_events'!$I$2:$I$2703,$H445))</x:f>
      </x:c>
      <x:c r="H445" t="n">
        <x:f>IF(444&gt;'10_events'!$K$2703,0,MATCH(444,'10_events'!$J$2:$J$2703,0))</x:f>
        <x:v>0</x:v>
      </x:c>
    </x:row>
    <x:row r="446" ht="25" customHeight="1">
      <x:c r="A446" t="str">
        <x:f>IF(445&gt;'10_events'!$K$2703,"",INDEX('10_events'!$A$2:$A$2703,$H446))</x:f>
      </x:c>
      <x:c r="B446" t="str">
        <x:f>IF(445&gt;'10_events'!$K$2703,"",INDEX('10_events'!$B$2:$B$2703,$H446))</x:f>
      </x:c>
      <x:c r="C446" t="str">
        <x:f>IF(445&gt;'10_events'!$K$2703,"",INDEX('10_events'!$C$2:$C$2703,$H446))</x:f>
      </x:c>
      <x:c r="D446" t="str">
        <x:f>IF(445&gt;'10_events'!$K$2703,"",INDEX('10_events'!$F$2:$F$2703,$H446))</x:f>
      </x:c>
      <x:c r="E446" t="str">
        <x:f>IF(445&gt;'10_events'!$K$2703,"",INDEX('10_events'!$G$2:$G$2703,$H446))</x:f>
      </x:c>
      <x:c r="F446" t="str">
        <x:f>IF(445&gt;'10_events'!$K$2703,"",INDEX('10_events'!$H$2:$H$2703,$H446))</x:f>
      </x:c>
      <x:c r="G446" s="16" t="str">
        <x:f>IF(445&gt;'10_events'!$K$2703,"",INDEX('10_events'!$I$2:$I$2703,$H446))</x:f>
      </x:c>
      <x:c r="H446" t="n">
        <x:f>IF(445&gt;'10_events'!$K$2703,0,MATCH(445,'10_events'!$J$2:$J$2703,0))</x:f>
        <x:v>0</x:v>
      </x:c>
    </x:row>
    <x:row r="447" ht="25" customHeight="1">
      <x:c r="A447" t="str">
        <x:f>IF(446&gt;'10_events'!$K$2703,"",INDEX('10_events'!$A$2:$A$2703,$H447))</x:f>
      </x:c>
      <x:c r="B447" t="str">
        <x:f>IF(446&gt;'10_events'!$K$2703,"",INDEX('10_events'!$B$2:$B$2703,$H447))</x:f>
      </x:c>
      <x:c r="C447" t="str">
        <x:f>IF(446&gt;'10_events'!$K$2703,"",INDEX('10_events'!$C$2:$C$2703,$H447))</x:f>
      </x:c>
      <x:c r="D447" t="str">
        <x:f>IF(446&gt;'10_events'!$K$2703,"",INDEX('10_events'!$F$2:$F$2703,$H447))</x:f>
      </x:c>
      <x:c r="E447" t="str">
        <x:f>IF(446&gt;'10_events'!$K$2703,"",INDEX('10_events'!$G$2:$G$2703,$H447))</x:f>
      </x:c>
      <x:c r="F447" t="str">
        <x:f>IF(446&gt;'10_events'!$K$2703,"",INDEX('10_events'!$H$2:$H$2703,$H447))</x:f>
      </x:c>
      <x:c r="G447" s="16" t="str">
        <x:f>IF(446&gt;'10_events'!$K$2703,"",INDEX('10_events'!$I$2:$I$2703,$H447))</x:f>
      </x:c>
      <x:c r="H447" t="n">
        <x:f>IF(446&gt;'10_events'!$K$2703,0,MATCH(446,'10_events'!$J$2:$J$2703,0))</x:f>
        <x:v>0</x:v>
      </x:c>
    </x:row>
    <x:row r="448" ht="25" customHeight="1">
      <x:c r="A448" t="str">
        <x:f>IF(447&gt;'10_events'!$K$2703,"",INDEX('10_events'!$A$2:$A$2703,$H448))</x:f>
      </x:c>
      <x:c r="B448" t="str">
        <x:f>IF(447&gt;'10_events'!$K$2703,"",INDEX('10_events'!$B$2:$B$2703,$H448))</x:f>
      </x:c>
      <x:c r="C448" t="str">
        <x:f>IF(447&gt;'10_events'!$K$2703,"",INDEX('10_events'!$C$2:$C$2703,$H448))</x:f>
      </x:c>
      <x:c r="D448" t="str">
        <x:f>IF(447&gt;'10_events'!$K$2703,"",INDEX('10_events'!$F$2:$F$2703,$H448))</x:f>
      </x:c>
      <x:c r="E448" t="str">
        <x:f>IF(447&gt;'10_events'!$K$2703,"",INDEX('10_events'!$G$2:$G$2703,$H448))</x:f>
      </x:c>
      <x:c r="F448" t="str">
        <x:f>IF(447&gt;'10_events'!$K$2703,"",INDEX('10_events'!$H$2:$H$2703,$H448))</x:f>
      </x:c>
      <x:c r="G448" s="16" t="str">
        <x:f>IF(447&gt;'10_events'!$K$2703,"",INDEX('10_events'!$I$2:$I$2703,$H448))</x:f>
      </x:c>
      <x:c r="H448" t="n">
        <x:f>IF(447&gt;'10_events'!$K$2703,0,MATCH(447,'10_events'!$J$2:$J$2703,0))</x:f>
        <x:v>0</x:v>
      </x:c>
    </x:row>
    <x:row r="449" ht="25" customHeight="1">
      <x:c r="A449" t="str">
        <x:f>IF(448&gt;'10_events'!$K$2703,"",INDEX('10_events'!$A$2:$A$2703,$H449))</x:f>
      </x:c>
      <x:c r="B449" t="str">
        <x:f>IF(448&gt;'10_events'!$K$2703,"",INDEX('10_events'!$B$2:$B$2703,$H449))</x:f>
      </x:c>
      <x:c r="C449" t="str">
        <x:f>IF(448&gt;'10_events'!$K$2703,"",INDEX('10_events'!$C$2:$C$2703,$H449))</x:f>
      </x:c>
      <x:c r="D449" t="str">
        <x:f>IF(448&gt;'10_events'!$K$2703,"",INDEX('10_events'!$F$2:$F$2703,$H449))</x:f>
      </x:c>
      <x:c r="E449" t="str">
        <x:f>IF(448&gt;'10_events'!$K$2703,"",INDEX('10_events'!$G$2:$G$2703,$H449))</x:f>
      </x:c>
      <x:c r="F449" t="str">
        <x:f>IF(448&gt;'10_events'!$K$2703,"",INDEX('10_events'!$H$2:$H$2703,$H449))</x:f>
      </x:c>
      <x:c r="G449" s="16" t="str">
        <x:f>IF(448&gt;'10_events'!$K$2703,"",INDEX('10_events'!$I$2:$I$2703,$H449))</x:f>
      </x:c>
      <x:c r="H449" t="n">
        <x:f>IF(448&gt;'10_events'!$K$2703,0,MATCH(448,'10_events'!$J$2:$J$2703,0))</x:f>
        <x:v>0</x:v>
      </x:c>
    </x:row>
    <x:row r="450" ht="25" customHeight="1">
      <x:c r="A450" t="str">
        <x:f>IF(449&gt;'10_events'!$K$2703,"",INDEX('10_events'!$A$2:$A$2703,$H450))</x:f>
      </x:c>
      <x:c r="B450" t="str">
        <x:f>IF(449&gt;'10_events'!$K$2703,"",INDEX('10_events'!$B$2:$B$2703,$H450))</x:f>
      </x:c>
      <x:c r="C450" t="str">
        <x:f>IF(449&gt;'10_events'!$K$2703,"",INDEX('10_events'!$C$2:$C$2703,$H450))</x:f>
      </x:c>
      <x:c r="D450" t="str">
        <x:f>IF(449&gt;'10_events'!$K$2703,"",INDEX('10_events'!$F$2:$F$2703,$H450))</x:f>
      </x:c>
      <x:c r="E450" t="str">
        <x:f>IF(449&gt;'10_events'!$K$2703,"",INDEX('10_events'!$G$2:$G$2703,$H450))</x:f>
      </x:c>
      <x:c r="F450" t="str">
        <x:f>IF(449&gt;'10_events'!$K$2703,"",INDEX('10_events'!$H$2:$H$2703,$H450))</x:f>
      </x:c>
      <x:c r="G450" s="16" t="str">
        <x:f>IF(449&gt;'10_events'!$K$2703,"",INDEX('10_events'!$I$2:$I$2703,$H450))</x:f>
      </x:c>
      <x:c r="H450" t="n">
        <x:f>IF(449&gt;'10_events'!$K$2703,0,MATCH(449,'10_events'!$J$2:$J$2703,0))</x:f>
        <x:v>0</x:v>
      </x:c>
    </x:row>
    <x:row r="451" ht="25" customHeight="1">
      <x:c r="A451" t="str">
        <x:f>IF(450&gt;'10_events'!$K$2703,"",INDEX('10_events'!$A$2:$A$2703,$H451))</x:f>
      </x:c>
      <x:c r="B451" t="str">
        <x:f>IF(450&gt;'10_events'!$K$2703,"",INDEX('10_events'!$B$2:$B$2703,$H451))</x:f>
      </x:c>
      <x:c r="C451" t="str">
        <x:f>IF(450&gt;'10_events'!$K$2703,"",INDEX('10_events'!$C$2:$C$2703,$H451))</x:f>
      </x:c>
      <x:c r="D451" t="str">
        <x:f>IF(450&gt;'10_events'!$K$2703,"",INDEX('10_events'!$F$2:$F$2703,$H451))</x:f>
      </x:c>
      <x:c r="E451" t="str">
        <x:f>IF(450&gt;'10_events'!$K$2703,"",INDEX('10_events'!$G$2:$G$2703,$H451))</x:f>
      </x:c>
      <x:c r="F451" t="str">
        <x:f>IF(450&gt;'10_events'!$K$2703,"",INDEX('10_events'!$H$2:$H$2703,$H451))</x:f>
      </x:c>
      <x:c r="G451" s="16" t="str">
        <x:f>IF(450&gt;'10_events'!$K$2703,"",INDEX('10_events'!$I$2:$I$2703,$H451))</x:f>
      </x:c>
      <x:c r="H451" t="n">
        <x:f>IF(450&gt;'10_events'!$K$2703,0,MATCH(450,'10_events'!$J$2:$J$2703,0))</x:f>
        <x:v>0</x:v>
      </x:c>
    </x:row>
    <x:row r="452" ht="25" customHeight="1">
      <x:c r="A452" t="str">
        <x:f>IF(451&gt;'10_events'!$K$2703,"",INDEX('10_events'!$A$2:$A$2703,$H452))</x:f>
      </x:c>
      <x:c r="B452" t="str">
        <x:f>IF(451&gt;'10_events'!$K$2703,"",INDEX('10_events'!$B$2:$B$2703,$H452))</x:f>
      </x:c>
      <x:c r="C452" t="str">
        <x:f>IF(451&gt;'10_events'!$K$2703,"",INDEX('10_events'!$C$2:$C$2703,$H452))</x:f>
      </x:c>
      <x:c r="D452" t="str">
        <x:f>IF(451&gt;'10_events'!$K$2703,"",INDEX('10_events'!$F$2:$F$2703,$H452))</x:f>
      </x:c>
      <x:c r="E452" t="str">
        <x:f>IF(451&gt;'10_events'!$K$2703,"",INDEX('10_events'!$G$2:$G$2703,$H452))</x:f>
      </x:c>
      <x:c r="F452" t="str">
        <x:f>IF(451&gt;'10_events'!$K$2703,"",INDEX('10_events'!$H$2:$H$2703,$H452))</x:f>
      </x:c>
      <x:c r="G452" s="16" t="str">
        <x:f>IF(451&gt;'10_events'!$K$2703,"",INDEX('10_events'!$I$2:$I$2703,$H452))</x:f>
      </x:c>
      <x:c r="H452" t="n">
        <x:f>IF(451&gt;'10_events'!$K$2703,0,MATCH(451,'10_events'!$J$2:$J$2703,0))</x:f>
        <x:v>0</x:v>
      </x:c>
    </x:row>
    <x:row r="453" ht="25" customHeight="1">
      <x:c r="A453" t="str">
        <x:f>IF(452&gt;'10_events'!$K$2703,"",INDEX('10_events'!$A$2:$A$2703,$H453))</x:f>
      </x:c>
      <x:c r="B453" t="str">
        <x:f>IF(452&gt;'10_events'!$K$2703,"",INDEX('10_events'!$B$2:$B$2703,$H453))</x:f>
      </x:c>
      <x:c r="C453" t="str">
        <x:f>IF(452&gt;'10_events'!$K$2703,"",INDEX('10_events'!$C$2:$C$2703,$H453))</x:f>
      </x:c>
      <x:c r="D453" t="str">
        <x:f>IF(452&gt;'10_events'!$K$2703,"",INDEX('10_events'!$F$2:$F$2703,$H453))</x:f>
      </x:c>
      <x:c r="E453" t="str">
        <x:f>IF(452&gt;'10_events'!$K$2703,"",INDEX('10_events'!$G$2:$G$2703,$H453))</x:f>
      </x:c>
      <x:c r="F453" t="str">
        <x:f>IF(452&gt;'10_events'!$K$2703,"",INDEX('10_events'!$H$2:$H$2703,$H453))</x:f>
      </x:c>
      <x:c r="G453" s="16" t="str">
        <x:f>IF(452&gt;'10_events'!$K$2703,"",INDEX('10_events'!$I$2:$I$2703,$H453))</x:f>
      </x:c>
      <x:c r="H453" t="n">
        <x:f>IF(452&gt;'10_events'!$K$2703,0,MATCH(452,'10_events'!$J$2:$J$2703,0))</x:f>
        <x:v>0</x:v>
      </x:c>
    </x:row>
    <x:row r="454" ht="25" customHeight="1">
      <x:c r="A454" t="str">
        <x:f>IF(453&gt;'10_events'!$K$2703,"",INDEX('10_events'!$A$2:$A$2703,$H454))</x:f>
      </x:c>
      <x:c r="B454" t="str">
        <x:f>IF(453&gt;'10_events'!$K$2703,"",INDEX('10_events'!$B$2:$B$2703,$H454))</x:f>
      </x:c>
      <x:c r="C454" t="str">
        <x:f>IF(453&gt;'10_events'!$K$2703,"",INDEX('10_events'!$C$2:$C$2703,$H454))</x:f>
      </x:c>
      <x:c r="D454" t="str">
        <x:f>IF(453&gt;'10_events'!$K$2703,"",INDEX('10_events'!$F$2:$F$2703,$H454))</x:f>
      </x:c>
      <x:c r="E454" t="str">
        <x:f>IF(453&gt;'10_events'!$K$2703,"",INDEX('10_events'!$G$2:$G$2703,$H454))</x:f>
      </x:c>
      <x:c r="F454" t="str">
        <x:f>IF(453&gt;'10_events'!$K$2703,"",INDEX('10_events'!$H$2:$H$2703,$H454))</x:f>
      </x:c>
      <x:c r="G454" s="16" t="str">
        <x:f>IF(453&gt;'10_events'!$K$2703,"",INDEX('10_events'!$I$2:$I$2703,$H454))</x:f>
      </x:c>
      <x:c r="H454" t="n">
        <x:f>IF(453&gt;'10_events'!$K$2703,0,MATCH(453,'10_events'!$J$2:$J$2703,0))</x:f>
        <x:v>0</x:v>
      </x:c>
    </x:row>
    <x:row r="455" ht="25" customHeight="1">
      <x:c r="A455" t="str">
        <x:f>IF(454&gt;'10_events'!$K$2703,"",INDEX('10_events'!$A$2:$A$2703,$H455))</x:f>
      </x:c>
      <x:c r="B455" t="str">
        <x:f>IF(454&gt;'10_events'!$K$2703,"",INDEX('10_events'!$B$2:$B$2703,$H455))</x:f>
      </x:c>
      <x:c r="C455" t="str">
        <x:f>IF(454&gt;'10_events'!$K$2703,"",INDEX('10_events'!$C$2:$C$2703,$H455))</x:f>
      </x:c>
      <x:c r="D455" t="str">
        <x:f>IF(454&gt;'10_events'!$K$2703,"",INDEX('10_events'!$F$2:$F$2703,$H455))</x:f>
      </x:c>
      <x:c r="E455" t="str">
        <x:f>IF(454&gt;'10_events'!$K$2703,"",INDEX('10_events'!$G$2:$G$2703,$H455))</x:f>
      </x:c>
      <x:c r="F455" t="str">
        <x:f>IF(454&gt;'10_events'!$K$2703,"",INDEX('10_events'!$H$2:$H$2703,$H455))</x:f>
      </x:c>
      <x:c r="G455" s="16" t="str">
        <x:f>IF(454&gt;'10_events'!$K$2703,"",INDEX('10_events'!$I$2:$I$2703,$H455))</x:f>
      </x:c>
      <x:c r="H455" t="n">
        <x:f>IF(454&gt;'10_events'!$K$2703,0,MATCH(454,'10_events'!$J$2:$J$2703,0))</x:f>
        <x:v>0</x:v>
      </x:c>
    </x:row>
    <x:row r="456" ht="25" customHeight="1">
      <x:c r="A456" t="str">
        <x:f>IF(455&gt;'10_events'!$K$2703,"",INDEX('10_events'!$A$2:$A$2703,$H456))</x:f>
      </x:c>
      <x:c r="B456" t="str">
        <x:f>IF(455&gt;'10_events'!$K$2703,"",INDEX('10_events'!$B$2:$B$2703,$H456))</x:f>
      </x:c>
      <x:c r="C456" t="str">
        <x:f>IF(455&gt;'10_events'!$K$2703,"",INDEX('10_events'!$C$2:$C$2703,$H456))</x:f>
      </x:c>
      <x:c r="D456" t="str">
        <x:f>IF(455&gt;'10_events'!$K$2703,"",INDEX('10_events'!$F$2:$F$2703,$H456))</x:f>
      </x:c>
      <x:c r="E456" t="str">
        <x:f>IF(455&gt;'10_events'!$K$2703,"",INDEX('10_events'!$G$2:$G$2703,$H456))</x:f>
      </x:c>
      <x:c r="F456" t="str">
        <x:f>IF(455&gt;'10_events'!$K$2703,"",INDEX('10_events'!$H$2:$H$2703,$H456))</x:f>
      </x:c>
      <x:c r="G456" s="16" t="str">
        <x:f>IF(455&gt;'10_events'!$K$2703,"",INDEX('10_events'!$I$2:$I$2703,$H456))</x:f>
      </x:c>
      <x:c r="H456" t="n">
        <x:f>IF(455&gt;'10_events'!$K$2703,0,MATCH(455,'10_events'!$J$2:$J$2703,0))</x:f>
        <x:v>0</x:v>
      </x:c>
    </x:row>
    <x:row r="457" ht="25" customHeight="1">
      <x:c r="A457" t="str">
        <x:f>IF(456&gt;'10_events'!$K$2703,"",INDEX('10_events'!$A$2:$A$2703,$H457))</x:f>
      </x:c>
      <x:c r="B457" t="str">
        <x:f>IF(456&gt;'10_events'!$K$2703,"",INDEX('10_events'!$B$2:$B$2703,$H457))</x:f>
      </x:c>
      <x:c r="C457" t="str">
        <x:f>IF(456&gt;'10_events'!$K$2703,"",INDEX('10_events'!$C$2:$C$2703,$H457))</x:f>
      </x:c>
      <x:c r="D457" t="str">
        <x:f>IF(456&gt;'10_events'!$K$2703,"",INDEX('10_events'!$F$2:$F$2703,$H457))</x:f>
      </x:c>
      <x:c r="E457" t="str">
        <x:f>IF(456&gt;'10_events'!$K$2703,"",INDEX('10_events'!$G$2:$G$2703,$H457))</x:f>
      </x:c>
      <x:c r="F457" t="str">
        <x:f>IF(456&gt;'10_events'!$K$2703,"",INDEX('10_events'!$H$2:$H$2703,$H457))</x:f>
      </x:c>
      <x:c r="G457" s="16" t="str">
        <x:f>IF(456&gt;'10_events'!$K$2703,"",INDEX('10_events'!$I$2:$I$2703,$H457))</x:f>
      </x:c>
      <x:c r="H457" t="n">
        <x:f>IF(456&gt;'10_events'!$K$2703,0,MATCH(456,'10_events'!$J$2:$J$2703,0))</x:f>
        <x:v>0</x:v>
      </x:c>
    </x:row>
    <x:row r="458" ht="25" customHeight="1">
      <x:c r="A458" t="str">
        <x:f>IF(457&gt;'10_events'!$K$2703,"",INDEX('10_events'!$A$2:$A$2703,$H458))</x:f>
      </x:c>
      <x:c r="B458" t="str">
        <x:f>IF(457&gt;'10_events'!$K$2703,"",INDEX('10_events'!$B$2:$B$2703,$H458))</x:f>
      </x:c>
      <x:c r="C458" t="str">
        <x:f>IF(457&gt;'10_events'!$K$2703,"",INDEX('10_events'!$C$2:$C$2703,$H458))</x:f>
      </x:c>
      <x:c r="D458" t="str">
        <x:f>IF(457&gt;'10_events'!$K$2703,"",INDEX('10_events'!$F$2:$F$2703,$H458))</x:f>
      </x:c>
      <x:c r="E458" t="str">
        <x:f>IF(457&gt;'10_events'!$K$2703,"",INDEX('10_events'!$G$2:$G$2703,$H458))</x:f>
      </x:c>
      <x:c r="F458" t="str">
        <x:f>IF(457&gt;'10_events'!$K$2703,"",INDEX('10_events'!$H$2:$H$2703,$H458))</x:f>
      </x:c>
      <x:c r="G458" s="16" t="str">
        <x:f>IF(457&gt;'10_events'!$K$2703,"",INDEX('10_events'!$I$2:$I$2703,$H458))</x:f>
      </x:c>
      <x:c r="H458" t="n">
        <x:f>IF(457&gt;'10_events'!$K$2703,0,MATCH(457,'10_events'!$J$2:$J$2703,0))</x:f>
        <x:v>0</x:v>
      </x:c>
    </x:row>
    <x:row r="459" ht="25" customHeight="1">
      <x:c r="A459" t="str">
        <x:f>IF(458&gt;'10_events'!$K$2703,"",INDEX('10_events'!$A$2:$A$2703,$H459))</x:f>
      </x:c>
      <x:c r="B459" t="str">
        <x:f>IF(458&gt;'10_events'!$K$2703,"",INDEX('10_events'!$B$2:$B$2703,$H459))</x:f>
      </x:c>
      <x:c r="C459" t="str">
        <x:f>IF(458&gt;'10_events'!$K$2703,"",INDEX('10_events'!$C$2:$C$2703,$H459))</x:f>
      </x:c>
      <x:c r="D459" t="str">
        <x:f>IF(458&gt;'10_events'!$K$2703,"",INDEX('10_events'!$F$2:$F$2703,$H459))</x:f>
      </x:c>
      <x:c r="E459" t="str">
        <x:f>IF(458&gt;'10_events'!$K$2703,"",INDEX('10_events'!$G$2:$G$2703,$H459))</x:f>
      </x:c>
      <x:c r="F459" t="str">
        <x:f>IF(458&gt;'10_events'!$K$2703,"",INDEX('10_events'!$H$2:$H$2703,$H459))</x:f>
      </x:c>
      <x:c r="G459" s="16" t="str">
        <x:f>IF(458&gt;'10_events'!$K$2703,"",INDEX('10_events'!$I$2:$I$2703,$H459))</x:f>
      </x:c>
      <x:c r="H459" t="n">
        <x:f>IF(458&gt;'10_events'!$K$2703,0,MATCH(458,'10_events'!$J$2:$J$2703,0))</x:f>
        <x:v>0</x:v>
      </x:c>
    </x:row>
    <x:row r="460" ht="25" customHeight="1">
      <x:c r="A460" t="str">
        <x:f>IF(459&gt;'10_events'!$K$2703,"",INDEX('10_events'!$A$2:$A$2703,$H460))</x:f>
      </x:c>
      <x:c r="B460" t="str">
        <x:f>IF(459&gt;'10_events'!$K$2703,"",INDEX('10_events'!$B$2:$B$2703,$H460))</x:f>
      </x:c>
      <x:c r="C460" t="str">
        <x:f>IF(459&gt;'10_events'!$K$2703,"",INDEX('10_events'!$C$2:$C$2703,$H460))</x:f>
      </x:c>
      <x:c r="D460" t="str">
        <x:f>IF(459&gt;'10_events'!$K$2703,"",INDEX('10_events'!$F$2:$F$2703,$H460))</x:f>
      </x:c>
      <x:c r="E460" t="str">
        <x:f>IF(459&gt;'10_events'!$K$2703,"",INDEX('10_events'!$G$2:$G$2703,$H460))</x:f>
      </x:c>
      <x:c r="F460" t="str">
        <x:f>IF(459&gt;'10_events'!$K$2703,"",INDEX('10_events'!$H$2:$H$2703,$H460))</x:f>
      </x:c>
      <x:c r="G460" s="16" t="str">
        <x:f>IF(459&gt;'10_events'!$K$2703,"",INDEX('10_events'!$I$2:$I$2703,$H460))</x:f>
      </x:c>
      <x:c r="H460" t="n">
        <x:f>IF(459&gt;'10_events'!$K$2703,0,MATCH(459,'10_events'!$J$2:$J$2703,0))</x:f>
        <x:v>0</x:v>
      </x:c>
    </x:row>
    <x:row r="461" ht="25" customHeight="1">
      <x:c r="A461" t="str">
        <x:f>IF(460&gt;'10_events'!$K$2703,"",INDEX('10_events'!$A$2:$A$2703,$H461))</x:f>
      </x:c>
      <x:c r="B461" t="str">
        <x:f>IF(460&gt;'10_events'!$K$2703,"",INDEX('10_events'!$B$2:$B$2703,$H461))</x:f>
      </x:c>
      <x:c r="C461" t="str">
        <x:f>IF(460&gt;'10_events'!$K$2703,"",INDEX('10_events'!$C$2:$C$2703,$H461))</x:f>
      </x:c>
      <x:c r="D461" t="str">
        <x:f>IF(460&gt;'10_events'!$K$2703,"",INDEX('10_events'!$F$2:$F$2703,$H461))</x:f>
      </x:c>
      <x:c r="E461" t="str">
        <x:f>IF(460&gt;'10_events'!$K$2703,"",INDEX('10_events'!$G$2:$G$2703,$H461))</x:f>
      </x:c>
      <x:c r="F461" t="str">
        <x:f>IF(460&gt;'10_events'!$K$2703,"",INDEX('10_events'!$H$2:$H$2703,$H461))</x:f>
      </x:c>
      <x:c r="G461" s="16" t="str">
        <x:f>IF(460&gt;'10_events'!$K$2703,"",INDEX('10_events'!$I$2:$I$2703,$H461))</x:f>
      </x:c>
      <x:c r="H461" t="n">
        <x:f>IF(460&gt;'10_events'!$K$2703,0,MATCH(460,'10_events'!$J$2:$J$2703,0))</x:f>
        <x:v>0</x:v>
      </x:c>
    </x:row>
    <x:row r="462" ht="25" customHeight="1">
      <x:c r="A462" t="str">
        <x:f>IF(461&gt;'10_events'!$K$2703,"",INDEX('10_events'!$A$2:$A$2703,$H462))</x:f>
      </x:c>
      <x:c r="B462" t="str">
        <x:f>IF(461&gt;'10_events'!$K$2703,"",INDEX('10_events'!$B$2:$B$2703,$H462))</x:f>
      </x:c>
      <x:c r="C462" t="str">
        <x:f>IF(461&gt;'10_events'!$K$2703,"",INDEX('10_events'!$C$2:$C$2703,$H462))</x:f>
      </x:c>
      <x:c r="D462" t="str">
        <x:f>IF(461&gt;'10_events'!$K$2703,"",INDEX('10_events'!$F$2:$F$2703,$H462))</x:f>
      </x:c>
      <x:c r="E462" t="str">
        <x:f>IF(461&gt;'10_events'!$K$2703,"",INDEX('10_events'!$G$2:$G$2703,$H462))</x:f>
      </x:c>
      <x:c r="F462" t="str">
        <x:f>IF(461&gt;'10_events'!$K$2703,"",INDEX('10_events'!$H$2:$H$2703,$H462))</x:f>
      </x:c>
      <x:c r="G462" s="16" t="str">
        <x:f>IF(461&gt;'10_events'!$K$2703,"",INDEX('10_events'!$I$2:$I$2703,$H462))</x:f>
      </x:c>
      <x:c r="H462" t="n">
        <x:f>IF(461&gt;'10_events'!$K$2703,0,MATCH(461,'10_events'!$J$2:$J$2703,0))</x:f>
        <x:v>0</x:v>
      </x:c>
    </x:row>
    <x:row r="463" ht="25" customHeight="1">
      <x:c r="A463" t="str">
        <x:f>IF(462&gt;'10_events'!$K$2703,"",INDEX('10_events'!$A$2:$A$2703,$H463))</x:f>
      </x:c>
      <x:c r="B463" t="str">
        <x:f>IF(462&gt;'10_events'!$K$2703,"",INDEX('10_events'!$B$2:$B$2703,$H463))</x:f>
      </x:c>
      <x:c r="C463" t="str">
        <x:f>IF(462&gt;'10_events'!$K$2703,"",INDEX('10_events'!$C$2:$C$2703,$H463))</x:f>
      </x:c>
      <x:c r="D463" t="str">
        <x:f>IF(462&gt;'10_events'!$K$2703,"",INDEX('10_events'!$F$2:$F$2703,$H463))</x:f>
      </x:c>
      <x:c r="E463" t="str">
        <x:f>IF(462&gt;'10_events'!$K$2703,"",INDEX('10_events'!$G$2:$G$2703,$H463))</x:f>
      </x:c>
      <x:c r="F463" t="str">
        <x:f>IF(462&gt;'10_events'!$K$2703,"",INDEX('10_events'!$H$2:$H$2703,$H463))</x:f>
      </x:c>
      <x:c r="G463" s="16" t="str">
        <x:f>IF(462&gt;'10_events'!$K$2703,"",INDEX('10_events'!$I$2:$I$2703,$H463))</x:f>
      </x:c>
      <x:c r="H463" t="n">
        <x:f>IF(462&gt;'10_events'!$K$2703,0,MATCH(462,'10_events'!$J$2:$J$2703,0))</x:f>
        <x:v>0</x:v>
      </x:c>
    </x:row>
    <x:row r="464" ht="25" customHeight="1">
      <x:c r="A464" t="str">
        <x:f>IF(463&gt;'10_events'!$K$2703,"",INDEX('10_events'!$A$2:$A$2703,$H464))</x:f>
      </x:c>
      <x:c r="B464" t="str">
        <x:f>IF(463&gt;'10_events'!$K$2703,"",INDEX('10_events'!$B$2:$B$2703,$H464))</x:f>
      </x:c>
      <x:c r="C464" t="str">
        <x:f>IF(463&gt;'10_events'!$K$2703,"",INDEX('10_events'!$C$2:$C$2703,$H464))</x:f>
      </x:c>
      <x:c r="D464" t="str">
        <x:f>IF(463&gt;'10_events'!$K$2703,"",INDEX('10_events'!$F$2:$F$2703,$H464))</x:f>
      </x:c>
      <x:c r="E464" t="str">
        <x:f>IF(463&gt;'10_events'!$K$2703,"",INDEX('10_events'!$G$2:$G$2703,$H464))</x:f>
      </x:c>
      <x:c r="F464" t="str">
        <x:f>IF(463&gt;'10_events'!$K$2703,"",INDEX('10_events'!$H$2:$H$2703,$H464))</x:f>
      </x:c>
      <x:c r="G464" s="16" t="str">
        <x:f>IF(463&gt;'10_events'!$K$2703,"",INDEX('10_events'!$I$2:$I$2703,$H464))</x:f>
      </x:c>
      <x:c r="H464" t="n">
        <x:f>IF(463&gt;'10_events'!$K$2703,0,MATCH(463,'10_events'!$J$2:$J$2703,0))</x:f>
        <x:v>0</x:v>
      </x:c>
    </x:row>
    <x:row r="465" ht="25" customHeight="1">
      <x:c r="A465" t="str">
        <x:f>IF(464&gt;'10_events'!$K$2703,"",INDEX('10_events'!$A$2:$A$2703,$H465))</x:f>
      </x:c>
      <x:c r="B465" t="str">
        <x:f>IF(464&gt;'10_events'!$K$2703,"",INDEX('10_events'!$B$2:$B$2703,$H465))</x:f>
      </x:c>
      <x:c r="C465" t="str">
        <x:f>IF(464&gt;'10_events'!$K$2703,"",INDEX('10_events'!$C$2:$C$2703,$H465))</x:f>
      </x:c>
      <x:c r="D465" t="str">
        <x:f>IF(464&gt;'10_events'!$K$2703,"",INDEX('10_events'!$F$2:$F$2703,$H465))</x:f>
      </x:c>
      <x:c r="E465" t="str">
        <x:f>IF(464&gt;'10_events'!$K$2703,"",INDEX('10_events'!$G$2:$G$2703,$H465))</x:f>
      </x:c>
      <x:c r="F465" t="str">
        <x:f>IF(464&gt;'10_events'!$K$2703,"",INDEX('10_events'!$H$2:$H$2703,$H465))</x:f>
      </x:c>
      <x:c r="G465" s="16" t="str">
        <x:f>IF(464&gt;'10_events'!$K$2703,"",INDEX('10_events'!$I$2:$I$2703,$H465))</x:f>
      </x:c>
      <x:c r="H465" t="n">
        <x:f>IF(464&gt;'10_events'!$K$2703,0,MATCH(464,'10_events'!$J$2:$J$2703,0))</x:f>
        <x:v>0</x:v>
      </x:c>
    </x:row>
    <x:row r="466" ht="25" customHeight="1">
      <x:c r="A466" t="str">
        <x:f>IF(465&gt;'10_events'!$K$2703,"",INDEX('10_events'!$A$2:$A$2703,$H466))</x:f>
      </x:c>
      <x:c r="B466" t="str">
        <x:f>IF(465&gt;'10_events'!$K$2703,"",INDEX('10_events'!$B$2:$B$2703,$H466))</x:f>
      </x:c>
      <x:c r="C466" t="str">
        <x:f>IF(465&gt;'10_events'!$K$2703,"",INDEX('10_events'!$C$2:$C$2703,$H466))</x:f>
      </x:c>
      <x:c r="D466" t="str">
        <x:f>IF(465&gt;'10_events'!$K$2703,"",INDEX('10_events'!$F$2:$F$2703,$H466))</x:f>
      </x:c>
      <x:c r="E466" t="str">
        <x:f>IF(465&gt;'10_events'!$K$2703,"",INDEX('10_events'!$G$2:$G$2703,$H466))</x:f>
      </x:c>
      <x:c r="F466" t="str">
        <x:f>IF(465&gt;'10_events'!$K$2703,"",INDEX('10_events'!$H$2:$H$2703,$H466))</x:f>
      </x:c>
      <x:c r="G466" s="16" t="str">
        <x:f>IF(465&gt;'10_events'!$K$2703,"",INDEX('10_events'!$I$2:$I$2703,$H466))</x:f>
      </x:c>
      <x:c r="H466" t="n">
        <x:f>IF(465&gt;'10_events'!$K$2703,0,MATCH(465,'10_events'!$J$2:$J$2703,0))</x:f>
        <x:v>0</x:v>
      </x:c>
    </x:row>
    <x:row r="467" ht="25" customHeight="1">
      <x:c r="A467" t="str">
        <x:f>IF(466&gt;'10_events'!$K$2703,"",INDEX('10_events'!$A$2:$A$2703,$H467))</x:f>
      </x:c>
      <x:c r="B467" t="str">
        <x:f>IF(466&gt;'10_events'!$K$2703,"",INDEX('10_events'!$B$2:$B$2703,$H467))</x:f>
      </x:c>
      <x:c r="C467" t="str">
        <x:f>IF(466&gt;'10_events'!$K$2703,"",INDEX('10_events'!$C$2:$C$2703,$H467))</x:f>
      </x:c>
      <x:c r="D467" t="str">
        <x:f>IF(466&gt;'10_events'!$K$2703,"",INDEX('10_events'!$F$2:$F$2703,$H467))</x:f>
      </x:c>
      <x:c r="E467" t="str">
        <x:f>IF(466&gt;'10_events'!$K$2703,"",INDEX('10_events'!$G$2:$G$2703,$H467))</x:f>
      </x:c>
      <x:c r="F467" t="str">
        <x:f>IF(466&gt;'10_events'!$K$2703,"",INDEX('10_events'!$H$2:$H$2703,$H467))</x:f>
      </x:c>
      <x:c r="G467" s="16" t="str">
        <x:f>IF(466&gt;'10_events'!$K$2703,"",INDEX('10_events'!$I$2:$I$2703,$H467))</x:f>
      </x:c>
      <x:c r="H467" t="n">
        <x:f>IF(466&gt;'10_events'!$K$2703,0,MATCH(466,'10_events'!$J$2:$J$2703,0))</x:f>
        <x:v>0</x:v>
      </x:c>
    </x:row>
    <x:row r="468" ht="25" customHeight="1">
      <x:c r="A468" t="str">
        <x:f>IF(467&gt;'10_events'!$K$2703,"",INDEX('10_events'!$A$2:$A$2703,$H468))</x:f>
      </x:c>
      <x:c r="B468" t="str">
        <x:f>IF(467&gt;'10_events'!$K$2703,"",INDEX('10_events'!$B$2:$B$2703,$H468))</x:f>
      </x:c>
      <x:c r="C468" t="str">
        <x:f>IF(467&gt;'10_events'!$K$2703,"",INDEX('10_events'!$C$2:$C$2703,$H468))</x:f>
      </x:c>
      <x:c r="D468" t="str">
        <x:f>IF(467&gt;'10_events'!$K$2703,"",INDEX('10_events'!$F$2:$F$2703,$H468))</x:f>
      </x:c>
      <x:c r="E468" t="str">
        <x:f>IF(467&gt;'10_events'!$K$2703,"",INDEX('10_events'!$G$2:$G$2703,$H468))</x:f>
      </x:c>
      <x:c r="F468" t="str">
        <x:f>IF(467&gt;'10_events'!$K$2703,"",INDEX('10_events'!$H$2:$H$2703,$H468))</x:f>
      </x:c>
      <x:c r="G468" s="16" t="str">
        <x:f>IF(467&gt;'10_events'!$K$2703,"",INDEX('10_events'!$I$2:$I$2703,$H468))</x:f>
      </x:c>
      <x:c r="H468" t="n">
        <x:f>IF(467&gt;'10_events'!$K$2703,0,MATCH(467,'10_events'!$J$2:$J$2703,0))</x:f>
        <x:v>0</x:v>
      </x:c>
    </x:row>
    <x:row r="469" ht="25" customHeight="1">
      <x:c r="A469" t="str">
        <x:f>IF(468&gt;'10_events'!$K$2703,"",INDEX('10_events'!$A$2:$A$2703,$H469))</x:f>
      </x:c>
      <x:c r="B469" t="str">
        <x:f>IF(468&gt;'10_events'!$K$2703,"",INDEX('10_events'!$B$2:$B$2703,$H469))</x:f>
      </x:c>
      <x:c r="C469" t="str">
        <x:f>IF(468&gt;'10_events'!$K$2703,"",INDEX('10_events'!$C$2:$C$2703,$H469))</x:f>
      </x:c>
      <x:c r="D469" t="str">
        <x:f>IF(468&gt;'10_events'!$K$2703,"",INDEX('10_events'!$F$2:$F$2703,$H469))</x:f>
      </x:c>
      <x:c r="E469" t="str">
        <x:f>IF(468&gt;'10_events'!$K$2703,"",INDEX('10_events'!$G$2:$G$2703,$H469))</x:f>
      </x:c>
      <x:c r="F469" t="str">
        <x:f>IF(468&gt;'10_events'!$K$2703,"",INDEX('10_events'!$H$2:$H$2703,$H469))</x:f>
      </x:c>
      <x:c r="G469" s="16" t="str">
        <x:f>IF(468&gt;'10_events'!$K$2703,"",INDEX('10_events'!$I$2:$I$2703,$H469))</x:f>
      </x:c>
      <x:c r="H469" t="n">
        <x:f>IF(468&gt;'10_events'!$K$2703,0,MATCH(468,'10_events'!$J$2:$J$2703,0))</x:f>
        <x:v>0</x:v>
      </x:c>
    </x:row>
    <x:row r="470" ht="25" customHeight="1">
      <x:c r="A470" t="str">
        <x:f>IF(469&gt;'10_events'!$K$2703,"",INDEX('10_events'!$A$2:$A$2703,$H470))</x:f>
      </x:c>
      <x:c r="B470" t="str">
        <x:f>IF(469&gt;'10_events'!$K$2703,"",INDEX('10_events'!$B$2:$B$2703,$H470))</x:f>
      </x:c>
      <x:c r="C470" t="str">
        <x:f>IF(469&gt;'10_events'!$K$2703,"",INDEX('10_events'!$C$2:$C$2703,$H470))</x:f>
      </x:c>
      <x:c r="D470" t="str">
        <x:f>IF(469&gt;'10_events'!$K$2703,"",INDEX('10_events'!$F$2:$F$2703,$H470))</x:f>
      </x:c>
      <x:c r="E470" t="str">
        <x:f>IF(469&gt;'10_events'!$K$2703,"",INDEX('10_events'!$G$2:$G$2703,$H470))</x:f>
      </x:c>
      <x:c r="F470" t="str">
        <x:f>IF(469&gt;'10_events'!$K$2703,"",INDEX('10_events'!$H$2:$H$2703,$H470))</x:f>
      </x:c>
      <x:c r="G470" s="16" t="str">
        <x:f>IF(469&gt;'10_events'!$K$2703,"",INDEX('10_events'!$I$2:$I$2703,$H470))</x:f>
      </x:c>
      <x:c r="H470" t="n">
        <x:f>IF(469&gt;'10_events'!$K$2703,0,MATCH(469,'10_events'!$J$2:$J$2703,0))</x:f>
        <x:v>0</x:v>
      </x:c>
    </x:row>
    <x:row r="471" ht="25" customHeight="1">
      <x:c r="A471" t="str">
        <x:f>IF(470&gt;'10_events'!$K$2703,"",INDEX('10_events'!$A$2:$A$2703,$H471))</x:f>
      </x:c>
      <x:c r="B471" t="str">
        <x:f>IF(470&gt;'10_events'!$K$2703,"",INDEX('10_events'!$B$2:$B$2703,$H471))</x:f>
      </x:c>
      <x:c r="C471" t="str">
        <x:f>IF(470&gt;'10_events'!$K$2703,"",INDEX('10_events'!$C$2:$C$2703,$H471))</x:f>
      </x:c>
      <x:c r="D471" t="str">
        <x:f>IF(470&gt;'10_events'!$K$2703,"",INDEX('10_events'!$F$2:$F$2703,$H471))</x:f>
      </x:c>
      <x:c r="E471" t="str">
        <x:f>IF(470&gt;'10_events'!$K$2703,"",INDEX('10_events'!$G$2:$G$2703,$H471))</x:f>
      </x:c>
      <x:c r="F471" t="str">
        <x:f>IF(470&gt;'10_events'!$K$2703,"",INDEX('10_events'!$H$2:$H$2703,$H471))</x:f>
      </x:c>
      <x:c r="G471" s="16" t="str">
        <x:f>IF(470&gt;'10_events'!$K$2703,"",INDEX('10_events'!$I$2:$I$2703,$H471))</x:f>
      </x:c>
      <x:c r="H471" t="n">
        <x:f>IF(470&gt;'10_events'!$K$2703,0,MATCH(470,'10_events'!$J$2:$J$2703,0))</x:f>
        <x:v>0</x:v>
      </x:c>
    </x:row>
    <x:row r="472" ht="25" customHeight="1">
      <x:c r="A472" t="str">
        <x:f>IF(471&gt;'10_events'!$K$2703,"",INDEX('10_events'!$A$2:$A$2703,$H472))</x:f>
      </x:c>
      <x:c r="B472" t="str">
        <x:f>IF(471&gt;'10_events'!$K$2703,"",INDEX('10_events'!$B$2:$B$2703,$H472))</x:f>
      </x:c>
      <x:c r="C472" t="str">
        <x:f>IF(471&gt;'10_events'!$K$2703,"",INDEX('10_events'!$C$2:$C$2703,$H472))</x:f>
      </x:c>
      <x:c r="D472" t="str">
        <x:f>IF(471&gt;'10_events'!$K$2703,"",INDEX('10_events'!$F$2:$F$2703,$H472))</x:f>
      </x:c>
      <x:c r="E472" t="str">
        <x:f>IF(471&gt;'10_events'!$K$2703,"",INDEX('10_events'!$G$2:$G$2703,$H472))</x:f>
      </x:c>
      <x:c r="F472" t="str">
        <x:f>IF(471&gt;'10_events'!$K$2703,"",INDEX('10_events'!$H$2:$H$2703,$H472))</x:f>
      </x:c>
      <x:c r="G472" s="16" t="str">
        <x:f>IF(471&gt;'10_events'!$K$2703,"",INDEX('10_events'!$I$2:$I$2703,$H472))</x:f>
      </x:c>
      <x:c r="H472" t="n">
        <x:f>IF(471&gt;'10_events'!$K$2703,0,MATCH(471,'10_events'!$J$2:$J$2703,0))</x:f>
        <x:v>0</x:v>
      </x:c>
    </x:row>
    <x:row r="473" ht="25" customHeight="1">
      <x:c r="A473" t="str">
        <x:f>IF(472&gt;'10_events'!$K$2703,"",INDEX('10_events'!$A$2:$A$2703,$H473))</x:f>
      </x:c>
      <x:c r="B473" t="str">
        <x:f>IF(472&gt;'10_events'!$K$2703,"",INDEX('10_events'!$B$2:$B$2703,$H473))</x:f>
      </x:c>
      <x:c r="C473" t="str">
        <x:f>IF(472&gt;'10_events'!$K$2703,"",INDEX('10_events'!$C$2:$C$2703,$H473))</x:f>
      </x:c>
      <x:c r="D473" t="str">
        <x:f>IF(472&gt;'10_events'!$K$2703,"",INDEX('10_events'!$F$2:$F$2703,$H473))</x:f>
      </x:c>
      <x:c r="E473" t="str">
        <x:f>IF(472&gt;'10_events'!$K$2703,"",INDEX('10_events'!$G$2:$G$2703,$H473))</x:f>
      </x:c>
      <x:c r="F473" t="str">
        <x:f>IF(472&gt;'10_events'!$K$2703,"",INDEX('10_events'!$H$2:$H$2703,$H473))</x:f>
      </x:c>
      <x:c r="G473" s="16" t="str">
        <x:f>IF(472&gt;'10_events'!$K$2703,"",INDEX('10_events'!$I$2:$I$2703,$H473))</x:f>
      </x:c>
      <x:c r="H473" t="n">
        <x:f>IF(472&gt;'10_events'!$K$2703,0,MATCH(472,'10_events'!$J$2:$J$2703,0))</x:f>
        <x:v>0</x:v>
      </x:c>
    </x:row>
    <x:row r="474" ht="25" customHeight="1">
      <x:c r="A474" t="str">
        <x:f>IF(473&gt;'10_events'!$K$2703,"",INDEX('10_events'!$A$2:$A$2703,$H474))</x:f>
      </x:c>
      <x:c r="B474" t="str">
        <x:f>IF(473&gt;'10_events'!$K$2703,"",INDEX('10_events'!$B$2:$B$2703,$H474))</x:f>
      </x:c>
      <x:c r="C474" t="str">
        <x:f>IF(473&gt;'10_events'!$K$2703,"",INDEX('10_events'!$C$2:$C$2703,$H474))</x:f>
      </x:c>
      <x:c r="D474" t="str">
        <x:f>IF(473&gt;'10_events'!$K$2703,"",INDEX('10_events'!$F$2:$F$2703,$H474))</x:f>
      </x:c>
      <x:c r="E474" t="str">
        <x:f>IF(473&gt;'10_events'!$K$2703,"",INDEX('10_events'!$G$2:$G$2703,$H474))</x:f>
      </x:c>
      <x:c r="F474" t="str">
        <x:f>IF(473&gt;'10_events'!$K$2703,"",INDEX('10_events'!$H$2:$H$2703,$H474))</x:f>
      </x:c>
      <x:c r="G474" s="16" t="str">
        <x:f>IF(473&gt;'10_events'!$K$2703,"",INDEX('10_events'!$I$2:$I$2703,$H474))</x:f>
      </x:c>
      <x:c r="H474" t="n">
        <x:f>IF(473&gt;'10_events'!$K$2703,0,MATCH(473,'10_events'!$J$2:$J$2703,0))</x:f>
        <x:v>0</x:v>
      </x:c>
    </x:row>
    <x:row r="475" ht="25" customHeight="1">
      <x:c r="A475" t="str">
        <x:f>IF(474&gt;'10_events'!$K$2703,"",INDEX('10_events'!$A$2:$A$2703,$H475))</x:f>
      </x:c>
      <x:c r="B475" t="str">
        <x:f>IF(474&gt;'10_events'!$K$2703,"",INDEX('10_events'!$B$2:$B$2703,$H475))</x:f>
      </x:c>
      <x:c r="C475" t="str">
        <x:f>IF(474&gt;'10_events'!$K$2703,"",INDEX('10_events'!$C$2:$C$2703,$H475))</x:f>
      </x:c>
      <x:c r="D475" t="str">
        <x:f>IF(474&gt;'10_events'!$K$2703,"",INDEX('10_events'!$F$2:$F$2703,$H475))</x:f>
      </x:c>
      <x:c r="E475" t="str">
        <x:f>IF(474&gt;'10_events'!$K$2703,"",INDEX('10_events'!$G$2:$G$2703,$H475))</x:f>
      </x:c>
      <x:c r="F475" t="str">
        <x:f>IF(474&gt;'10_events'!$K$2703,"",INDEX('10_events'!$H$2:$H$2703,$H475))</x:f>
      </x:c>
      <x:c r="G475" s="16" t="str">
        <x:f>IF(474&gt;'10_events'!$K$2703,"",INDEX('10_events'!$I$2:$I$2703,$H475))</x:f>
      </x:c>
      <x:c r="H475" t="n">
        <x:f>IF(474&gt;'10_events'!$K$2703,0,MATCH(474,'10_events'!$J$2:$J$2703,0))</x:f>
        <x:v>0</x:v>
      </x:c>
    </x:row>
    <x:row r="476" ht="25" customHeight="1">
      <x:c r="A476" t="str">
        <x:f>IF(475&gt;'10_events'!$K$2703,"",INDEX('10_events'!$A$2:$A$2703,$H476))</x:f>
      </x:c>
      <x:c r="B476" t="str">
        <x:f>IF(475&gt;'10_events'!$K$2703,"",INDEX('10_events'!$B$2:$B$2703,$H476))</x:f>
      </x:c>
      <x:c r="C476" t="str">
        <x:f>IF(475&gt;'10_events'!$K$2703,"",INDEX('10_events'!$C$2:$C$2703,$H476))</x:f>
      </x:c>
      <x:c r="D476" t="str">
        <x:f>IF(475&gt;'10_events'!$K$2703,"",INDEX('10_events'!$F$2:$F$2703,$H476))</x:f>
      </x:c>
      <x:c r="E476" t="str">
        <x:f>IF(475&gt;'10_events'!$K$2703,"",INDEX('10_events'!$G$2:$G$2703,$H476))</x:f>
      </x:c>
      <x:c r="F476" t="str">
        <x:f>IF(475&gt;'10_events'!$K$2703,"",INDEX('10_events'!$H$2:$H$2703,$H476))</x:f>
      </x:c>
      <x:c r="G476" s="16" t="str">
        <x:f>IF(475&gt;'10_events'!$K$2703,"",INDEX('10_events'!$I$2:$I$2703,$H476))</x:f>
      </x:c>
      <x:c r="H476" t="n">
        <x:f>IF(475&gt;'10_events'!$K$2703,0,MATCH(475,'10_events'!$J$2:$J$2703,0))</x:f>
        <x:v>0</x:v>
      </x:c>
    </x:row>
    <x:row r="477" ht="25" customHeight="1">
      <x:c r="A477" t="str">
        <x:f>IF(476&gt;'10_events'!$K$2703,"",INDEX('10_events'!$A$2:$A$2703,$H477))</x:f>
      </x:c>
      <x:c r="B477" t="str">
        <x:f>IF(476&gt;'10_events'!$K$2703,"",INDEX('10_events'!$B$2:$B$2703,$H477))</x:f>
      </x:c>
      <x:c r="C477" t="str">
        <x:f>IF(476&gt;'10_events'!$K$2703,"",INDEX('10_events'!$C$2:$C$2703,$H477))</x:f>
      </x:c>
      <x:c r="D477" t="str">
        <x:f>IF(476&gt;'10_events'!$K$2703,"",INDEX('10_events'!$F$2:$F$2703,$H477))</x:f>
      </x:c>
      <x:c r="E477" t="str">
        <x:f>IF(476&gt;'10_events'!$K$2703,"",INDEX('10_events'!$G$2:$G$2703,$H477))</x:f>
      </x:c>
      <x:c r="F477" t="str">
        <x:f>IF(476&gt;'10_events'!$K$2703,"",INDEX('10_events'!$H$2:$H$2703,$H477))</x:f>
      </x:c>
      <x:c r="G477" s="16" t="str">
        <x:f>IF(476&gt;'10_events'!$K$2703,"",INDEX('10_events'!$I$2:$I$2703,$H477))</x:f>
      </x:c>
      <x:c r="H477" t="n">
        <x:f>IF(476&gt;'10_events'!$K$2703,0,MATCH(476,'10_events'!$J$2:$J$2703,0))</x:f>
        <x:v>0</x:v>
      </x:c>
    </x:row>
    <x:row r="478" ht="25" customHeight="1">
      <x:c r="A478" t="str">
        <x:f>IF(477&gt;'10_events'!$K$2703,"",INDEX('10_events'!$A$2:$A$2703,$H478))</x:f>
      </x:c>
      <x:c r="B478" t="str">
        <x:f>IF(477&gt;'10_events'!$K$2703,"",INDEX('10_events'!$B$2:$B$2703,$H478))</x:f>
      </x:c>
      <x:c r="C478" t="str">
        <x:f>IF(477&gt;'10_events'!$K$2703,"",INDEX('10_events'!$C$2:$C$2703,$H478))</x:f>
      </x:c>
      <x:c r="D478" t="str">
        <x:f>IF(477&gt;'10_events'!$K$2703,"",INDEX('10_events'!$F$2:$F$2703,$H478))</x:f>
      </x:c>
      <x:c r="E478" t="str">
        <x:f>IF(477&gt;'10_events'!$K$2703,"",INDEX('10_events'!$G$2:$G$2703,$H478))</x:f>
      </x:c>
      <x:c r="F478" t="str">
        <x:f>IF(477&gt;'10_events'!$K$2703,"",INDEX('10_events'!$H$2:$H$2703,$H478))</x:f>
      </x:c>
      <x:c r="G478" s="16" t="str">
        <x:f>IF(477&gt;'10_events'!$K$2703,"",INDEX('10_events'!$I$2:$I$2703,$H478))</x:f>
      </x:c>
      <x:c r="H478" t="n">
        <x:f>IF(477&gt;'10_events'!$K$2703,0,MATCH(477,'10_events'!$J$2:$J$2703,0))</x:f>
        <x:v>0</x:v>
      </x:c>
    </x:row>
    <x:row r="479" ht="25" customHeight="1">
      <x:c r="A479" t="str">
        <x:f>IF(478&gt;'10_events'!$K$2703,"",INDEX('10_events'!$A$2:$A$2703,$H479))</x:f>
      </x:c>
      <x:c r="B479" t="str">
        <x:f>IF(478&gt;'10_events'!$K$2703,"",INDEX('10_events'!$B$2:$B$2703,$H479))</x:f>
      </x:c>
      <x:c r="C479" t="str">
        <x:f>IF(478&gt;'10_events'!$K$2703,"",INDEX('10_events'!$C$2:$C$2703,$H479))</x:f>
      </x:c>
      <x:c r="D479" t="str">
        <x:f>IF(478&gt;'10_events'!$K$2703,"",INDEX('10_events'!$F$2:$F$2703,$H479))</x:f>
      </x:c>
      <x:c r="E479" t="str">
        <x:f>IF(478&gt;'10_events'!$K$2703,"",INDEX('10_events'!$G$2:$G$2703,$H479))</x:f>
      </x:c>
      <x:c r="F479" t="str">
        <x:f>IF(478&gt;'10_events'!$K$2703,"",INDEX('10_events'!$H$2:$H$2703,$H479))</x:f>
      </x:c>
      <x:c r="G479" s="16" t="str">
        <x:f>IF(478&gt;'10_events'!$K$2703,"",INDEX('10_events'!$I$2:$I$2703,$H479))</x:f>
      </x:c>
      <x:c r="H479" t="n">
        <x:f>IF(478&gt;'10_events'!$K$2703,0,MATCH(478,'10_events'!$J$2:$J$2703,0))</x:f>
        <x:v>0</x:v>
      </x:c>
    </x:row>
    <x:row r="480" ht="25" customHeight="1">
      <x:c r="A480" t="str">
        <x:f>IF(479&gt;'10_events'!$K$2703,"",INDEX('10_events'!$A$2:$A$2703,$H480))</x:f>
      </x:c>
      <x:c r="B480" t="str">
        <x:f>IF(479&gt;'10_events'!$K$2703,"",INDEX('10_events'!$B$2:$B$2703,$H480))</x:f>
      </x:c>
      <x:c r="C480" t="str">
        <x:f>IF(479&gt;'10_events'!$K$2703,"",INDEX('10_events'!$C$2:$C$2703,$H480))</x:f>
      </x:c>
      <x:c r="D480" t="str">
        <x:f>IF(479&gt;'10_events'!$K$2703,"",INDEX('10_events'!$F$2:$F$2703,$H480))</x:f>
      </x:c>
      <x:c r="E480" t="str">
        <x:f>IF(479&gt;'10_events'!$K$2703,"",INDEX('10_events'!$G$2:$G$2703,$H480))</x:f>
      </x:c>
      <x:c r="F480" t="str">
        <x:f>IF(479&gt;'10_events'!$K$2703,"",INDEX('10_events'!$H$2:$H$2703,$H480))</x:f>
      </x:c>
      <x:c r="G480" s="16" t="str">
        <x:f>IF(479&gt;'10_events'!$K$2703,"",INDEX('10_events'!$I$2:$I$2703,$H480))</x:f>
      </x:c>
      <x:c r="H480" t="n">
        <x:f>IF(479&gt;'10_events'!$K$2703,0,MATCH(479,'10_events'!$J$2:$J$2703,0))</x:f>
        <x:v>0</x:v>
      </x:c>
    </x:row>
    <x:row r="481" ht="25" customHeight="1">
      <x:c r="A481" t="str">
        <x:f>IF(480&gt;'10_events'!$K$2703,"",INDEX('10_events'!$A$2:$A$2703,$H481))</x:f>
      </x:c>
      <x:c r="B481" t="str">
        <x:f>IF(480&gt;'10_events'!$K$2703,"",INDEX('10_events'!$B$2:$B$2703,$H481))</x:f>
      </x:c>
      <x:c r="C481" t="str">
        <x:f>IF(480&gt;'10_events'!$K$2703,"",INDEX('10_events'!$C$2:$C$2703,$H481))</x:f>
      </x:c>
      <x:c r="D481" t="str">
        <x:f>IF(480&gt;'10_events'!$K$2703,"",INDEX('10_events'!$F$2:$F$2703,$H481))</x:f>
      </x:c>
      <x:c r="E481" t="str">
        <x:f>IF(480&gt;'10_events'!$K$2703,"",INDEX('10_events'!$G$2:$G$2703,$H481))</x:f>
      </x:c>
      <x:c r="F481" t="str">
        <x:f>IF(480&gt;'10_events'!$K$2703,"",INDEX('10_events'!$H$2:$H$2703,$H481))</x:f>
      </x:c>
      <x:c r="G481" s="16" t="str">
        <x:f>IF(480&gt;'10_events'!$K$2703,"",INDEX('10_events'!$I$2:$I$2703,$H481))</x:f>
      </x:c>
      <x:c r="H481" t="n">
        <x:f>IF(480&gt;'10_events'!$K$2703,0,MATCH(480,'10_events'!$J$2:$J$2703,0))</x:f>
        <x:v>0</x:v>
      </x:c>
    </x:row>
    <x:row r="482" ht="25" customHeight="1">
      <x:c r="A482" t="str">
        <x:f>IF(481&gt;'10_events'!$K$2703,"",INDEX('10_events'!$A$2:$A$2703,$H482))</x:f>
      </x:c>
      <x:c r="B482" t="str">
        <x:f>IF(481&gt;'10_events'!$K$2703,"",INDEX('10_events'!$B$2:$B$2703,$H482))</x:f>
      </x:c>
      <x:c r="C482" t="str">
        <x:f>IF(481&gt;'10_events'!$K$2703,"",INDEX('10_events'!$C$2:$C$2703,$H482))</x:f>
      </x:c>
      <x:c r="D482" t="str">
        <x:f>IF(481&gt;'10_events'!$K$2703,"",INDEX('10_events'!$F$2:$F$2703,$H482))</x:f>
      </x:c>
      <x:c r="E482" t="str">
        <x:f>IF(481&gt;'10_events'!$K$2703,"",INDEX('10_events'!$G$2:$G$2703,$H482))</x:f>
      </x:c>
      <x:c r="F482" t="str">
        <x:f>IF(481&gt;'10_events'!$K$2703,"",INDEX('10_events'!$H$2:$H$2703,$H482))</x:f>
      </x:c>
      <x:c r="G482" s="16" t="str">
        <x:f>IF(481&gt;'10_events'!$K$2703,"",INDEX('10_events'!$I$2:$I$2703,$H482))</x:f>
      </x:c>
      <x:c r="H482" t="n">
        <x:f>IF(481&gt;'10_events'!$K$2703,0,MATCH(481,'10_events'!$J$2:$J$2703,0))</x:f>
        <x:v>0</x:v>
      </x:c>
    </x:row>
    <x:row r="483" ht="25" customHeight="1">
      <x:c r="A483" t="str">
        <x:f>IF(482&gt;'10_events'!$K$2703,"",INDEX('10_events'!$A$2:$A$2703,$H483))</x:f>
      </x:c>
      <x:c r="B483" t="str">
        <x:f>IF(482&gt;'10_events'!$K$2703,"",INDEX('10_events'!$B$2:$B$2703,$H483))</x:f>
      </x:c>
      <x:c r="C483" t="str">
        <x:f>IF(482&gt;'10_events'!$K$2703,"",INDEX('10_events'!$C$2:$C$2703,$H483))</x:f>
      </x:c>
      <x:c r="D483" t="str">
        <x:f>IF(482&gt;'10_events'!$K$2703,"",INDEX('10_events'!$F$2:$F$2703,$H483))</x:f>
      </x:c>
      <x:c r="E483" t="str">
        <x:f>IF(482&gt;'10_events'!$K$2703,"",INDEX('10_events'!$G$2:$G$2703,$H483))</x:f>
      </x:c>
      <x:c r="F483" t="str">
        <x:f>IF(482&gt;'10_events'!$K$2703,"",INDEX('10_events'!$H$2:$H$2703,$H483))</x:f>
      </x:c>
      <x:c r="G483" s="16" t="str">
        <x:f>IF(482&gt;'10_events'!$K$2703,"",INDEX('10_events'!$I$2:$I$2703,$H483))</x:f>
      </x:c>
      <x:c r="H483" t="n">
        <x:f>IF(482&gt;'10_events'!$K$2703,0,MATCH(482,'10_events'!$J$2:$J$2703,0))</x:f>
        <x:v>0</x:v>
      </x:c>
    </x:row>
    <x:row r="484" ht="25" customHeight="1">
      <x:c r="A484" t="str">
        <x:f>IF(483&gt;'10_events'!$K$2703,"",INDEX('10_events'!$A$2:$A$2703,$H484))</x:f>
      </x:c>
      <x:c r="B484" t="str">
        <x:f>IF(483&gt;'10_events'!$K$2703,"",INDEX('10_events'!$B$2:$B$2703,$H484))</x:f>
      </x:c>
      <x:c r="C484" t="str">
        <x:f>IF(483&gt;'10_events'!$K$2703,"",INDEX('10_events'!$C$2:$C$2703,$H484))</x:f>
      </x:c>
      <x:c r="D484" t="str">
        <x:f>IF(483&gt;'10_events'!$K$2703,"",INDEX('10_events'!$F$2:$F$2703,$H484))</x:f>
      </x:c>
      <x:c r="E484" t="str">
        <x:f>IF(483&gt;'10_events'!$K$2703,"",INDEX('10_events'!$G$2:$G$2703,$H484))</x:f>
      </x:c>
      <x:c r="F484" t="str">
        <x:f>IF(483&gt;'10_events'!$K$2703,"",INDEX('10_events'!$H$2:$H$2703,$H484))</x:f>
      </x:c>
      <x:c r="G484" s="16" t="str">
        <x:f>IF(483&gt;'10_events'!$K$2703,"",INDEX('10_events'!$I$2:$I$2703,$H484))</x:f>
      </x:c>
      <x:c r="H484" t="n">
        <x:f>IF(483&gt;'10_events'!$K$2703,0,MATCH(483,'10_events'!$J$2:$J$2703,0))</x:f>
        <x:v>0</x:v>
      </x:c>
    </x:row>
    <x:row r="485" ht="25" customHeight="1">
      <x:c r="A485" t="str">
        <x:f>IF(484&gt;'10_events'!$K$2703,"",INDEX('10_events'!$A$2:$A$2703,$H485))</x:f>
      </x:c>
      <x:c r="B485" t="str">
        <x:f>IF(484&gt;'10_events'!$K$2703,"",INDEX('10_events'!$B$2:$B$2703,$H485))</x:f>
      </x:c>
      <x:c r="C485" t="str">
        <x:f>IF(484&gt;'10_events'!$K$2703,"",INDEX('10_events'!$C$2:$C$2703,$H485))</x:f>
      </x:c>
      <x:c r="D485" t="str">
        <x:f>IF(484&gt;'10_events'!$K$2703,"",INDEX('10_events'!$F$2:$F$2703,$H485))</x:f>
      </x:c>
      <x:c r="E485" t="str">
        <x:f>IF(484&gt;'10_events'!$K$2703,"",INDEX('10_events'!$G$2:$G$2703,$H485))</x:f>
      </x:c>
      <x:c r="F485" t="str">
        <x:f>IF(484&gt;'10_events'!$K$2703,"",INDEX('10_events'!$H$2:$H$2703,$H485))</x:f>
      </x:c>
      <x:c r="G485" s="16" t="str">
        <x:f>IF(484&gt;'10_events'!$K$2703,"",INDEX('10_events'!$I$2:$I$2703,$H485))</x:f>
      </x:c>
      <x:c r="H485" t="n">
        <x:f>IF(484&gt;'10_events'!$K$2703,0,MATCH(484,'10_events'!$J$2:$J$2703,0))</x:f>
        <x:v>0</x:v>
      </x:c>
    </x:row>
    <x:row r="486" ht="25" customHeight="1">
      <x:c r="A486" t="str">
        <x:f>IF(485&gt;'10_events'!$K$2703,"",INDEX('10_events'!$A$2:$A$2703,$H486))</x:f>
      </x:c>
      <x:c r="B486" t="str">
        <x:f>IF(485&gt;'10_events'!$K$2703,"",INDEX('10_events'!$B$2:$B$2703,$H486))</x:f>
      </x:c>
      <x:c r="C486" t="str">
        <x:f>IF(485&gt;'10_events'!$K$2703,"",INDEX('10_events'!$C$2:$C$2703,$H486))</x:f>
      </x:c>
      <x:c r="D486" t="str">
        <x:f>IF(485&gt;'10_events'!$K$2703,"",INDEX('10_events'!$F$2:$F$2703,$H486))</x:f>
      </x:c>
      <x:c r="E486" t="str">
        <x:f>IF(485&gt;'10_events'!$K$2703,"",INDEX('10_events'!$G$2:$G$2703,$H486))</x:f>
      </x:c>
      <x:c r="F486" t="str">
        <x:f>IF(485&gt;'10_events'!$K$2703,"",INDEX('10_events'!$H$2:$H$2703,$H486))</x:f>
      </x:c>
      <x:c r="G486" s="16" t="str">
        <x:f>IF(485&gt;'10_events'!$K$2703,"",INDEX('10_events'!$I$2:$I$2703,$H486))</x:f>
      </x:c>
      <x:c r="H486" t="n">
        <x:f>IF(485&gt;'10_events'!$K$2703,0,MATCH(485,'10_events'!$J$2:$J$2703,0))</x:f>
        <x:v>0</x:v>
      </x:c>
    </x:row>
    <x:row r="487" ht="25" customHeight="1">
      <x:c r="A487" t="str">
        <x:f>IF(486&gt;'10_events'!$K$2703,"",INDEX('10_events'!$A$2:$A$2703,$H487))</x:f>
      </x:c>
      <x:c r="B487" t="str">
        <x:f>IF(486&gt;'10_events'!$K$2703,"",INDEX('10_events'!$B$2:$B$2703,$H487))</x:f>
      </x:c>
      <x:c r="C487" t="str">
        <x:f>IF(486&gt;'10_events'!$K$2703,"",INDEX('10_events'!$C$2:$C$2703,$H487))</x:f>
      </x:c>
      <x:c r="D487" t="str">
        <x:f>IF(486&gt;'10_events'!$K$2703,"",INDEX('10_events'!$F$2:$F$2703,$H487))</x:f>
      </x:c>
      <x:c r="E487" t="str">
        <x:f>IF(486&gt;'10_events'!$K$2703,"",INDEX('10_events'!$G$2:$G$2703,$H487))</x:f>
      </x:c>
      <x:c r="F487" t="str">
        <x:f>IF(486&gt;'10_events'!$K$2703,"",INDEX('10_events'!$H$2:$H$2703,$H487))</x:f>
      </x:c>
      <x:c r="G487" s="16" t="str">
        <x:f>IF(486&gt;'10_events'!$K$2703,"",INDEX('10_events'!$I$2:$I$2703,$H487))</x:f>
      </x:c>
      <x:c r="H487" t="n">
        <x:f>IF(486&gt;'10_events'!$K$2703,0,MATCH(486,'10_events'!$J$2:$J$2703,0))</x:f>
        <x:v>0</x:v>
      </x:c>
    </x:row>
    <x:row r="488" ht="25" customHeight="1">
      <x:c r="A488" t="str">
        <x:f>IF(487&gt;'10_events'!$K$2703,"",INDEX('10_events'!$A$2:$A$2703,$H488))</x:f>
      </x:c>
      <x:c r="B488" t="str">
        <x:f>IF(487&gt;'10_events'!$K$2703,"",INDEX('10_events'!$B$2:$B$2703,$H488))</x:f>
      </x:c>
      <x:c r="C488" t="str">
        <x:f>IF(487&gt;'10_events'!$K$2703,"",INDEX('10_events'!$C$2:$C$2703,$H488))</x:f>
      </x:c>
      <x:c r="D488" t="str">
        <x:f>IF(487&gt;'10_events'!$K$2703,"",INDEX('10_events'!$F$2:$F$2703,$H488))</x:f>
      </x:c>
      <x:c r="E488" t="str">
        <x:f>IF(487&gt;'10_events'!$K$2703,"",INDEX('10_events'!$G$2:$G$2703,$H488))</x:f>
      </x:c>
      <x:c r="F488" t="str">
        <x:f>IF(487&gt;'10_events'!$K$2703,"",INDEX('10_events'!$H$2:$H$2703,$H488))</x:f>
      </x:c>
      <x:c r="G488" s="16" t="str">
        <x:f>IF(487&gt;'10_events'!$K$2703,"",INDEX('10_events'!$I$2:$I$2703,$H488))</x:f>
      </x:c>
      <x:c r="H488" t="n">
        <x:f>IF(487&gt;'10_events'!$K$2703,0,MATCH(487,'10_events'!$J$2:$J$2703,0))</x:f>
        <x:v>0</x:v>
      </x:c>
    </x:row>
    <x:row r="489" ht="25" customHeight="1">
      <x:c r="A489" t="str">
        <x:f>IF(488&gt;'10_events'!$K$2703,"",INDEX('10_events'!$A$2:$A$2703,$H489))</x:f>
      </x:c>
      <x:c r="B489" t="str">
        <x:f>IF(488&gt;'10_events'!$K$2703,"",INDEX('10_events'!$B$2:$B$2703,$H489))</x:f>
      </x:c>
      <x:c r="C489" t="str">
        <x:f>IF(488&gt;'10_events'!$K$2703,"",INDEX('10_events'!$C$2:$C$2703,$H489))</x:f>
      </x:c>
      <x:c r="D489" t="str">
        <x:f>IF(488&gt;'10_events'!$K$2703,"",INDEX('10_events'!$F$2:$F$2703,$H489))</x:f>
      </x:c>
      <x:c r="E489" t="str">
        <x:f>IF(488&gt;'10_events'!$K$2703,"",INDEX('10_events'!$G$2:$G$2703,$H489))</x:f>
      </x:c>
      <x:c r="F489" t="str">
        <x:f>IF(488&gt;'10_events'!$K$2703,"",INDEX('10_events'!$H$2:$H$2703,$H489))</x:f>
      </x:c>
      <x:c r="G489" s="16" t="str">
        <x:f>IF(488&gt;'10_events'!$K$2703,"",INDEX('10_events'!$I$2:$I$2703,$H489))</x:f>
      </x:c>
      <x:c r="H489" t="n">
        <x:f>IF(488&gt;'10_events'!$K$2703,0,MATCH(488,'10_events'!$J$2:$J$2703,0))</x:f>
        <x:v>0</x:v>
      </x:c>
    </x:row>
    <x:row r="490" ht="25" customHeight="1">
      <x:c r="A490" t="str">
        <x:f>IF(489&gt;'10_events'!$K$2703,"",INDEX('10_events'!$A$2:$A$2703,$H490))</x:f>
      </x:c>
      <x:c r="B490" t="str">
        <x:f>IF(489&gt;'10_events'!$K$2703,"",INDEX('10_events'!$B$2:$B$2703,$H490))</x:f>
      </x:c>
      <x:c r="C490" t="str">
        <x:f>IF(489&gt;'10_events'!$K$2703,"",INDEX('10_events'!$C$2:$C$2703,$H490))</x:f>
      </x:c>
      <x:c r="D490" t="str">
        <x:f>IF(489&gt;'10_events'!$K$2703,"",INDEX('10_events'!$F$2:$F$2703,$H490))</x:f>
      </x:c>
      <x:c r="E490" t="str">
        <x:f>IF(489&gt;'10_events'!$K$2703,"",INDEX('10_events'!$G$2:$G$2703,$H490))</x:f>
      </x:c>
      <x:c r="F490" t="str">
        <x:f>IF(489&gt;'10_events'!$K$2703,"",INDEX('10_events'!$H$2:$H$2703,$H490))</x:f>
      </x:c>
      <x:c r="G490" s="16" t="str">
        <x:f>IF(489&gt;'10_events'!$K$2703,"",INDEX('10_events'!$I$2:$I$2703,$H490))</x:f>
      </x:c>
      <x:c r="H490" t="n">
        <x:f>IF(489&gt;'10_events'!$K$2703,0,MATCH(489,'10_events'!$J$2:$J$2703,0))</x:f>
        <x:v>0</x:v>
      </x:c>
    </x:row>
    <x:row r="491" ht="25" customHeight="1">
      <x:c r="A491" t="str">
        <x:f>IF(490&gt;'10_events'!$K$2703,"",INDEX('10_events'!$A$2:$A$2703,$H491))</x:f>
      </x:c>
      <x:c r="B491" t="str">
        <x:f>IF(490&gt;'10_events'!$K$2703,"",INDEX('10_events'!$B$2:$B$2703,$H491))</x:f>
      </x:c>
      <x:c r="C491" t="str">
        <x:f>IF(490&gt;'10_events'!$K$2703,"",INDEX('10_events'!$C$2:$C$2703,$H491))</x:f>
      </x:c>
      <x:c r="D491" t="str">
        <x:f>IF(490&gt;'10_events'!$K$2703,"",INDEX('10_events'!$F$2:$F$2703,$H491))</x:f>
      </x:c>
      <x:c r="E491" t="str">
        <x:f>IF(490&gt;'10_events'!$K$2703,"",INDEX('10_events'!$G$2:$G$2703,$H491))</x:f>
      </x:c>
      <x:c r="F491" t="str">
        <x:f>IF(490&gt;'10_events'!$K$2703,"",INDEX('10_events'!$H$2:$H$2703,$H491))</x:f>
      </x:c>
      <x:c r="G491" s="16" t="str">
        <x:f>IF(490&gt;'10_events'!$K$2703,"",INDEX('10_events'!$I$2:$I$2703,$H491))</x:f>
      </x:c>
      <x:c r="H491" t="n">
        <x:f>IF(490&gt;'10_events'!$K$2703,0,MATCH(490,'10_events'!$J$2:$J$2703,0))</x:f>
        <x:v>0</x:v>
      </x:c>
    </x:row>
    <x:row r="492" ht="25" customHeight="1">
      <x:c r="A492" t="str">
        <x:f>IF(491&gt;'10_events'!$K$2703,"",INDEX('10_events'!$A$2:$A$2703,$H492))</x:f>
      </x:c>
      <x:c r="B492" t="str">
        <x:f>IF(491&gt;'10_events'!$K$2703,"",INDEX('10_events'!$B$2:$B$2703,$H492))</x:f>
      </x:c>
      <x:c r="C492" t="str">
        <x:f>IF(491&gt;'10_events'!$K$2703,"",INDEX('10_events'!$C$2:$C$2703,$H492))</x:f>
      </x:c>
      <x:c r="D492" t="str">
        <x:f>IF(491&gt;'10_events'!$K$2703,"",INDEX('10_events'!$F$2:$F$2703,$H492))</x:f>
      </x:c>
      <x:c r="E492" t="str">
        <x:f>IF(491&gt;'10_events'!$K$2703,"",INDEX('10_events'!$G$2:$G$2703,$H492))</x:f>
      </x:c>
      <x:c r="F492" t="str">
        <x:f>IF(491&gt;'10_events'!$K$2703,"",INDEX('10_events'!$H$2:$H$2703,$H492))</x:f>
      </x:c>
      <x:c r="G492" s="16" t="str">
        <x:f>IF(491&gt;'10_events'!$K$2703,"",INDEX('10_events'!$I$2:$I$2703,$H492))</x:f>
      </x:c>
      <x:c r="H492" t="n">
        <x:f>IF(491&gt;'10_events'!$K$2703,0,MATCH(491,'10_events'!$J$2:$J$2703,0))</x:f>
        <x:v>0</x:v>
      </x:c>
    </x:row>
    <x:row r="493" ht="25" customHeight="1">
      <x:c r="A493" t="str">
        <x:f>IF(492&gt;'10_events'!$K$2703,"",INDEX('10_events'!$A$2:$A$2703,$H493))</x:f>
      </x:c>
      <x:c r="B493" t="str">
        <x:f>IF(492&gt;'10_events'!$K$2703,"",INDEX('10_events'!$B$2:$B$2703,$H493))</x:f>
      </x:c>
      <x:c r="C493" t="str">
        <x:f>IF(492&gt;'10_events'!$K$2703,"",INDEX('10_events'!$C$2:$C$2703,$H493))</x:f>
      </x:c>
      <x:c r="D493" t="str">
        <x:f>IF(492&gt;'10_events'!$K$2703,"",INDEX('10_events'!$F$2:$F$2703,$H493))</x:f>
      </x:c>
      <x:c r="E493" t="str">
        <x:f>IF(492&gt;'10_events'!$K$2703,"",INDEX('10_events'!$G$2:$G$2703,$H493))</x:f>
      </x:c>
      <x:c r="F493" t="str">
        <x:f>IF(492&gt;'10_events'!$K$2703,"",INDEX('10_events'!$H$2:$H$2703,$H493))</x:f>
      </x:c>
      <x:c r="G493" s="16" t="str">
        <x:f>IF(492&gt;'10_events'!$K$2703,"",INDEX('10_events'!$I$2:$I$2703,$H493))</x:f>
      </x:c>
      <x:c r="H493" t="n">
        <x:f>IF(492&gt;'10_events'!$K$2703,0,MATCH(492,'10_events'!$J$2:$J$2703,0))</x:f>
        <x:v>0</x:v>
      </x:c>
    </x:row>
    <x:row r="494" ht="25" customHeight="1">
      <x:c r="A494" t="str">
        <x:f>IF(493&gt;'10_events'!$K$2703,"",INDEX('10_events'!$A$2:$A$2703,$H494))</x:f>
      </x:c>
      <x:c r="B494" t="str">
        <x:f>IF(493&gt;'10_events'!$K$2703,"",INDEX('10_events'!$B$2:$B$2703,$H494))</x:f>
      </x:c>
      <x:c r="C494" t="str">
        <x:f>IF(493&gt;'10_events'!$K$2703,"",INDEX('10_events'!$C$2:$C$2703,$H494))</x:f>
      </x:c>
      <x:c r="D494" t="str">
        <x:f>IF(493&gt;'10_events'!$K$2703,"",INDEX('10_events'!$F$2:$F$2703,$H494))</x:f>
      </x:c>
      <x:c r="E494" t="str">
        <x:f>IF(493&gt;'10_events'!$K$2703,"",INDEX('10_events'!$G$2:$G$2703,$H494))</x:f>
      </x:c>
      <x:c r="F494" t="str">
        <x:f>IF(493&gt;'10_events'!$K$2703,"",INDEX('10_events'!$H$2:$H$2703,$H494))</x:f>
      </x:c>
      <x:c r="G494" s="16" t="str">
        <x:f>IF(493&gt;'10_events'!$K$2703,"",INDEX('10_events'!$I$2:$I$2703,$H494))</x:f>
      </x:c>
      <x:c r="H494" t="n">
        <x:f>IF(493&gt;'10_events'!$K$2703,0,MATCH(493,'10_events'!$J$2:$J$2703,0))</x:f>
        <x:v>0</x:v>
      </x:c>
    </x:row>
    <x:row r="495" ht="25" customHeight="1">
      <x:c r="A495" t="str">
        <x:f>IF(494&gt;'10_events'!$K$2703,"",INDEX('10_events'!$A$2:$A$2703,$H495))</x:f>
      </x:c>
      <x:c r="B495" t="str">
        <x:f>IF(494&gt;'10_events'!$K$2703,"",INDEX('10_events'!$B$2:$B$2703,$H495))</x:f>
      </x:c>
      <x:c r="C495" t="str">
        <x:f>IF(494&gt;'10_events'!$K$2703,"",INDEX('10_events'!$C$2:$C$2703,$H495))</x:f>
      </x:c>
      <x:c r="D495" t="str">
        <x:f>IF(494&gt;'10_events'!$K$2703,"",INDEX('10_events'!$F$2:$F$2703,$H495))</x:f>
      </x:c>
      <x:c r="E495" t="str">
        <x:f>IF(494&gt;'10_events'!$K$2703,"",INDEX('10_events'!$G$2:$G$2703,$H495))</x:f>
      </x:c>
      <x:c r="F495" t="str">
        <x:f>IF(494&gt;'10_events'!$K$2703,"",INDEX('10_events'!$H$2:$H$2703,$H495))</x:f>
      </x:c>
      <x:c r="G495" s="16" t="str">
        <x:f>IF(494&gt;'10_events'!$K$2703,"",INDEX('10_events'!$I$2:$I$2703,$H495))</x:f>
      </x:c>
      <x:c r="H495" t="n">
        <x:f>IF(494&gt;'10_events'!$K$2703,0,MATCH(494,'10_events'!$J$2:$J$2703,0))</x:f>
        <x:v>0</x:v>
      </x:c>
    </x:row>
    <x:row r="496" ht="25" customHeight="1">
      <x:c r="A496" t="str">
        <x:f>IF(495&gt;'10_events'!$K$2703,"",INDEX('10_events'!$A$2:$A$2703,$H496))</x:f>
      </x:c>
      <x:c r="B496" t="str">
        <x:f>IF(495&gt;'10_events'!$K$2703,"",INDEX('10_events'!$B$2:$B$2703,$H496))</x:f>
      </x:c>
      <x:c r="C496" t="str">
        <x:f>IF(495&gt;'10_events'!$K$2703,"",INDEX('10_events'!$C$2:$C$2703,$H496))</x:f>
      </x:c>
      <x:c r="D496" t="str">
        <x:f>IF(495&gt;'10_events'!$K$2703,"",INDEX('10_events'!$F$2:$F$2703,$H496))</x:f>
      </x:c>
      <x:c r="E496" t="str">
        <x:f>IF(495&gt;'10_events'!$K$2703,"",INDEX('10_events'!$G$2:$G$2703,$H496))</x:f>
      </x:c>
      <x:c r="F496" t="str">
        <x:f>IF(495&gt;'10_events'!$K$2703,"",INDEX('10_events'!$H$2:$H$2703,$H496))</x:f>
      </x:c>
      <x:c r="G496" s="16" t="str">
        <x:f>IF(495&gt;'10_events'!$K$2703,"",INDEX('10_events'!$I$2:$I$2703,$H496))</x:f>
      </x:c>
      <x:c r="H496" t="n">
        <x:f>IF(495&gt;'10_events'!$K$2703,0,MATCH(495,'10_events'!$J$2:$J$2703,0))</x:f>
        <x:v>0</x:v>
      </x:c>
    </x:row>
    <x:row r="497" ht="25" customHeight="1">
      <x:c r="A497" t="str">
        <x:f>IF(496&gt;'10_events'!$K$2703,"",INDEX('10_events'!$A$2:$A$2703,$H497))</x:f>
      </x:c>
      <x:c r="B497" t="str">
        <x:f>IF(496&gt;'10_events'!$K$2703,"",INDEX('10_events'!$B$2:$B$2703,$H497))</x:f>
      </x:c>
      <x:c r="C497" t="str">
        <x:f>IF(496&gt;'10_events'!$K$2703,"",INDEX('10_events'!$C$2:$C$2703,$H497))</x:f>
      </x:c>
      <x:c r="D497" t="str">
        <x:f>IF(496&gt;'10_events'!$K$2703,"",INDEX('10_events'!$F$2:$F$2703,$H497))</x:f>
      </x:c>
      <x:c r="E497" t="str">
        <x:f>IF(496&gt;'10_events'!$K$2703,"",INDEX('10_events'!$G$2:$G$2703,$H497))</x:f>
      </x:c>
      <x:c r="F497" t="str">
        <x:f>IF(496&gt;'10_events'!$K$2703,"",INDEX('10_events'!$H$2:$H$2703,$H497))</x:f>
      </x:c>
      <x:c r="G497" s="16" t="str">
        <x:f>IF(496&gt;'10_events'!$K$2703,"",INDEX('10_events'!$I$2:$I$2703,$H497))</x:f>
      </x:c>
      <x:c r="H497" t="n">
        <x:f>IF(496&gt;'10_events'!$K$2703,0,MATCH(496,'10_events'!$J$2:$J$2703,0))</x:f>
        <x:v>0</x:v>
      </x:c>
    </x:row>
    <x:row r="498" ht="25" customHeight="1">
      <x:c r="A498" t="str">
        <x:f>IF(497&gt;'10_events'!$K$2703,"",INDEX('10_events'!$A$2:$A$2703,$H498))</x:f>
      </x:c>
      <x:c r="B498" t="str">
        <x:f>IF(497&gt;'10_events'!$K$2703,"",INDEX('10_events'!$B$2:$B$2703,$H498))</x:f>
      </x:c>
      <x:c r="C498" t="str">
        <x:f>IF(497&gt;'10_events'!$K$2703,"",INDEX('10_events'!$C$2:$C$2703,$H498))</x:f>
      </x:c>
      <x:c r="D498" t="str">
        <x:f>IF(497&gt;'10_events'!$K$2703,"",INDEX('10_events'!$F$2:$F$2703,$H498))</x:f>
      </x:c>
      <x:c r="E498" t="str">
        <x:f>IF(497&gt;'10_events'!$K$2703,"",INDEX('10_events'!$G$2:$G$2703,$H498))</x:f>
      </x:c>
      <x:c r="F498" t="str">
        <x:f>IF(497&gt;'10_events'!$K$2703,"",INDEX('10_events'!$H$2:$H$2703,$H498))</x:f>
      </x:c>
      <x:c r="G498" s="16" t="str">
        <x:f>IF(497&gt;'10_events'!$K$2703,"",INDEX('10_events'!$I$2:$I$2703,$H498))</x:f>
      </x:c>
      <x:c r="H498" t="n">
        <x:f>IF(497&gt;'10_events'!$K$2703,0,MATCH(497,'10_events'!$J$2:$J$2703,0))</x:f>
        <x:v>0</x:v>
      </x:c>
    </x:row>
    <x:row r="499" ht="25" customHeight="1">
      <x:c r="A499" t="str">
        <x:f>IF(498&gt;'10_events'!$K$2703,"",INDEX('10_events'!$A$2:$A$2703,$H499))</x:f>
      </x:c>
      <x:c r="B499" t="str">
        <x:f>IF(498&gt;'10_events'!$K$2703,"",INDEX('10_events'!$B$2:$B$2703,$H499))</x:f>
      </x:c>
      <x:c r="C499" t="str">
        <x:f>IF(498&gt;'10_events'!$K$2703,"",INDEX('10_events'!$C$2:$C$2703,$H499))</x:f>
      </x:c>
      <x:c r="D499" t="str">
        <x:f>IF(498&gt;'10_events'!$K$2703,"",INDEX('10_events'!$F$2:$F$2703,$H499))</x:f>
      </x:c>
      <x:c r="E499" t="str">
        <x:f>IF(498&gt;'10_events'!$K$2703,"",INDEX('10_events'!$G$2:$G$2703,$H499))</x:f>
      </x:c>
      <x:c r="F499" t="str">
        <x:f>IF(498&gt;'10_events'!$K$2703,"",INDEX('10_events'!$H$2:$H$2703,$H499))</x:f>
      </x:c>
      <x:c r="G499" s="16" t="str">
        <x:f>IF(498&gt;'10_events'!$K$2703,"",INDEX('10_events'!$I$2:$I$2703,$H499))</x:f>
      </x:c>
      <x:c r="H499" t="n">
        <x:f>IF(498&gt;'10_events'!$K$2703,0,MATCH(498,'10_events'!$J$2:$J$2703,0))</x:f>
        <x:v>0</x:v>
      </x:c>
    </x:row>
    <x:row r="500" ht="25" customHeight="1">
      <x:c r="A500" t="str">
        <x:f>IF(499&gt;'10_events'!$K$2703,"",INDEX('10_events'!$A$2:$A$2703,$H500))</x:f>
      </x:c>
      <x:c r="B500" t="str">
        <x:f>IF(499&gt;'10_events'!$K$2703,"",INDEX('10_events'!$B$2:$B$2703,$H500))</x:f>
      </x:c>
      <x:c r="C500" t="str">
        <x:f>IF(499&gt;'10_events'!$K$2703,"",INDEX('10_events'!$C$2:$C$2703,$H500))</x:f>
      </x:c>
      <x:c r="D500" t="str">
        <x:f>IF(499&gt;'10_events'!$K$2703,"",INDEX('10_events'!$F$2:$F$2703,$H500))</x:f>
      </x:c>
      <x:c r="E500" t="str">
        <x:f>IF(499&gt;'10_events'!$K$2703,"",INDEX('10_events'!$G$2:$G$2703,$H500))</x:f>
      </x:c>
      <x:c r="F500" t="str">
        <x:f>IF(499&gt;'10_events'!$K$2703,"",INDEX('10_events'!$H$2:$H$2703,$H500))</x:f>
      </x:c>
      <x:c r="G500" s="16" t="str">
        <x:f>IF(499&gt;'10_events'!$K$2703,"",INDEX('10_events'!$I$2:$I$2703,$H500))</x:f>
      </x:c>
      <x:c r="H500" t="n">
        <x:f>IF(499&gt;'10_events'!$K$2703,0,MATCH(499,'10_events'!$J$2:$J$2703,0))</x:f>
        <x:v>0</x:v>
      </x:c>
    </x:row>
    <x:row r="501" ht="25" customHeight="1">
      <x:c r="A501" t="str">
        <x:f>IF(500&gt;'10_events'!$K$2703,"",INDEX('10_events'!$A$2:$A$2703,$H501))</x:f>
      </x:c>
      <x:c r="B501" t="str">
        <x:f>IF(500&gt;'10_events'!$K$2703,"",INDEX('10_events'!$B$2:$B$2703,$H501))</x:f>
      </x:c>
      <x:c r="C501" t="str">
        <x:f>IF(500&gt;'10_events'!$K$2703,"",INDEX('10_events'!$C$2:$C$2703,$H501))</x:f>
      </x:c>
      <x:c r="D501" t="str">
        <x:f>IF(500&gt;'10_events'!$K$2703,"",INDEX('10_events'!$F$2:$F$2703,$H501))</x:f>
      </x:c>
      <x:c r="E501" t="str">
        <x:f>IF(500&gt;'10_events'!$K$2703,"",INDEX('10_events'!$G$2:$G$2703,$H501))</x:f>
      </x:c>
      <x:c r="F501" t="str">
        <x:f>IF(500&gt;'10_events'!$K$2703,"",INDEX('10_events'!$H$2:$H$2703,$H501))</x:f>
      </x:c>
      <x:c r="G501" s="16" t="str">
        <x:f>IF(500&gt;'10_events'!$K$2703,"",INDEX('10_events'!$I$2:$I$2703,$H501))</x:f>
      </x:c>
      <x:c r="H501" t="n">
        <x:f>IF(500&gt;'10_events'!$K$2703,0,MATCH(500,'10_events'!$J$2:$J$2703,0))</x:f>
        <x:v>0</x:v>
      </x:c>
    </x:row>
    <x:row r="502" ht="25" customHeight="1">
      <x:c r="A502" t="str">
        <x:f>IF(501&gt;'10_events'!$K$2703,"",INDEX('10_events'!$A$2:$A$2703,$H502))</x:f>
      </x:c>
      <x:c r="B502" t="str">
        <x:f>IF(501&gt;'10_events'!$K$2703,"",INDEX('10_events'!$B$2:$B$2703,$H502))</x:f>
      </x:c>
      <x:c r="C502" t="str">
        <x:f>IF(501&gt;'10_events'!$K$2703,"",INDEX('10_events'!$C$2:$C$2703,$H502))</x:f>
      </x:c>
      <x:c r="D502" t="str">
        <x:f>IF(501&gt;'10_events'!$K$2703,"",INDEX('10_events'!$F$2:$F$2703,$H502))</x:f>
      </x:c>
      <x:c r="E502" t="str">
        <x:f>IF(501&gt;'10_events'!$K$2703,"",INDEX('10_events'!$G$2:$G$2703,$H502))</x:f>
      </x:c>
      <x:c r="F502" t="str">
        <x:f>IF(501&gt;'10_events'!$K$2703,"",INDEX('10_events'!$H$2:$H$2703,$H502))</x:f>
      </x:c>
      <x:c r="G502" s="16" t="str">
        <x:f>IF(501&gt;'10_events'!$K$2703,"",INDEX('10_events'!$I$2:$I$2703,$H502))</x:f>
      </x:c>
      <x:c r="H502" t="n">
        <x:f>IF(501&gt;'10_events'!$K$2703,0,MATCH(501,'10_events'!$J$2:$J$2703,0))</x:f>
        <x:v>0</x:v>
      </x:c>
    </x:row>
    <x:row r="503" ht="25" customHeight="1">
      <x:c r="A503" t="str">
        <x:f>IF(502&gt;'10_events'!$K$2703,"",INDEX('10_events'!$A$2:$A$2703,$H503))</x:f>
      </x:c>
      <x:c r="B503" t="str">
        <x:f>IF(502&gt;'10_events'!$K$2703,"",INDEX('10_events'!$B$2:$B$2703,$H503))</x:f>
      </x:c>
      <x:c r="C503" t="str">
        <x:f>IF(502&gt;'10_events'!$K$2703,"",INDEX('10_events'!$C$2:$C$2703,$H503))</x:f>
      </x:c>
      <x:c r="D503" t="str">
        <x:f>IF(502&gt;'10_events'!$K$2703,"",INDEX('10_events'!$F$2:$F$2703,$H503))</x:f>
      </x:c>
      <x:c r="E503" t="str">
        <x:f>IF(502&gt;'10_events'!$K$2703,"",INDEX('10_events'!$G$2:$G$2703,$H503))</x:f>
      </x:c>
      <x:c r="F503" t="str">
        <x:f>IF(502&gt;'10_events'!$K$2703,"",INDEX('10_events'!$H$2:$H$2703,$H503))</x:f>
      </x:c>
      <x:c r="G503" s="16" t="str">
        <x:f>IF(502&gt;'10_events'!$K$2703,"",INDEX('10_events'!$I$2:$I$2703,$H503))</x:f>
      </x:c>
      <x:c r="H503" t="n">
        <x:f>IF(502&gt;'10_events'!$K$2703,0,MATCH(502,'10_events'!$J$2:$J$2703,0))</x:f>
        <x:v>0</x:v>
      </x:c>
    </x:row>
    <x:row r="504" ht="25" customHeight="1">
      <x:c r="A504" t="str">
        <x:f>IF(503&gt;'10_events'!$K$2703,"",INDEX('10_events'!$A$2:$A$2703,$H504))</x:f>
      </x:c>
      <x:c r="B504" t="str">
        <x:f>IF(503&gt;'10_events'!$K$2703,"",INDEX('10_events'!$B$2:$B$2703,$H504))</x:f>
      </x:c>
      <x:c r="C504" t="str">
        <x:f>IF(503&gt;'10_events'!$K$2703,"",INDEX('10_events'!$C$2:$C$2703,$H504))</x:f>
      </x:c>
      <x:c r="D504" t="str">
        <x:f>IF(503&gt;'10_events'!$K$2703,"",INDEX('10_events'!$F$2:$F$2703,$H504))</x:f>
      </x:c>
      <x:c r="E504" t="str">
        <x:f>IF(503&gt;'10_events'!$K$2703,"",INDEX('10_events'!$G$2:$G$2703,$H504))</x:f>
      </x:c>
      <x:c r="F504" t="str">
        <x:f>IF(503&gt;'10_events'!$K$2703,"",INDEX('10_events'!$H$2:$H$2703,$H504))</x:f>
      </x:c>
      <x:c r="G504" s="16" t="str">
        <x:f>IF(503&gt;'10_events'!$K$2703,"",INDEX('10_events'!$I$2:$I$2703,$H504))</x:f>
      </x:c>
      <x:c r="H504" t="n">
        <x:f>IF(503&gt;'10_events'!$K$2703,0,MATCH(503,'10_events'!$J$2:$J$2703,0))</x:f>
        <x:v>0</x:v>
      </x:c>
    </x:row>
    <x:row r="505" ht="25" customHeight="1">
      <x:c r="A505" t="str">
        <x:f>IF(504&gt;'10_events'!$K$2703,"",INDEX('10_events'!$A$2:$A$2703,$H505))</x:f>
      </x:c>
      <x:c r="B505" t="str">
        <x:f>IF(504&gt;'10_events'!$K$2703,"",INDEX('10_events'!$B$2:$B$2703,$H505))</x:f>
      </x:c>
      <x:c r="C505" t="str">
        <x:f>IF(504&gt;'10_events'!$K$2703,"",INDEX('10_events'!$C$2:$C$2703,$H505))</x:f>
      </x:c>
      <x:c r="D505" t="str">
        <x:f>IF(504&gt;'10_events'!$K$2703,"",INDEX('10_events'!$F$2:$F$2703,$H505))</x:f>
      </x:c>
      <x:c r="E505" t="str">
        <x:f>IF(504&gt;'10_events'!$K$2703,"",INDEX('10_events'!$G$2:$G$2703,$H505))</x:f>
      </x:c>
      <x:c r="F505" t="str">
        <x:f>IF(504&gt;'10_events'!$K$2703,"",INDEX('10_events'!$H$2:$H$2703,$H505))</x:f>
      </x:c>
      <x:c r="G505" s="16" t="str">
        <x:f>IF(504&gt;'10_events'!$K$2703,"",INDEX('10_events'!$I$2:$I$2703,$H505))</x:f>
      </x:c>
      <x:c r="H505" t="n">
        <x:f>IF(504&gt;'10_events'!$K$2703,0,MATCH(504,'10_events'!$J$2:$J$2703,0))</x:f>
        <x:v>0</x:v>
      </x:c>
    </x:row>
    <x:row r="506" ht="25" customHeight="1">
      <x:c r="A506" t="str">
        <x:f>IF(505&gt;'10_events'!$K$2703,"",INDEX('10_events'!$A$2:$A$2703,$H506))</x:f>
      </x:c>
      <x:c r="B506" t="str">
        <x:f>IF(505&gt;'10_events'!$K$2703,"",INDEX('10_events'!$B$2:$B$2703,$H506))</x:f>
      </x:c>
      <x:c r="C506" t="str">
        <x:f>IF(505&gt;'10_events'!$K$2703,"",INDEX('10_events'!$C$2:$C$2703,$H506))</x:f>
      </x:c>
      <x:c r="D506" t="str">
        <x:f>IF(505&gt;'10_events'!$K$2703,"",INDEX('10_events'!$F$2:$F$2703,$H506))</x:f>
      </x:c>
      <x:c r="E506" t="str">
        <x:f>IF(505&gt;'10_events'!$K$2703,"",INDEX('10_events'!$G$2:$G$2703,$H506))</x:f>
      </x:c>
      <x:c r="F506" t="str">
        <x:f>IF(505&gt;'10_events'!$K$2703,"",INDEX('10_events'!$H$2:$H$2703,$H506))</x:f>
      </x:c>
      <x:c r="G506" s="16" t="str">
        <x:f>IF(505&gt;'10_events'!$K$2703,"",INDEX('10_events'!$I$2:$I$2703,$H506))</x:f>
      </x:c>
      <x:c r="H506" t="n">
        <x:f>IF(505&gt;'10_events'!$K$2703,0,MATCH(505,'10_events'!$J$2:$J$2703,0))</x:f>
        <x:v>0</x:v>
      </x:c>
    </x:row>
    <x:row r="507" ht="25" customHeight="1">
      <x:c r="A507" t="str">
        <x:f>IF(506&gt;'10_events'!$K$2703,"",INDEX('10_events'!$A$2:$A$2703,$H507))</x:f>
      </x:c>
      <x:c r="B507" t="str">
        <x:f>IF(506&gt;'10_events'!$K$2703,"",INDEX('10_events'!$B$2:$B$2703,$H507))</x:f>
      </x:c>
      <x:c r="C507" t="str">
        <x:f>IF(506&gt;'10_events'!$K$2703,"",INDEX('10_events'!$C$2:$C$2703,$H507))</x:f>
      </x:c>
      <x:c r="D507" t="str">
        <x:f>IF(506&gt;'10_events'!$K$2703,"",INDEX('10_events'!$F$2:$F$2703,$H507))</x:f>
      </x:c>
      <x:c r="E507" t="str">
        <x:f>IF(506&gt;'10_events'!$K$2703,"",INDEX('10_events'!$G$2:$G$2703,$H507))</x:f>
      </x:c>
      <x:c r="F507" t="str">
        <x:f>IF(506&gt;'10_events'!$K$2703,"",INDEX('10_events'!$H$2:$H$2703,$H507))</x:f>
      </x:c>
      <x:c r="G507" s="16" t="str">
        <x:f>IF(506&gt;'10_events'!$K$2703,"",INDEX('10_events'!$I$2:$I$2703,$H507))</x:f>
      </x:c>
      <x:c r="H507" t="n">
        <x:f>IF(506&gt;'10_events'!$K$2703,0,MATCH(506,'10_events'!$J$2:$J$2703,0))</x:f>
        <x:v>0</x:v>
      </x:c>
    </x:row>
    <x:row r="508" ht="25" customHeight="1">
      <x:c r="A508" t="str">
        <x:f>IF(507&gt;'10_events'!$K$2703,"",INDEX('10_events'!$A$2:$A$2703,$H508))</x:f>
      </x:c>
      <x:c r="B508" t="str">
        <x:f>IF(507&gt;'10_events'!$K$2703,"",INDEX('10_events'!$B$2:$B$2703,$H508))</x:f>
      </x:c>
      <x:c r="C508" t="str">
        <x:f>IF(507&gt;'10_events'!$K$2703,"",INDEX('10_events'!$C$2:$C$2703,$H508))</x:f>
      </x:c>
      <x:c r="D508" t="str">
        <x:f>IF(507&gt;'10_events'!$K$2703,"",INDEX('10_events'!$F$2:$F$2703,$H508))</x:f>
      </x:c>
      <x:c r="E508" t="str">
        <x:f>IF(507&gt;'10_events'!$K$2703,"",INDEX('10_events'!$G$2:$G$2703,$H508))</x:f>
      </x:c>
      <x:c r="F508" t="str">
        <x:f>IF(507&gt;'10_events'!$K$2703,"",INDEX('10_events'!$H$2:$H$2703,$H508))</x:f>
      </x:c>
      <x:c r="G508" s="16" t="str">
        <x:f>IF(507&gt;'10_events'!$K$2703,"",INDEX('10_events'!$I$2:$I$2703,$H508))</x:f>
      </x:c>
      <x:c r="H508" t="n">
        <x:f>IF(507&gt;'10_events'!$K$2703,0,MATCH(507,'10_events'!$J$2:$J$2703,0))</x:f>
        <x:v>0</x:v>
      </x:c>
    </x:row>
    <x:row r="509" ht="25" customHeight="1">
      <x:c r="A509" t="str">
        <x:f>IF(508&gt;'10_events'!$K$2703,"",INDEX('10_events'!$A$2:$A$2703,$H509))</x:f>
      </x:c>
      <x:c r="B509" t="str">
        <x:f>IF(508&gt;'10_events'!$K$2703,"",INDEX('10_events'!$B$2:$B$2703,$H509))</x:f>
      </x:c>
      <x:c r="C509" t="str">
        <x:f>IF(508&gt;'10_events'!$K$2703,"",INDEX('10_events'!$C$2:$C$2703,$H509))</x:f>
      </x:c>
      <x:c r="D509" t="str">
        <x:f>IF(508&gt;'10_events'!$K$2703,"",INDEX('10_events'!$F$2:$F$2703,$H509))</x:f>
      </x:c>
      <x:c r="E509" t="str">
        <x:f>IF(508&gt;'10_events'!$K$2703,"",INDEX('10_events'!$G$2:$G$2703,$H509))</x:f>
      </x:c>
      <x:c r="F509" t="str">
        <x:f>IF(508&gt;'10_events'!$K$2703,"",INDEX('10_events'!$H$2:$H$2703,$H509))</x:f>
      </x:c>
      <x:c r="G509" s="16" t="str">
        <x:f>IF(508&gt;'10_events'!$K$2703,"",INDEX('10_events'!$I$2:$I$2703,$H509))</x:f>
      </x:c>
      <x:c r="H509" t="n">
        <x:f>IF(508&gt;'10_events'!$K$2703,0,MATCH(508,'10_events'!$J$2:$J$2703,0))</x:f>
        <x:v>0</x:v>
      </x:c>
    </x:row>
    <x:row r="510" ht="25" customHeight="1">
      <x:c r="A510" t="str">
        <x:f>IF(509&gt;'10_events'!$K$2703,"",INDEX('10_events'!$A$2:$A$2703,$H510))</x:f>
      </x:c>
      <x:c r="B510" t="str">
        <x:f>IF(509&gt;'10_events'!$K$2703,"",INDEX('10_events'!$B$2:$B$2703,$H510))</x:f>
      </x:c>
      <x:c r="C510" t="str">
        <x:f>IF(509&gt;'10_events'!$K$2703,"",INDEX('10_events'!$C$2:$C$2703,$H510))</x:f>
      </x:c>
      <x:c r="D510" t="str">
        <x:f>IF(509&gt;'10_events'!$K$2703,"",INDEX('10_events'!$F$2:$F$2703,$H510))</x:f>
      </x:c>
      <x:c r="E510" t="str">
        <x:f>IF(509&gt;'10_events'!$K$2703,"",INDEX('10_events'!$G$2:$G$2703,$H510))</x:f>
      </x:c>
      <x:c r="F510" t="str">
        <x:f>IF(509&gt;'10_events'!$K$2703,"",INDEX('10_events'!$H$2:$H$2703,$H510))</x:f>
      </x:c>
      <x:c r="G510" s="16" t="str">
        <x:f>IF(509&gt;'10_events'!$K$2703,"",INDEX('10_events'!$I$2:$I$2703,$H510))</x:f>
      </x:c>
      <x:c r="H510" t="n">
        <x:f>IF(509&gt;'10_events'!$K$2703,0,MATCH(509,'10_events'!$J$2:$J$2703,0))</x:f>
        <x:v>0</x:v>
      </x:c>
    </x:row>
    <x:row r="511" ht="25" customHeight="1">
      <x:c r="A511" t="str">
        <x:f>IF(510&gt;'10_events'!$K$2703,"",INDEX('10_events'!$A$2:$A$2703,$H511))</x:f>
      </x:c>
      <x:c r="B511" t="str">
        <x:f>IF(510&gt;'10_events'!$K$2703,"",INDEX('10_events'!$B$2:$B$2703,$H511))</x:f>
      </x:c>
      <x:c r="C511" t="str">
        <x:f>IF(510&gt;'10_events'!$K$2703,"",INDEX('10_events'!$C$2:$C$2703,$H511))</x:f>
      </x:c>
      <x:c r="D511" t="str">
        <x:f>IF(510&gt;'10_events'!$K$2703,"",INDEX('10_events'!$F$2:$F$2703,$H511))</x:f>
      </x:c>
      <x:c r="E511" t="str">
        <x:f>IF(510&gt;'10_events'!$K$2703,"",INDEX('10_events'!$G$2:$G$2703,$H511))</x:f>
      </x:c>
      <x:c r="F511" t="str">
        <x:f>IF(510&gt;'10_events'!$K$2703,"",INDEX('10_events'!$H$2:$H$2703,$H511))</x:f>
      </x:c>
      <x:c r="G511" s="16" t="str">
        <x:f>IF(510&gt;'10_events'!$K$2703,"",INDEX('10_events'!$I$2:$I$2703,$H511))</x:f>
      </x:c>
      <x:c r="H511" t="n">
        <x:f>IF(510&gt;'10_events'!$K$2703,0,MATCH(510,'10_events'!$J$2:$J$2703,0))</x:f>
        <x:v>0</x:v>
      </x:c>
    </x:row>
    <x:row r="512" ht="25" customHeight="1">
      <x:c r="A512" t="str">
        <x:f>IF(511&gt;'10_events'!$K$2703,"",INDEX('10_events'!$A$2:$A$2703,$H512))</x:f>
      </x:c>
      <x:c r="B512" t="str">
        <x:f>IF(511&gt;'10_events'!$K$2703,"",INDEX('10_events'!$B$2:$B$2703,$H512))</x:f>
      </x:c>
      <x:c r="C512" t="str">
        <x:f>IF(511&gt;'10_events'!$K$2703,"",INDEX('10_events'!$C$2:$C$2703,$H512))</x:f>
      </x:c>
      <x:c r="D512" t="str">
        <x:f>IF(511&gt;'10_events'!$K$2703,"",INDEX('10_events'!$F$2:$F$2703,$H512))</x:f>
      </x:c>
      <x:c r="E512" t="str">
        <x:f>IF(511&gt;'10_events'!$K$2703,"",INDEX('10_events'!$G$2:$G$2703,$H512))</x:f>
      </x:c>
      <x:c r="F512" t="str">
        <x:f>IF(511&gt;'10_events'!$K$2703,"",INDEX('10_events'!$H$2:$H$2703,$H512))</x:f>
      </x:c>
      <x:c r="G512" s="16" t="str">
        <x:f>IF(511&gt;'10_events'!$K$2703,"",INDEX('10_events'!$I$2:$I$2703,$H512))</x:f>
      </x:c>
      <x:c r="H512" t="n">
        <x:f>IF(511&gt;'10_events'!$K$2703,0,MATCH(511,'10_events'!$J$2:$J$2703,0))</x:f>
        <x:v>0</x:v>
      </x:c>
    </x:row>
    <x:row r="513" ht="25" customHeight="1">
      <x:c r="A513" t="str">
        <x:f>IF(512&gt;'10_events'!$K$2703,"",INDEX('10_events'!$A$2:$A$2703,$H513))</x:f>
      </x:c>
      <x:c r="B513" t="str">
        <x:f>IF(512&gt;'10_events'!$K$2703,"",INDEX('10_events'!$B$2:$B$2703,$H513))</x:f>
      </x:c>
      <x:c r="C513" t="str">
        <x:f>IF(512&gt;'10_events'!$K$2703,"",INDEX('10_events'!$C$2:$C$2703,$H513))</x:f>
      </x:c>
      <x:c r="D513" t="str">
        <x:f>IF(512&gt;'10_events'!$K$2703,"",INDEX('10_events'!$F$2:$F$2703,$H513))</x:f>
      </x:c>
      <x:c r="E513" t="str">
        <x:f>IF(512&gt;'10_events'!$K$2703,"",INDEX('10_events'!$G$2:$G$2703,$H513))</x:f>
      </x:c>
      <x:c r="F513" t="str">
        <x:f>IF(512&gt;'10_events'!$K$2703,"",INDEX('10_events'!$H$2:$H$2703,$H513))</x:f>
      </x:c>
      <x:c r="G513" s="16" t="str">
        <x:f>IF(512&gt;'10_events'!$K$2703,"",INDEX('10_events'!$I$2:$I$2703,$H513))</x:f>
      </x:c>
      <x:c r="H513" t="n">
        <x:f>IF(512&gt;'10_events'!$K$2703,0,MATCH(512,'10_events'!$J$2:$J$2703,0))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23a003674f4f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109375" customWidth="1"/>
    <x:col min="2" max="2" width="16.7109375" customWidth="1"/>
    <x:col min="3" max="3" width="4.7109375" customWidth="1"/>
    <x:col min="4" max="4" width="24.7109375" customWidth="1"/>
    <x:col min="5" max="5" width="16.7109375" customWidth="1"/>
    <x:col min="6" max="6" width="4.7109375" customWidth="1"/>
    <x:col min="7" max="8" width="18.7109375" customWidth="1"/>
  </x:cols>
  <x:sheetData>
    <x:row r="1">
      <x:c r="A1" s="6" t="s">
        <x:v>0</x:v>
      </x:c>
      <x:c r="B1" s="6"/>
      <x:c r="C1" s="6"/>
      <x:c r="D1" s="6"/>
      <x:c r="E1" s="6"/>
      <x:c r="F1" s="6"/>
      <x:c r="G1" s="6"/>
      <x:c r="H1" s="6"/>
    </x:row>
    <x:row r="3">
      <x:c r="A3" s="1" t="s">
        <x:v>1</x:v>
      </x:c>
      <x:c r="B3" s="1" t="s">
        <x:v>2</x:v>
      </x:c>
      <x:c r="D3" s="1" t="s">
        <x:v>3</x:v>
      </x:c>
      <x:c r="E3" s="1" t="s">
        <x:v>4</x:v>
      </x:c>
      <x:c r="G3" s="1" t="s">
        <x:v>5</x:v>
      </x:c>
      <x:c r="H3" s="1" t="s">
        <x:v>6</x:v>
      </x:c>
    </x:row>
    <x:row r="4">
      <x:c r="A4" s="2" t="s">
        <x:v>7</x:v>
      </x:c>
      <x:c r="B4" s="4" t="n">
        <x:f>COUNTIF('04_checks'!A2:A387,"Order")</x:f>
        <x:v>160</x:v>
      </x:c>
      <x:c r="D4" s="2" t="s">
        <x:v>8</x:v>
      </x:c>
      <x:c r="E4" s="4" t="n">
        <x:f>COUNTIF('01_orders_raw'!$J$2:$J$181,"Выполнен")</x:f>
        <x:v>40</x:v>
      </x:c>
      <x:c r="G4" s="2" t="s">
        <x:v>9</x:v>
      </x:c>
      <x:c r="H4" s="4" t="n">
        <x:f>COUNTIFS('10_events'!A2:A2703,"Order",'10_events'!D2:D2703,1)</x:f>
        <x:v>13</x:v>
      </x:c>
    </x:row>
    <x:row r="5">
      <x:c r="A5" s="2" t="s">
        <x:v>10</x:v>
      </x:c>
      <x:c r="B5" s="4" t="n">
        <x:f>SUM('01_orders_raw'!$I$2:$I$181)</x:f>
        <x:v>21446500</x:v>
      </x:c>
      <x:c r="D5" s="2" t="s">
        <x:v>11</x:v>
      </x:c>
      <x:c r="E5" s="4" t="n">
        <x:f>COUNTIF('01_orders_raw'!$J$2:$J$181,"В работе")</x:f>
        <x:v>34</x:v>
      </x:c>
      <x:c r="G5" s="2" t="s">
        <x:v>12</x:v>
      </x:c>
      <x:c r="H5" s="4" t="n">
        <x:f>COUNTIFS('10_events'!A2:A2703,"Client",'10_events'!D2:D2703,1)</x:f>
        <x:v>6</x:v>
      </x:c>
    </x:row>
    <x:row r="6">
      <x:c r="A6" s="2" t="s">
        <x:v>13</x:v>
      </x:c>
      <x:c r="B6" s="4" t="n">
        <x:f>COUNTIF('04_checks'!A2:A387,"Client")</x:f>
        <x:v>46</x:v>
      </x:c>
      <x:c r="D6" s="2" t="s">
        <x:v>14</x:v>
      </x:c>
      <x:c r="E6" s="4" t="n">
        <x:f>COUNTIF('01_orders_raw'!$J$2:$J$181,"Ожидает оплаты")</x:f>
        <x:v>47</x:v>
      </x:c>
      <x:c r="G6" s="2" t="s">
        <x:v>15</x:v>
      </x:c>
      <x:c r="H6" s="4" t="n">
        <x:f>COUNTIFS('10_events'!A2:A2703,"Payment",'10_events'!D2:D2703,1)</x:f>
        <x:v>7</x:v>
      </x:c>
    </x:row>
    <x:row r="7">
      <x:c r="A7" s="2" t="s">
        <x:v>16</x:v>
      </x:c>
      <x:c r="B7" s="4" t="n">
        <x:f>COUNTIF('04_checks'!A2:A387,"Payment")</x:f>
        <x:v>120</x:v>
      </x:c>
      <x:c r="D7" s="2" t="s">
        <x:v>17</x:v>
      </x:c>
      <x:c r="E7" s="4" t="n">
        <x:f>COUNTIF('01_orders_raw'!$J$2:$J$181,"Отменен")</x:f>
        <x:v>38</x:v>
      </x:c>
      <x:c r="G7" s="2" t="s">
        <x:v>18</x:v>
      </x:c>
      <x:c r="H7" s="4" t="n">
        <x:f>COUNTIFS('10_events'!G2:G2703,"High",'10_events'!D2:D2703,1)</x:f>
        <x:v>23</x:v>
      </x:c>
    </x:row>
    <x:row r="8">
      <x:c r="A8" s="2" t="s">
        <x:v>19</x:v>
      </x:c>
      <x:c r="B8" s="4" t="n">
        <x:f>'10_events'!K2703</x:f>
        <x:v>26</x:v>
      </x:c>
      <x:c r="D8" s="2" t="s">
        <x:v>20</x:v>
      </x:c>
      <x:c r="E8" s="4" t="n">
        <x:f>B4-SUM(E4:E7)</x:f>
        <x:v>1</x:v>
      </x:c>
    </x:row>
    <x:row r="9">
      <x:c r="A9" s="2" t="s">
        <x:v>21</x:v>
      </x:c>
      <x:c r="B9" s="7" t="n">
        <x:f>IFERROR(COUNTIF('04_checks'!J2:J387,"&gt;0")/'09_parameters'!B5,0)</x:f>
        <x:v>0.07975460122699386</x:v>
      </x:c>
    </x:row>
    <x:row r="10">
      <x:c r="D10" s="1" t="str">
        <x:v>Тип ошибки</x:v>
      </x:c>
      <x:c r="E10" s="1" t="str">
        <x:v>События</x:v>
      </x:c>
    </x:row>
    <x:row r="11">
      <x:c r="D11" s="2" t="str">
        <x:v>Дубль</x:v>
      </x:c>
      <x:c r="E11" s="4" t="n">
        <x:f>COUNTIFS('10_events'!F2:F2703,D11,'10_events'!D2:D2703,1)</x:f>
        <x:v>4</x:v>
      </x:c>
    </x:row>
    <x:row r="12">
      <x:c r="A12" s="1" t="s">
        <x:v>22</x:v>
      </x:c>
      <x:c r="B12" s="1" t="s">
        <x:v>10</x:v>
      </x:c>
      <x:c r="D12" s="2" t="str">
        <x:v>Пустое поле</x:v>
      </x:c>
      <x:c r="E12" s="4" t="n">
        <x:f>COUNTIFS('10_events'!F2:F2703,D12,'10_events'!D2:D2703,1)</x:f>
        <x:v>7</x:v>
      </x:c>
    </x:row>
    <x:row r="13">
      <x:c r="A13" s="2" t="s">
        <x:v>23</x:v>
      </x:c>
      <x:c r="B13" s="4" t="n">
        <x:f>SUMIFS('01_orders_raw'!$I$2:$I$181,'01_orders_raw'!$B$2:$B$181,"&gt;="&amp;DATE(2026,1,1),'01_orders_raw'!$B$2:$B$181,"&lt;"&amp;DATE(2026,2,1))</x:f>
        <x:v>2621500</x:v>
      </x:c>
      <x:c r="D13" s="2" t="str">
        <x:v>Нет связи</x:v>
      </x:c>
      <x:c r="E13" s="4" t="n">
        <x:f>COUNTIFS('10_events'!F2:F2703,D13,'10_events'!D2:D2703,1)</x:f>
        <x:v>2</x:v>
      </x:c>
    </x:row>
    <x:row r="14">
      <x:c r="A14" s="2" t="s">
        <x:v>24</x:v>
      </x:c>
      <x:c r="B14" s="4" t="n">
        <x:f>SUMIFS('01_orders_raw'!$I$2:$I$181,'01_orders_raw'!$B$2:$B$181,"&gt;="&amp;DATE(2026,2,1),'01_orders_raw'!$B$2:$B$181,"&lt;"&amp;DATE(2026,3,1))</x:f>
        <x:v>4501800</x:v>
      </x:c>
      <x:c r="D14" s="2" t="str">
        <x:v>Неоднозначная связь</x:v>
      </x:c>
      <x:c r="E14" s="4" t="n">
        <x:f>COUNTIFS('10_events'!F2:F2703,D14,'10_events'!D2:D2703,1)</x:f>
        <x:v>6</x:v>
      </x:c>
    </x:row>
    <x:row r="15">
      <x:c r="A15" s="2" t="s">
        <x:v>25</x:v>
      </x:c>
      <x:c r="B15" s="4" t="n">
        <x:f>SUMIFS('01_orders_raw'!$I$2:$I$181,'01_orders_raw'!$B$2:$B$181,"&gt;="&amp;DATE(2026,3,1),'01_orders_raw'!$B$2:$B$181,"&lt;"&amp;DATE(2026,4,1))</x:f>
        <x:v>4401700</x:v>
      </x:c>
      <x:c r="D15" s="2" t="str">
        <x:v>Ошибка расчета</x:v>
      </x:c>
      <x:c r="E15" s="4" t="n">
        <x:f>COUNTIFS('10_events'!F2:F2703,D15,'10_events'!D2:D2703,1)</x:f>
        <x:v>2</x:v>
      </x:c>
    </x:row>
    <x:row r="16">
      <x:c r="A16" s="2" t="s">
        <x:v>26</x:v>
      </x:c>
      <x:c r="B16" s="4" t="n">
        <x:f>SUMIFS('01_orders_raw'!$I$2:$I$181,'01_orders_raw'!$B$2:$B$181,"&gt;="&amp;DATE(2026,4,1),'01_orders_raw'!$B$2:$B$181,"&lt;"&amp;DATE(2026,5,1))</x:f>
        <x:v>4932000</x:v>
      </x:c>
      <x:c r="D16" s="2" t="str">
        <x:v>Формат ИНН</x:v>
      </x:c>
      <x:c r="E16" s="4" t="n">
        <x:f>COUNTIFS('10_events'!F2:F2703,D16,'10_events'!D2:D2703,1)</x:f>
        <x:v>1</x:v>
      </x:c>
    </x:row>
    <x:row r="17">
      <x:c r="A17" s="2" t="s">
        <x:v>27</x:v>
      </x:c>
      <x:c r="B17" s="4" t="n">
        <x:f>SUMIFS('01_orders_raw'!$I$2:$I$181,'01_orders_raw'!$B$2:$B$181,"&gt;="&amp;DATE(2026,5,1),'01_orders_raw'!$B$2:$B$181,"&lt;"&amp;DATE(2026,6,1))</x:f>
        <x:v>4755500</x:v>
      </x:c>
      <x:c r="D17" s="2" t="str">
        <x:v>Отрицательная цена</x:v>
      </x:c>
      <x:c r="E17" s="4" t="n">
        <x:f>COUNTIFS('10_events'!F2:F2703,D17,'10_events'!D2:D2703,1)</x:f>
        <x:v>1</x:v>
      </x:c>
    </x:row>
    <x:row r="18">
      <x:c r="D18" t="str">
        <x:v>Дата</x:v>
      </x:c>
      <x:c r="E18" t="n">
        <x:f>COUNTIFS('10_events'!F2:F2703,D18,'10_events'!D2:D2703,1)</x:f>
        <x:v>2</x:v>
      </x:c>
    </x:row>
    <x:row r="19">
      <x:c r="D19" t="str">
        <x:v>Статус</x:v>
      </x:c>
      <x:c r="E19" t="n">
        <x:f>COUNTIFS('10_events'!F2:F2703,D19,'10_events'!D2:D2703,1)</x:f>
        <x:v>1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109375" customWidth="1"/>
    <x:col min="2" max="2" width="16.7109375" customWidth="1"/>
    <x:col min="3" max="3" width="3.7109375" customWidth="1"/>
    <x:col min="4" max="4" width="19.7109375" customWidth="1"/>
    <x:col min="5" max="5" width="20.7109375" customWidth="1"/>
    <x:col min="6" max="6" width="3.7109375" customWidth="1"/>
    <x:col min="7" max="7" width="19.7109375" customWidth="1"/>
    <x:col min="8" max="8" width="14.7109375" customWidth="1"/>
    <x:col min="9" max="9" width="3.7109375" customWidth="1"/>
    <x:col min="10" max="14" width="14.7109375" customWidth="1"/>
  </x:cols>
  <x:sheetData>
    <x:row r="1">
      <x:c r="A1" s="6" t="s">
        <x:v>28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>
      <x:c r="A3" s="8" t="s">
        <x:v>10</x:v>
      </x:c>
      <x:c r="B3" s="4" t="n">
        <x:f>'06_summary'!B5</x:f>
        <x:v>21446500</x:v>
      </x:c>
      <x:c r="D3" s="8" t="s">
        <x:v>29</x:v>
      </x:c>
      <x:c r="E3" s="4" t="n">
        <x:f>'06_summary'!B6</x:f>
        <x:v>46</x:v>
      </x:c>
    </x:row>
    <x:row r="4">
      <x:c r="A4" s="8" t="s">
        <x:v>4</x:v>
      </x:c>
      <x:c r="B4" s="4" t="n">
        <x:f>'06_summary'!B4</x:f>
        <x:v>160</x:v>
      </x:c>
      <x:c r="D4" s="8" t="s">
        <x:v>30</x:v>
      </x:c>
      <x:c r="E4" s="4" t="n">
        <x:f>'06_summary'!B7</x:f>
        <x:v>120</x:v>
      </x:c>
    </x:row>
    <x:row r="5">
      <x:c r="A5" s="8" t="s">
        <x:v>6</x:v>
      </x:c>
      <x:c r="B5" s="4" t="n">
        <x:f>'06_summary'!B8</x:f>
        <x:v>26</x:v>
      </x:c>
      <x:c r="D5" s="8" t="s">
        <x:v>21</x:v>
      </x:c>
      <x:c r="E5" s="7" t="n">
        <x:f>'06_summary'!B9</x:f>
        <x:v>0.07975460122699386</x:v>
      </x:c>
    </x:row>
    <x:row r="6">
      <x:c r="A6" s="8" t="s">
        <x:v>31</x:v>
      </x:c>
      <x:c r="B6" s="4" t="n">
        <x:f>'06_summary'!H7</x:f>
        <x:v>23</x:v>
      </x:c>
      <x:c r="D6" s="8" t="s">
        <x:v>32</x:v>
      </x:c>
      <x:c r="E6" s="2" t="str">
        <x:f>"Расчеты и связи"</x:f>
        <x:v>Расчеты и связи</x:v>
      </x:c>
    </x:row>
    <x:row r="8">
      <x:c r="A8" s="1" t="s">
        <x:v>22</x:v>
      </x:c>
      <x:c r="B8" s="1" t="s">
        <x:v>10</x:v>
      </x:c>
      <x:c r="D8" s="1" t="str">
        <x:v>Тип ошибки</x:v>
      </x:c>
      <x:c r="E8" s="1" t="str">
        <x:v>События</x:v>
      </x:c>
      <x:c r="G8" s="1" t="s">
        <x:v>3</x:v>
      </x:c>
      <x:c r="H8" s="1" t="s">
        <x:v>33</x:v>
      </x:c>
    </x:row>
    <x:row r="9">
      <x:c r="A9" s="2" t="str">
        <x:f>'06_summary'!A13</x:f>
        <x:v>Январь</x:v>
      </x:c>
      <x:c r="B9" s="4" t="n">
        <x:f>'06_summary'!B13</x:f>
        <x:v>2621500</x:v>
      </x:c>
      <x:c r="D9" s="2" t="str">
        <x:f>'06_summary'!D11</x:f>
        <x:v>Дубль</x:v>
      </x:c>
      <x:c r="E9" s="4" t="n">
        <x:f>'06_summary'!E11</x:f>
        <x:v>4</x:v>
      </x:c>
      <x:c r="G9" s="2" t="str">
        <x:f>'06_summary'!D4</x:f>
        <x:v>Выполнен</x:v>
      </x:c>
      <x:c r="H9" s="4" t="n">
        <x:f>'06_summary'!E4</x:f>
        <x:v>40</x:v>
      </x:c>
    </x:row>
    <x:row r="10">
      <x:c r="A10" s="2" t="str">
        <x:f>'06_summary'!A14</x:f>
        <x:v>Февраль</x:v>
      </x:c>
      <x:c r="B10" s="4" t="n">
        <x:f>'06_summary'!B14</x:f>
        <x:v>4501800</x:v>
      </x:c>
      <x:c r="D10" s="2" t="str">
        <x:f>'06_summary'!D12</x:f>
        <x:v>Пустое поле</x:v>
      </x:c>
      <x:c r="E10" s="4" t="n">
        <x:f>'06_summary'!E12</x:f>
        <x:v>7</x:v>
      </x:c>
      <x:c r="G10" s="2" t="str">
        <x:f>'06_summary'!D5</x:f>
        <x:v>В работе</x:v>
      </x:c>
      <x:c r="H10" s="4" t="n">
        <x:f>'06_summary'!E5</x:f>
        <x:v>34</x:v>
      </x:c>
    </x:row>
    <x:row r="11">
      <x:c r="A11" s="2" t="str">
        <x:f>'06_summary'!A15</x:f>
        <x:v>Март</x:v>
      </x:c>
      <x:c r="B11" s="4" t="n">
        <x:f>'06_summary'!B15</x:f>
        <x:v>4401700</x:v>
      </x:c>
      <x:c r="D11" s="2" t="str">
        <x:f>'06_summary'!D13</x:f>
        <x:v>Нет связи</x:v>
      </x:c>
      <x:c r="E11" s="4" t="n">
        <x:f>'06_summary'!E13</x:f>
        <x:v>2</x:v>
      </x:c>
      <x:c r="G11" s="2" t="str">
        <x:f>'06_summary'!D6</x:f>
        <x:v>Ожидает оплаты</x:v>
      </x:c>
      <x:c r="H11" s="4" t="n">
        <x:f>'06_summary'!E6</x:f>
        <x:v>47</x:v>
      </x:c>
    </x:row>
    <x:row r="12">
      <x:c r="A12" s="2" t="str">
        <x:f>'06_summary'!A16</x:f>
        <x:v>Апрель</x:v>
      </x:c>
      <x:c r="B12" s="4" t="n">
        <x:f>'06_summary'!B16</x:f>
        <x:v>4932000</x:v>
      </x:c>
      <x:c r="D12" s="2" t="str">
        <x:f>'06_summary'!D14</x:f>
        <x:v>Неоднозначная связь</x:v>
      </x:c>
      <x:c r="E12" s="4" t="n">
        <x:f>'06_summary'!E14</x:f>
        <x:v>6</x:v>
      </x:c>
      <x:c r="G12" s="2" t="str">
        <x:f>'06_summary'!D7</x:f>
        <x:v>Отменен</x:v>
      </x:c>
      <x:c r="H12" s="4" t="n">
        <x:f>'06_summary'!E7</x:f>
        <x:v>38</x:v>
      </x:c>
    </x:row>
    <x:row r="13">
      <x:c r="A13" s="2" t="str">
        <x:f>'06_summary'!A17</x:f>
        <x:v>Май</x:v>
      </x:c>
      <x:c r="B13" s="4" t="n">
        <x:f>'06_summary'!B17</x:f>
        <x:v>4755500</x:v>
      </x:c>
      <x:c r="D13" s="2" t="str">
        <x:f>'06_summary'!D15</x:f>
        <x:v>Ошибка расчета</x:v>
      </x:c>
      <x:c r="E13" s="4" t="n">
        <x:f>'06_summary'!E15</x:f>
        <x:v>2</x:v>
      </x:c>
      <x:c r="G13" s="2" t="str">
        <x:f>'06_summary'!D8</x:f>
        <x:v>Опечатка/прочее</x:v>
      </x:c>
      <x:c r="H13" s="4" t="n">
        <x:f>'06_summary'!E8</x:f>
        <x:v>1</x:v>
      </x:c>
    </x:row>
    <x:row r="14">
      <x:c r="D14" s="2" t="str">
        <x:f>'06_summary'!D16</x:f>
        <x:v>Формат ИНН</x:v>
      </x:c>
      <x:c r="E14" s="4" t="n">
        <x:f>'06_summary'!E16</x:f>
        <x:v>1</x:v>
      </x:c>
    </x:row>
    <x:row r="15">
      <x:c r="D15" s="2" t="str">
        <x:f>'06_summary'!D17</x:f>
        <x:v>Отрицательная цена</x:v>
      </x:c>
      <x:c r="E15" s="4" t="n">
        <x:f>'06_summary'!E17</x:f>
        <x:v>1</x:v>
      </x:c>
    </x:row>
    <x:row r="16">
      <x:c r="D16" t="str">
        <x:f>'06_summary'!D18</x:f>
        <x:v>Дата</x:v>
      </x:c>
      <x:c r="E16" t="n">
        <x:f>'06_summary'!E18</x:f>
        <x:v>2</x:v>
      </x:c>
    </x:row>
    <x:row r="17">
      <x:c r="D17" t="str">
        <x:f>'06_summary'!D19</x:f>
        <x:v>Статус</x:v>
      </x:c>
      <x:c r="E17" t="n">
        <x:f>'06_summary'!E19</x:f>
        <x:v>1</x:v>
      </x:c>
    </x:row>
    <x:row r="19">
      <x:c r="A19" t="str">
        <x:v>Реестр 05_errors обновляется по формулам; каждая ошибка связана с исходной строкой.</x:v>
      </x:c>
    </x:row>
    <x:row r="21">
      <x:c r="A21" t="str">
        <x:f>"Дата среза: "&amp;TEXT('09_parameters'!B2,"yyyy-mm-dd")&amp;" | Вместимость реестра: "&amp;'09_parameters'!B4&amp;" | "&amp;'09_parameters'!B6</x:f>
        <x:v>Дата среза: 2026-06-25 | Вместимость реестра: 512 | OK</x:v>
      </x:c>
    </x:row>
    <x:row r="31">
      <x:c r="A31" s="1" t="s">
        <x:v>5</x:v>
      </x:c>
      <x:c r="B31" s="1" t="s">
        <x:v>6</x:v>
      </x:c>
    </x:row>
    <x:row r="33">
      <x:c r="A33" s="2" t="str">
        <x:f>'06_summary'!G4</x:f>
        <x:v>Order</x:v>
      </x:c>
      <x:c r="B33" s="4" t="n">
        <x:f>'06_summary'!H4</x:f>
        <x:v>13</x:v>
      </x:c>
    </x:row>
    <x:row r="34">
      <x:c r="A34" s="2" t="str">
        <x:f>'06_summary'!G5</x:f>
        <x:v>Client</x:v>
      </x:c>
      <x:c r="B34" s="4" t="n">
        <x:f>'06_summary'!H5</x:f>
        <x:v>6</x:v>
      </x:c>
    </x:row>
    <x:row r="35">
      <x:c r="A35" s="2" t="str">
        <x:f>'06_summary'!G6</x:f>
        <x:v>Payment</x:v>
      </x:c>
      <x:c r="B35" s="4" t="n">
        <x:f>'06_summary'!H6</x:f>
        <x:v>7</x:v>
      </x:c>
    </x:row>
  </x:sheetData>
  <x:mergeCells>
    <x:mergeCell ref="A1:N1"/>
    <x:mergeCell ref="A19:H20"/>
    <x:mergeCell ref="A21:H22"/>
  </x:mergeCells>
  <x:pageMargins left="0.7" right="0.7" top="0.75" bottom="0.75" header="0.3" footer="0.3"/>
  <x:drawing xmlns:r="http://schemas.openxmlformats.org/officeDocument/2006/relationships" r:id="Ra879cef5753e466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109375" customWidth="1"/>
    <x:col min="2" max="2" width="28.7109375" customWidth="1"/>
    <x:col min="3" max="3" width="48.7109375" customWidth="1"/>
    <x:col min="4" max="4" width="24.7109375" customWidth="1"/>
    <x:col min="5" max="5" width="38.7109375" customWidth="1"/>
    <x:col min="6" max="6" width="18.7109375" customWidth="1"/>
  </x:cols>
  <x:sheetData>
    <x:row r="1">
      <x:c r="A1" s="6" t="s">
        <x:v>34</x:v>
      </x:c>
      <x:c r="B1" s="6"/>
      <x:c r="C1" s="6"/>
      <x:c r="D1" s="6"/>
      <x:c r="E1" s="6"/>
      <x:c r="F1" s="6"/>
    </x:row>
    <x:row r="3">
      <x:c r="A3" s="1" t="s">
        <x:v>35</x:v>
      </x:c>
      <x:c r="B3" s="1" t="s">
        <x:v>36</x:v>
      </x:c>
      <x:c r="C3" s="1" t="s">
        <x:v>37</x:v>
      </x:c>
      <x:c r="D3" s="1" t="s">
        <x:v>38</x:v>
      </x:c>
      <x:c r="E3" s="1" t="s">
        <x:v>39</x:v>
      </x:c>
      <x:c r="F3" s="1" t="s">
        <x:v>3</x:v>
      </x:c>
    </x:row>
    <x:row r="4">
      <x:c r="A4" s="5" t="s">
        <x:v>18</x:v>
      </x:c>
      <x:c r="B4" s="5" t="s">
        <x:v>40</x:v>
      </x:c>
      <x:c r="C4" s="5" t="s">
        <x:v>41</x:v>
      </x:c>
      <x:c r="D4" s="5" t="s">
        <x:v>42</x:v>
      </x:c>
      <x:c r="E4" s="5" t="s">
        <x:v>43</x:v>
      </x:c>
      <x:c r="F4" s="5" t="s">
        <x:v>44</x:v>
      </x:c>
    </x:row>
    <x:row r="5">
      <x:c r="A5" s="5" t="s">
        <x:v>18</x:v>
      </x:c>
      <x:c r="B5" s="5" t="s">
        <x:v>45</x:v>
      </x:c>
      <x:c r="C5" s="5" t="s">
        <x:v>46</x:v>
      </x:c>
      <x:c r="D5" s="5" t="s">
        <x:v>47</x:v>
      </x:c>
      <x:c r="E5" s="5" t="s">
        <x:v>48</x:v>
      </x:c>
      <x:c r="F5" s="5" t="s">
        <x:v>44</x:v>
      </x:c>
    </x:row>
    <x:row r="6">
      <x:c r="A6" s="5" t="s">
        <x:v>18</x:v>
      </x:c>
      <x:c r="B6" s="5" t="s">
        <x:v>49</x:v>
      </x:c>
      <x:c r="C6" s="5" t="s">
        <x:v>50</x:v>
      </x:c>
      <x:c r="D6" s="5" t="s">
        <x:v>51</x:v>
      </x:c>
      <x:c r="E6" s="5" t="s">
        <x:v>52</x:v>
      </x:c>
      <x:c r="F6" s="5" t="s">
        <x:v>44</x:v>
      </x:c>
    </x:row>
    <x:row r="7">
      <x:c r="A7" s="5" t="s">
        <x:v>53</x:v>
      </x:c>
      <x:c r="B7" s="5" t="s">
        <x:v>54</x:v>
      </x:c>
      <x:c r="C7" s="5" t="s">
        <x:v>55</x:v>
      </x:c>
      <x:c r="D7" s="5" t="s">
        <x:v>56</x:v>
      </x:c>
      <x:c r="E7" s="5" t="s">
        <x:v>57</x:v>
      </x:c>
      <x:c r="F7" s="5" t="s">
        <x:v>44</x:v>
      </x:c>
    </x:row>
    <x:row r="8">
      <x:c r="A8" s="5" t="s">
        <x:v>58</x:v>
      </x:c>
      <x:c r="B8" s="5" t="s">
        <x:v>59</x:v>
      </x:c>
      <x:c r="C8" s="5" t="s">
        <x:v>60</x:v>
      </x:c>
      <x:c r="D8" s="5" t="s">
        <x:v>47</x:v>
      </x:c>
      <x:c r="E8" s="5" t="s">
        <x:v>61</x:v>
      </x:c>
      <x:c r="F8" s="5" t="s">
        <x:v>44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 ht="42" customHeight="1">
      <x:c r="A1" s="15" t="str">
        <x:v>entity</x:v>
      </x:c>
      <x:c r="B1" s="15" t="str">
        <x:v>record_id</x:v>
      </x:c>
      <x:c r="C1" s="15" t="str">
        <x:v>source_row</x:v>
      </x:c>
      <x:c r="D1" s="15" t="str">
        <x:v>is_error</x:v>
      </x:c>
      <x:c r="E1" s="15" t="str">
        <x:v>rule_id</x:v>
      </x:c>
      <x:c r="F1" s="15" t="str">
        <x:v>error_type</x:v>
      </x:c>
      <x:c r="G1" s="15" t="str">
        <x:v>criticality</x:v>
      </x:c>
      <x:c r="H1" s="15" t="str">
        <x:v>source_field</x:v>
      </x:c>
      <x:c r="I1" s="15" t="str">
        <x:v>recommendation</x:v>
      </x:c>
      <x:c r="J1" s="15" t="str">
        <x:v>event_number</x:v>
      </x:c>
      <x:c r="K1" s="15" t="str">
        <x:v>running_count</x:v>
      </x:c>
    </x:row>
    <x:row r="2">
      <x:c r="A2" t="str">
        <x:v>Order</x:v>
      </x:c>
      <x:c r="B2" t="n">
        <x:f>'04_checks'!B2</x:f>
        <x:v>1001</x:v>
      </x:c>
      <x:c r="C2" t="n">
        <x:v>2</x:v>
      </x:c>
      <x:c r="D2" t="n">
        <x:f>IF('04_checks'!C2="ERROR",1,0)</x:f>
        <x:v>0</x:v>
      </x:c>
      <x:c r="E2" t="str">
        <x:v>Order:2:1</x:v>
      </x:c>
      <x:c r="F2" t="str">
        <x:v>Дубль</x:v>
      </x:c>
      <x:c r="G2" t="str">
        <x:v>High</x:v>
      </x:c>
      <x:c r="H2" t="str">
        <x:v>order_id</x:v>
      </x:c>
      <x:c r="I2" t="str">
        <x:v>Проверить уникальность ID в источнике; не удалять записи автоматически</x:v>
      </x:c>
      <x:c r="J2" t="n">
        <x:f>IF(D2=1,K2,0)</x:f>
        <x:v>0</x:v>
      </x:c>
      <x:c r="K2" t="n">
        <x:f>D2+0</x:f>
        <x:v>0</x:v>
      </x:c>
    </x:row>
    <x:row r="3">
      <x:c r="A3" t="str">
        <x:v>Order</x:v>
      </x:c>
      <x:c r="B3" t="n">
        <x:f>'04_checks'!B2</x:f>
        <x:v>1001</x:v>
      </x:c>
      <x:c r="C3" t="n">
        <x:v>2</x:v>
      </x:c>
      <x:c r="D3" t="n">
        <x:f>IF('04_checks'!D2="ERROR",1,0)</x:f>
        <x:v>0</x:v>
      </x:c>
      <x:c r="E3" t="str">
        <x:v>Order:2:2</x:v>
      </x:c>
      <x:c r="F3" t="str">
        <x:v>Пустое поле</x:v>
      </x:c>
      <x:c r="G3" t="str">
        <x:v>High</x:v>
      </x:c>
      <x:c r="H3" t="str">
        <x:v>required_fields</x:v>
      </x:c>
      <x:c r="I3" t="str">
        <x:v>Дополнить обязательные поля в источнике</x:v>
      </x:c>
      <x:c r="J3" t="n">
        <x:f>IF(D3=1,K3,0)</x:f>
        <x:v>0</x:v>
      </x:c>
      <x:c r="K3" t="n">
        <x:f>D3+K2</x:f>
        <x:v>0</x:v>
      </x:c>
    </x:row>
    <x:row r="4">
      <x:c r="A4" t="str">
        <x:v>Order</x:v>
      </x:c>
      <x:c r="B4" t="n">
        <x:f>'04_checks'!B2</x:f>
        <x:v>1001</x:v>
      </x:c>
      <x:c r="C4" t="n">
        <x:v>2</x:v>
      </x:c>
      <x:c r="D4" t="n">
        <x:f>IF('04_checks'!E2="ERROR",1,0)</x:f>
        <x:v>0</x:v>
      </x:c>
      <x:c r="E4" t="str">
        <x:v>Order:2:3</x:v>
      </x:c>
      <x:c r="F4" t="str">
        <x:f>IF(COUNTIF('02_clients_raw'!$A$2:$A$67,'01_orders_raw'!C2)&gt;1,"Неоднозначная связь","Нет связи")</x:f>
        <x:v>Нет связи</x:v>
      </x:c>
      <x:c r="G4" t="str">
        <x:v>High</x:v>
      </x:c>
      <x:c r="H4" t="str">
        <x:v>client_id</x:v>
      </x:c>
      <x:c r="I4" t="str">
        <x:v>Исправить ссылку или разрешить дубли связанного ID</x:v>
      </x:c>
      <x:c r="J4" t="n">
        <x:f>IF(D4=1,K4,0)</x:f>
        <x:v>0</x:v>
      </x:c>
      <x:c r="K4" t="n">
        <x:f>D4+K3</x:f>
        <x:v>0</x:v>
      </x:c>
    </x:row>
    <x:row r="5">
      <x:c r="A5" t="str">
        <x:v>Order</x:v>
      </x:c>
      <x:c r="B5" t="n">
        <x:f>'04_checks'!B2</x:f>
        <x:v>1001</x:v>
      </x:c>
      <x:c r="C5" t="n">
        <x:v>2</x:v>
      </x:c>
      <x:c r="D5" t="n">
        <x:f>IF('04_checks'!F2="ERROR",1,0)</x:f>
        <x:v>0</x:v>
      </x:c>
      <x:c r="E5" t="str">
        <x:v>Order:2:4</x:v>
      </x:c>
      <x:c r="F5" t="str">
        <x:v>Ошибка расчета</x:v>
      </x:c>
      <x:c r="G5" t="str">
        <x:v>High</x:v>
      </x:c>
      <x:c r="H5" t="str">
        <x:v>quantity/price/order_sum</x:v>
      </x:c>
      <x:c r="I5" t="str">
        <x:v>Сверить исходные значения и правило расчёта</x:v>
      </x:c>
      <x:c r="J5" t="n">
        <x:f>IF(D5=1,K5,0)</x:f>
        <x:v>0</x:v>
      </x:c>
      <x:c r="K5" t="n">
        <x:f>D5+K4</x:f>
        <x:v>0</x:v>
      </x:c>
    </x:row>
    <x:row r="6">
      <x:c r="A6" t="str">
        <x:v>Order</x:v>
      </x:c>
      <x:c r="B6" t="n">
        <x:f>'04_checks'!B2</x:f>
        <x:v>1001</x:v>
      </x:c>
      <x:c r="C6" t="n">
        <x:v>2</x:v>
      </x:c>
      <x:c r="D6" t="n">
        <x:f>IF('04_checks'!G2="ERROR",1,0)</x:f>
        <x:v>0</x:v>
      </x:c>
      <x:c r="E6" t="str">
        <x:v>Order:2:5</x:v>
      </x:c>
      <x:c r="F6" t="str">
        <x:v>Отрицательная цена</x:v>
      </x:c>
      <x:c r="G6" t="str">
        <x:v>High</x:v>
      </x:c>
      <x:c r="H6" t="str">
        <x:v>price</x:v>
      </x:c>
      <x:c r="I6" t="str">
        <x:v>Проверить цену в источнике</x:v>
      </x:c>
      <x:c r="J6" t="n">
        <x:f>IF(D6=1,K6,0)</x:f>
        <x:v>0</x:v>
      </x:c>
      <x:c r="K6" t="n">
        <x:f>D6+K5</x:f>
        <x:v>0</x:v>
      </x:c>
    </x:row>
    <x:row r="7">
      <x:c r="A7" t="str">
        <x:v>Order</x:v>
      </x:c>
      <x:c r="B7" t="n">
        <x:f>'04_checks'!B2</x:f>
        <x:v>1001</x:v>
      </x:c>
      <x:c r="C7" t="n">
        <x:v>2</x:v>
      </x:c>
      <x:c r="D7" t="n">
        <x:f>IF('04_checks'!H2="ERROR",1,0)</x:f>
        <x:v>0</x:v>
      </x:c>
      <x:c r="E7" t="str">
        <x:v>Order:2:6</x:v>
      </x:c>
      <x:c r="F7" t="str">
        <x:v>Дата</x:v>
      </x:c>
      <x:c r="G7" t="str">
        <x:v>Medium</x:v>
      </x:c>
      <x:c r="H7" t="str">
        <x:v>order_date</x:v>
      </x:c>
      <x:c r="I7" t="str">
        <x:v>Сверить дату со срезом и исходной записью</x:v>
      </x:c>
      <x:c r="J7" t="n">
        <x:f>IF(D7=1,K7,0)</x:f>
        <x:v>0</x:v>
      </x:c>
      <x:c r="K7" t="n">
        <x:f>D7+K6</x:f>
        <x:v>0</x:v>
      </x:c>
    </x:row>
    <x:row r="8">
      <x:c r="A8" t="str">
        <x:v>Order</x:v>
      </x:c>
      <x:c r="B8" t="n">
        <x:f>'04_checks'!B2</x:f>
        <x:v>1001</x:v>
      </x:c>
      <x:c r="C8" t="n">
        <x:v>2</x:v>
      </x:c>
      <x:c r="D8" t="n">
        <x:f>IF('04_checks'!I2="ERROR",1,0)</x:f>
        <x:v>0</x:v>
      </x:c>
      <x:c r="E8" t="str">
        <x:v>Order:2:7</x:v>
      </x:c>
      <x:c r="F8" t="str">
        <x:v>Статус</x:v>
      </x:c>
      <x:c r="G8" t="str">
        <x:v>Medium</x:v>
      </x:c>
      <x:c r="H8" t="str">
        <x:v>status</x:v>
      </x:c>
      <x:c r="I8" t="str">
        <x:v>Выбрать допустимый статус</x:v>
      </x:c>
      <x:c r="J8" t="n">
        <x:f>IF(D8=1,K8,0)</x:f>
        <x:v>0</x:v>
      </x:c>
      <x:c r="K8" t="n">
        <x:f>D8+K7</x:f>
        <x:v>0</x:v>
      </x:c>
    </x:row>
    <x:row r="9">
      <x:c r="A9" t="str">
        <x:v>Order</x:v>
      </x:c>
      <x:c r="B9" t="n">
        <x:f>'04_checks'!B3</x:f>
        <x:v>1002</x:v>
      </x:c>
      <x:c r="C9" t="n">
        <x:v>3</x:v>
      </x:c>
      <x:c r="D9" t="n">
        <x:f>IF('04_checks'!C3="ERROR",1,0)</x:f>
        <x:v>0</x:v>
      </x:c>
      <x:c r="E9" t="str">
        <x:v>Order:3:1</x:v>
      </x:c>
      <x:c r="F9" t="str">
        <x:v>Дубль</x:v>
      </x:c>
      <x:c r="G9" t="str">
        <x:v>High</x:v>
      </x:c>
      <x:c r="H9" t="str">
        <x:v>order_id</x:v>
      </x:c>
      <x:c r="I9" t="str">
        <x:v>Проверить уникальность ID в источнике; не удалять записи автоматически</x:v>
      </x:c>
      <x:c r="J9" t="n">
        <x:f>IF(D9=1,K9,0)</x:f>
        <x:v>0</x:v>
      </x:c>
      <x:c r="K9" t="n">
        <x:f>D9+K8</x:f>
        <x:v>0</x:v>
      </x:c>
    </x:row>
    <x:row r="10">
      <x:c r="A10" t="str">
        <x:v>Order</x:v>
      </x:c>
      <x:c r="B10" t="n">
        <x:f>'04_checks'!B3</x:f>
        <x:v>1002</x:v>
      </x:c>
      <x:c r="C10" t="n">
        <x:v>3</x:v>
      </x:c>
      <x:c r="D10" t="n">
        <x:f>IF('04_checks'!D3="ERROR",1,0)</x:f>
        <x:v>0</x:v>
      </x:c>
      <x:c r="E10" t="str">
        <x:v>Order:3:2</x:v>
      </x:c>
      <x:c r="F10" t="str">
        <x:v>Пустое поле</x:v>
      </x:c>
      <x:c r="G10" t="str">
        <x:v>High</x:v>
      </x:c>
      <x:c r="H10" t="str">
        <x:v>required_fields</x:v>
      </x:c>
      <x:c r="I10" t="str">
        <x:v>Дополнить обязательные поля в источнике</x:v>
      </x:c>
      <x:c r="J10" t="n">
        <x:f>IF(D10=1,K10,0)</x:f>
        <x:v>0</x:v>
      </x:c>
      <x:c r="K10" t="n">
        <x:f>D10+K9</x:f>
        <x:v>0</x:v>
      </x:c>
    </x:row>
    <x:row r="11">
      <x:c r="A11" t="str">
        <x:v>Order</x:v>
      </x:c>
      <x:c r="B11" t="n">
        <x:f>'04_checks'!B3</x:f>
        <x:v>1002</x:v>
      </x:c>
      <x:c r="C11" t="n">
        <x:v>3</x:v>
      </x:c>
      <x:c r="D11" t="n">
        <x:f>IF('04_checks'!E3="ERROR",1,0)</x:f>
        <x:v>0</x:v>
      </x:c>
      <x:c r="E11" t="str">
        <x:v>Order:3:3</x:v>
      </x:c>
      <x:c r="F11" t="str">
        <x:f>IF(COUNTIF('02_clients_raw'!$A$2:$A$67,'01_orders_raw'!C3)&gt;1,"Неоднозначная связь","Нет связи")</x:f>
        <x:v>Нет связи</x:v>
      </x:c>
      <x:c r="G11" t="str">
        <x:v>High</x:v>
      </x:c>
      <x:c r="H11" t="str">
        <x:v>client_id</x:v>
      </x:c>
      <x:c r="I11" t="str">
        <x:v>Исправить ссылку или разрешить дубли связанного ID</x:v>
      </x:c>
      <x:c r="J11" t="n">
        <x:f>IF(D11=1,K11,0)</x:f>
        <x:v>0</x:v>
      </x:c>
      <x:c r="K11" t="n">
        <x:f>D11+K10</x:f>
        <x:v>0</x:v>
      </x:c>
    </x:row>
    <x:row r="12">
      <x:c r="A12" t="str">
        <x:v>Order</x:v>
      </x:c>
      <x:c r="B12" t="n">
        <x:f>'04_checks'!B3</x:f>
        <x:v>1002</x:v>
      </x:c>
      <x:c r="C12" t="n">
        <x:v>3</x:v>
      </x:c>
      <x:c r="D12" t="n">
        <x:f>IF('04_checks'!F3="ERROR",1,0)</x:f>
        <x:v>0</x:v>
      </x:c>
      <x:c r="E12" t="str">
        <x:v>Order:3:4</x:v>
      </x:c>
      <x:c r="F12" t="str">
        <x:v>Ошибка расчета</x:v>
      </x:c>
      <x:c r="G12" t="str">
        <x:v>High</x:v>
      </x:c>
      <x:c r="H12" t="str">
        <x:v>quantity/price/order_sum</x:v>
      </x:c>
      <x:c r="I12" t="str">
        <x:v>Сверить исходные значения и правило расчёта</x:v>
      </x:c>
      <x:c r="J12" t="n">
        <x:f>IF(D12=1,K12,0)</x:f>
        <x:v>0</x:v>
      </x:c>
      <x:c r="K12" t="n">
        <x:f>D12+K11</x:f>
        <x:v>0</x:v>
      </x:c>
    </x:row>
    <x:row r="13">
      <x:c r="A13" t="str">
        <x:v>Order</x:v>
      </x:c>
      <x:c r="B13" t="n">
        <x:f>'04_checks'!B3</x:f>
        <x:v>1002</x:v>
      </x:c>
      <x:c r="C13" t="n">
        <x:v>3</x:v>
      </x:c>
      <x:c r="D13" t="n">
        <x:f>IF('04_checks'!G3="ERROR",1,0)</x:f>
        <x:v>0</x:v>
      </x:c>
      <x:c r="E13" t="str">
        <x:v>Order:3:5</x:v>
      </x:c>
      <x:c r="F13" t="str">
        <x:v>Отрицательная цена</x:v>
      </x:c>
      <x:c r="G13" t="str">
        <x:v>High</x:v>
      </x:c>
      <x:c r="H13" t="str">
        <x:v>price</x:v>
      </x:c>
      <x:c r="I13" t="str">
        <x:v>Проверить цену в источнике</x:v>
      </x:c>
      <x:c r="J13" t="n">
        <x:f>IF(D13=1,K13,0)</x:f>
        <x:v>0</x:v>
      </x:c>
      <x:c r="K13" t="n">
        <x:f>D13+K12</x:f>
        <x:v>0</x:v>
      </x:c>
    </x:row>
    <x:row r="14">
      <x:c r="A14" t="str">
        <x:v>Order</x:v>
      </x:c>
      <x:c r="B14" t="n">
        <x:f>'04_checks'!B3</x:f>
        <x:v>1002</x:v>
      </x:c>
      <x:c r="C14" t="n">
        <x:v>3</x:v>
      </x:c>
      <x:c r="D14" t="n">
        <x:f>IF('04_checks'!H3="ERROR",1,0)</x:f>
        <x:v>0</x:v>
      </x:c>
      <x:c r="E14" t="str">
        <x:v>Order:3:6</x:v>
      </x:c>
      <x:c r="F14" t="str">
        <x:v>Дата</x:v>
      </x:c>
      <x:c r="G14" t="str">
        <x:v>Medium</x:v>
      </x:c>
      <x:c r="H14" t="str">
        <x:v>order_date</x:v>
      </x:c>
      <x:c r="I14" t="str">
        <x:v>Сверить дату со срезом и исходной записью</x:v>
      </x:c>
      <x:c r="J14" t="n">
        <x:f>IF(D14=1,K14,0)</x:f>
        <x:v>0</x:v>
      </x:c>
      <x:c r="K14" t="n">
        <x:f>D14+K13</x:f>
        <x:v>0</x:v>
      </x:c>
    </x:row>
    <x:row r="15">
      <x:c r="A15" t="str">
        <x:v>Order</x:v>
      </x:c>
      <x:c r="B15" t="n">
        <x:f>'04_checks'!B3</x:f>
        <x:v>1002</x:v>
      </x:c>
      <x:c r="C15" t="n">
        <x:v>3</x:v>
      </x:c>
      <x:c r="D15" t="n">
        <x:f>IF('04_checks'!I3="ERROR",1,0)</x:f>
        <x:v>0</x:v>
      </x:c>
      <x:c r="E15" t="str">
        <x:v>Order:3:7</x:v>
      </x:c>
      <x:c r="F15" t="str">
        <x:v>Статус</x:v>
      </x:c>
      <x:c r="G15" t="str">
        <x:v>Medium</x:v>
      </x:c>
      <x:c r="H15" t="str">
        <x:v>status</x:v>
      </x:c>
      <x:c r="I15" t="str">
        <x:v>Выбрать допустимый статус</x:v>
      </x:c>
      <x:c r="J15" t="n">
        <x:f>IF(D15=1,K15,0)</x:f>
        <x:v>0</x:v>
      </x:c>
      <x:c r="K15" t="n">
        <x:f>D15+K14</x:f>
        <x:v>0</x:v>
      </x:c>
    </x:row>
    <x:row r="16">
      <x:c r="A16" t="str">
        <x:v>Order</x:v>
      </x:c>
      <x:c r="B16" t="n">
        <x:f>'04_checks'!B4</x:f>
        <x:v>1003</x:v>
      </x:c>
      <x:c r="C16" t="n">
        <x:v>4</x:v>
      </x:c>
      <x:c r="D16" t="n">
        <x:f>IF('04_checks'!C4="ERROR",1,0)</x:f>
        <x:v>0</x:v>
      </x:c>
      <x:c r="E16" t="str">
        <x:v>Order:4:1</x:v>
      </x:c>
      <x:c r="F16" t="str">
        <x:v>Дубль</x:v>
      </x:c>
      <x:c r="G16" t="str">
        <x:v>High</x:v>
      </x:c>
      <x:c r="H16" t="str">
        <x:v>order_id</x:v>
      </x:c>
      <x:c r="I16" t="str">
        <x:v>Проверить уникальность ID в источнике; не удалять записи автоматически</x:v>
      </x:c>
      <x:c r="J16" t="n">
        <x:f>IF(D16=1,K16,0)</x:f>
        <x:v>0</x:v>
      </x:c>
      <x:c r="K16" t="n">
        <x:f>D16+K15</x:f>
        <x:v>0</x:v>
      </x:c>
    </x:row>
    <x:row r="17">
      <x:c r="A17" t="str">
        <x:v>Order</x:v>
      </x:c>
      <x:c r="B17" t="n">
        <x:f>'04_checks'!B4</x:f>
        <x:v>1003</x:v>
      </x:c>
      <x:c r="C17" t="n">
        <x:v>4</x:v>
      </x:c>
      <x:c r="D17" t="n">
        <x:f>IF('04_checks'!D4="ERROR",1,0)</x:f>
        <x:v>0</x:v>
      </x:c>
      <x:c r="E17" t="str">
        <x:v>Order:4:2</x:v>
      </x:c>
      <x:c r="F17" t="str">
        <x:v>Пустое поле</x:v>
      </x:c>
      <x:c r="G17" t="str">
        <x:v>High</x:v>
      </x:c>
      <x:c r="H17" t="str">
        <x:v>required_fields</x:v>
      </x:c>
      <x:c r="I17" t="str">
        <x:v>Дополнить обязательные поля в источнике</x:v>
      </x:c>
      <x:c r="J17" t="n">
        <x:f>IF(D17=1,K17,0)</x:f>
        <x:v>0</x:v>
      </x:c>
      <x:c r="K17" t="n">
        <x:f>D17+K16</x:f>
        <x:v>0</x:v>
      </x:c>
    </x:row>
    <x:row r="18">
      <x:c r="A18" t="str">
        <x:v>Order</x:v>
      </x:c>
      <x:c r="B18" t="n">
        <x:f>'04_checks'!B4</x:f>
        <x:v>1003</x:v>
      </x:c>
      <x:c r="C18" t="n">
        <x:v>4</x:v>
      </x:c>
      <x:c r="D18" t="n">
        <x:f>IF('04_checks'!E4="ERROR",1,0)</x:f>
        <x:v>0</x:v>
      </x:c>
      <x:c r="E18" t="str">
        <x:v>Order:4:3</x:v>
      </x:c>
      <x:c r="F18" t="str">
        <x:f>IF(COUNTIF('02_clients_raw'!$A$2:$A$67,'01_orders_raw'!C4)&gt;1,"Неоднозначная связь","Нет связи")</x:f>
        <x:v>Нет связи</x:v>
      </x:c>
      <x:c r="G18" t="str">
        <x:v>High</x:v>
      </x:c>
      <x:c r="H18" t="str">
        <x:v>client_id</x:v>
      </x:c>
      <x:c r="I18" t="str">
        <x:v>Исправить ссылку или разрешить дубли связанного ID</x:v>
      </x:c>
      <x:c r="J18" t="n">
        <x:f>IF(D18=1,K18,0)</x:f>
        <x:v>0</x:v>
      </x:c>
      <x:c r="K18" t="n">
        <x:f>D18+K17</x:f>
        <x:v>0</x:v>
      </x:c>
    </x:row>
    <x:row r="19">
      <x:c r="A19" t="str">
        <x:v>Order</x:v>
      </x:c>
      <x:c r="B19" t="n">
        <x:f>'04_checks'!B4</x:f>
        <x:v>1003</x:v>
      </x:c>
      <x:c r="C19" t="n">
        <x:v>4</x:v>
      </x:c>
      <x:c r="D19" t="n">
        <x:f>IF('04_checks'!F4="ERROR",1,0)</x:f>
        <x:v>0</x:v>
      </x:c>
      <x:c r="E19" t="str">
        <x:v>Order:4:4</x:v>
      </x:c>
      <x:c r="F19" t="str">
        <x:v>Ошибка расчета</x:v>
      </x:c>
      <x:c r="G19" t="str">
        <x:v>High</x:v>
      </x:c>
      <x:c r="H19" t="str">
        <x:v>quantity/price/order_sum</x:v>
      </x:c>
      <x:c r="I19" t="str">
        <x:v>Сверить исходные значения и правило расчёта</x:v>
      </x:c>
      <x:c r="J19" t="n">
        <x:f>IF(D19=1,K19,0)</x:f>
        <x:v>0</x:v>
      </x:c>
      <x:c r="K19" t="n">
        <x:f>D19+K18</x:f>
        <x:v>0</x:v>
      </x:c>
    </x:row>
    <x:row r="20">
      <x:c r="A20" t="str">
        <x:v>Order</x:v>
      </x:c>
      <x:c r="B20" t="n">
        <x:f>'04_checks'!B4</x:f>
        <x:v>1003</x:v>
      </x:c>
      <x:c r="C20" t="n">
        <x:v>4</x:v>
      </x:c>
      <x:c r="D20" t="n">
        <x:f>IF('04_checks'!G4="ERROR",1,0)</x:f>
        <x:v>0</x:v>
      </x:c>
      <x:c r="E20" t="str">
        <x:v>Order:4:5</x:v>
      </x:c>
      <x:c r="F20" t="str">
        <x:v>Отрицательная цена</x:v>
      </x:c>
      <x:c r="G20" t="str">
        <x:v>High</x:v>
      </x:c>
      <x:c r="H20" t="str">
        <x:v>price</x:v>
      </x:c>
      <x:c r="I20" t="str">
        <x:v>Проверить цену в источнике</x:v>
      </x:c>
      <x:c r="J20" t="n">
        <x:f>IF(D20=1,K20,0)</x:f>
        <x:v>0</x:v>
      </x:c>
      <x:c r="K20" t="n">
        <x:f>D20+K19</x:f>
        <x:v>0</x:v>
      </x:c>
    </x:row>
    <x:row r="21">
      <x:c r="A21" t="str">
        <x:v>Order</x:v>
      </x:c>
      <x:c r="B21" t="n">
        <x:f>'04_checks'!B4</x:f>
        <x:v>1003</x:v>
      </x:c>
      <x:c r="C21" t="n">
        <x:v>4</x:v>
      </x:c>
      <x:c r="D21" t="n">
        <x:f>IF('04_checks'!H4="ERROR",1,0)</x:f>
        <x:v>0</x:v>
      </x:c>
      <x:c r="E21" t="str">
        <x:v>Order:4:6</x:v>
      </x:c>
      <x:c r="F21" t="str">
        <x:v>Дата</x:v>
      </x:c>
      <x:c r="G21" t="str">
        <x:v>Medium</x:v>
      </x:c>
      <x:c r="H21" t="str">
        <x:v>order_date</x:v>
      </x:c>
      <x:c r="I21" t="str">
        <x:v>Сверить дату со срезом и исходной записью</x:v>
      </x:c>
      <x:c r="J21" t="n">
        <x:f>IF(D21=1,K21,0)</x:f>
        <x:v>0</x:v>
      </x:c>
      <x:c r="K21" t="n">
        <x:f>D21+K20</x:f>
        <x:v>0</x:v>
      </x:c>
    </x:row>
    <x:row r="22">
      <x:c r="A22" t="str">
        <x:v>Order</x:v>
      </x:c>
      <x:c r="B22" t="n">
        <x:f>'04_checks'!B4</x:f>
        <x:v>1003</x:v>
      </x:c>
      <x:c r="C22" t="n">
        <x:v>4</x:v>
      </x:c>
      <x:c r="D22" t="n">
        <x:f>IF('04_checks'!I4="ERROR",1,0)</x:f>
        <x:v>0</x:v>
      </x:c>
      <x:c r="E22" t="str">
        <x:v>Order:4:7</x:v>
      </x:c>
      <x:c r="F22" t="str">
        <x:v>Статус</x:v>
      </x:c>
      <x:c r="G22" t="str">
        <x:v>Medium</x:v>
      </x:c>
      <x:c r="H22" t="str">
        <x:v>status</x:v>
      </x:c>
      <x:c r="I22" t="str">
        <x:v>Выбрать допустимый статус</x:v>
      </x:c>
      <x:c r="J22" t="n">
        <x:f>IF(D22=1,K22,0)</x:f>
        <x:v>0</x:v>
      </x:c>
      <x:c r="K22" t="n">
        <x:f>D22+K21</x:f>
        <x:v>0</x:v>
      </x:c>
    </x:row>
    <x:row r="23">
      <x:c r="A23" t="str">
        <x:v>Order</x:v>
      </x:c>
      <x:c r="B23" t="n">
        <x:f>'04_checks'!B5</x:f>
        <x:v>1004</x:v>
      </x:c>
      <x:c r="C23" t="n">
        <x:v>5</x:v>
      </x:c>
      <x:c r="D23" t="n">
        <x:f>IF('04_checks'!C5="ERROR",1,0)</x:f>
        <x:v>0</x:v>
      </x:c>
      <x:c r="E23" t="str">
        <x:v>Order:5:1</x:v>
      </x:c>
      <x:c r="F23" t="str">
        <x:v>Дубль</x:v>
      </x:c>
      <x:c r="G23" t="str">
        <x:v>High</x:v>
      </x:c>
      <x:c r="H23" t="str">
        <x:v>order_id</x:v>
      </x:c>
      <x:c r="I23" t="str">
        <x:v>Проверить уникальность ID в источнике; не удалять записи автоматически</x:v>
      </x:c>
      <x:c r="J23" t="n">
        <x:f>IF(D23=1,K23,0)</x:f>
        <x:v>0</x:v>
      </x:c>
      <x:c r="K23" t="n">
        <x:f>D23+K22</x:f>
        <x:v>0</x:v>
      </x:c>
    </x:row>
    <x:row r="24">
      <x:c r="A24" t="str">
        <x:v>Order</x:v>
      </x:c>
      <x:c r="B24" t="n">
        <x:f>'04_checks'!B5</x:f>
        <x:v>1004</x:v>
      </x:c>
      <x:c r="C24" t="n">
        <x:v>5</x:v>
      </x:c>
      <x:c r="D24" t="n">
        <x:f>IF('04_checks'!D5="ERROR",1,0)</x:f>
        <x:v>0</x:v>
      </x:c>
      <x:c r="E24" t="str">
        <x:v>Order:5:2</x:v>
      </x:c>
      <x:c r="F24" t="str">
        <x:v>Пустое поле</x:v>
      </x:c>
      <x:c r="G24" t="str">
        <x:v>High</x:v>
      </x:c>
      <x:c r="H24" t="str">
        <x:v>required_fields</x:v>
      </x:c>
      <x:c r="I24" t="str">
        <x:v>Дополнить обязательные поля в источнике</x:v>
      </x:c>
      <x:c r="J24" t="n">
        <x:f>IF(D24=1,K24,0)</x:f>
        <x:v>0</x:v>
      </x:c>
      <x:c r="K24" t="n">
        <x:f>D24+K23</x:f>
        <x:v>0</x:v>
      </x:c>
    </x:row>
    <x:row r="25">
      <x:c r="A25" t="str">
        <x:v>Order</x:v>
      </x:c>
      <x:c r="B25" t="n">
        <x:f>'04_checks'!B5</x:f>
        <x:v>1004</x:v>
      </x:c>
      <x:c r="C25" t="n">
        <x:v>5</x:v>
      </x:c>
      <x:c r="D25" t="n">
        <x:f>IF('04_checks'!E5="ERROR",1,0)</x:f>
        <x:v>0</x:v>
      </x:c>
      <x:c r="E25" t="str">
        <x:v>Order:5:3</x:v>
      </x:c>
      <x:c r="F25" t="str">
        <x:f>IF(COUNTIF('02_clients_raw'!$A$2:$A$67,'01_orders_raw'!C5)&gt;1,"Неоднозначная связь","Нет связи")</x:f>
        <x:v>Нет связи</x:v>
      </x:c>
      <x:c r="G25" t="str">
        <x:v>High</x:v>
      </x:c>
      <x:c r="H25" t="str">
        <x:v>client_id</x:v>
      </x:c>
      <x:c r="I25" t="str">
        <x:v>Исправить ссылку или разрешить дубли связанного ID</x:v>
      </x:c>
      <x:c r="J25" t="n">
        <x:f>IF(D25=1,K25,0)</x:f>
        <x:v>0</x:v>
      </x:c>
      <x:c r="K25" t="n">
        <x:f>D25+K24</x:f>
        <x:v>0</x:v>
      </x:c>
    </x:row>
    <x:row r="26">
      <x:c r="A26" t="str">
        <x:v>Order</x:v>
      </x:c>
      <x:c r="B26" t="n">
        <x:f>'04_checks'!B5</x:f>
        <x:v>1004</x:v>
      </x:c>
      <x:c r="C26" t="n">
        <x:v>5</x:v>
      </x:c>
      <x:c r="D26" t="n">
        <x:f>IF('04_checks'!F5="ERROR",1,0)</x:f>
        <x:v>0</x:v>
      </x:c>
      <x:c r="E26" t="str">
        <x:v>Order:5:4</x:v>
      </x:c>
      <x:c r="F26" t="str">
        <x:v>Ошибка расчета</x:v>
      </x:c>
      <x:c r="G26" t="str">
        <x:v>High</x:v>
      </x:c>
      <x:c r="H26" t="str">
        <x:v>quantity/price/order_sum</x:v>
      </x:c>
      <x:c r="I26" t="str">
        <x:v>Сверить исходные значения и правило расчёта</x:v>
      </x:c>
      <x:c r="J26" t="n">
        <x:f>IF(D26=1,K26,0)</x:f>
        <x:v>0</x:v>
      </x:c>
      <x:c r="K26" t="n">
        <x:f>D26+K25</x:f>
        <x:v>0</x:v>
      </x:c>
    </x:row>
    <x:row r="27">
      <x:c r="A27" t="str">
        <x:v>Order</x:v>
      </x:c>
      <x:c r="B27" t="n">
        <x:f>'04_checks'!B5</x:f>
        <x:v>1004</x:v>
      </x:c>
      <x:c r="C27" t="n">
        <x:v>5</x:v>
      </x:c>
      <x:c r="D27" t="n">
        <x:f>IF('04_checks'!G5="ERROR",1,0)</x:f>
        <x:v>0</x:v>
      </x:c>
      <x:c r="E27" t="str">
        <x:v>Order:5:5</x:v>
      </x:c>
      <x:c r="F27" t="str">
        <x:v>Отрицательная цена</x:v>
      </x:c>
      <x:c r="G27" t="str">
        <x:v>High</x:v>
      </x:c>
      <x:c r="H27" t="str">
        <x:v>price</x:v>
      </x:c>
      <x:c r="I27" t="str">
        <x:v>Проверить цену в источнике</x:v>
      </x:c>
      <x:c r="J27" t="n">
        <x:f>IF(D27=1,K27,0)</x:f>
        <x:v>0</x:v>
      </x:c>
      <x:c r="K27" t="n">
        <x:f>D27+K26</x:f>
        <x:v>0</x:v>
      </x:c>
    </x:row>
    <x:row r="28">
      <x:c r="A28" t="str">
        <x:v>Order</x:v>
      </x:c>
      <x:c r="B28" t="n">
        <x:f>'04_checks'!B5</x:f>
        <x:v>1004</x:v>
      </x:c>
      <x:c r="C28" t="n">
        <x:v>5</x:v>
      </x:c>
      <x:c r="D28" t="n">
        <x:f>IF('04_checks'!H5="ERROR",1,0)</x:f>
        <x:v>0</x:v>
      </x:c>
      <x:c r="E28" t="str">
        <x:v>Order:5:6</x:v>
      </x:c>
      <x:c r="F28" t="str">
        <x:v>Дата</x:v>
      </x:c>
      <x:c r="G28" t="str">
        <x:v>Medium</x:v>
      </x:c>
      <x:c r="H28" t="str">
        <x:v>order_date</x:v>
      </x:c>
      <x:c r="I28" t="str">
        <x:v>Сверить дату со срезом и исходной записью</x:v>
      </x:c>
      <x:c r="J28" t="n">
        <x:f>IF(D28=1,K28,0)</x:f>
        <x:v>0</x:v>
      </x:c>
      <x:c r="K28" t="n">
        <x:f>D28+K27</x:f>
        <x:v>0</x:v>
      </x:c>
    </x:row>
    <x:row r="29">
      <x:c r="A29" t="str">
        <x:v>Order</x:v>
      </x:c>
      <x:c r="B29" t="n">
        <x:f>'04_checks'!B5</x:f>
        <x:v>1004</x:v>
      </x:c>
      <x:c r="C29" t="n">
        <x:v>5</x:v>
      </x:c>
      <x:c r="D29" t="n">
        <x:f>IF('04_checks'!I5="ERROR",1,0)</x:f>
        <x:v>0</x:v>
      </x:c>
      <x:c r="E29" t="str">
        <x:v>Order:5:7</x:v>
      </x:c>
      <x:c r="F29" t="str">
        <x:v>Статус</x:v>
      </x:c>
      <x:c r="G29" t="str">
        <x:v>Medium</x:v>
      </x:c>
      <x:c r="H29" t="str">
        <x:v>status</x:v>
      </x:c>
      <x:c r="I29" t="str">
        <x:v>Выбрать допустимый статус</x:v>
      </x:c>
      <x:c r="J29" t="n">
        <x:f>IF(D29=1,K29,0)</x:f>
        <x:v>0</x:v>
      </x:c>
      <x:c r="K29" t="n">
        <x:f>D29+K28</x:f>
        <x:v>0</x:v>
      </x:c>
    </x:row>
    <x:row r="30">
      <x:c r="A30" t="str">
        <x:v>Order</x:v>
      </x:c>
      <x:c r="B30" t="n">
        <x:f>'04_checks'!B6</x:f>
        <x:v>1005</x:v>
      </x:c>
      <x:c r="C30" t="n">
        <x:v>6</x:v>
      </x:c>
      <x:c r="D30" t="n">
        <x:f>IF('04_checks'!C6="ERROR",1,0)</x:f>
        <x:v>0</x:v>
      </x:c>
      <x:c r="E30" t="str">
        <x:v>Order:6:1</x:v>
      </x:c>
      <x:c r="F30" t="str">
        <x:v>Дубль</x:v>
      </x:c>
      <x:c r="G30" t="str">
        <x:v>High</x:v>
      </x:c>
      <x:c r="H30" t="str">
        <x:v>order_id</x:v>
      </x:c>
      <x:c r="I30" t="str">
        <x:v>Проверить уникальность ID в источнике; не удалять записи автоматически</x:v>
      </x:c>
      <x:c r="J30" t="n">
        <x:f>IF(D30=1,K30,0)</x:f>
        <x:v>0</x:v>
      </x:c>
      <x:c r="K30" t="n">
        <x:f>D30+K29</x:f>
        <x:v>0</x:v>
      </x:c>
    </x:row>
    <x:row r="31">
      <x:c r="A31" t="str">
        <x:v>Order</x:v>
      </x:c>
      <x:c r="B31" t="n">
        <x:f>'04_checks'!B6</x:f>
        <x:v>1005</x:v>
      </x:c>
      <x:c r="C31" t="n">
        <x:v>6</x:v>
      </x:c>
      <x:c r="D31" t="n">
        <x:f>IF('04_checks'!D6="ERROR",1,0)</x:f>
        <x:v>0</x:v>
      </x:c>
      <x:c r="E31" t="str">
        <x:v>Order:6:2</x:v>
      </x:c>
      <x:c r="F31" t="str">
        <x:v>Пустое поле</x:v>
      </x:c>
      <x:c r="G31" t="str">
        <x:v>High</x:v>
      </x:c>
      <x:c r="H31" t="str">
        <x:v>required_fields</x:v>
      </x:c>
      <x:c r="I31" t="str">
        <x:v>Дополнить обязательные поля в источнике</x:v>
      </x:c>
      <x:c r="J31" t="n">
        <x:f>IF(D31=1,K31,0)</x:f>
        <x:v>0</x:v>
      </x:c>
      <x:c r="K31" t="n">
        <x:f>D31+K30</x:f>
        <x:v>0</x:v>
      </x:c>
    </x:row>
    <x:row r="32">
      <x:c r="A32" t="str">
        <x:v>Order</x:v>
      </x:c>
      <x:c r="B32" t="n">
        <x:f>'04_checks'!B6</x:f>
        <x:v>1005</x:v>
      </x:c>
      <x:c r="C32" t="n">
        <x:v>6</x:v>
      </x:c>
      <x:c r="D32" t="n">
        <x:f>IF('04_checks'!E6="ERROR",1,0)</x:f>
        <x:v>0</x:v>
      </x:c>
      <x:c r="E32" t="str">
        <x:v>Order:6:3</x:v>
      </x:c>
      <x:c r="F32" t="str">
        <x:f>IF(COUNTIF('02_clients_raw'!$A$2:$A$67,'01_orders_raw'!C6)&gt;1,"Неоднозначная связь","Нет связи")</x:f>
        <x:v>Нет связи</x:v>
      </x:c>
      <x:c r="G32" t="str">
        <x:v>High</x:v>
      </x:c>
      <x:c r="H32" t="str">
        <x:v>client_id</x:v>
      </x:c>
      <x:c r="I32" t="str">
        <x:v>Исправить ссылку или разрешить дубли связанного ID</x:v>
      </x:c>
      <x:c r="J32" t="n">
        <x:f>IF(D32=1,K32,0)</x:f>
        <x:v>0</x:v>
      </x:c>
      <x:c r="K32" t="n">
        <x:f>D32+K31</x:f>
        <x:v>0</x:v>
      </x:c>
    </x:row>
    <x:row r="33">
      <x:c r="A33" t="str">
        <x:v>Order</x:v>
      </x:c>
      <x:c r="B33" t="n">
        <x:f>'04_checks'!B6</x:f>
        <x:v>1005</x:v>
      </x:c>
      <x:c r="C33" t="n">
        <x:v>6</x:v>
      </x:c>
      <x:c r="D33" t="n">
        <x:f>IF('04_checks'!F6="ERROR",1,0)</x:f>
        <x:v>0</x:v>
      </x:c>
      <x:c r="E33" t="str">
        <x:v>Order:6:4</x:v>
      </x:c>
      <x:c r="F33" t="str">
        <x:v>Ошибка расчета</x:v>
      </x:c>
      <x:c r="G33" t="str">
        <x:v>High</x:v>
      </x:c>
      <x:c r="H33" t="str">
        <x:v>quantity/price/order_sum</x:v>
      </x:c>
      <x:c r="I33" t="str">
        <x:v>Сверить исходные значения и правило расчёта</x:v>
      </x:c>
      <x:c r="J33" t="n">
        <x:f>IF(D33=1,K33,0)</x:f>
        <x:v>0</x:v>
      </x:c>
      <x:c r="K33" t="n">
        <x:f>D33+K32</x:f>
        <x:v>0</x:v>
      </x:c>
    </x:row>
    <x:row r="34">
      <x:c r="A34" t="str">
        <x:v>Order</x:v>
      </x:c>
      <x:c r="B34" t="n">
        <x:f>'04_checks'!B6</x:f>
        <x:v>1005</x:v>
      </x:c>
      <x:c r="C34" t="n">
        <x:v>6</x:v>
      </x:c>
      <x:c r="D34" t="n">
        <x:f>IF('04_checks'!G6="ERROR",1,0)</x:f>
        <x:v>0</x:v>
      </x:c>
      <x:c r="E34" t="str">
        <x:v>Order:6:5</x:v>
      </x:c>
      <x:c r="F34" t="str">
        <x:v>Отрицательная цена</x:v>
      </x:c>
      <x:c r="G34" t="str">
        <x:v>High</x:v>
      </x:c>
      <x:c r="H34" t="str">
        <x:v>price</x:v>
      </x:c>
      <x:c r="I34" t="str">
        <x:v>Проверить цену в источнике</x:v>
      </x:c>
      <x:c r="J34" t="n">
        <x:f>IF(D34=1,K34,0)</x:f>
        <x:v>0</x:v>
      </x:c>
      <x:c r="K34" t="n">
        <x:f>D34+K33</x:f>
        <x:v>0</x:v>
      </x:c>
    </x:row>
    <x:row r="35">
      <x:c r="A35" t="str">
        <x:v>Order</x:v>
      </x:c>
      <x:c r="B35" t="n">
        <x:f>'04_checks'!B6</x:f>
        <x:v>1005</x:v>
      </x:c>
      <x:c r="C35" t="n">
        <x:v>6</x:v>
      </x:c>
      <x:c r="D35" t="n">
        <x:f>IF('04_checks'!H6="ERROR",1,0)</x:f>
        <x:v>0</x:v>
      </x:c>
      <x:c r="E35" t="str">
        <x:v>Order:6:6</x:v>
      </x:c>
      <x:c r="F35" t="str">
        <x:v>Дата</x:v>
      </x:c>
      <x:c r="G35" t="str">
        <x:v>Medium</x:v>
      </x:c>
      <x:c r="H35" t="str">
        <x:v>order_date</x:v>
      </x:c>
      <x:c r="I35" t="str">
        <x:v>Сверить дату со срезом и исходной записью</x:v>
      </x:c>
      <x:c r="J35" t="n">
        <x:f>IF(D35=1,K35,0)</x:f>
        <x:v>0</x:v>
      </x:c>
      <x:c r="K35" t="n">
        <x:f>D35+K34</x:f>
        <x:v>0</x:v>
      </x:c>
    </x:row>
    <x:row r="36">
      <x:c r="A36" t="str">
        <x:v>Order</x:v>
      </x:c>
      <x:c r="B36" t="n">
        <x:f>'04_checks'!B6</x:f>
        <x:v>1005</x:v>
      </x:c>
      <x:c r="C36" t="n">
        <x:v>6</x:v>
      </x:c>
      <x:c r="D36" t="n">
        <x:f>IF('04_checks'!I6="ERROR",1,0)</x:f>
        <x:v>0</x:v>
      </x:c>
      <x:c r="E36" t="str">
        <x:v>Order:6:7</x:v>
      </x:c>
      <x:c r="F36" t="str">
        <x:v>Статус</x:v>
      </x:c>
      <x:c r="G36" t="str">
        <x:v>Medium</x:v>
      </x:c>
      <x:c r="H36" t="str">
        <x:v>status</x:v>
      </x:c>
      <x:c r="I36" t="str">
        <x:v>Выбрать допустимый статус</x:v>
      </x:c>
      <x:c r="J36" t="n">
        <x:f>IF(D36=1,K36,0)</x:f>
        <x:v>0</x:v>
      </x:c>
      <x:c r="K36" t="n">
        <x:f>D36+K35</x:f>
        <x:v>0</x:v>
      </x:c>
    </x:row>
    <x:row r="37">
      <x:c r="A37" t="str">
        <x:v>Order</x:v>
      </x:c>
      <x:c r="B37" t="n">
        <x:f>'04_checks'!B7</x:f>
        <x:v>1006</x:v>
      </x:c>
      <x:c r="C37" t="n">
        <x:v>7</x:v>
      </x:c>
      <x:c r="D37" t="n">
        <x:f>IF('04_checks'!C7="ERROR",1,0)</x:f>
        <x:v>0</x:v>
      </x:c>
      <x:c r="E37" t="str">
        <x:v>Order:7:1</x:v>
      </x:c>
      <x:c r="F37" t="str">
        <x:v>Дубль</x:v>
      </x:c>
      <x:c r="G37" t="str">
        <x:v>High</x:v>
      </x:c>
      <x:c r="H37" t="str">
        <x:v>order_id</x:v>
      </x:c>
      <x:c r="I37" t="str">
        <x:v>Проверить уникальность ID в источнике; не удалять записи автоматически</x:v>
      </x:c>
      <x:c r="J37" t="n">
        <x:f>IF(D37=1,K37,0)</x:f>
        <x:v>0</x:v>
      </x:c>
      <x:c r="K37" t="n">
        <x:f>D37+K36</x:f>
        <x:v>0</x:v>
      </x:c>
    </x:row>
    <x:row r="38">
      <x:c r="A38" t="str">
        <x:v>Order</x:v>
      </x:c>
      <x:c r="B38" t="n">
        <x:f>'04_checks'!B7</x:f>
        <x:v>1006</x:v>
      </x:c>
      <x:c r="C38" t="n">
        <x:v>7</x:v>
      </x:c>
      <x:c r="D38" t="n">
        <x:f>IF('04_checks'!D7="ERROR",1,0)</x:f>
        <x:v>0</x:v>
      </x:c>
      <x:c r="E38" t="str">
        <x:v>Order:7:2</x:v>
      </x:c>
      <x:c r="F38" t="str">
        <x:v>Пустое поле</x:v>
      </x:c>
      <x:c r="G38" t="str">
        <x:v>High</x:v>
      </x:c>
      <x:c r="H38" t="str">
        <x:v>required_fields</x:v>
      </x:c>
      <x:c r="I38" t="str">
        <x:v>Дополнить обязательные поля в источнике</x:v>
      </x:c>
      <x:c r="J38" t="n">
        <x:f>IF(D38=1,K38,0)</x:f>
        <x:v>0</x:v>
      </x:c>
      <x:c r="K38" t="n">
        <x:f>D38+K37</x:f>
        <x:v>0</x:v>
      </x:c>
    </x:row>
    <x:row r="39">
      <x:c r="A39" t="str">
        <x:v>Order</x:v>
      </x:c>
      <x:c r="B39" t="n">
        <x:f>'04_checks'!B7</x:f>
        <x:v>1006</x:v>
      </x:c>
      <x:c r="C39" t="n">
        <x:v>7</x:v>
      </x:c>
      <x:c r="D39" t="n">
        <x:f>IF('04_checks'!E7="ERROR",1,0)</x:f>
        <x:v>0</x:v>
      </x:c>
      <x:c r="E39" t="str">
        <x:v>Order:7:3</x:v>
      </x:c>
      <x:c r="F39" t="str">
        <x:f>IF(COUNTIF('02_clients_raw'!$A$2:$A$67,'01_orders_raw'!C7)&gt;1,"Неоднозначная связь","Нет связи")</x:f>
        <x:v>Нет связи</x:v>
      </x:c>
      <x:c r="G39" t="str">
        <x:v>High</x:v>
      </x:c>
      <x:c r="H39" t="str">
        <x:v>client_id</x:v>
      </x:c>
      <x:c r="I39" t="str">
        <x:v>Исправить ссылку или разрешить дубли связанного ID</x:v>
      </x:c>
      <x:c r="J39" t="n">
        <x:f>IF(D39=1,K39,0)</x:f>
        <x:v>0</x:v>
      </x:c>
      <x:c r="K39" t="n">
        <x:f>D39+K38</x:f>
        <x:v>0</x:v>
      </x:c>
    </x:row>
    <x:row r="40">
      <x:c r="A40" t="str">
        <x:v>Order</x:v>
      </x:c>
      <x:c r="B40" t="n">
        <x:f>'04_checks'!B7</x:f>
        <x:v>1006</x:v>
      </x:c>
      <x:c r="C40" t="n">
        <x:v>7</x:v>
      </x:c>
      <x:c r="D40" t="n">
        <x:f>IF('04_checks'!F7="ERROR",1,0)</x:f>
        <x:v>0</x:v>
      </x:c>
      <x:c r="E40" t="str">
        <x:v>Order:7:4</x:v>
      </x:c>
      <x:c r="F40" t="str">
        <x:v>Ошибка расчета</x:v>
      </x:c>
      <x:c r="G40" t="str">
        <x:v>High</x:v>
      </x:c>
      <x:c r="H40" t="str">
        <x:v>quantity/price/order_sum</x:v>
      </x:c>
      <x:c r="I40" t="str">
        <x:v>Сверить исходные значения и правило расчёта</x:v>
      </x:c>
      <x:c r="J40" t="n">
        <x:f>IF(D40=1,K40,0)</x:f>
        <x:v>0</x:v>
      </x:c>
      <x:c r="K40" t="n">
        <x:f>D40+K39</x:f>
        <x:v>0</x:v>
      </x:c>
    </x:row>
    <x:row r="41">
      <x:c r="A41" t="str">
        <x:v>Order</x:v>
      </x:c>
      <x:c r="B41" t="n">
        <x:f>'04_checks'!B7</x:f>
        <x:v>1006</x:v>
      </x:c>
      <x:c r="C41" t="n">
        <x:v>7</x:v>
      </x:c>
      <x:c r="D41" t="n">
        <x:f>IF('04_checks'!G7="ERROR",1,0)</x:f>
        <x:v>0</x:v>
      </x:c>
      <x:c r="E41" t="str">
        <x:v>Order:7:5</x:v>
      </x:c>
      <x:c r="F41" t="str">
        <x:v>Отрицательная цена</x:v>
      </x:c>
      <x:c r="G41" t="str">
        <x:v>High</x:v>
      </x:c>
      <x:c r="H41" t="str">
        <x:v>price</x:v>
      </x:c>
      <x:c r="I41" t="str">
        <x:v>Проверить цену в источнике</x:v>
      </x:c>
      <x:c r="J41" t="n">
        <x:f>IF(D41=1,K41,0)</x:f>
        <x:v>0</x:v>
      </x:c>
      <x:c r="K41" t="n">
        <x:f>D41+K40</x:f>
        <x:v>0</x:v>
      </x:c>
    </x:row>
    <x:row r="42">
      <x:c r="A42" t="str">
        <x:v>Order</x:v>
      </x:c>
      <x:c r="B42" t="n">
        <x:f>'04_checks'!B7</x:f>
        <x:v>1006</x:v>
      </x:c>
      <x:c r="C42" t="n">
        <x:v>7</x:v>
      </x:c>
      <x:c r="D42" t="n">
        <x:f>IF('04_checks'!H7="ERROR",1,0)</x:f>
        <x:v>0</x:v>
      </x:c>
      <x:c r="E42" t="str">
        <x:v>Order:7:6</x:v>
      </x:c>
      <x:c r="F42" t="str">
        <x:v>Дата</x:v>
      </x:c>
      <x:c r="G42" t="str">
        <x:v>Medium</x:v>
      </x:c>
      <x:c r="H42" t="str">
        <x:v>order_date</x:v>
      </x:c>
      <x:c r="I42" t="str">
        <x:v>Сверить дату со срезом и исходной записью</x:v>
      </x:c>
      <x:c r="J42" t="n">
        <x:f>IF(D42=1,K42,0)</x:f>
        <x:v>0</x:v>
      </x:c>
      <x:c r="K42" t="n">
        <x:f>D42+K41</x:f>
        <x:v>0</x:v>
      </x:c>
    </x:row>
    <x:row r="43">
      <x:c r="A43" t="str">
        <x:v>Order</x:v>
      </x:c>
      <x:c r="B43" t="n">
        <x:f>'04_checks'!B7</x:f>
        <x:v>1006</x:v>
      </x:c>
      <x:c r="C43" t="n">
        <x:v>7</x:v>
      </x:c>
      <x:c r="D43" t="n">
        <x:f>IF('04_checks'!I7="ERROR",1,0)</x:f>
        <x:v>0</x:v>
      </x:c>
      <x:c r="E43" t="str">
        <x:v>Order:7:7</x:v>
      </x:c>
      <x:c r="F43" t="str">
        <x:v>Статус</x:v>
      </x:c>
      <x:c r="G43" t="str">
        <x:v>Medium</x:v>
      </x:c>
      <x:c r="H43" t="str">
        <x:v>status</x:v>
      </x:c>
      <x:c r="I43" t="str">
        <x:v>Выбрать допустимый статус</x:v>
      </x:c>
      <x:c r="J43" t="n">
        <x:f>IF(D43=1,K43,0)</x:f>
        <x:v>0</x:v>
      </x:c>
      <x:c r="K43" t="n">
        <x:f>D43+K42</x:f>
        <x:v>0</x:v>
      </x:c>
    </x:row>
    <x:row r="44">
      <x:c r="A44" t="str">
        <x:v>Order</x:v>
      </x:c>
      <x:c r="B44" t="n">
        <x:f>'04_checks'!B8</x:f>
        <x:v>1007</x:v>
      </x:c>
      <x:c r="C44" t="n">
        <x:v>8</x:v>
      </x:c>
      <x:c r="D44" t="n">
        <x:f>IF('04_checks'!C8="ERROR",1,0)</x:f>
        <x:v>1</x:v>
      </x:c>
      <x:c r="E44" t="str">
        <x:v>Order:8:1</x:v>
      </x:c>
      <x:c r="F44" t="str">
        <x:v>Дубль</x:v>
      </x:c>
      <x:c r="G44" t="str">
        <x:v>High</x:v>
      </x:c>
      <x:c r="H44" t="str">
        <x:v>order_id</x:v>
      </x:c>
      <x:c r="I44" t="str">
        <x:v>Проверить уникальность ID в источнике; не удалять записи автоматически</x:v>
      </x:c>
      <x:c r="J44" t="n">
        <x:f>IF(D44=1,K44,0)</x:f>
        <x:v>1</x:v>
      </x:c>
      <x:c r="K44" t="n">
        <x:f>D44+K43</x:f>
        <x:v>1</x:v>
      </x:c>
    </x:row>
    <x:row r="45">
      <x:c r="A45" t="str">
        <x:v>Order</x:v>
      </x:c>
      <x:c r="B45" t="n">
        <x:f>'04_checks'!B8</x:f>
        <x:v>1007</x:v>
      </x:c>
      <x:c r="C45" t="n">
        <x:v>8</x:v>
      </x:c>
      <x:c r="D45" t="n">
        <x:f>IF('04_checks'!D8="ERROR",1,0)</x:f>
        <x:v>0</x:v>
      </x:c>
      <x:c r="E45" t="str">
        <x:v>Order:8:2</x:v>
      </x:c>
      <x:c r="F45" t="str">
        <x:v>Пустое поле</x:v>
      </x:c>
      <x:c r="G45" t="str">
        <x:v>High</x:v>
      </x:c>
      <x:c r="H45" t="str">
        <x:v>required_fields</x:v>
      </x:c>
      <x:c r="I45" t="str">
        <x:v>Дополнить обязательные поля в источнике</x:v>
      </x:c>
      <x:c r="J45" t="n">
        <x:f>IF(D45=1,K45,0)</x:f>
        <x:v>0</x:v>
      </x:c>
      <x:c r="K45" t="n">
        <x:f>D45+K44</x:f>
        <x:v>1</x:v>
      </x:c>
    </x:row>
    <x:row r="46">
      <x:c r="A46" t="str">
        <x:v>Order</x:v>
      </x:c>
      <x:c r="B46" t="n">
        <x:f>'04_checks'!B8</x:f>
        <x:v>1007</x:v>
      </x:c>
      <x:c r="C46" t="n">
        <x:v>8</x:v>
      </x:c>
      <x:c r="D46" t="n">
        <x:f>IF('04_checks'!E8="ERROR",1,0)</x:f>
        <x:v>0</x:v>
      </x:c>
      <x:c r="E46" t="str">
        <x:v>Order:8:3</x:v>
      </x:c>
      <x:c r="F46" t="str">
        <x:f>IF(COUNTIF('02_clients_raw'!$A$2:$A$67,'01_orders_raw'!C8)&gt;1,"Неоднозначная связь","Нет связи")</x:f>
        <x:v>Нет связи</x:v>
      </x:c>
      <x:c r="G46" t="str">
        <x:v>High</x:v>
      </x:c>
      <x:c r="H46" t="str">
        <x:v>client_id</x:v>
      </x:c>
      <x:c r="I46" t="str">
        <x:v>Исправить ссылку или разрешить дубли связанного ID</x:v>
      </x:c>
      <x:c r="J46" t="n">
        <x:f>IF(D46=1,K46,0)</x:f>
        <x:v>0</x:v>
      </x:c>
      <x:c r="K46" t="n">
        <x:f>D46+K45</x:f>
        <x:v>1</x:v>
      </x:c>
    </x:row>
    <x:row r="47">
      <x:c r="A47" t="str">
        <x:v>Order</x:v>
      </x:c>
      <x:c r="B47" t="n">
        <x:f>'04_checks'!B8</x:f>
        <x:v>1007</x:v>
      </x:c>
      <x:c r="C47" t="n">
        <x:v>8</x:v>
      </x:c>
      <x:c r="D47" t="n">
        <x:f>IF('04_checks'!F8="ERROR",1,0)</x:f>
        <x:v>0</x:v>
      </x:c>
      <x:c r="E47" t="str">
        <x:v>Order:8:4</x:v>
      </x:c>
      <x:c r="F47" t="str">
        <x:v>Ошибка расчета</x:v>
      </x:c>
      <x:c r="G47" t="str">
        <x:v>High</x:v>
      </x:c>
      <x:c r="H47" t="str">
        <x:v>quantity/price/order_sum</x:v>
      </x:c>
      <x:c r="I47" t="str">
        <x:v>Сверить исходные значения и правило расчёта</x:v>
      </x:c>
      <x:c r="J47" t="n">
        <x:f>IF(D47=1,K47,0)</x:f>
        <x:v>0</x:v>
      </x:c>
      <x:c r="K47" t="n">
        <x:f>D47+K46</x:f>
        <x:v>1</x:v>
      </x:c>
    </x:row>
    <x:row r="48">
      <x:c r="A48" t="str">
        <x:v>Order</x:v>
      </x:c>
      <x:c r="B48" t="n">
        <x:f>'04_checks'!B8</x:f>
        <x:v>1007</x:v>
      </x:c>
      <x:c r="C48" t="n">
        <x:v>8</x:v>
      </x:c>
      <x:c r="D48" t="n">
        <x:f>IF('04_checks'!G8="ERROR",1,0)</x:f>
        <x:v>0</x:v>
      </x:c>
      <x:c r="E48" t="str">
        <x:v>Order:8:5</x:v>
      </x:c>
      <x:c r="F48" t="str">
        <x:v>Отрицательная цена</x:v>
      </x:c>
      <x:c r="G48" t="str">
        <x:v>High</x:v>
      </x:c>
      <x:c r="H48" t="str">
        <x:v>price</x:v>
      </x:c>
      <x:c r="I48" t="str">
        <x:v>Проверить цену в источнике</x:v>
      </x:c>
      <x:c r="J48" t="n">
        <x:f>IF(D48=1,K48,0)</x:f>
        <x:v>0</x:v>
      </x:c>
      <x:c r="K48" t="n">
        <x:f>D48+K47</x:f>
        <x:v>1</x:v>
      </x:c>
    </x:row>
    <x:row r="49">
      <x:c r="A49" t="str">
        <x:v>Order</x:v>
      </x:c>
      <x:c r="B49" t="n">
        <x:f>'04_checks'!B8</x:f>
        <x:v>1007</x:v>
      </x:c>
      <x:c r="C49" t="n">
        <x:v>8</x:v>
      </x:c>
      <x:c r="D49" t="n">
        <x:f>IF('04_checks'!H8="ERROR",1,0)</x:f>
        <x:v>0</x:v>
      </x:c>
      <x:c r="E49" t="str">
        <x:v>Order:8:6</x:v>
      </x:c>
      <x:c r="F49" t="str">
        <x:v>Дата</x:v>
      </x:c>
      <x:c r="G49" t="str">
        <x:v>Medium</x:v>
      </x:c>
      <x:c r="H49" t="str">
        <x:v>order_date</x:v>
      </x:c>
      <x:c r="I49" t="str">
        <x:v>Сверить дату со срезом и исходной записью</x:v>
      </x:c>
      <x:c r="J49" t="n">
        <x:f>IF(D49=1,K49,0)</x:f>
        <x:v>0</x:v>
      </x:c>
      <x:c r="K49" t="n">
        <x:f>D49+K48</x:f>
        <x:v>1</x:v>
      </x:c>
    </x:row>
    <x:row r="50">
      <x:c r="A50" t="str">
        <x:v>Order</x:v>
      </x:c>
      <x:c r="B50" t="n">
        <x:f>'04_checks'!B8</x:f>
        <x:v>1007</x:v>
      </x:c>
      <x:c r="C50" t="n">
        <x:v>8</x:v>
      </x:c>
      <x:c r="D50" t="n">
        <x:f>IF('04_checks'!I8="ERROR",1,0)</x:f>
        <x:v>0</x:v>
      </x:c>
      <x:c r="E50" t="str">
        <x:v>Order:8:7</x:v>
      </x:c>
      <x:c r="F50" t="str">
        <x:v>Статус</x:v>
      </x:c>
      <x:c r="G50" t="str">
        <x:v>Medium</x:v>
      </x:c>
      <x:c r="H50" t="str">
        <x:v>status</x:v>
      </x:c>
      <x:c r="I50" t="str">
        <x:v>Выбрать допустимый статус</x:v>
      </x:c>
      <x:c r="J50" t="n">
        <x:f>IF(D50=1,K50,0)</x:f>
        <x:v>0</x:v>
      </x:c>
      <x:c r="K50" t="n">
        <x:f>D50+K49</x:f>
        <x:v>1</x:v>
      </x:c>
    </x:row>
    <x:row r="51">
      <x:c r="A51" t="str">
        <x:v>Order</x:v>
      </x:c>
      <x:c r="B51" t="n">
        <x:f>'04_checks'!B9</x:f>
        <x:v>1007</x:v>
      </x:c>
      <x:c r="C51" t="n">
        <x:v>9</x:v>
      </x:c>
      <x:c r="D51" t="n">
        <x:f>IF('04_checks'!C9="ERROR",1,0)</x:f>
        <x:v>1</x:v>
      </x:c>
      <x:c r="E51" t="str">
        <x:v>Order:9:1</x:v>
      </x:c>
      <x:c r="F51" t="str">
        <x:v>Дубль</x:v>
      </x:c>
      <x:c r="G51" t="str">
        <x:v>High</x:v>
      </x:c>
      <x:c r="H51" t="str">
        <x:v>order_id</x:v>
      </x:c>
      <x:c r="I51" t="str">
        <x:v>Проверить уникальность ID в источнике; не удалять записи автоматически</x:v>
      </x:c>
      <x:c r="J51" t="n">
        <x:f>IF(D51=1,K51,0)</x:f>
        <x:v>2</x:v>
      </x:c>
      <x:c r="K51" t="n">
        <x:f>D51+K50</x:f>
        <x:v>2</x:v>
      </x:c>
    </x:row>
    <x:row r="52">
      <x:c r="A52" t="str">
        <x:v>Order</x:v>
      </x:c>
      <x:c r="B52" t="n">
        <x:f>'04_checks'!B9</x:f>
        <x:v>1007</x:v>
      </x:c>
      <x:c r="C52" t="n">
        <x:v>9</x:v>
      </x:c>
      <x:c r="D52" t="n">
        <x:f>IF('04_checks'!D9="ERROR",1,0)</x:f>
        <x:v>0</x:v>
      </x:c>
      <x:c r="E52" t="str">
        <x:v>Order:9:2</x:v>
      </x:c>
      <x:c r="F52" t="str">
        <x:v>Пустое поле</x:v>
      </x:c>
      <x:c r="G52" t="str">
        <x:v>High</x:v>
      </x:c>
      <x:c r="H52" t="str">
        <x:v>required_fields</x:v>
      </x:c>
      <x:c r="I52" t="str">
        <x:v>Дополнить обязательные поля в источнике</x:v>
      </x:c>
      <x:c r="J52" t="n">
        <x:f>IF(D52=1,K52,0)</x:f>
        <x:v>0</x:v>
      </x:c>
      <x:c r="K52" t="n">
        <x:f>D52+K51</x:f>
        <x:v>2</x:v>
      </x:c>
    </x:row>
    <x:row r="53">
      <x:c r="A53" t="str">
        <x:v>Order</x:v>
      </x:c>
      <x:c r="B53" t="n">
        <x:f>'04_checks'!B9</x:f>
        <x:v>1007</x:v>
      </x:c>
      <x:c r="C53" t="n">
        <x:v>9</x:v>
      </x:c>
      <x:c r="D53" t="n">
        <x:f>IF('04_checks'!E9="ERROR",1,0)</x:f>
        <x:v>0</x:v>
      </x:c>
      <x:c r="E53" t="str">
        <x:v>Order:9:3</x:v>
      </x:c>
      <x:c r="F53" t="str">
        <x:f>IF(COUNTIF('02_clients_raw'!$A$2:$A$67,'01_orders_raw'!C9)&gt;1,"Неоднозначная связь","Нет связи")</x:f>
        <x:v>Нет связи</x:v>
      </x:c>
      <x:c r="G53" t="str">
        <x:v>High</x:v>
      </x:c>
      <x:c r="H53" t="str">
        <x:v>client_id</x:v>
      </x:c>
      <x:c r="I53" t="str">
        <x:v>Исправить ссылку или разрешить дубли связанного ID</x:v>
      </x:c>
      <x:c r="J53" t="n">
        <x:f>IF(D53=1,K53,0)</x:f>
        <x:v>0</x:v>
      </x:c>
      <x:c r="K53" t="n">
        <x:f>D53+K52</x:f>
        <x:v>2</x:v>
      </x:c>
    </x:row>
    <x:row r="54">
      <x:c r="A54" t="str">
        <x:v>Order</x:v>
      </x:c>
      <x:c r="B54" t="n">
        <x:f>'04_checks'!B9</x:f>
        <x:v>1007</x:v>
      </x:c>
      <x:c r="C54" t="n">
        <x:v>9</x:v>
      </x:c>
      <x:c r="D54" t="n">
        <x:f>IF('04_checks'!F9="ERROR",1,0)</x:f>
        <x:v>0</x:v>
      </x:c>
      <x:c r="E54" t="str">
        <x:v>Order:9:4</x:v>
      </x:c>
      <x:c r="F54" t="str">
        <x:v>Ошибка расчета</x:v>
      </x:c>
      <x:c r="G54" t="str">
        <x:v>High</x:v>
      </x:c>
      <x:c r="H54" t="str">
        <x:v>quantity/price/order_sum</x:v>
      </x:c>
      <x:c r="I54" t="str">
        <x:v>Сверить исходные значения и правило расчёта</x:v>
      </x:c>
      <x:c r="J54" t="n">
        <x:f>IF(D54=1,K54,0)</x:f>
        <x:v>0</x:v>
      </x:c>
      <x:c r="K54" t="n">
        <x:f>D54+K53</x:f>
        <x:v>2</x:v>
      </x:c>
    </x:row>
    <x:row r="55">
      <x:c r="A55" t="str">
        <x:v>Order</x:v>
      </x:c>
      <x:c r="B55" t="n">
        <x:f>'04_checks'!B9</x:f>
        <x:v>1007</x:v>
      </x:c>
      <x:c r="C55" t="n">
        <x:v>9</x:v>
      </x:c>
      <x:c r="D55" t="n">
        <x:f>IF('04_checks'!G9="ERROR",1,0)</x:f>
        <x:v>0</x:v>
      </x:c>
      <x:c r="E55" t="str">
        <x:v>Order:9:5</x:v>
      </x:c>
      <x:c r="F55" t="str">
        <x:v>Отрицательная цена</x:v>
      </x:c>
      <x:c r="G55" t="str">
        <x:v>High</x:v>
      </x:c>
      <x:c r="H55" t="str">
        <x:v>price</x:v>
      </x:c>
      <x:c r="I55" t="str">
        <x:v>Проверить цену в источнике</x:v>
      </x:c>
      <x:c r="J55" t="n">
        <x:f>IF(D55=1,K55,0)</x:f>
        <x:v>0</x:v>
      </x:c>
      <x:c r="K55" t="n">
        <x:f>D55+K54</x:f>
        <x:v>2</x:v>
      </x:c>
    </x:row>
    <x:row r="56">
      <x:c r="A56" t="str">
        <x:v>Order</x:v>
      </x:c>
      <x:c r="B56" t="n">
        <x:f>'04_checks'!B9</x:f>
        <x:v>1007</x:v>
      </x:c>
      <x:c r="C56" t="n">
        <x:v>9</x:v>
      </x:c>
      <x:c r="D56" t="n">
        <x:f>IF('04_checks'!H9="ERROR",1,0)</x:f>
        <x:v>0</x:v>
      </x:c>
      <x:c r="E56" t="str">
        <x:v>Order:9:6</x:v>
      </x:c>
      <x:c r="F56" t="str">
        <x:v>Дата</x:v>
      </x:c>
      <x:c r="G56" t="str">
        <x:v>Medium</x:v>
      </x:c>
      <x:c r="H56" t="str">
        <x:v>order_date</x:v>
      </x:c>
      <x:c r="I56" t="str">
        <x:v>Сверить дату со срезом и исходной записью</x:v>
      </x:c>
      <x:c r="J56" t="n">
        <x:f>IF(D56=1,K56,0)</x:f>
        <x:v>0</x:v>
      </x:c>
      <x:c r="K56" t="n">
        <x:f>D56+K55</x:f>
        <x:v>2</x:v>
      </x:c>
    </x:row>
    <x:row r="57">
      <x:c r="A57" t="str">
        <x:v>Order</x:v>
      </x:c>
      <x:c r="B57" t="n">
        <x:f>'04_checks'!B9</x:f>
        <x:v>1007</x:v>
      </x:c>
      <x:c r="C57" t="n">
        <x:v>9</x:v>
      </x:c>
      <x:c r="D57" t="n">
        <x:f>IF('04_checks'!I9="ERROR",1,0)</x:f>
        <x:v>0</x:v>
      </x:c>
      <x:c r="E57" t="str">
        <x:v>Order:9:7</x:v>
      </x:c>
      <x:c r="F57" t="str">
        <x:v>Статус</x:v>
      </x:c>
      <x:c r="G57" t="str">
        <x:v>Medium</x:v>
      </x:c>
      <x:c r="H57" t="str">
        <x:v>status</x:v>
      </x:c>
      <x:c r="I57" t="str">
        <x:v>Выбрать допустимый статус</x:v>
      </x:c>
      <x:c r="J57" t="n">
        <x:f>IF(D57=1,K57,0)</x:f>
        <x:v>0</x:v>
      </x:c>
      <x:c r="K57" t="n">
        <x:f>D57+K56</x:f>
        <x:v>2</x:v>
      </x:c>
    </x:row>
    <x:row r="58">
      <x:c r="A58" t="str">
        <x:v>Order</x:v>
      </x:c>
      <x:c r="B58" t="n">
        <x:f>'04_checks'!B10</x:f>
        <x:v>1009</x:v>
      </x:c>
      <x:c r="C58" t="n">
        <x:v>10</x:v>
      </x:c>
      <x:c r="D58" t="n">
        <x:f>IF('04_checks'!C10="ERROR",1,0)</x:f>
        <x:v>0</x:v>
      </x:c>
      <x:c r="E58" t="str">
        <x:v>Order:10:1</x:v>
      </x:c>
      <x:c r="F58" t="str">
        <x:v>Дубль</x:v>
      </x:c>
      <x:c r="G58" t="str">
        <x:v>High</x:v>
      </x:c>
      <x:c r="H58" t="str">
        <x:v>order_id</x:v>
      </x:c>
      <x:c r="I58" t="str">
        <x:v>Проверить уникальность ID в источнике; не удалять записи автоматически</x:v>
      </x:c>
      <x:c r="J58" t="n">
        <x:f>IF(D58=1,K58,0)</x:f>
        <x:v>0</x:v>
      </x:c>
      <x:c r="K58" t="n">
        <x:f>D58+K57</x:f>
        <x:v>2</x:v>
      </x:c>
    </x:row>
    <x:row r="59">
      <x:c r="A59" t="str">
        <x:v>Order</x:v>
      </x:c>
      <x:c r="B59" t="n">
        <x:f>'04_checks'!B10</x:f>
        <x:v>1009</x:v>
      </x:c>
      <x:c r="C59" t="n">
        <x:v>10</x:v>
      </x:c>
      <x:c r="D59" t="n">
        <x:f>IF('04_checks'!D10="ERROR",1,0)</x:f>
        <x:v>0</x:v>
      </x:c>
      <x:c r="E59" t="str">
        <x:v>Order:10:2</x:v>
      </x:c>
      <x:c r="F59" t="str">
        <x:v>Пустое поле</x:v>
      </x:c>
      <x:c r="G59" t="str">
        <x:v>High</x:v>
      </x:c>
      <x:c r="H59" t="str">
        <x:v>required_fields</x:v>
      </x:c>
      <x:c r="I59" t="str">
        <x:v>Дополнить обязательные поля в источнике</x:v>
      </x:c>
      <x:c r="J59" t="n">
        <x:f>IF(D59=1,K59,0)</x:f>
        <x:v>0</x:v>
      </x:c>
      <x:c r="K59" t="n">
        <x:f>D59+K58</x:f>
        <x:v>2</x:v>
      </x:c>
    </x:row>
    <x:row r="60">
      <x:c r="A60" t="str">
        <x:v>Order</x:v>
      </x:c>
      <x:c r="B60" t="n">
        <x:f>'04_checks'!B10</x:f>
        <x:v>1009</x:v>
      </x:c>
      <x:c r="C60" t="n">
        <x:v>10</x:v>
      </x:c>
      <x:c r="D60" t="n">
        <x:f>IF('04_checks'!E10="ERROR",1,0)</x:f>
        <x:v>0</x:v>
      </x:c>
      <x:c r="E60" t="str">
        <x:v>Order:10:3</x:v>
      </x:c>
      <x:c r="F60" t="str">
        <x:f>IF(COUNTIF('02_clients_raw'!$A$2:$A$67,'01_orders_raw'!C10)&gt;1,"Неоднозначная связь","Нет связи")</x:f>
        <x:v>Нет связи</x:v>
      </x:c>
      <x:c r="G60" t="str">
        <x:v>High</x:v>
      </x:c>
      <x:c r="H60" t="str">
        <x:v>client_id</x:v>
      </x:c>
      <x:c r="I60" t="str">
        <x:v>Исправить ссылку или разрешить дубли связанного ID</x:v>
      </x:c>
      <x:c r="J60" t="n">
        <x:f>IF(D60=1,K60,0)</x:f>
        <x:v>0</x:v>
      </x:c>
      <x:c r="K60" t="n">
        <x:f>D60+K59</x:f>
        <x:v>2</x:v>
      </x:c>
    </x:row>
    <x:row r="61">
      <x:c r="A61" t="str">
        <x:v>Order</x:v>
      </x:c>
      <x:c r="B61" t="n">
        <x:f>'04_checks'!B10</x:f>
        <x:v>1009</x:v>
      </x:c>
      <x:c r="C61" t="n">
        <x:v>10</x:v>
      </x:c>
      <x:c r="D61" t="n">
        <x:f>IF('04_checks'!F10="ERROR",1,0)</x:f>
        <x:v>0</x:v>
      </x:c>
      <x:c r="E61" t="str">
        <x:v>Order:10:4</x:v>
      </x:c>
      <x:c r="F61" t="str">
        <x:v>Ошибка расчета</x:v>
      </x:c>
      <x:c r="G61" t="str">
        <x:v>High</x:v>
      </x:c>
      <x:c r="H61" t="str">
        <x:v>quantity/price/order_sum</x:v>
      </x:c>
      <x:c r="I61" t="str">
        <x:v>Сверить исходные значения и правило расчёта</x:v>
      </x:c>
      <x:c r="J61" t="n">
        <x:f>IF(D61=1,K61,0)</x:f>
        <x:v>0</x:v>
      </x:c>
      <x:c r="K61" t="n">
        <x:f>D61+K60</x:f>
        <x:v>2</x:v>
      </x:c>
    </x:row>
    <x:row r="62">
      <x:c r="A62" t="str">
        <x:v>Order</x:v>
      </x:c>
      <x:c r="B62" t="n">
        <x:f>'04_checks'!B10</x:f>
        <x:v>1009</x:v>
      </x:c>
      <x:c r="C62" t="n">
        <x:v>10</x:v>
      </x:c>
      <x:c r="D62" t="n">
        <x:f>IF('04_checks'!G10="ERROR",1,0)</x:f>
        <x:v>0</x:v>
      </x:c>
      <x:c r="E62" t="str">
        <x:v>Order:10:5</x:v>
      </x:c>
      <x:c r="F62" t="str">
        <x:v>Отрицательная цена</x:v>
      </x:c>
      <x:c r="G62" t="str">
        <x:v>High</x:v>
      </x:c>
      <x:c r="H62" t="str">
        <x:v>price</x:v>
      </x:c>
      <x:c r="I62" t="str">
        <x:v>Проверить цену в источнике</x:v>
      </x:c>
      <x:c r="J62" t="n">
        <x:f>IF(D62=1,K62,0)</x:f>
        <x:v>0</x:v>
      </x:c>
      <x:c r="K62" t="n">
        <x:f>D62+K61</x:f>
        <x:v>2</x:v>
      </x:c>
    </x:row>
    <x:row r="63">
      <x:c r="A63" t="str">
        <x:v>Order</x:v>
      </x:c>
      <x:c r="B63" t="n">
        <x:f>'04_checks'!B10</x:f>
        <x:v>1009</x:v>
      </x:c>
      <x:c r="C63" t="n">
        <x:v>10</x:v>
      </x:c>
      <x:c r="D63" t="n">
        <x:f>IF('04_checks'!H10="ERROR",1,0)</x:f>
        <x:v>0</x:v>
      </x:c>
      <x:c r="E63" t="str">
        <x:v>Order:10:6</x:v>
      </x:c>
      <x:c r="F63" t="str">
        <x:v>Дата</x:v>
      </x:c>
      <x:c r="G63" t="str">
        <x:v>Medium</x:v>
      </x:c>
      <x:c r="H63" t="str">
        <x:v>order_date</x:v>
      </x:c>
      <x:c r="I63" t="str">
        <x:v>Сверить дату со срезом и исходной записью</x:v>
      </x:c>
      <x:c r="J63" t="n">
        <x:f>IF(D63=1,K63,0)</x:f>
        <x:v>0</x:v>
      </x:c>
      <x:c r="K63" t="n">
        <x:f>D63+K62</x:f>
        <x:v>2</x:v>
      </x:c>
    </x:row>
    <x:row r="64">
      <x:c r="A64" t="str">
        <x:v>Order</x:v>
      </x:c>
      <x:c r="B64" t="n">
        <x:f>'04_checks'!B10</x:f>
        <x:v>1009</x:v>
      </x:c>
      <x:c r="C64" t="n">
        <x:v>10</x:v>
      </x:c>
      <x:c r="D64" t="n">
        <x:f>IF('04_checks'!I10="ERROR",1,0)</x:f>
        <x:v>0</x:v>
      </x:c>
      <x:c r="E64" t="str">
        <x:v>Order:10:7</x:v>
      </x:c>
      <x:c r="F64" t="str">
        <x:v>Статус</x:v>
      </x:c>
      <x:c r="G64" t="str">
        <x:v>Medium</x:v>
      </x:c>
      <x:c r="H64" t="str">
        <x:v>status</x:v>
      </x:c>
      <x:c r="I64" t="str">
        <x:v>Выбрать допустимый статус</x:v>
      </x:c>
      <x:c r="J64" t="n">
        <x:f>IF(D64=1,K64,0)</x:f>
        <x:v>0</x:v>
      </x:c>
      <x:c r="K64" t="n">
        <x:f>D64+K63</x:f>
        <x:v>2</x:v>
      </x:c>
    </x:row>
    <x:row r="65">
      <x:c r="A65" t="str">
        <x:v>Order</x:v>
      </x:c>
      <x:c r="B65" t="n">
        <x:f>'04_checks'!B11</x:f>
        <x:v>1010</x:v>
      </x:c>
      <x:c r="C65" t="n">
        <x:v>11</x:v>
      </x:c>
      <x:c r="D65" t="n">
        <x:f>IF('04_checks'!C11="ERROR",1,0)</x:f>
        <x:v>0</x:v>
      </x:c>
      <x:c r="E65" t="str">
        <x:v>Order:11:1</x:v>
      </x:c>
      <x:c r="F65" t="str">
        <x:v>Дубль</x:v>
      </x:c>
      <x:c r="G65" t="str">
        <x:v>High</x:v>
      </x:c>
      <x:c r="H65" t="str">
        <x:v>order_id</x:v>
      </x:c>
      <x:c r="I65" t="str">
        <x:v>Проверить уникальность ID в источнике; не удалять записи автоматически</x:v>
      </x:c>
      <x:c r="J65" t="n">
        <x:f>IF(D65=1,K65,0)</x:f>
        <x:v>0</x:v>
      </x:c>
      <x:c r="K65" t="n">
        <x:f>D65+K64</x:f>
        <x:v>2</x:v>
      </x:c>
    </x:row>
    <x:row r="66">
      <x:c r="A66" t="str">
        <x:v>Order</x:v>
      </x:c>
      <x:c r="B66" t="n">
        <x:f>'04_checks'!B11</x:f>
        <x:v>1010</x:v>
      </x:c>
      <x:c r="C66" t="n">
        <x:v>11</x:v>
      </x:c>
      <x:c r="D66" t="n">
        <x:f>IF('04_checks'!D11="ERROR",1,0)</x:f>
        <x:v>0</x:v>
      </x:c>
      <x:c r="E66" t="str">
        <x:v>Order:11:2</x:v>
      </x:c>
      <x:c r="F66" t="str">
        <x:v>Пустое поле</x:v>
      </x:c>
      <x:c r="G66" t="str">
        <x:v>High</x:v>
      </x:c>
      <x:c r="H66" t="str">
        <x:v>required_fields</x:v>
      </x:c>
      <x:c r="I66" t="str">
        <x:v>Дополнить обязательные поля в источнике</x:v>
      </x:c>
      <x:c r="J66" t="n">
        <x:f>IF(D66=1,K66,0)</x:f>
        <x:v>0</x:v>
      </x:c>
      <x:c r="K66" t="n">
        <x:f>D66+K65</x:f>
        <x:v>2</x:v>
      </x:c>
    </x:row>
    <x:row r="67">
      <x:c r="A67" t="str">
        <x:v>Order</x:v>
      </x:c>
      <x:c r="B67" t="n">
        <x:f>'04_checks'!B11</x:f>
        <x:v>1010</x:v>
      </x:c>
      <x:c r="C67" t="n">
        <x:v>11</x:v>
      </x:c>
      <x:c r="D67" t="n">
        <x:f>IF('04_checks'!E11="ERROR",1,0)</x:f>
        <x:v>0</x:v>
      </x:c>
      <x:c r="E67" t="str">
        <x:v>Order:11:3</x:v>
      </x:c>
      <x:c r="F67" t="str">
        <x:f>IF(COUNTIF('02_clients_raw'!$A$2:$A$67,'01_orders_raw'!C11)&gt;1,"Неоднозначная связь","Нет связи")</x:f>
        <x:v>Нет связи</x:v>
      </x:c>
      <x:c r="G67" t="str">
        <x:v>High</x:v>
      </x:c>
      <x:c r="H67" t="str">
        <x:v>client_id</x:v>
      </x:c>
      <x:c r="I67" t="str">
        <x:v>Исправить ссылку или разрешить дубли связанного ID</x:v>
      </x:c>
      <x:c r="J67" t="n">
        <x:f>IF(D67=1,K67,0)</x:f>
        <x:v>0</x:v>
      </x:c>
      <x:c r="K67" t="n">
        <x:f>D67+K66</x:f>
        <x:v>2</x:v>
      </x:c>
    </x:row>
    <x:row r="68">
      <x:c r="A68" t="str">
        <x:v>Order</x:v>
      </x:c>
      <x:c r="B68" t="n">
        <x:f>'04_checks'!B11</x:f>
        <x:v>1010</x:v>
      </x:c>
      <x:c r="C68" t="n">
        <x:v>11</x:v>
      </x:c>
      <x:c r="D68" t="n">
        <x:f>IF('04_checks'!F11="ERROR",1,0)</x:f>
        <x:v>0</x:v>
      </x:c>
      <x:c r="E68" t="str">
        <x:v>Order:11:4</x:v>
      </x:c>
      <x:c r="F68" t="str">
        <x:v>Ошибка расчета</x:v>
      </x:c>
      <x:c r="G68" t="str">
        <x:v>High</x:v>
      </x:c>
      <x:c r="H68" t="str">
        <x:v>quantity/price/order_sum</x:v>
      </x:c>
      <x:c r="I68" t="str">
        <x:v>Сверить исходные значения и правило расчёта</x:v>
      </x:c>
      <x:c r="J68" t="n">
        <x:f>IF(D68=1,K68,0)</x:f>
        <x:v>0</x:v>
      </x:c>
      <x:c r="K68" t="n">
        <x:f>D68+K67</x:f>
        <x:v>2</x:v>
      </x:c>
    </x:row>
    <x:row r="69">
      <x:c r="A69" t="str">
        <x:v>Order</x:v>
      </x:c>
      <x:c r="B69" t="n">
        <x:f>'04_checks'!B11</x:f>
        <x:v>1010</x:v>
      </x:c>
      <x:c r="C69" t="n">
        <x:v>11</x:v>
      </x:c>
      <x:c r="D69" t="n">
        <x:f>IF('04_checks'!G11="ERROR",1,0)</x:f>
        <x:v>0</x:v>
      </x:c>
      <x:c r="E69" t="str">
        <x:v>Order:11:5</x:v>
      </x:c>
      <x:c r="F69" t="str">
        <x:v>Отрицательная цена</x:v>
      </x:c>
      <x:c r="G69" t="str">
        <x:v>High</x:v>
      </x:c>
      <x:c r="H69" t="str">
        <x:v>price</x:v>
      </x:c>
      <x:c r="I69" t="str">
        <x:v>Проверить цену в источнике</x:v>
      </x:c>
      <x:c r="J69" t="n">
        <x:f>IF(D69=1,K69,0)</x:f>
        <x:v>0</x:v>
      </x:c>
      <x:c r="K69" t="n">
        <x:f>D69+K68</x:f>
        <x:v>2</x:v>
      </x:c>
    </x:row>
    <x:row r="70">
      <x:c r="A70" t="str">
        <x:v>Order</x:v>
      </x:c>
      <x:c r="B70" t="n">
        <x:f>'04_checks'!B11</x:f>
        <x:v>1010</x:v>
      </x:c>
      <x:c r="C70" t="n">
        <x:v>11</x:v>
      </x:c>
      <x:c r="D70" t="n">
        <x:f>IF('04_checks'!H11="ERROR",1,0)</x:f>
        <x:v>0</x:v>
      </x:c>
      <x:c r="E70" t="str">
        <x:v>Order:11:6</x:v>
      </x:c>
      <x:c r="F70" t="str">
        <x:v>Дата</x:v>
      </x:c>
      <x:c r="G70" t="str">
        <x:v>Medium</x:v>
      </x:c>
      <x:c r="H70" t="str">
        <x:v>order_date</x:v>
      </x:c>
      <x:c r="I70" t="str">
        <x:v>Сверить дату со срезом и исходной записью</x:v>
      </x:c>
      <x:c r="J70" t="n">
        <x:f>IF(D70=1,K70,0)</x:f>
        <x:v>0</x:v>
      </x:c>
      <x:c r="K70" t="n">
        <x:f>D70+K69</x:f>
        <x:v>2</x:v>
      </x:c>
    </x:row>
    <x:row r="71">
      <x:c r="A71" t="str">
        <x:v>Order</x:v>
      </x:c>
      <x:c r="B71" t="n">
        <x:f>'04_checks'!B11</x:f>
        <x:v>1010</x:v>
      </x:c>
      <x:c r="C71" t="n">
        <x:v>11</x:v>
      </x:c>
      <x:c r="D71" t="n">
        <x:f>IF('04_checks'!I11="ERROR",1,0)</x:f>
        <x:v>0</x:v>
      </x:c>
      <x:c r="E71" t="str">
        <x:v>Order:11:7</x:v>
      </x:c>
      <x:c r="F71" t="str">
        <x:v>Статус</x:v>
      </x:c>
      <x:c r="G71" t="str">
        <x:v>Medium</x:v>
      </x:c>
      <x:c r="H71" t="str">
        <x:v>status</x:v>
      </x:c>
      <x:c r="I71" t="str">
        <x:v>Выбрать допустимый статус</x:v>
      </x:c>
      <x:c r="J71" t="n">
        <x:f>IF(D71=1,K71,0)</x:f>
        <x:v>0</x:v>
      </x:c>
      <x:c r="K71" t="n">
        <x:f>D71+K70</x:f>
        <x:v>2</x:v>
      </x:c>
    </x:row>
    <x:row r="72">
      <x:c r="A72" t="str">
        <x:v>Order</x:v>
      </x:c>
      <x:c r="B72" t="n">
        <x:f>'04_checks'!B12</x:f>
        <x:v>1011</x:v>
      </x:c>
      <x:c r="C72" t="n">
        <x:v>12</x:v>
      </x:c>
      <x:c r="D72" t="n">
        <x:f>IF('04_checks'!C12="ERROR",1,0)</x:f>
        <x:v>0</x:v>
      </x:c>
      <x:c r="E72" t="str">
        <x:v>Order:12:1</x:v>
      </x:c>
      <x:c r="F72" t="str">
        <x:v>Дубль</x:v>
      </x:c>
      <x:c r="G72" t="str">
        <x:v>High</x:v>
      </x:c>
      <x:c r="H72" t="str">
        <x:v>order_id</x:v>
      </x:c>
      <x:c r="I72" t="str">
        <x:v>Проверить уникальность ID в источнике; не удалять записи автоматически</x:v>
      </x:c>
      <x:c r="J72" t="n">
        <x:f>IF(D72=1,K72,0)</x:f>
        <x:v>0</x:v>
      </x:c>
      <x:c r="K72" t="n">
        <x:f>D72+K71</x:f>
        <x:v>2</x:v>
      </x:c>
    </x:row>
    <x:row r="73">
      <x:c r="A73" t="str">
        <x:v>Order</x:v>
      </x:c>
      <x:c r="B73" t="n">
        <x:f>'04_checks'!B12</x:f>
        <x:v>1011</x:v>
      </x:c>
      <x:c r="C73" t="n">
        <x:v>12</x:v>
      </x:c>
      <x:c r="D73" t="n">
        <x:f>IF('04_checks'!D12="ERROR",1,0)</x:f>
        <x:v>0</x:v>
      </x:c>
      <x:c r="E73" t="str">
        <x:v>Order:12:2</x:v>
      </x:c>
      <x:c r="F73" t="str">
        <x:v>Пустое поле</x:v>
      </x:c>
      <x:c r="G73" t="str">
        <x:v>High</x:v>
      </x:c>
      <x:c r="H73" t="str">
        <x:v>required_fields</x:v>
      </x:c>
      <x:c r="I73" t="str">
        <x:v>Дополнить обязательные поля в источнике</x:v>
      </x:c>
      <x:c r="J73" t="n">
        <x:f>IF(D73=1,K73,0)</x:f>
        <x:v>0</x:v>
      </x:c>
      <x:c r="K73" t="n">
        <x:f>D73+K72</x:f>
        <x:v>2</x:v>
      </x:c>
    </x:row>
    <x:row r="74">
      <x:c r="A74" t="str">
        <x:v>Order</x:v>
      </x:c>
      <x:c r="B74" t="n">
        <x:f>'04_checks'!B12</x:f>
        <x:v>1011</x:v>
      </x:c>
      <x:c r="C74" t="n">
        <x:v>12</x:v>
      </x:c>
      <x:c r="D74" t="n">
        <x:f>IF('04_checks'!E12="ERROR",1,0)</x:f>
        <x:v>0</x:v>
      </x:c>
      <x:c r="E74" t="str">
        <x:v>Order:12:3</x:v>
      </x:c>
      <x:c r="F74" t="str">
        <x:f>IF(COUNTIF('02_clients_raw'!$A$2:$A$67,'01_orders_raw'!C12)&gt;1,"Неоднозначная связь","Нет связи")</x:f>
        <x:v>Нет связи</x:v>
      </x:c>
      <x:c r="G74" t="str">
        <x:v>High</x:v>
      </x:c>
      <x:c r="H74" t="str">
        <x:v>client_id</x:v>
      </x:c>
      <x:c r="I74" t="str">
        <x:v>Исправить ссылку или разрешить дубли связанного ID</x:v>
      </x:c>
      <x:c r="J74" t="n">
        <x:f>IF(D74=1,K74,0)</x:f>
        <x:v>0</x:v>
      </x:c>
      <x:c r="K74" t="n">
        <x:f>D74+K73</x:f>
        <x:v>2</x:v>
      </x:c>
    </x:row>
    <x:row r="75">
      <x:c r="A75" t="str">
        <x:v>Order</x:v>
      </x:c>
      <x:c r="B75" t="n">
        <x:f>'04_checks'!B12</x:f>
        <x:v>1011</x:v>
      </x:c>
      <x:c r="C75" t="n">
        <x:v>12</x:v>
      </x:c>
      <x:c r="D75" t="n">
        <x:f>IF('04_checks'!F12="ERROR",1,0)</x:f>
        <x:v>0</x:v>
      </x:c>
      <x:c r="E75" t="str">
        <x:v>Order:12:4</x:v>
      </x:c>
      <x:c r="F75" t="str">
        <x:v>Ошибка расчета</x:v>
      </x:c>
      <x:c r="G75" t="str">
        <x:v>High</x:v>
      </x:c>
      <x:c r="H75" t="str">
        <x:v>quantity/price/order_sum</x:v>
      </x:c>
      <x:c r="I75" t="str">
        <x:v>Сверить исходные значения и правило расчёта</x:v>
      </x:c>
      <x:c r="J75" t="n">
        <x:f>IF(D75=1,K75,0)</x:f>
        <x:v>0</x:v>
      </x:c>
      <x:c r="K75" t="n">
        <x:f>D75+K74</x:f>
        <x:v>2</x:v>
      </x:c>
    </x:row>
    <x:row r="76">
      <x:c r="A76" t="str">
        <x:v>Order</x:v>
      </x:c>
      <x:c r="B76" t="n">
        <x:f>'04_checks'!B12</x:f>
        <x:v>1011</x:v>
      </x:c>
      <x:c r="C76" t="n">
        <x:v>12</x:v>
      </x:c>
      <x:c r="D76" t="n">
        <x:f>IF('04_checks'!G12="ERROR",1,0)</x:f>
        <x:v>0</x:v>
      </x:c>
      <x:c r="E76" t="str">
        <x:v>Order:12:5</x:v>
      </x:c>
      <x:c r="F76" t="str">
        <x:v>Отрицательная цена</x:v>
      </x:c>
      <x:c r="G76" t="str">
        <x:v>High</x:v>
      </x:c>
      <x:c r="H76" t="str">
        <x:v>price</x:v>
      </x:c>
      <x:c r="I76" t="str">
        <x:v>Проверить цену в источнике</x:v>
      </x:c>
      <x:c r="J76" t="n">
        <x:f>IF(D76=1,K76,0)</x:f>
        <x:v>0</x:v>
      </x:c>
      <x:c r="K76" t="n">
        <x:f>D76+K75</x:f>
        <x:v>2</x:v>
      </x:c>
    </x:row>
    <x:row r="77">
      <x:c r="A77" t="str">
        <x:v>Order</x:v>
      </x:c>
      <x:c r="B77" t="n">
        <x:f>'04_checks'!B12</x:f>
        <x:v>1011</x:v>
      </x:c>
      <x:c r="C77" t="n">
        <x:v>12</x:v>
      </x:c>
      <x:c r="D77" t="n">
        <x:f>IF('04_checks'!H12="ERROR",1,0)</x:f>
        <x:v>0</x:v>
      </x:c>
      <x:c r="E77" t="str">
        <x:v>Order:12:6</x:v>
      </x:c>
      <x:c r="F77" t="str">
        <x:v>Дата</x:v>
      </x:c>
      <x:c r="G77" t="str">
        <x:v>Medium</x:v>
      </x:c>
      <x:c r="H77" t="str">
        <x:v>order_date</x:v>
      </x:c>
      <x:c r="I77" t="str">
        <x:v>Сверить дату со срезом и исходной записью</x:v>
      </x:c>
      <x:c r="J77" t="n">
        <x:f>IF(D77=1,K77,0)</x:f>
        <x:v>0</x:v>
      </x:c>
      <x:c r="K77" t="n">
        <x:f>D77+K76</x:f>
        <x:v>2</x:v>
      </x:c>
    </x:row>
    <x:row r="78">
      <x:c r="A78" t="str">
        <x:v>Order</x:v>
      </x:c>
      <x:c r="B78" t="n">
        <x:f>'04_checks'!B12</x:f>
        <x:v>1011</x:v>
      </x:c>
      <x:c r="C78" t="n">
        <x:v>12</x:v>
      </x:c>
      <x:c r="D78" t="n">
        <x:f>IF('04_checks'!I12="ERROR",1,0)</x:f>
        <x:v>0</x:v>
      </x:c>
      <x:c r="E78" t="str">
        <x:v>Order:12:7</x:v>
      </x:c>
      <x:c r="F78" t="str">
        <x:v>Статус</x:v>
      </x:c>
      <x:c r="G78" t="str">
        <x:v>Medium</x:v>
      </x:c>
      <x:c r="H78" t="str">
        <x:v>status</x:v>
      </x:c>
      <x:c r="I78" t="str">
        <x:v>Выбрать допустимый статус</x:v>
      </x:c>
      <x:c r="J78" t="n">
        <x:f>IF(D78=1,K78,0)</x:f>
        <x:v>0</x:v>
      </x:c>
      <x:c r="K78" t="n">
        <x:f>D78+K77</x:f>
        <x:v>2</x:v>
      </x:c>
    </x:row>
    <x:row r="79">
      <x:c r="A79" t="str">
        <x:v>Order</x:v>
      </x:c>
      <x:c r="B79" t="n">
        <x:f>'04_checks'!B13</x:f>
        <x:v>1012</x:v>
      </x:c>
      <x:c r="C79" t="n">
        <x:v>13</x:v>
      </x:c>
      <x:c r="D79" t="n">
        <x:f>IF('04_checks'!C13="ERROR",1,0)</x:f>
        <x:v>0</x:v>
      </x:c>
      <x:c r="E79" t="str">
        <x:v>Order:13:1</x:v>
      </x:c>
      <x:c r="F79" t="str">
        <x:v>Дубль</x:v>
      </x:c>
      <x:c r="G79" t="str">
        <x:v>High</x:v>
      </x:c>
      <x:c r="H79" t="str">
        <x:v>order_id</x:v>
      </x:c>
      <x:c r="I79" t="str">
        <x:v>Проверить уникальность ID в источнике; не удалять записи автоматически</x:v>
      </x:c>
      <x:c r="J79" t="n">
        <x:f>IF(D79=1,K79,0)</x:f>
        <x:v>0</x:v>
      </x:c>
      <x:c r="K79" t="n">
        <x:f>D79+K78</x:f>
        <x:v>2</x:v>
      </x:c>
    </x:row>
    <x:row r="80">
      <x:c r="A80" t="str">
        <x:v>Order</x:v>
      </x:c>
      <x:c r="B80" t="n">
        <x:f>'04_checks'!B13</x:f>
        <x:v>1012</x:v>
      </x:c>
      <x:c r="C80" t="n">
        <x:v>13</x:v>
      </x:c>
      <x:c r="D80" t="n">
        <x:f>IF('04_checks'!D13="ERROR",1,0)</x:f>
        <x:v>0</x:v>
      </x:c>
      <x:c r="E80" t="str">
        <x:v>Order:13:2</x:v>
      </x:c>
      <x:c r="F80" t="str">
        <x:v>Пустое поле</x:v>
      </x:c>
      <x:c r="G80" t="str">
        <x:v>High</x:v>
      </x:c>
      <x:c r="H80" t="str">
        <x:v>required_fields</x:v>
      </x:c>
      <x:c r="I80" t="str">
        <x:v>Дополнить обязательные поля в источнике</x:v>
      </x:c>
      <x:c r="J80" t="n">
        <x:f>IF(D80=1,K80,0)</x:f>
        <x:v>0</x:v>
      </x:c>
      <x:c r="K80" t="n">
        <x:f>D80+K79</x:f>
        <x:v>2</x:v>
      </x:c>
    </x:row>
    <x:row r="81">
      <x:c r="A81" t="str">
        <x:v>Order</x:v>
      </x:c>
      <x:c r="B81" t="n">
        <x:f>'04_checks'!B13</x:f>
        <x:v>1012</x:v>
      </x:c>
      <x:c r="C81" t="n">
        <x:v>13</x:v>
      </x:c>
      <x:c r="D81" t="n">
        <x:f>IF('04_checks'!E13="ERROR",1,0)</x:f>
        <x:v>0</x:v>
      </x:c>
      <x:c r="E81" t="str">
        <x:v>Order:13:3</x:v>
      </x:c>
      <x:c r="F81" t="str">
        <x:f>IF(COUNTIF('02_clients_raw'!$A$2:$A$67,'01_orders_raw'!C13)&gt;1,"Неоднозначная связь","Нет связи")</x:f>
        <x:v>Нет связи</x:v>
      </x:c>
      <x:c r="G81" t="str">
        <x:v>High</x:v>
      </x:c>
      <x:c r="H81" t="str">
        <x:v>client_id</x:v>
      </x:c>
      <x:c r="I81" t="str">
        <x:v>Исправить ссылку или разрешить дубли связанного ID</x:v>
      </x:c>
      <x:c r="J81" t="n">
        <x:f>IF(D81=1,K81,0)</x:f>
        <x:v>0</x:v>
      </x:c>
      <x:c r="K81" t="n">
        <x:f>D81+K80</x:f>
        <x:v>2</x:v>
      </x:c>
    </x:row>
    <x:row r="82">
      <x:c r="A82" t="str">
        <x:v>Order</x:v>
      </x:c>
      <x:c r="B82" t="n">
        <x:f>'04_checks'!B13</x:f>
        <x:v>1012</x:v>
      </x:c>
      <x:c r="C82" t="n">
        <x:v>13</x:v>
      </x:c>
      <x:c r="D82" t="n">
        <x:f>IF('04_checks'!F13="ERROR",1,0)</x:f>
        <x:v>0</x:v>
      </x:c>
      <x:c r="E82" t="str">
        <x:v>Order:13:4</x:v>
      </x:c>
      <x:c r="F82" t="str">
        <x:v>Ошибка расчета</x:v>
      </x:c>
      <x:c r="G82" t="str">
        <x:v>High</x:v>
      </x:c>
      <x:c r="H82" t="str">
        <x:v>quantity/price/order_sum</x:v>
      </x:c>
      <x:c r="I82" t="str">
        <x:v>Сверить исходные значения и правило расчёта</x:v>
      </x:c>
      <x:c r="J82" t="n">
        <x:f>IF(D82=1,K82,0)</x:f>
        <x:v>0</x:v>
      </x:c>
      <x:c r="K82" t="n">
        <x:f>D82+K81</x:f>
        <x:v>2</x:v>
      </x:c>
    </x:row>
    <x:row r="83">
      <x:c r="A83" t="str">
        <x:v>Order</x:v>
      </x:c>
      <x:c r="B83" t="n">
        <x:f>'04_checks'!B13</x:f>
        <x:v>1012</x:v>
      </x:c>
      <x:c r="C83" t="n">
        <x:v>13</x:v>
      </x:c>
      <x:c r="D83" t="n">
        <x:f>IF('04_checks'!G13="ERROR",1,0)</x:f>
        <x:v>0</x:v>
      </x:c>
      <x:c r="E83" t="str">
        <x:v>Order:13:5</x:v>
      </x:c>
      <x:c r="F83" t="str">
        <x:v>Отрицательная цена</x:v>
      </x:c>
      <x:c r="G83" t="str">
        <x:v>High</x:v>
      </x:c>
      <x:c r="H83" t="str">
        <x:v>price</x:v>
      </x:c>
      <x:c r="I83" t="str">
        <x:v>Проверить цену в источнике</x:v>
      </x:c>
      <x:c r="J83" t="n">
        <x:f>IF(D83=1,K83,0)</x:f>
        <x:v>0</x:v>
      </x:c>
      <x:c r="K83" t="n">
        <x:f>D83+K82</x:f>
        <x:v>2</x:v>
      </x:c>
    </x:row>
    <x:row r="84">
      <x:c r="A84" t="str">
        <x:v>Order</x:v>
      </x:c>
      <x:c r="B84" t="n">
        <x:f>'04_checks'!B13</x:f>
        <x:v>1012</x:v>
      </x:c>
      <x:c r="C84" t="n">
        <x:v>13</x:v>
      </x:c>
      <x:c r="D84" t="n">
        <x:f>IF('04_checks'!H13="ERROR",1,0)</x:f>
        <x:v>0</x:v>
      </x:c>
      <x:c r="E84" t="str">
        <x:v>Order:13:6</x:v>
      </x:c>
      <x:c r="F84" t="str">
        <x:v>Дата</x:v>
      </x:c>
      <x:c r="G84" t="str">
        <x:v>Medium</x:v>
      </x:c>
      <x:c r="H84" t="str">
        <x:v>order_date</x:v>
      </x:c>
      <x:c r="I84" t="str">
        <x:v>Сверить дату со срезом и исходной записью</x:v>
      </x:c>
      <x:c r="J84" t="n">
        <x:f>IF(D84=1,K84,0)</x:f>
        <x:v>0</x:v>
      </x:c>
      <x:c r="K84" t="n">
        <x:f>D84+K83</x:f>
        <x:v>2</x:v>
      </x:c>
    </x:row>
    <x:row r="85">
      <x:c r="A85" t="str">
        <x:v>Order</x:v>
      </x:c>
      <x:c r="B85" t="n">
        <x:f>'04_checks'!B13</x:f>
        <x:v>1012</x:v>
      </x:c>
      <x:c r="C85" t="n">
        <x:v>13</x:v>
      </x:c>
      <x:c r="D85" t="n">
        <x:f>IF('04_checks'!I13="ERROR",1,0)</x:f>
        <x:v>0</x:v>
      </x:c>
      <x:c r="E85" t="str">
        <x:v>Order:13:7</x:v>
      </x:c>
      <x:c r="F85" t="str">
        <x:v>Статус</x:v>
      </x:c>
      <x:c r="G85" t="str">
        <x:v>Medium</x:v>
      </x:c>
      <x:c r="H85" t="str">
        <x:v>status</x:v>
      </x:c>
      <x:c r="I85" t="str">
        <x:v>Выбрать допустимый статус</x:v>
      </x:c>
      <x:c r="J85" t="n">
        <x:f>IF(D85=1,K85,0)</x:f>
        <x:v>0</x:v>
      </x:c>
      <x:c r="K85" t="n">
        <x:f>D85+K84</x:f>
        <x:v>2</x:v>
      </x:c>
    </x:row>
    <x:row r="86">
      <x:c r="A86" t="str">
        <x:v>Order</x:v>
      </x:c>
      <x:c r="B86" t="n">
        <x:f>'04_checks'!B14</x:f>
        <x:v>1013</x:v>
      </x:c>
      <x:c r="C86" t="n">
        <x:v>14</x:v>
      </x:c>
      <x:c r="D86" t="n">
        <x:f>IF('04_checks'!C14="ERROR",1,0)</x:f>
        <x:v>0</x:v>
      </x:c>
      <x:c r="E86" t="str">
        <x:v>Order:14:1</x:v>
      </x:c>
      <x:c r="F86" t="str">
        <x:v>Дубль</x:v>
      </x:c>
      <x:c r="G86" t="str">
        <x:v>High</x:v>
      </x:c>
      <x:c r="H86" t="str">
        <x:v>order_id</x:v>
      </x:c>
      <x:c r="I86" t="str">
        <x:v>Проверить уникальность ID в источнике; не удалять записи автоматически</x:v>
      </x:c>
      <x:c r="J86" t="n">
        <x:f>IF(D86=1,K86,0)</x:f>
        <x:v>0</x:v>
      </x:c>
      <x:c r="K86" t="n">
        <x:f>D86+K85</x:f>
        <x:v>2</x:v>
      </x:c>
    </x:row>
    <x:row r="87">
      <x:c r="A87" t="str">
        <x:v>Order</x:v>
      </x:c>
      <x:c r="B87" t="n">
        <x:f>'04_checks'!B14</x:f>
        <x:v>1013</x:v>
      </x:c>
      <x:c r="C87" t="n">
        <x:v>14</x:v>
      </x:c>
      <x:c r="D87" t="n">
        <x:f>IF('04_checks'!D14="ERROR",1,0)</x:f>
        <x:v>0</x:v>
      </x:c>
      <x:c r="E87" t="str">
        <x:v>Order:14:2</x:v>
      </x:c>
      <x:c r="F87" t="str">
        <x:v>Пустое поле</x:v>
      </x:c>
      <x:c r="G87" t="str">
        <x:v>High</x:v>
      </x:c>
      <x:c r="H87" t="str">
        <x:v>required_fields</x:v>
      </x:c>
      <x:c r="I87" t="str">
        <x:v>Дополнить обязательные поля в источнике</x:v>
      </x:c>
      <x:c r="J87" t="n">
        <x:f>IF(D87=1,K87,0)</x:f>
        <x:v>0</x:v>
      </x:c>
      <x:c r="K87" t="n">
        <x:f>D87+K86</x:f>
        <x:v>2</x:v>
      </x:c>
    </x:row>
    <x:row r="88">
      <x:c r="A88" t="str">
        <x:v>Order</x:v>
      </x:c>
      <x:c r="B88" t="n">
        <x:f>'04_checks'!B14</x:f>
        <x:v>1013</x:v>
      </x:c>
      <x:c r="C88" t="n">
        <x:v>14</x:v>
      </x:c>
      <x:c r="D88" t="n">
        <x:f>IF('04_checks'!E14="ERROR",1,0)</x:f>
        <x:v>0</x:v>
      </x:c>
      <x:c r="E88" t="str">
        <x:v>Order:14:3</x:v>
      </x:c>
      <x:c r="F88" t="str">
        <x:f>IF(COUNTIF('02_clients_raw'!$A$2:$A$67,'01_orders_raw'!C14)&gt;1,"Неоднозначная связь","Нет связи")</x:f>
        <x:v>Нет связи</x:v>
      </x:c>
      <x:c r="G88" t="str">
        <x:v>High</x:v>
      </x:c>
      <x:c r="H88" t="str">
        <x:v>client_id</x:v>
      </x:c>
      <x:c r="I88" t="str">
        <x:v>Исправить ссылку или разрешить дубли связанного ID</x:v>
      </x:c>
      <x:c r="J88" t="n">
        <x:f>IF(D88=1,K88,0)</x:f>
        <x:v>0</x:v>
      </x:c>
      <x:c r="K88" t="n">
        <x:f>D88+K87</x:f>
        <x:v>2</x:v>
      </x:c>
    </x:row>
    <x:row r="89">
      <x:c r="A89" t="str">
        <x:v>Order</x:v>
      </x:c>
      <x:c r="B89" t="n">
        <x:f>'04_checks'!B14</x:f>
        <x:v>1013</x:v>
      </x:c>
      <x:c r="C89" t="n">
        <x:v>14</x:v>
      </x:c>
      <x:c r="D89" t="n">
        <x:f>IF('04_checks'!F14="ERROR",1,0)</x:f>
        <x:v>0</x:v>
      </x:c>
      <x:c r="E89" t="str">
        <x:v>Order:14:4</x:v>
      </x:c>
      <x:c r="F89" t="str">
        <x:v>Ошибка расчета</x:v>
      </x:c>
      <x:c r="G89" t="str">
        <x:v>High</x:v>
      </x:c>
      <x:c r="H89" t="str">
        <x:v>quantity/price/order_sum</x:v>
      </x:c>
      <x:c r="I89" t="str">
        <x:v>Сверить исходные значения и правило расчёта</x:v>
      </x:c>
      <x:c r="J89" t="n">
        <x:f>IF(D89=1,K89,0)</x:f>
        <x:v>0</x:v>
      </x:c>
      <x:c r="K89" t="n">
        <x:f>D89+K88</x:f>
        <x:v>2</x:v>
      </x:c>
    </x:row>
    <x:row r="90">
      <x:c r="A90" t="str">
        <x:v>Order</x:v>
      </x:c>
      <x:c r="B90" t="n">
        <x:f>'04_checks'!B14</x:f>
        <x:v>1013</x:v>
      </x:c>
      <x:c r="C90" t="n">
        <x:v>14</x:v>
      </x:c>
      <x:c r="D90" t="n">
        <x:f>IF('04_checks'!G14="ERROR",1,0)</x:f>
        <x:v>0</x:v>
      </x:c>
      <x:c r="E90" t="str">
        <x:v>Order:14:5</x:v>
      </x:c>
      <x:c r="F90" t="str">
        <x:v>Отрицательная цена</x:v>
      </x:c>
      <x:c r="G90" t="str">
        <x:v>High</x:v>
      </x:c>
      <x:c r="H90" t="str">
        <x:v>price</x:v>
      </x:c>
      <x:c r="I90" t="str">
        <x:v>Проверить цену в источнике</x:v>
      </x:c>
      <x:c r="J90" t="n">
        <x:f>IF(D90=1,K90,0)</x:f>
        <x:v>0</x:v>
      </x:c>
      <x:c r="K90" t="n">
        <x:f>D90+K89</x:f>
        <x:v>2</x:v>
      </x:c>
    </x:row>
    <x:row r="91">
      <x:c r="A91" t="str">
        <x:v>Order</x:v>
      </x:c>
      <x:c r="B91" t="n">
        <x:f>'04_checks'!B14</x:f>
        <x:v>1013</x:v>
      </x:c>
      <x:c r="C91" t="n">
        <x:v>14</x:v>
      </x:c>
      <x:c r="D91" t="n">
        <x:f>IF('04_checks'!H14="ERROR",1,0)</x:f>
        <x:v>0</x:v>
      </x:c>
      <x:c r="E91" t="str">
        <x:v>Order:14:6</x:v>
      </x:c>
      <x:c r="F91" t="str">
        <x:v>Дата</x:v>
      </x:c>
      <x:c r="G91" t="str">
        <x:v>Medium</x:v>
      </x:c>
      <x:c r="H91" t="str">
        <x:v>order_date</x:v>
      </x:c>
      <x:c r="I91" t="str">
        <x:v>Сверить дату со срезом и исходной записью</x:v>
      </x:c>
      <x:c r="J91" t="n">
        <x:f>IF(D91=1,K91,0)</x:f>
        <x:v>0</x:v>
      </x:c>
      <x:c r="K91" t="n">
        <x:f>D91+K90</x:f>
        <x:v>2</x:v>
      </x:c>
    </x:row>
    <x:row r="92">
      <x:c r="A92" t="str">
        <x:v>Order</x:v>
      </x:c>
      <x:c r="B92" t="n">
        <x:f>'04_checks'!B14</x:f>
        <x:v>1013</x:v>
      </x:c>
      <x:c r="C92" t="n">
        <x:v>14</x:v>
      </x:c>
      <x:c r="D92" t="n">
        <x:f>IF('04_checks'!I14="ERROR",1,0)</x:f>
        <x:v>0</x:v>
      </x:c>
      <x:c r="E92" t="str">
        <x:v>Order:14:7</x:v>
      </x:c>
      <x:c r="F92" t="str">
        <x:v>Статус</x:v>
      </x:c>
      <x:c r="G92" t="str">
        <x:v>Medium</x:v>
      </x:c>
      <x:c r="H92" t="str">
        <x:v>status</x:v>
      </x:c>
      <x:c r="I92" t="str">
        <x:v>Выбрать допустимый статус</x:v>
      </x:c>
      <x:c r="J92" t="n">
        <x:f>IF(D92=1,K92,0)</x:f>
        <x:v>0</x:v>
      </x:c>
      <x:c r="K92" t="n">
        <x:f>D92+K91</x:f>
        <x:v>2</x:v>
      </x:c>
    </x:row>
    <x:row r="93">
      <x:c r="A93" t="str">
        <x:v>Order</x:v>
      </x:c>
      <x:c r="B93" t="n">
        <x:f>'04_checks'!B15</x:f>
        <x:v>1014</x:v>
      </x:c>
      <x:c r="C93" t="n">
        <x:v>15</x:v>
      </x:c>
      <x:c r="D93" t="n">
        <x:f>IF('04_checks'!C15="ERROR",1,0)</x:f>
        <x:v>0</x:v>
      </x:c>
      <x:c r="E93" t="str">
        <x:v>Order:15:1</x:v>
      </x:c>
      <x:c r="F93" t="str">
        <x:v>Дубль</x:v>
      </x:c>
      <x:c r="G93" t="str">
        <x:v>High</x:v>
      </x:c>
      <x:c r="H93" t="str">
        <x:v>order_id</x:v>
      </x:c>
      <x:c r="I93" t="str">
        <x:v>Проверить уникальность ID в источнике; не удалять записи автоматически</x:v>
      </x:c>
      <x:c r="J93" t="n">
        <x:f>IF(D93=1,K93,0)</x:f>
        <x:v>0</x:v>
      </x:c>
      <x:c r="K93" t="n">
        <x:f>D93+K92</x:f>
        <x:v>2</x:v>
      </x:c>
    </x:row>
    <x:row r="94">
      <x:c r="A94" t="str">
        <x:v>Order</x:v>
      </x:c>
      <x:c r="B94" t="n">
        <x:f>'04_checks'!B15</x:f>
        <x:v>1014</x:v>
      </x:c>
      <x:c r="C94" t="n">
        <x:v>15</x:v>
      </x:c>
      <x:c r="D94" t="n">
        <x:f>IF('04_checks'!D15="ERROR",1,0)</x:f>
        <x:v>0</x:v>
      </x:c>
      <x:c r="E94" t="str">
        <x:v>Order:15:2</x:v>
      </x:c>
      <x:c r="F94" t="str">
        <x:v>Пустое поле</x:v>
      </x:c>
      <x:c r="G94" t="str">
        <x:v>High</x:v>
      </x:c>
      <x:c r="H94" t="str">
        <x:v>required_fields</x:v>
      </x:c>
      <x:c r="I94" t="str">
        <x:v>Дополнить обязательные поля в источнике</x:v>
      </x:c>
      <x:c r="J94" t="n">
        <x:f>IF(D94=1,K94,0)</x:f>
        <x:v>0</x:v>
      </x:c>
      <x:c r="K94" t="n">
        <x:f>D94+K93</x:f>
        <x:v>2</x:v>
      </x:c>
    </x:row>
    <x:row r="95">
      <x:c r="A95" t="str">
        <x:v>Order</x:v>
      </x:c>
      <x:c r="B95" t="n">
        <x:f>'04_checks'!B15</x:f>
        <x:v>1014</x:v>
      </x:c>
      <x:c r="C95" t="n">
        <x:v>15</x:v>
      </x:c>
      <x:c r="D95" t="n">
        <x:f>IF('04_checks'!E15="ERROR",1,0)</x:f>
        <x:v>0</x:v>
      </x:c>
      <x:c r="E95" t="str">
        <x:v>Order:15:3</x:v>
      </x:c>
      <x:c r="F95" t="str">
        <x:f>IF(COUNTIF('02_clients_raw'!$A$2:$A$67,'01_orders_raw'!C15)&gt;1,"Неоднозначная связь","Нет связи")</x:f>
        <x:v>Нет связи</x:v>
      </x:c>
      <x:c r="G95" t="str">
        <x:v>High</x:v>
      </x:c>
      <x:c r="H95" t="str">
        <x:v>client_id</x:v>
      </x:c>
      <x:c r="I95" t="str">
        <x:v>Исправить ссылку или разрешить дубли связанного ID</x:v>
      </x:c>
      <x:c r="J95" t="n">
        <x:f>IF(D95=1,K95,0)</x:f>
        <x:v>0</x:v>
      </x:c>
      <x:c r="K95" t="n">
        <x:f>D95+K94</x:f>
        <x:v>2</x:v>
      </x:c>
    </x:row>
    <x:row r="96">
      <x:c r="A96" t="str">
        <x:v>Order</x:v>
      </x:c>
      <x:c r="B96" t="n">
        <x:f>'04_checks'!B15</x:f>
        <x:v>1014</x:v>
      </x:c>
      <x:c r="C96" t="n">
        <x:v>15</x:v>
      </x:c>
      <x:c r="D96" t="n">
        <x:f>IF('04_checks'!F15="ERROR",1,0)</x:f>
        <x:v>0</x:v>
      </x:c>
      <x:c r="E96" t="str">
        <x:v>Order:15:4</x:v>
      </x:c>
      <x:c r="F96" t="str">
        <x:v>Ошибка расчета</x:v>
      </x:c>
      <x:c r="G96" t="str">
        <x:v>High</x:v>
      </x:c>
      <x:c r="H96" t="str">
        <x:v>quantity/price/order_sum</x:v>
      </x:c>
      <x:c r="I96" t="str">
        <x:v>Сверить исходные значения и правило расчёта</x:v>
      </x:c>
      <x:c r="J96" t="n">
        <x:f>IF(D96=1,K96,0)</x:f>
        <x:v>0</x:v>
      </x:c>
      <x:c r="K96" t="n">
        <x:f>D96+K95</x:f>
        <x:v>2</x:v>
      </x:c>
    </x:row>
    <x:row r="97">
      <x:c r="A97" t="str">
        <x:v>Order</x:v>
      </x:c>
      <x:c r="B97" t="n">
        <x:f>'04_checks'!B15</x:f>
        <x:v>1014</x:v>
      </x:c>
      <x:c r="C97" t="n">
        <x:v>15</x:v>
      </x:c>
      <x:c r="D97" t="n">
        <x:f>IF('04_checks'!G15="ERROR",1,0)</x:f>
        <x:v>0</x:v>
      </x:c>
      <x:c r="E97" t="str">
        <x:v>Order:15:5</x:v>
      </x:c>
      <x:c r="F97" t="str">
        <x:v>Отрицательная цена</x:v>
      </x:c>
      <x:c r="G97" t="str">
        <x:v>High</x:v>
      </x:c>
      <x:c r="H97" t="str">
        <x:v>price</x:v>
      </x:c>
      <x:c r="I97" t="str">
        <x:v>Проверить цену в источнике</x:v>
      </x:c>
      <x:c r="J97" t="n">
        <x:f>IF(D97=1,K97,0)</x:f>
        <x:v>0</x:v>
      </x:c>
      <x:c r="K97" t="n">
        <x:f>D97+K96</x:f>
        <x:v>2</x:v>
      </x:c>
    </x:row>
    <x:row r="98">
      <x:c r="A98" t="str">
        <x:v>Order</x:v>
      </x:c>
      <x:c r="B98" t="n">
        <x:f>'04_checks'!B15</x:f>
        <x:v>1014</x:v>
      </x:c>
      <x:c r="C98" t="n">
        <x:v>15</x:v>
      </x:c>
      <x:c r="D98" t="n">
        <x:f>IF('04_checks'!H15="ERROR",1,0)</x:f>
        <x:v>0</x:v>
      </x:c>
      <x:c r="E98" t="str">
        <x:v>Order:15:6</x:v>
      </x:c>
      <x:c r="F98" t="str">
        <x:v>Дата</x:v>
      </x:c>
      <x:c r="G98" t="str">
        <x:v>Medium</x:v>
      </x:c>
      <x:c r="H98" t="str">
        <x:v>order_date</x:v>
      </x:c>
      <x:c r="I98" t="str">
        <x:v>Сверить дату со срезом и исходной записью</x:v>
      </x:c>
      <x:c r="J98" t="n">
        <x:f>IF(D98=1,K98,0)</x:f>
        <x:v>0</x:v>
      </x:c>
      <x:c r="K98" t="n">
        <x:f>D98+K97</x:f>
        <x:v>2</x:v>
      </x:c>
    </x:row>
    <x:row r="99">
      <x:c r="A99" t="str">
        <x:v>Order</x:v>
      </x:c>
      <x:c r="B99" t="n">
        <x:f>'04_checks'!B15</x:f>
        <x:v>1014</x:v>
      </x:c>
      <x:c r="C99" t="n">
        <x:v>15</x:v>
      </x:c>
      <x:c r="D99" t="n">
        <x:f>IF('04_checks'!I15="ERROR",1,0)</x:f>
        <x:v>0</x:v>
      </x:c>
      <x:c r="E99" t="str">
        <x:v>Order:15:7</x:v>
      </x:c>
      <x:c r="F99" t="str">
        <x:v>Статус</x:v>
      </x:c>
      <x:c r="G99" t="str">
        <x:v>Medium</x:v>
      </x:c>
      <x:c r="H99" t="str">
        <x:v>status</x:v>
      </x:c>
      <x:c r="I99" t="str">
        <x:v>Выбрать допустимый статус</x:v>
      </x:c>
      <x:c r="J99" t="n">
        <x:f>IF(D99=1,K99,0)</x:f>
        <x:v>0</x:v>
      </x:c>
      <x:c r="K99" t="n">
        <x:f>D99+K98</x:f>
        <x:v>2</x:v>
      </x:c>
    </x:row>
    <x:row r="100">
      <x:c r="A100" t="str">
        <x:v>Order</x:v>
      </x:c>
      <x:c r="B100" t="n">
        <x:f>'04_checks'!B16</x:f>
        <x:v>1015</x:v>
      </x:c>
      <x:c r="C100" t="n">
        <x:v>16</x:v>
      </x:c>
      <x:c r="D100" t="n">
        <x:f>IF('04_checks'!C16="ERROR",1,0)</x:f>
        <x:v>0</x:v>
      </x:c>
      <x:c r="E100" t="str">
        <x:v>Order:16:1</x:v>
      </x:c>
      <x:c r="F100" t="str">
        <x:v>Дубль</x:v>
      </x:c>
      <x:c r="G100" t="str">
        <x:v>High</x:v>
      </x:c>
      <x:c r="H100" t="str">
        <x:v>order_id</x:v>
      </x:c>
      <x:c r="I100" t="str">
        <x:v>Проверить уникальность ID в источнике; не удалять записи автоматически</x:v>
      </x:c>
      <x:c r="J100" t="n">
        <x:f>IF(D100=1,K100,0)</x:f>
        <x:v>0</x:v>
      </x:c>
      <x:c r="K100" t="n">
        <x:f>D100+K99</x:f>
        <x:v>2</x:v>
      </x:c>
    </x:row>
    <x:row r="101">
      <x:c r="A101" t="str">
        <x:v>Order</x:v>
      </x:c>
      <x:c r="B101" t="n">
        <x:f>'04_checks'!B16</x:f>
        <x:v>1015</x:v>
      </x:c>
      <x:c r="C101" t="n">
        <x:v>16</x:v>
      </x:c>
      <x:c r="D101" t="n">
        <x:f>IF('04_checks'!D16="ERROR",1,0)</x:f>
        <x:v>0</x:v>
      </x:c>
      <x:c r="E101" t="str">
        <x:v>Order:16:2</x:v>
      </x:c>
      <x:c r="F101" t="str">
        <x:v>Пустое поле</x:v>
      </x:c>
      <x:c r="G101" t="str">
        <x:v>High</x:v>
      </x:c>
      <x:c r="H101" t="str">
        <x:v>required_fields</x:v>
      </x:c>
      <x:c r="I101" t="str">
        <x:v>Дополнить обязательные поля в источнике</x:v>
      </x:c>
      <x:c r="J101" t="n">
        <x:f>IF(D101=1,K101,0)</x:f>
        <x:v>0</x:v>
      </x:c>
      <x:c r="K101" t="n">
        <x:f>D101+K100</x:f>
        <x:v>2</x:v>
      </x:c>
    </x:row>
    <x:row r="102">
      <x:c r="A102" t="str">
        <x:v>Order</x:v>
      </x:c>
      <x:c r="B102" t="n">
        <x:f>'04_checks'!B16</x:f>
        <x:v>1015</x:v>
      </x:c>
      <x:c r="C102" t="n">
        <x:v>16</x:v>
      </x:c>
      <x:c r="D102" t="n">
        <x:f>IF('04_checks'!E16="ERROR",1,0)</x:f>
        <x:v>0</x:v>
      </x:c>
      <x:c r="E102" t="str">
        <x:v>Order:16:3</x:v>
      </x:c>
      <x:c r="F102" t="str">
        <x:f>IF(COUNTIF('02_clients_raw'!$A$2:$A$67,'01_orders_raw'!C16)&gt;1,"Неоднозначная связь","Нет связи")</x:f>
        <x:v>Нет связи</x:v>
      </x:c>
      <x:c r="G102" t="str">
        <x:v>High</x:v>
      </x:c>
      <x:c r="H102" t="str">
        <x:v>client_id</x:v>
      </x:c>
      <x:c r="I102" t="str">
        <x:v>Исправить ссылку или разрешить дубли связанного ID</x:v>
      </x:c>
      <x:c r="J102" t="n">
        <x:f>IF(D102=1,K102,0)</x:f>
        <x:v>0</x:v>
      </x:c>
      <x:c r="K102" t="n">
        <x:f>D102+K101</x:f>
        <x:v>2</x:v>
      </x:c>
    </x:row>
    <x:row r="103">
      <x:c r="A103" t="str">
        <x:v>Order</x:v>
      </x:c>
      <x:c r="B103" t="n">
        <x:f>'04_checks'!B16</x:f>
        <x:v>1015</x:v>
      </x:c>
      <x:c r="C103" t="n">
        <x:v>16</x:v>
      </x:c>
      <x:c r="D103" t="n">
        <x:f>IF('04_checks'!F16="ERROR",1,0)</x:f>
        <x:v>0</x:v>
      </x:c>
      <x:c r="E103" t="str">
        <x:v>Order:16:4</x:v>
      </x:c>
      <x:c r="F103" t="str">
        <x:v>Ошибка расчета</x:v>
      </x:c>
      <x:c r="G103" t="str">
        <x:v>High</x:v>
      </x:c>
      <x:c r="H103" t="str">
        <x:v>quantity/price/order_sum</x:v>
      </x:c>
      <x:c r="I103" t="str">
        <x:v>Сверить исходные значения и правило расчёта</x:v>
      </x:c>
      <x:c r="J103" t="n">
        <x:f>IF(D103=1,K103,0)</x:f>
        <x:v>0</x:v>
      </x:c>
      <x:c r="K103" t="n">
        <x:f>D103+K102</x:f>
        <x:v>2</x:v>
      </x:c>
    </x:row>
    <x:row r="104">
      <x:c r="A104" t="str">
        <x:v>Order</x:v>
      </x:c>
      <x:c r="B104" t="n">
        <x:f>'04_checks'!B16</x:f>
        <x:v>1015</x:v>
      </x:c>
      <x:c r="C104" t="n">
        <x:v>16</x:v>
      </x:c>
      <x:c r="D104" t="n">
        <x:f>IF('04_checks'!G16="ERROR",1,0)</x:f>
        <x:v>0</x:v>
      </x:c>
      <x:c r="E104" t="str">
        <x:v>Order:16:5</x:v>
      </x:c>
      <x:c r="F104" t="str">
        <x:v>Отрицательная цена</x:v>
      </x:c>
      <x:c r="G104" t="str">
        <x:v>High</x:v>
      </x:c>
      <x:c r="H104" t="str">
        <x:v>price</x:v>
      </x:c>
      <x:c r="I104" t="str">
        <x:v>Проверить цену в источнике</x:v>
      </x:c>
      <x:c r="J104" t="n">
        <x:f>IF(D104=1,K104,0)</x:f>
        <x:v>0</x:v>
      </x:c>
      <x:c r="K104" t="n">
        <x:f>D104+K103</x:f>
        <x:v>2</x:v>
      </x:c>
    </x:row>
    <x:row r="105">
      <x:c r="A105" t="str">
        <x:v>Order</x:v>
      </x:c>
      <x:c r="B105" t="n">
        <x:f>'04_checks'!B16</x:f>
        <x:v>1015</x:v>
      </x:c>
      <x:c r="C105" t="n">
        <x:v>16</x:v>
      </x:c>
      <x:c r="D105" t="n">
        <x:f>IF('04_checks'!H16="ERROR",1,0)</x:f>
        <x:v>0</x:v>
      </x:c>
      <x:c r="E105" t="str">
        <x:v>Order:16:6</x:v>
      </x:c>
      <x:c r="F105" t="str">
        <x:v>Дата</x:v>
      </x:c>
      <x:c r="G105" t="str">
        <x:v>Medium</x:v>
      </x:c>
      <x:c r="H105" t="str">
        <x:v>order_date</x:v>
      </x:c>
      <x:c r="I105" t="str">
        <x:v>Сверить дату со срезом и исходной записью</x:v>
      </x:c>
      <x:c r="J105" t="n">
        <x:f>IF(D105=1,K105,0)</x:f>
        <x:v>0</x:v>
      </x:c>
      <x:c r="K105" t="n">
        <x:f>D105+K104</x:f>
        <x:v>2</x:v>
      </x:c>
    </x:row>
    <x:row r="106">
      <x:c r="A106" t="str">
        <x:v>Order</x:v>
      </x:c>
      <x:c r="B106" t="n">
        <x:f>'04_checks'!B16</x:f>
        <x:v>1015</x:v>
      </x:c>
      <x:c r="C106" t="n">
        <x:v>16</x:v>
      </x:c>
      <x:c r="D106" t="n">
        <x:f>IF('04_checks'!I16="ERROR",1,0)</x:f>
        <x:v>0</x:v>
      </x:c>
      <x:c r="E106" t="str">
        <x:v>Order:16:7</x:v>
      </x:c>
      <x:c r="F106" t="str">
        <x:v>Статус</x:v>
      </x:c>
      <x:c r="G106" t="str">
        <x:v>Medium</x:v>
      </x:c>
      <x:c r="H106" t="str">
        <x:v>status</x:v>
      </x:c>
      <x:c r="I106" t="str">
        <x:v>Выбрать допустимый статус</x:v>
      </x:c>
      <x:c r="J106" t="n">
        <x:f>IF(D106=1,K106,0)</x:f>
        <x:v>0</x:v>
      </x:c>
      <x:c r="K106" t="n">
        <x:f>D106+K105</x:f>
        <x:v>2</x:v>
      </x:c>
    </x:row>
    <x:row r="107">
      <x:c r="A107" t="str">
        <x:v>Order</x:v>
      </x:c>
      <x:c r="B107" t="n">
        <x:f>'04_checks'!B17</x:f>
        <x:v>1016</x:v>
      </x:c>
      <x:c r="C107" t="n">
        <x:v>17</x:v>
      </x:c>
      <x:c r="D107" t="n">
        <x:f>IF('04_checks'!C17="ERROR",1,0)</x:f>
        <x:v>0</x:v>
      </x:c>
      <x:c r="E107" t="str">
        <x:v>Order:17:1</x:v>
      </x:c>
      <x:c r="F107" t="str">
        <x:v>Дубль</x:v>
      </x:c>
      <x:c r="G107" t="str">
        <x:v>High</x:v>
      </x:c>
      <x:c r="H107" t="str">
        <x:v>order_id</x:v>
      </x:c>
      <x:c r="I107" t="str">
        <x:v>Проверить уникальность ID в источнике; не удалять записи автоматически</x:v>
      </x:c>
      <x:c r="J107" t="n">
        <x:f>IF(D107=1,K107,0)</x:f>
        <x:v>0</x:v>
      </x:c>
      <x:c r="K107" t="n">
        <x:f>D107+K106</x:f>
        <x:v>2</x:v>
      </x:c>
    </x:row>
    <x:row r="108">
      <x:c r="A108" t="str">
        <x:v>Order</x:v>
      </x:c>
      <x:c r="B108" t="n">
        <x:f>'04_checks'!B17</x:f>
        <x:v>1016</x:v>
      </x:c>
      <x:c r="C108" t="n">
        <x:v>17</x:v>
      </x:c>
      <x:c r="D108" t="n">
        <x:f>IF('04_checks'!D17="ERROR",1,0)</x:f>
        <x:v>1</x:v>
      </x:c>
      <x:c r="E108" t="str">
        <x:v>Order:17:2</x:v>
      </x:c>
      <x:c r="F108" t="str">
        <x:v>Пустое поле</x:v>
      </x:c>
      <x:c r="G108" t="str">
        <x:v>High</x:v>
      </x:c>
      <x:c r="H108" t="str">
        <x:v>required_fields</x:v>
      </x:c>
      <x:c r="I108" t="str">
        <x:v>Дополнить обязательные поля в источнике</x:v>
      </x:c>
      <x:c r="J108" t="n">
        <x:f>IF(D108=1,K108,0)</x:f>
        <x:v>3</x:v>
      </x:c>
      <x:c r="K108" t="n">
        <x:f>D108+K107</x:f>
        <x:v>3</x:v>
      </x:c>
    </x:row>
    <x:row r="109">
      <x:c r="A109" t="str">
        <x:v>Order</x:v>
      </x:c>
      <x:c r="B109" t="n">
        <x:f>'04_checks'!B17</x:f>
        <x:v>1016</x:v>
      </x:c>
      <x:c r="C109" t="n">
        <x:v>17</x:v>
      </x:c>
      <x:c r="D109" t="n">
        <x:f>IF('04_checks'!E17="ERROR",1,0)</x:f>
        <x:v>0</x:v>
      </x:c>
      <x:c r="E109" t="str">
        <x:v>Order:17:3</x:v>
      </x:c>
      <x:c r="F109" t="str">
        <x:f>IF(COUNTIF('02_clients_raw'!$A$2:$A$67,'01_orders_raw'!C17)&gt;1,"Неоднозначная связь","Нет связи")</x:f>
        <x:v>Нет связи</x:v>
      </x:c>
      <x:c r="G109" t="str">
        <x:v>High</x:v>
      </x:c>
      <x:c r="H109" t="str">
        <x:v>client_id</x:v>
      </x:c>
      <x:c r="I109" t="str">
        <x:v>Исправить ссылку или разрешить дубли связанного ID</x:v>
      </x:c>
      <x:c r="J109" t="n">
        <x:f>IF(D109=1,K109,0)</x:f>
        <x:v>0</x:v>
      </x:c>
      <x:c r="K109" t="n">
        <x:f>D109+K108</x:f>
        <x:v>3</x:v>
      </x:c>
    </x:row>
    <x:row r="110">
      <x:c r="A110" t="str">
        <x:v>Order</x:v>
      </x:c>
      <x:c r="B110" t="n">
        <x:f>'04_checks'!B17</x:f>
        <x:v>1016</x:v>
      </x:c>
      <x:c r="C110" t="n">
        <x:v>17</x:v>
      </x:c>
      <x:c r="D110" t="n">
        <x:f>IF('04_checks'!F17="ERROR",1,0)</x:f>
        <x:v>0</x:v>
      </x:c>
      <x:c r="E110" t="str">
        <x:v>Order:17:4</x:v>
      </x:c>
      <x:c r="F110" t="str">
        <x:v>Ошибка расчета</x:v>
      </x:c>
      <x:c r="G110" t="str">
        <x:v>High</x:v>
      </x:c>
      <x:c r="H110" t="str">
        <x:v>quantity/price/order_sum</x:v>
      </x:c>
      <x:c r="I110" t="str">
        <x:v>Сверить исходные значения и правило расчёта</x:v>
      </x:c>
      <x:c r="J110" t="n">
        <x:f>IF(D110=1,K110,0)</x:f>
        <x:v>0</x:v>
      </x:c>
      <x:c r="K110" t="n">
        <x:f>D110+K109</x:f>
        <x:v>3</x:v>
      </x:c>
    </x:row>
    <x:row r="111">
      <x:c r="A111" t="str">
        <x:v>Order</x:v>
      </x:c>
      <x:c r="B111" t="n">
        <x:f>'04_checks'!B17</x:f>
        <x:v>1016</x:v>
      </x:c>
      <x:c r="C111" t="n">
        <x:v>17</x:v>
      </x:c>
      <x:c r="D111" t="n">
        <x:f>IF('04_checks'!G17="ERROR",1,0)</x:f>
        <x:v>0</x:v>
      </x:c>
      <x:c r="E111" t="str">
        <x:v>Order:17:5</x:v>
      </x:c>
      <x:c r="F111" t="str">
        <x:v>Отрицательная цена</x:v>
      </x:c>
      <x:c r="G111" t="str">
        <x:v>High</x:v>
      </x:c>
      <x:c r="H111" t="str">
        <x:v>price</x:v>
      </x:c>
      <x:c r="I111" t="str">
        <x:v>Проверить цену в источнике</x:v>
      </x:c>
      <x:c r="J111" t="n">
        <x:f>IF(D111=1,K111,0)</x:f>
        <x:v>0</x:v>
      </x:c>
      <x:c r="K111" t="n">
        <x:f>D111+K110</x:f>
        <x:v>3</x:v>
      </x:c>
    </x:row>
    <x:row r="112">
      <x:c r="A112" t="str">
        <x:v>Order</x:v>
      </x:c>
      <x:c r="B112" t="n">
        <x:f>'04_checks'!B17</x:f>
        <x:v>1016</x:v>
      </x:c>
      <x:c r="C112" t="n">
        <x:v>17</x:v>
      </x:c>
      <x:c r="D112" t="n">
        <x:f>IF('04_checks'!H17="ERROR",1,0)</x:f>
        <x:v>0</x:v>
      </x:c>
      <x:c r="E112" t="str">
        <x:v>Order:17:6</x:v>
      </x:c>
      <x:c r="F112" t="str">
        <x:v>Дата</x:v>
      </x:c>
      <x:c r="G112" t="str">
        <x:v>Medium</x:v>
      </x:c>
      <x:c r="H112" t="str">
        <x:v>order_date</x:v>
      </x:c>
      <x:c r="I112" t="str">
        <x:v>Сверить дату со срезом и исходной записью</x:v>
      </x:c>
      <x:c r="J112" t="n">
        <x:f>IF(D112=1,K112,0)</x:f>
        <x:v>0</x:v>
      </x:c>
      <x:c r="K112" t="n">
        <x:f>D112+K111</x:f>
        <x:v>3</x:v>
      </x:c>
    </x:row>
    <x:row r="113">
      <x:c r="A113" t="str">
        <x:v>Order</x:v>
      </x:c>
      <x:c r="B113" t="n">
        <x:f>'04_checks'!B17</x:f>
        <x:v>1016</x:v>
      </x:c>
      <x:c r="C113" t="n">
        <x:v>17</x:v>
      </x:c>
      <x:c r="D113" t="n">
        <x:f>IF('04_checks'!I17="ERROR",1,0)</x:f>
        <x:v>0</x:v>
      </x:c>
      <x:c r="E113" t="str">
        <x:v>Order:17:7</x:v>
      </x:c>
      <x:c r="F113" t="str">
        <x:v>Статус</x:v>
      </x:c>
      <x:c r="G113" t="str">
        <x:v>Medium</x:v>
      </x:c>
      <x:c r="H113" t="str">
        <x:v>status</x:v>
      </x:c>
      <x:c r="I113" t="str">
        <x:v>Выбрать допустимый статус</x:v>
      </x:c>
      <x:c r="J113" t="n">
        <x:f>IF(D113=1,K113,0)</x:f>
        <x:v>0</x:v>
      </x:c>
      <x:c r="K113" t="n">
        <x:f>D113+K112</x:f>
        <x:v>3</x:v>
      </x:c>
    </x:row>
    <x:row r="114">
      <x:c r="A114" t="str">
        <x:v>Order</x:v>
      </x:c>
      <x:c r="B114" t="n">
        <x:f>'04_checks'!B18</x:f>
        <x:v>1017</x:v>
      </x:c>
      <x:c r="C114" t="n">
        <x:v>18</x:v>
      </x:c>
      <x:c r="D114" t="n">
        <x:f>IF('04_checks'!C18="ERROR",1,0)</x:f>
        <x:v>0</x:v>
      </x:c>
      <x:c r="E114" t="str">
        <x:v>Order:18:1</x:v>
      </x:c>
      <x:c r="F114" t="str">
        <x:v>Дубль</x:v>
      </x:c>
      <x:c r="G114" t="str">
        <x:v>High</x:v>
      </x:c>
      <x:c r="H114" t="str">
        <x:v>order_id</x:v>
      </x:c>
      <x:c r="I114" t="str">
        <x:v>Проверить уникальность ID в источнике; не удалять записи автоматически</x:v>
      </x:c>
      <x:c r="J114" t="n">
        <x:f>IF(D114=1,K114,0)</x:f>
        <x:v>0</x:v>
      </x:c>
      <x:c r="K114" t="n">
        <x:f>D114+K113</x:f>
        <x:v>3</x:v>
      </x:c>
    </x:row>
    <x:row r="115">
      <x:c r="A115" t="str">
        <x:v>Order</x:v>
      </x:c>
      <x:c r="B115" t="n">
        <x:f>'04_checks'!B18</x:f>
        <x:v>1017</x:v>
      </x:c>
      <x:c r="C115" t="n">
        <x:v>18</x:v>
      </x:c>
      <x:c r="D115" t="n">
        <x:f>IF('04_checks'!D18="ERROR",1,0)</x:f>
        <x:v>0</x:v>
      </x:c>
      <x:c r="E115" t="str">
        <x:v>Order:18:2</x:v>
      </x:c>
      <x:c r="F115" t="str">
        <x:v>Пустое поле</x:v>
      </x:c>
      <x:c r="G115" t="str">
        <x:v>High</x:v>
      </x:c>
      <x:c r="H115" t="str">
        <x:v>required_fields</x:v>
      </x:c>
      <x:c r="I115" t="str">
        <x:v>Дополнить обязательные поля в источнике</x:v>
      </x:c>
      <x:c r="J115" t="n">
        <x:f>IF(D115=1,K115,0)</x:f>
        <x:v>0</x:v>
      </x:c>
      <x:c r="K115" t="n">
        <x:f>D115+K114</x:f>
        <x:v>3</x:v>
      </x:c>
    </x:row>
    <x:row r="116">
      <x:c r="A116" t="str">
        <x:v>Order</x:v>
      </x:c>
      <x:c r="B116" t="n">
        <x:f>'04_checks'!B18</x:f>
        <x:v>1017</x:v>
      </x:c>
      <x:c r="C116" t="n">
        <x:v>18</x:v>
      </x:c>
      <x:c r="D116" t="n">
        <x:f>IF('04_checks'!E18="ERROR",1,0)</x:f>
        <x:v>0</x:v>
      </x:c>
      <x:c r="E116" t="str">
        <x:v>Order:18:3</x:v>
      </x:c>
      <x:c r="F116" t="str">
        <x:f>IF(COUNTIF('02_clients_raw'!$A$2:$A$67,'01_orders_raw'!C18)&gt;1,"Неоднозначная связь","Нет связи")</x:f>
        <x:v>Нет связи</x:v>
      </x:c>
      <x:c r="G116" t="str">
        <x:v>High</x:v>
      </x:c>
      <x:c r="H116" t="str">
        <x:v>client_id</x:v>
      </x:c>
      <x:c r="I116" t="str">
        <x:v>Исправить ссылку или разрешить дубли связанного ID</x:v>
      </x:c>
      <x:c r="J116" t="n">
        <x:f>IF(D116=1,K116,0)</x:f>
        <x:v>0</x:v>
      </x:c>
      <x:c r="K116" t="n">
        <x:f>D116+K115</x:f>
        <x:v>3</x:v>
      </x:c>
    </x:row>
    <x:row r="117">
      <x:c r="A117" t="str">
        <x:v>Order</x:v>
      </x:c>
      <x:c r="B117" t="n">
        <x:f>'04_checks'!B18</x:f>
        <x:v>1017</x:v>
      </x:c>
      <x:c r="C117" t="n">
        <x:v>18</x:v>
      </x:c>
      <x:c r="D117" t="n">
        <x:f>IF('04_checks'!F18="ERROR",1,0)</x:f>
        <x:v>0</x:v>
      </x:c>
      <x:c r="E117" t="str">
        <x:v>Order:18:4</x:v>
      </x:c>
      <x:c r="F117" t="str">
        <x:v>Ошибка расчета</x:v>
      </x:c>
      <x:c r="G117" t="str">
        <x:v>High</x:v>
      </x:c>
      <x:c r="H117" t="str">
        <x:v>quantity/price/order_sum</x:v>
      </x:c>
      <x:c r="I117" t="str">
        <x:v>Сверить исходные значения и правило расчёта</x:v>
      </x:c>
      <x:c r="J117" t="n">
        <x:f>IF(D117=1,K117,0)</x:f>
        <x:v>0</x:v>
      </x:c>
      <x:c r="K117" t="n">
        <x:f>D117+K116</x:f>
        <x:v>3</x:v>
      </x:c>
    </x:row>
    <x:row r="118">
      <x:c r="A118" t="str">
        <x:v>Order</x:v>
      </x:c>
      <x:c r="B118" t="n">
        <x:f>'04_checks'!B18</x:f>
        <x:v>1017</x:v>
      </x:c>
      <x:c r="C118" t="n">
        <x:v>18</x:v>
      </x:c>
      <x:c r="D118" t="n">
        <x:f>IF('04_checks'!G18="ERROR",1,0)</x:f>
        <x:v>0</x:v>
      </x:c>
      <x:c r="E118" t="str">
        <x:v>Order:18:5</x:v>
      </x:c>
      <x:c r="F118" t="str">
        <x:v>Отрицательная цена</x:v>
      </x:c>
      <x:c r="G118" t="str">
        <x:v>High</x:v>
      </x:c>
      <x:c r="H118" t="str">
        <x:v>price</x:v>
      </x:c>
      <x:c r="I118" t="str">
        <x:v>Проверить цену в источнике</x:v>
      </x:c>
      <x:c r="J118" t="n">
        <x:f>IF(D118=1,K118,0)</x:f>
        <x:v>0</x:v>
      </x:c>
      <x:c r="K118" t="n">
        <x:f>D118+K117</x:f>
        <x:v>3</x:v>
      </x:c>
    </x:row>
    <x:row r="119">
      <x:c r="A119" t="str">
        <x:v>Order</x:v>
      </x:c>
      <x:c r="B119" t="n">
        <x:f>'04_checks'!B18</x:f>
        <x:v>1017</x:v>
      </x:c>
      <x:c r="C119" t="n">
        <x:v>18</x:v>
      </x:c>
      <x:c r="D119" t="n">
        <x:f>IF('04_checks'!H18="ERROR",1,0)</x:f>
        <x:v>0</x:v>
      </x:c>
      <x:c r="E119" t="str">
        <x:v>Order:18:6</x:v>
      </x:c>
      <x:c r="F119" t="str">
        <x:v>Дата</x:v>
      </x:c>
      <x:c r="G119" t="str">
        <x:v>Medium</x:v>
      </x:c>
      <x:c r="H119" t="str">
        <x:v>order_date</x:v>
      </x:c>
      <x:c r="I119" t="str">
        <x:v>Сверить дату со срезом и исходной записью</x:v>
      </x:c>
      <x:c r="J119" t="n">
        <x:f>IF(D119=1,K119,0)</x:f>
        <x:v>0</x:v>
      </x:c>
      <x:c r="K119" t="n">
        <x:f>D119+K118</x:f>
        <x:v>3</x:v>
      </x:c>
    </x:row>
    <x:row r="120">
      <x:c r="A120" t="str">
        <x:v>Order</x:v>
      </x:c>
      <x:c r="B120" t="n">
        <x:f>'04_checks'!B18</x:f>
        <x:v>1017</x:v>
      </x:c>
      <x:c r="C120" t="n">
        <x:v>18</x:v>
      </x:c>
      <x:c r="D120" t="n">
        <x:f>IF('04_checks'!I18="ERROR",1,0)</x:f>
        <x:v>0</x:v>
      </x:c>
      <x:c r="E120" t="str">
        <x:v>Order:18:7</x:v>
      </x:c>
      <x:c r="F120" t="str">
        <x:v>Статус</x:v>
      </x:c>
      <x:c r="G120" t="str">
        <x:v>Medium</x:v>
      </x:c>
      <x:c r="H120" t="str">
        <x:v>status</x:v>
      </x:c>
      <x:c r="I120" t="str">
        <x:v>Выбрать допустимый статус</x:v>
      </x:c>
      <x:c r="J120" t="n">
        <x:f>IF(D120=1,K120,0)</x:f>
        <x:v>0</x:v>
      </x:c>
      <x:c r="K120" t="n">
        <x:f>D120+K119</x:f>
        <x:v>3</x:v>
      </x:c>
    </x:row>
    <x:row r="121">
      <x:c r="A121" t="str">
        <x:v>Order</x:v>
      </x:c>
      <x:c r="B121" t="n">
        <x:f>'04_checks'!B19</x:f>
        <x:v>1018</x:v>
      </x:c>
      <x:c r="C121" t="n">
        <x:v>19</x:v>
      </x:c>
      <x:c r="D121" t="n">
        <x:f>IF('04_checks'!C19="ERROR",1,0)</x:f>
        <x:v>0</x:v>
      </x:c>
      <x:c r="E121" t="str">
        <x:v>Order:19:1</x:v>
      </x:c>
      <x:c r="F121" t="str">
        <x:v>Дубль</x:v>
      </x:c>
      <x:c r="G121" t="str">
        <x:v>High</x:v>
      </x:c>
      <x:c r="H121" t="str">
        <x:v>order_id</x:v>
      </x:c>
      <x:c r="I121" t="str">
        <x:v>Проверить уникальность ID в источнике; не удалять записи автоматически</x:v>
      </x:c>
      <x:c r="J121" t="n">
        <x:f>IF(D121=1,K121,0)</x:f>
        <x:v>0</x:v>
      </x:c>
      <x:c r="K121" t="n">
        <x:f>D121+K120</x:f>
        <x:v>3</x:v>
      </x:c>
    </x:row>
    <x:row r="122">
      <x:c r="A122" t="str">
        <x:v>Order</x:v>
      </x:c>
      <x:c r="B122" t="n">
        <x:f>'04_checks'!B19</x:f>
        <x:v>1018</x:v>
      </x:c>
      <x:c r="C122" t="n">
        <x:v>19</x:v>
      </x:c>
      <x:c r="D122" t="n">
        <x:f>IF('04_checks'!D19="ERROR",1,0)</x:f>
        <x:v>0</x:v>
      </x:c>
      <x:c r="E122" t="str">
        <x:v>Order:19:2</x:v>
      </x:c>
      <x:c r="F122" t="str">
        <x:v>Пустое поле</x:v>
      </x:c>
      <x:c r="G122" t="str">
        <x:v>High</x:v>
      </x:c>
      <x:c r="H122" t="str">
        <x:v>required_fields</x:v>
      </x:c>
      <x:c r="I122" t="str">
        <x:v>Дополнить обязательные поля в источнике</x:v>
      </x:c>
      <x:c r="J122" t="n">
        <x:f>IF(D122=1,K122,0)</x:f>
        <x:v>0</x:v>
      </x:c>
      <x:c r="K122" t="n">
        <x:f>D122+K121</x:f>
        <x:v>3</x:v>
      </x:c>
    </x:row>
    <x:row r="123">
      <x:c r="A123" t="str">
        <x:v>Order</x:v>
      </x:c>
      <x:c r="B123" t="n">
        <x:f>'04_checks'!B19</x:f>
        <x:v>1018</x:v>
      </x:c>
      <x:c r="C123" t="n">
        <x:v>19</x:v>
      </x:c>
      <x:c r="D123" t="n">
        <x:f>IF('04_checks'!E19="ERROR",1,0)</x:f>
        <x:v>0</x:v>
      </x:c>
      <x:c r="E123" t="str">
        <x:v>Order:19:3</x:v>
      </x:c>
      <x:c r="F123" t="str">
        <x:f>IF(COUNTIF('02_clients_raw'!$A$2:$A$67,'01_orders_raw'!C19)&gt;1,"Неоднозначная связь","Нет связи")</x:f>
        <x:v>Нет связи</x:v>
      </x:c>
      <x:c r="G123" t="str">
        <x:v>High</x:v>
      </x:c>
      <x:c r="H123" t="str">
        <x:v>client_id</x:v>
      </x:c>
      <x:c r="I123" t="str">
        <x:v>Исправить ссылку или разрешить дубли связанного ID</x:v>
      </x:c>
      <x:c r="J123" t="n">
        <x:f>IF(D123=1,K123,0)</x:f>
        <x:v>0</x:v>
      </x:c>
      <x:c r="K123" t="n">
        <x:f>D123+K122</x:f>
        <x:v>3</x:v>
      </x:c>
    </x:row>
    <x:row r="124">
      <x:c r="A124" t="str">
        <x:v>Order</x:v>
      </x:c>
      <x:c r="B124" t="n">
        <x:f>'04_checks'!B19</x:f>
        <x:v>1018</x:v>
      </x:c>
      <x:c r="C124" t="n">
        <x:v>19</x:v>
      </x:c>
      <x:c r="D124" t="n">
        <x:f>IF('04_checks'!F19="ERROR",1,0)</x:f>
        <x:v>0</x:v>
      </x:c>
      <x:c r="E124" t="str">
        <x:v>Order:19:4</x:v>
      </x:c>
      <x:c r="F124" t="str">
        <x:v>Ошибка расчета</x:v>
      </x:c>
      <x:c r="G124" t="str">
        <x:v>High</x:v>
      </x:c>
      <x:c r="H124" t="str">
        <x:v>quantity/price/order_sum</x:v>
      </x:c>
      <x:c r="I124" t="str">
        <x:v>Сверить исходные значения и правило расчёта</x:v>
      </x:c>
      <x:c r="J124" t="n">
        <x:f>IF(D124=1,K124,0)</x:f>
        <x:v>0</x:v>
      </x:c>
      <x:c r="K124" t="n">
        <x:f>D124+K123</x:f>
        <x:v>3</x:v>
      </x:c>
    </x:row>
    <x:row r="125">
      <x:c r="A125" t="str">
        <x:v>Order</x:v>
      </x:c>
      <x:c r="B125" t="n">
        <x:f>'04_checks'!B19</x:f>
        <x:v>1018</x:v>
      </x:c>
      <x:c r="C125" t="n">
        <x:v>19</x:v>
      </x:c>
      <x:c r="D125" t="n">
        <x:f>IF('04_checks'!G19="ERROR",1,0)</x:f>
        <x:v>0</x:v>
      </x:c>
      <x:c r="E125" t="str">
        <x:v>Order:19:5</x:v>
      </x:c>
      <x:c r="F125" t="str">
        <x:v>Отрицательная цена</x:v>
      </x:c>
      <x:c r="G125" t="str">
        <x:v>High</x:v>
      </x:c>
      <x:c r="H125" t="str">
        <x:v>price</x:v>
      </x:c>
      <x:c r="I125" t="str">
        <x:v>Проверить цену в источнике</x:v>
      </x:c>
      <x:c r="J125" t="n">
        <x:f>IF(D125=1,K125,0)</x:f>
        <x:v>0</x:v>
      </x:c>
      <x:c r="K125" t="n">
        <x:f>D125+K124</x:f>
        <x:v>3</x:v>
      </x:c>
    </x:row>
    <x:row r="126">
      <x:c r="A126" t="str">
        <x:v>Order</x:v>
      </x:c>
      <x:c r="B126" t="n">
        <x:f>'04_checks'!B19</x:f>
        <x:v>1018</x:v>
      </x:c>
      <x:c r="C126" t="n">
        <x:v>19</x:v>
      </x:c>
      <x:c r="D126" t="n">
        <x:f>IF('04_checks'!H19="ERROR",1,0)</x:f>
        <x:v>0</x:v>
      </x:c>
      <x:c r="E126" t="str">
        <x:v>Order:19:6</x:v>
      </x:c>
      <x:c r="F126" t="str">
        <x:v>Дата</x:v>
      </x:c>
      <x:c r="G126" t="str">
        <x:v>Medium</x:v>
      </x:c>
      <x:c r="H126" t="str">
        <x:v>order_date</x:v>
      </x:c>
      <x:c r="I126" t="str">
        <x:v>Сверить дату со срезом и исходной записью</x:v>
      </x:c>
      <x:c r="J126" t="n">
        <x:f>IF(D126=1,K126,0)</x:f>
        <x:v>0</x:v>
      </x:c>
      <x:c r="K126" t="n">
        <x:f>D126+K125</x:f>
        <x:v>3</x:v>
      </x:c>
    </x:row>
    <x:row r="127">
      <x:c r="A127" t="str">
        <x:v>Order</x:v>
      </x:c>
      <x:c r="B127" t="n">
        <x:f>'04_checks'!B19</x:f>
        <x:v>1018</x:v>
      </x:c>
      <x:c r="C127" t="n">
        <x:v>19</x:v>
      </x:c>
      <x:c r="D127" t="n">
        <x:f>IF('04_checks'!I19="ERROR",1,0)</x:f>
        <x:v>0</x:v>
      </x:c>
      <x:c r="E127" t="str">
        <x:v>Order:19:7</x:v>
      </x:c>
      <x:c r="F127" t="str">
        <x:v>Статус</x:v>
      </x:c>
      <x:c r="G127" t="str">
        <x:v>Medium</x:v>
      </x:c>
      <x:c r="H127" t="str">
        <x:v>status</x:v>
      </x:c>
      <x:c r="I127" t="str">
        <x:v>Выбрать допустимый статус</x:v>
      </x:c>
      <x:c r="J127" t="n">
        <x:f>IF(D127=1,K127,0)</x:f>
        <x:v>0</x:v>
      </x:c>
      <x:c r="K127" t="n">
        <x:f>D127+K126</x:f>
        <x:v>3</x:v>
      </x:c>
    </x:row>
    <x:row r="128">
      <x:c r="A128" t="str">
        <x:v>Order</x:v>
      </x:c>
      <x:c r="B128" t="n">
        <x:f>'04_checks'!B20</x:f>
        <x:v>1019</x:v>
      </x:c>
      <x:c r="C128" t="n">
        <x:v>20</x:v>
      </x:c>
      <x:c r="D128" t="n">
        <x:f>IF('04_checks'!C20="ERROR",1,0)</x:f>
        <x:v>0</x:v>
      </x:c>
      <x:c r="E128" t="str">
        <x:v>Order:20:1</x:v>
      </x:c>
      <x:c r="F128" t="str">
        <x:v>Дубль</x:v>
      </x:c>
      <x:c r="G128" t="str">
        <x:v>High</x:v>
      </x:c>
      <x:c r="H128" t="str">
        <x:v>order_id</x:v>
      </x:c>
      <x:c r="I128" t="str">
        <x:v>Проверить уникальность ID в источнике; не удалять записи автоматически</x:v>
      </x:c>
      <x:c r="J128" t="n">
        <x:f>IF(D128=1,K128,0)</x:f>
        <x:v>0</x:v>
      </x:c>
      <x:c r="K128" t="n">
        <x:f>D128+K127</x:f>
        <x:v>3</x:v>
      </x:c>
    </x:row>
    <x:row r="129">
      <x:c r="A129" t="str">
        <x:v>Order</x:v>
      </x:c>
      <x:c r="B129" t="n">
        <x:f>'04_checks'!B20</x:f>
        <x:v>1019</x:v>
      </x:c>
      <x:c r="C129" t="n">
        <x:v>20</x:v>
      </x:c>
      <x:c r="D129" t="n">
        <x:f>IF('04_checks'!D20="ERROR",1,0)</x:f>
        <x:v>0</x:v>
      </x:c>
      <x:c r="E129" t="str">
        <x:v>Order:20:2</x:v>
      </x:c>
      <x:c r="F129" t="str">
        <x:v>Пустое поле</x:v>
      </x:c>
      <x:c r="G129" t="str">
        <x:v>High</x:v>
      </x:c>
      <x:c r="H129" t="str">
        <x:v>required_fields</x:v>
      </x:c>
      <x:c r="I129" t="str">
        <x:v>Дополнить обязательные поля в источнике</x:v>
      </x:c>
      <x:c r="J129" t="n">
        <x:f>IF(D129=1,K129,0)</x:f>
        <x:v>0</x:v>
      </x:c>
      <x:c r="K129" t="n">
        <x:f>D129+K128</x:f>
        <x:v>3</x:v>
      </x:c>
    </x:row>
    <x:row r="130">
      <x:c r="A130" t="str">
        <x:v>Order</x:v>
      </x:c>
      <x:c r="B130" t="n">
        <x:f>'04_checks'!B20</x:f>
        <x:v>1019</x:v>
      </x:c>
      <x:c r="C130" t="n">
        <x:v>20</x:v>
      </x:c>
      <x:c r="D130" t="n">
        <x:f>IF('04_checks'!E20="ERROR",1,0)</x:f>
        <x:v>0</x:v>
      </x:c>
      <x:c r="E130" t="str">
        <x:v>Order:20:3</x:v>
      </x:c>
      <x:c r="F130" t="str">
        <x:f>IF(COUNTIF('02_clients_raw'!$A$2:$A$67,'01_orders_raw'!C20)&gt;1,"Неоднозначная связь","Нет связи")</x:f>
        <x:v>Нет связи</x:v>
      </x:c>
      <x:c r="G130" t="str">
        <x:v>High</x:v>
      </x:c>
      <x:c r="H130" t="str">
        <x:v>client_id</x:v>
      </x:c>
      <x:c r="I130" t="str">
        <x:v>Исправить ссылку или разрешить дубли связанного ID</x:v>
      </x:c>
      <x:c r="J130" t="n">
        <x:f>IF(D130=1,K130,0)</x:f>
        <x:v>0</x:v>
      </x:c>
      <x:c r="K130" t="n">
        <x:f>D130+K129</x:f>
        <x:v>3</x:v>
      </x:c>
    </x:row>
    <x:row r="131">
      <x:c r="A131" t="str">
        <x:v>Order</x:v>
      </x:c>
      <x:c r="B131" t="n">
        <x:f>'04_checks'!B20</x:f>
        <x:v>1019</x:v>
      </x:c>
      <x:c r="C131" t="n">
        <x:v>20</x:v>
      </x:c>
      <x:c r="D131" t="n">
        <x:f>IF('04_checks'!F20="ERROR",1,0)</x:f>
        <x:v>0</x:v>
      </x:c>
      <x:c r="E131" t="str">
        <x:v>Order:20:4</x:v>
      </x:c>
      <x:c r="F131" t="str">
        <x:v>Ошибка расчета</x:v>
      </x:c>
      <x:c r="G131" t="str">
        <x:v>High</x:v>
      </x:c>
      <x:c r="H131" t="str">
        <x:v>quantity/price/order_sum</x:v>
      </x:c>
      <x:c r="I131" t="str">
        <x:v>Сверить исходные значения и правило расчёта</x:v>
      </x:c>
      <x:c r="J131" t="n">
        <x:f>IF(D131=1,K131,0)</x:f>
        <x:v>0</x:v>
      </x:c>
      <x:c r="K131" t="n">
        <x:f>D131+K130</x:f>
        <x:v>3</x:v>
      </x:c>
    </x:row>
    <x:row r="132">
      <x:c r="A132" t="str">
        <x:v>Order</x:v>
      </x:c>
      <x:c r="B132" t="n">
        <x:f>'04_checks'!B20</x:f>
        <x:v>1019</x:v>
      </x:c>
      <x:c r="C132" t="n">
        <x:v>20</x:v>
      </x:c>
      <x:c r="D132" t="n">
        <x:f>IF('04_checks'!G20="ERROR",1,0)</x:f>
        <x:v>0</x:v>
      </x:c>
      <x:c r="E132" t="str">
        <x:v>Order:20:5</x:v>
      </x:c>
      <x:c r="F132" t="str">
        <x:v>Отрицательная цена</x:v>
      </x:c>
      <x:c r="G132" t="str">
        <x:v>High</x:v>
      </x:c>
      <x:c r="H132" t="str">
        <x:v>price</x:v>
      </x:c>
      <x:c r="I132" t="str">
        <x:v>Проверить цену в источнике</x:v>
      </x:c>
      <x:c r="J132" t="n">
        <x:f>IF(D132=1,K132,0)</x:f>
        <x:v>0</x:v>
      </x:c>
      <x:c r="K132" t="n">
        <x:f>D132+K131</x:f>
        <x:v>3</x:v>
      </x:c>
    </x:row>
    <x:row r="133">
      <x:c r="A133" t="str">
        <x:v>Order</x:v>
      </x:c>
      <x:c r="B133" t="n">
        <x:f>'04_checks'!B20</x:f>
        <x:v>1019</x:v>
      </x:c>
      <x:c r="C133" t="n">
        <x:v>20</x:v>
      </x:c>
      <x:c r="D133" t="n">
        <x:f>IF('04_checks'!H20="ERROR",1,0)</x:f>
        <x:v>0</x:v>
      </x:c>
      <x:c r="E133" t="str">
        <x:v>Order:20:6</x:v>
      </x:c>
      <x:c r="F133" t="str">
        <x:v>Дата</x:v>
      </x:c>
      <x:c r="G133" t="str">
        <x:v>Medium</x:v>
      </x:c>
      <x:c r="H133" t="str">
        <x:v>order_date</x:v>
      </x:c>
      <x:c r="I133" t="str">
        <x:v>Сверить дату со срезом и исходной записью</x:v>
      </x:c>
      <x:c r="J133" t="n">
        <x:f>IF(D133=1,K133,0)</x:f>
        <x:v>0</x:v>
      </x:c>
      <x:c r="K133" t="n">
        <x:f>D133+K132</x:f>
        <x:v>3</x:v>
      </x:c>
    </x:row>
    <x:row r="134">
      <x:c r="A134" t="str">
        <x:v>Order</x:v>
      </x:c>
      <x:c r="B134" t="n">
        <x:f>'04_checks'!B20</x:f>
        <x:v>1019</x:v>
      </x:c>
      <x:c r="C134" t="n">
        <x:v>20</x:v>
      </x:c>
      <x:c r="D134" t="n">
        <x:f>IF('04_checks'!I20="ERROR",1,0)</x:f>
        <x:v>0</x:v>
      </x:c>
      <x:c r="E134" t="str">
        <x:v>Order:20:7</x:v>
      </x:c>
      <x:c r="F134" t="str">
        <x:v>Статус</x:v>
      </x:c>
      <x:c r="G134" t="str">
        <x:v>Medium</x:v>
      </x:c>
      <x:c r="H134" t="str">
        <x:v>status</x:v>
      </x:c>
      <x:c r="I134" t="str">
        <x:v>Выбрать допустимый статус</x:v>
      </x:c>
      <x:c r="J134" t="n">
        <x:f>IF(D134=1,K134,0)</x:f>
        <x:v>0</x:v>
      </x:c>
      <x:c r="K134" t="n">
        <x:f>D134+K133</x:f>
        <x:v>3</x:v>
      </x:c>
    </x:row>
    <x:row r="135">
      <x:c r="A135" t="str">
        <x:v>Order</x:v>
      </x:c>
      <x:c r="B135" t="n">
        <x:f>'04_checks'!B21</x:f>
        <x:v>1020</x:v>
      </x:c>
      <x:c r="C135" t="n">
        <x:v>21</x:v>
      </x:c>
      <x:c r="D135" t="n">
        <x:f>IF('04_checks'!C21="ERROR",1,0)</x:f>
        <x:v>0</x:v>
      </x:c>
      <x:c r="E135" t="str">
        <x:v>Order:21:1</x:v>
      </x:c>
      <x:c r="F135" t="str">
        <x:v>Дубль</x:v>
      </x:c>
      <x:c r="G135" t="str">
        <x:v>High</x:v>
      </x:c>
      <x:c r="H135" t="str">
        <x:v>order_id</x:v>
      </x:c>
      <x:c r="I135" t="str">
        <x:v>Проверить уникальность ID в источнике; не удалять записи автоматически</x:v>
      </x:c>
      <x:c r="J135" t="n">
        <x:f>IF(D135=1,K135,0)</x:f>
        <x:v>0</x:v>
      </x:c>
      <x:c r="K135" t="n">
        <x:f>D135+K134</x:f>
        <x:v>3</x:v>
      </x:c>
    </x:row>
    <x:row r="136">
      <x:c r="A136" t="str">
        <x:v>Order</x:v>
      </x:c>
      <x:c r="B136" t="n">
        <x:f>'04_checks'!B21</x:f>
        <x:v>1020</x:v>
      </x:c>
      <x:c r="C136" t="n">
        <x:v>21</x:v>
      </x:c>
      <x:c r="D136" t="n">
        <x:f>IF('04_checks'!D21="ERROR",1,0)</x:f>
        <x:v>0</x:v>
      </x:c>
      <x:c r="E136" t="str">
        <x:v>Order:21:2</x:v>
      </x:c>
      <x:c r="F136" t="str">
        <x:v>Пустое поле</x:v>
      </x:c>
      <x:c r="G136" t="str">
        <x:v>High</x:v>
      </x:c>
      <x:c r="H136" t="str">
        <x:v>required_fields</x:v>
      </x:c>
      <x:c r="I136" t="str">
        <x:v>Дополнить обязательные поля в источнике</x:v>
      </x:c>
      <x:c r="J136" t="n">
        <x:f>IF(D136=1,K136,0)</x:f>
        <x:v>0</x:v>
      </x:c>
      <x:c r="K136" t="n">
        <x:f>D136+K135</x:f>
        <x:v>3</x:v>
      </x:c>
    </x:row>
    <x:row r="137">
      <x:c r="A137" t="str">
        <x:v>Order</x:v>
      </x:c>
      <x:c r="B137" t="n">
        <x:f>'04_checks'!B21</x:f>
        <x:v>1020</x:v>
      </x:c>
      <x:c r="C137" t="n">
        <x:v>21</x:v>
      </x:c>
      <x:c r="D137" t="n">
        <x:f>IF('04_checks'!E21="ERROR",1,0)</x:f>
        <x:v>0</x:v>
      </x:c>
      <x:c r="E137" t="str">
        <x:v>Order:21:3</x:v>
      </x:c>
      <x:c r="F137" t="str">
        <x:f>IF(COUNTIF('02_clients_raw'!$A$2:$A$67,'01_orders_raw'!C21)&gt;1,"Неоднозначная связь","Нет связи")</x:f>
        <x:v>Нет связи</x:v>
      </x:c>
      <x:c r="G137" t="str">
        <x:v>High</x:v>
      </x:c>
      <x:c r="H137" t="str">
        <x:v>client_id</x:v>
      </x:c>
      <x:c r="I137" t="str">
        <x:v>Исправить ссылку или разрешить дубли связанного ID</x:v>
      </x:c>
      <x:c r="J137" t="n">
        <x:f>IF(D137=1,K137,0)</x:f>
        <x:v>0</x:v>
      </x:c>
      <x:c r="K137" t="n">
        <x:f>D137+K136</x:f>
        <x:v>3</x:v>
      </x:c>
    </x:row>
    <x:row r="138">
      <x:c r="A138" t="str">
        <x:v>Order</x:v>
      </x:c>
      <x:c r="B138" t="n">
        <x:f>'04_checks'!B21</x:f>
        <x:v>1020</x:v>
      </x:c>
      <x:c r="C138" t="n">
        <x:v>21</x:v>
      </x:c>
      <x:c r="D138" t="n">
        <x:f>IF('04_checks'!F21="ERROR",1,0)</x:f>
        <x:v>0</x:v>
      </x:c>
      <x:c r="E138" t="str">
        <x:v>Order:21:4</x:v>
      </x:c>
      <x:c r="F138" t="str">
        <x:v>Ошибка расчета</x:v>
      </x:c>
      <x:c r="G138" t="str">
        <x:v>High</x:v>
      </x:c>
      <x:c r="H138" t="str">
        <x:v>quantity/price/order_sum</x:v>
      </x:c>
      <x:c r="I138" t="str">
        <x:v>Сверить исходные значения и правило расчёта</x:v>
      </x:c>
      <x:c r="J138" t="n">
        <x:f>IF(D138=1,K138,0)</x:f>
        <x:v>0</x:v>
      </x:c>
      <x:c r="K138" t="n">
        <x:f>D138+K137</x:f>
        <x:v>3</x:v>
      </x:c>
    </x:row>
    <x:row r="139">
      <x:c r="A139" t="str">
        <x:v>Order</x:v>
      </x:c>
      <x:c r="B139" t="n">
        <x:f>'04_checks'!B21</x:f>
        <x:v>1020</x:v>
      </x:c>
      <x:c r="C139" t="n">
        <x:v>21</x:v>
      </x:c>
      <x:c r="D139" t="n">
        <x:f>IF('04_checks'!G21="ERROR",1,0)</x:f>
        <x:v>0</x:v>
      </x:c>
      <x:c r="E139" t="str">
        <x:v>Order:21:5</x:v>
      </x:c>
      <x:c r="F139" t="str">
        <x:v>Отрицательная цена</x:v>
      </x:c>
      <x:c r="G139" t="str">
        <x:v>High</x:v>
      </x:c>
      <x:c r="H139" t="str">
        <x:v>price</x:v>
      </x:c>
      <x:c r="I139" t="str">
        <x:v>Проверить цену в источнике</x:v>
      </x:c>
      <x:c r="J139" t="n">
        <x:f>IF(D139=1,K139,0)</x:f>
        <x:v>0</x:v>
      </x:c>
      <x:c r="K139" t="n">
        <x:f>D139+K138</x:f>
        <x:v>3</x:v>
      </x:c>
    </x:row>
    <x:row r="140">
      <x:c r="A140" t="str">
        <x:v>Order</x:v>
      </x:c>
      <x:c r="B140" t="n">
        <x:f>'04_checks'!B21</x:f>
        <x:v>1020</x:v>
      </x:c>
      <x:c r="C140" t="n">
        <x:v>21</x:v>
      </x:c>
      <x:c r="D140" t="n">
        <x:f>IF('04_checks'!H21="ERROR",1,0)</x:f>
        <x:v>0</x:v>
      </x:c>
      <x:c r="E140" t="str">
        <x:v>Order:21:6</x:v>
      </x:c>
      <x:c r="F140" t="str">
        <x:v>Дата</x:v>
      </x:c>
      <x:c r="G140" t="str">
        <x:v>Medium</x:v>
      </x:c>
      <x:c r="H140" t="str">
        <x:v>order_date</x:v>
      </x:c>
      <x:c r="I140" t="str">
        <x:v>Сверить дату со срезом и исходной записью</x:v>
      </x:c>
      <x:c r="J140" t="n">
        <x:f>IF(D140=1,K140,0)</x:f>
        <x:v>0</x:v>
      </x:c>
      <x:c r="K140" t="n">
        <x:f>D140+K139</x:f>
        <x:v>3</x:v>
      </x:c>
    </x:row>
    <x:row r="141">
      <x:c r="A141" t="str">
        <x:v>Order</x:v>
      </x:c>
      <x:c r="B141" t="n">
        <x:f>'04_checks'!B21</x:f>
        <x:v>1020</x:v>
      </x:c>
      <x:c r="C141" t="n">
        <x:v>21</x:v>
      </x:c>
      <x:c r="D141" t="n">
        <x:f>IF('04_checks'!I21="ERROR",1,0)</x:f>
        <x:v>0</x:v>
      </x:c>
      <x:c r="E141" t="str">
        <x:v>Order:21:7</x:v>
      </x:c>
      <x:c r="F141" t="str">
        <x:v>Статус</x:v>
      </x:c>
      <x:c r="G141" t="str">
        <x:v>Medium</x:v>
      </x:c>
      <x:c r="H141" t="str">
        <x:v>status</x:v>
      </x:c>
      <x:c r="I141" t="str">
        <x:v>Выбрать допустимый статус</x:v>
      </x:c>
      <x:c r="J141" t="n">
        <x:f>IF(D141=1,K141,0)</x:f>
        <x:v>0</x:v>
      </x:c>
      <x:c r="K141" t="n">
        <x:f>D141+K140</x:f>
        <x:v>3</x:v>
      </x:c>
    </x:row>
    <x:row r="142">
      <x:c r="A142" t="str">
        <x:v>Order</x:v>
      </x:c>
      <x:c r="B142" t="n">
        <x:f>'04_checks'!B22</x:f>
        <x:v>1021</x:v>
      </x:c>
      <x:c r="C142" t="n">
        <x:v>22</x:v>
      </x:c>
      <x:c r="D142" t="n">
        <x:f>IF('04_checks'!C22="ERROR",1,0)</x:f>
        <x:v>0</x:v>
      </x:c>
      <x:c r="E142" t="str">
        <x:v>Order:22:1</x:v>
      </x:c>
      <x:c r="F142" t="str">
        <x:v>Дубль</x:v>
      </x:c>
      <x:c r="G142" t="str">
        <x:v>High</x:v>
      </x:c>
      <x:c r="H142" t="str">
        <x:v>order_id</x:v>
      </x:c>
      <x:c r="I142" t="str">
        <x:v>Проверить уникальность ID в источнике; не удалять записи автоматически</x:v>
      </x:c>
      <x:c r="J142" t="n">
        <x:f>IF(D142=1,K142,0)</x:f>
        <x:v>0</x:v>
      </x:c>
      <x:c r="K142" t="n">
        <x:f>D142+K141</x:f>
        <x:v>3</x:v>
      </x:c>
    </x:row>
    <x:row r="143">
      <x:c r="A143" t="str">
        <x:v>Order</x:v>
      </x:c>
      <x:c r="B143" t="n">
        <x:f>'04_checks'!B22</x:f>
        <x:v>1021</x:v>
      </x:c>
      <x:c r="C143" t="n">
        <x:v>22</x:v>
      </x:c>
      <x:c r="D143" t="n">
        <x:f>IF('04_checks'!D22="ERROR",1,0)</x:f>
        <x:v>0</x:v>
      </x:c>
      <x:c r="E143" t="str">
        <x:v>Order:22:2</x:v>
      </x:c>
      <x:c r="F143" t="str">
        <x:v>Пустое поле</x:v>
      </x:c>
      <x:c r="G143" t="str">
        <x:v>High</x:v>
      </x:c>
      <x:c r="H143" t="str">
        <x:v>required_fields</x:v>
      </x:c>
      <x:c r="I143" t="str">
        <x:v>Дополнить обязательные поля в источнике</x:v>
      </x:c>
      <x:c r="J143" t="n">
        <x:f>IF(D143=1,K143,0)</x:f>
        <x:v>0</x:v>
      </x:c>
      <x:c r="K143" t="n">
        <x:f>D143+K142</x:f>
        <x:v>3</x:v>
      </x:c>
    </x:row>
    <x:row r="144">
      <x:c r="A144" t="str">
        <x:v>Order</x:v>
      </x:c>
      <x:c r="B144" t="n">
        <x:f>'04_checks'!B22</x:f>
        <x:v>1021</x:v>
      </x:c>
      <x:c r="C144" t="n">
        <x:v>22</x:v>
      </x:c>
      <x:c r="D144" t="n">
        <x:f>IF('04_checks'!E22="ERROR",1,0)</x:f>
        <x:v>0</x:v>
      </x:c>
      <x:c r="E144" t="str">
        <x:v>Order:22:3</x:v>
      </x:c>
      <x:c r="F144" t="str">
        <x:f>IF(COUNTIF('02_clients_raw'!$A$2:$A$67,'01_orders_raw'!C22)&gt;1,"Неоднозначная связь","Нет связи")</x:f>
        <x:v>Нет связи</x:v>
      </x:c>
      <x:c r="G144" t="str">
        <x:v>High</x:v>
      </x:c>
      <x:c r="H144" t="str">
        <x:v>client_id</x:v>
      </x:c>
      <x:c r="I144" t="str">
        <x:v>Исправить ссылку или разрешить дубли связанного ID</x:v>
      </x:c>
      <x:c r="J144" t="n">
        <x:f>IF(D144=1,K144,0)</x:f>
        <x:v>0</x:v>
      </x:c>
      <x:c r="K144" t="n">
        <x:f>D144+K143</x:f>
        <x:v>3</x:v>
      </x:c>
    </x:row>
    <x:row r="145">
      <x:c r="A145" t="str">
        <x:v>Order</x:v>
      </x:c>
      <x:c r="B145" t="n">
        <x:f>'04_checks'!B22</x:f>
        <x:v>1021</x:v>
      </x:c>
      <x:c r="C145" t="n">
        <x:v>22</x:v>
      </x:c>
      <x:c r="D145" t="n">
        <x:f>IF('04_checks'!F22="ERROR",1,0)</x:f>
        <x:v>0</x:v>
      </x:c>
      <x:c r="E145" t="str">
        <x:v>Order:22:4</x:v>
      </x:c>
      <x:c r="F145" t="str">
        <x:v>Ошибка расчета</x:v>
      </x:c>
      <x:c r="G145" t="str">
        <x:v>High</x:v>
      </x:c>
      <x:c r="H145" t="str">
        <x:v>quantity/price/order_sum</x:v>
      </x:c>
      <x:c r="I145" t="str">
        <x:v>Сверить исходные значения и правило расчёта</x:v>
      </x:c>
      <x:c r="J145" t="n">
        <x:f>IF(D145=1,K145,0)</x:f>
        <x:v>0</x:v>
      </x:c>
      <x:c r="K145" t="n">
        <x:f>D145+K144</x:f>
        <x:v>3</x:v>
      </x:c>
    </x:row>
    <x:row r="146">
      <x:c r="A146" t="str">
        <x:v>Order</x:v>
      </x:c>
      <x:c r="B146" t="n">
        <x:f>'04_checks'!B22</x:f>
        <x:v>1021</x:v>
      </x:c>
      <x:c r="C146" t="n">
        <x:v>22</x:v>
      </x:c>
      <x:c r="D146" t="n">
        <x:f>IF('04_checks'!G22="ERROR",1,0)</x:f>
        <x:v>0</x:v>
      </x:c>
      <x:c r="E146" t="str">
        <x:v>Order:22:5</x:v>
      </x:c>
      <x:c r="F146" t="str">
        <x:v>Отрицательная цена</x:v>
      </x:c>
      <x:c r="G146" t="str">
        <x:v>High</x:v>
      </x:c>
      <x:c r="H146" t="str">
        <x:v>price</x:v>
      </x:c>
      <x:c r="I146" t="str">
        <x:v>Проверить цену в источнике</x:v>
      </x:c>
      <x:c r="J146" t="n">
        <x:f>IF(D146=1,K146,0)</x:f>
        <x:v>0</x:v>
      </x:c>
      <x:c r="K146" t="n">
        <x:f>D146+K145</x:f>
        <x:v>3</x:v>
      </x:c>
    </x:row>
    <x:row r="147">
      <x:c r="A147" t="str">
        <x:v>Order</x:v>
      </x:c>
      <x:c r="B147" t="n">
        <x:f>'04_checks'!B22</x:f>
        <x:v>1021</x:v>
      </x:c>
      <x:c r="C147" t="n">
        <x:v>22</x:v>
      </x:c>
      <x:c r="D147" t="n">
        <x:f>IF('04_checks'!H22="ERROR",1,0)</x:f>
        <x:v>0</x:v>
      </x:c>
      <x:c r="E147" t="str">
        <x:v>Order:22:6</x:v>
      </x:c>
      <x:c r="F147" t="str">
        <x:v>Дата</x:v>
      </x:c>
      <x:c r="G147" t="str">
        <x:v>Medium</x:v>
      </x:c>
      <x:c r="H147" t="str">
        <x:v>order_date</x:v>
      </x:c>
      <x:c r="I147" t="str">
        <x:v>Сверить дату со срезом и исходной записью</x:v>
      </x:c>
      <x:c r="J147" t="n">
        <x:f>IF(D147=1,K147,0)</x:f>
        <x:v>0</x:v>
      </x:c>
      <x:c r="K147" t="n">
        <x:f>D147+K146</x:f>
        <x:v>3</x:v>
      </x:c>
    </x:row>
    <x:row r="148">
      <x:c r="A148" t="str">
        <x:v>Order</x:v>
      </x:c>
      <x:c r="B148" t="n">
        <x:f>'04_checks'!B22</x:f>
        <x:v>1021</x:v>
      </x:c>
      <x:c r="C148" t="n">
        <x:v>22</x:v>
      </x:c>
      <x:c r="D148" t="n">
        <x:f>IF('04_checks'!I22="ERROR",1,0)</x:f>
        <x:v>0</x:v>
      </x:c>
      <x:c r="E148" t="str">
        <x:v>Order:22:7</x:v>
      </x:c>
      <x:c r="F148" t="str">
        <x:v>Статус</x:v>
      </x:c>
      <x:c r="G148" t="str">
        <x:v>Medium</x:v>
      </x:c>
      <x:c r="H148" t="str">
        <x:v>status</x:v>
      </x:c>
      <x:c r="I148" t="str">
        <x:v>Выбрать допустимый статус</x:v>
      </x:c>
      <x:c r="J148" t="n">
        <x:f>IF(D148=1,K148,0)</x:f>
        <x:v>0</x:v>
      </x:c>
      <x:c r="K148" t="n">
        <x:f>D148+K147</x:f>
        <x:v>3</x:v>
      </x:c>
    </x:row>
    <x:row r="149">
      <x:c r="A149" t="str">
        <x:v>Order</x:v>
      </x:c>
      <x:c r="B149" t="n">
        <x:f>'04_checks'!B23</x:f>
        <x:v>1022</x:v>
      </x:c>
      <x:c r="C149" t="n">
        <x:v>23</x:v>
      </x:c>
      <x:c r="D149" t="n">
        <x:f>IF('04_checks'!C23="ERROR",1,0)</x:f>
        <x:v>0</x:v>
      </x:c>
      <x:c r="E149" t="str">
        <x:v>Order:23:1</x:v>
      </x:c>
      <x:c r="F149" t="str">
        <x:v>Дубль</x:v>
      </x:c>
      <x:c r="G149" t="str">
        <x:v>High</x:v>
      </x:c>
      <x:c r="H149" t="str">
        <x:v>order_id</x:v>
      </x:c>
      <x:c r="I149" t="str">
        <x:v>Проверить уникальность ID в источнике; не удалять записи автоматически</x:v>
      </x:c>
      <x:c r="J149" t="n">
        <x:f>IF(D149=1,K149,0)</x:f>
        <x:v>0</x:v>
      </x:c>
      <x:c r="K149" t="n">
        <x:f>D149+K148</x:f>
        <x:v>3</x:v>
      </x:c>
    </x:row>
    <x:row r="150">
      <x:c r="A150" t="str">
        <x:v>Order</x:v>
      </x:c>
      <x:c r="B150" t="n">
        <x:f>'04_checks'!B23</x:f>
        <x:v>1022</x:v>
      </x:c>
      <x:c r="C150" t="n">
        <x:v>23</x:v>
      </x:c>
      <x:c r="D150" t="n">
        <x:f>IF('04_checks'!D23="ERROR",1,0)</x:f>
        <x:v>0</x:v>
      </x:c>
      <x:c r="E150" t="str">
        <x:v>Order:23:2</x:v>
      </x:c>
      <x:c r="F150" t="str">
        <x:v>Пустое поле</x:v>
      </x:c>
      <x:c r="G150" t="str">
        <x:v>High</x:v>
      </x:c>
      <x:c r="H150" t="str">
        <x:v>required_fields</x:v>
      </x:c>
      <x:c r="I150" t="str">
        <x:v>Дополнить обязательные поля в источнике</x:v>
      </x:c>
      <x:c r="J150" t="n">
        <x:f>IF(D150=1,K150,0)</x:f>
        <x:v>0</x:v>
      </x:c>
      <x:c r="K150" t="n">
        <x:f>D150+K149</x:f>
        <x:v>3</x:v>
      </x:c>
    </x:row>
    <x:row r="151">
      <x:c r="A151" t="str">
        <x:v>Order</x:v>
      </x:c>
      <x:c r="B151" t="n">
        <x:f>'04_checks'!B23</x:f>
        <x:v>1022</x:v>
      </x:c>
      <x:c r="C151" t="n">
        <x:v>23</x:v>
      </x:c>
      <x:c r="D151" t="n">
        <x:f>IF('04_checks'!E23="ERROR",1,0)</x:f>
        <x:v>0</x:v>
      </x:c>
      <x:c r="E151" t="str">
        <x:v>Order:23:3</x:v>
      </x:c>
      <x:c r="F151" t="str">
        <x:f>IF(COUNTIF('02_clients_raw'!$A$2:$A$67,'01_orders_raw'!C23)&gt;1,"Неоднозначная связь","Нет связи")</x:f>
        <x:v>Нет связи</x:v>
      </x:c>
      <x:c r="G151" t="str">
        <x:v>High</x:v>
      </x:c>
      <x:c r="H151" t="str">
        <x:v>client_id</x:v>
      </x:c>
      <x:c r="I151" t="str">
        <x:v>Исправить ссылку или разрешить дубли связанного ID</x:v>
      </x:c>
      <x:c r="J151" t="n">
        <x:f>IF(D151=1,K151,0)</x:f>
        <x:v>0</x:v>
      </x:c>
      <x:c r="K151" t="n">
        <x:f>D151+K150</x:f>
        <x:v>3</x:v>
      </x:c>
    </x:row>
    <x:row r="152">
      <x:c r="A152" t="str">
        <x:v>Order</x:v>
      </x:c>
      <x:c r="B152" t="n">
        <x:f>'04_checks'!B23</x:f>
        <x:v>1022</x:v>
      </x:c>
      <x:c r="C152" t="n">
        <x:v>23</x:v>
      </x:c>
      <x:c r="D152" t="n">
        <x:f>IF('04_checks'!F23="ERROR",1,0)</x:f>
        <x:v>0</x:v>
      </x:c>
      <x:c r="E152" t="str">
        <x:v>Order:23:4</x:v>
      </x:c>
      <x:c r="F152" t="str">
        <x:v>Ошибка расчета</x:v>
      </x:c>
      <x:c r="G152" t="str">
        <x:v>High</x:v>
      </x:c>
      <x:c r="H152" t="str">
        <x:v>quantity/price/order_sum</x:v>
      </x:c>
      <x:c r="I152" t="str">
        <x:v>Сверить исходные значения и правило расчёта</x:v>
      </x:c>
      <x:c r="J152" t="n">
        <x:f>IF(D152=1,K152,0)</x:f>
        <x:v>0</x:v>
      </x:c>
      <x:c r="K152" t="n">
        <x:f>D152+K151</x:f>
        <x:v>3</x:v>
      </x:c>
    </x:row>
    <x:row r="153">
      <x:c r="A153" t="str">
        <x:v>Order</x:v>
      </x:c>
      <x:c r="B153" t="n">
        <x:f>'04_checks'!B23</x:f>
        <x:v>1022</x:v>
      </x:c>
      <x:c r="C153" t="n">
        <x:v>23</x:v>
      </x:c>
      <x:c r="D153" t="n">
        <x:f>IF('04_checks'!G23="ERROR",1,0)</x:f>
        <x:v>0</x:v>
      </x:c>
      <x:c r="E153" t="str">
        <x:v>Order:23:5</x:v>
      </x:c>
      <x:c r="F153" t="str">
        <x:v>Отрицательная цена</x:v>
      </x:c>
      <x:c r="G153" t="str">
        <x:v>High</x:v>
      </x:c>
      <x:c r="H153" t="str">
        <x:v>price</x:v>
      </x:c>
      <x:c r="I153" t="str">
        <x:v>Проверить цену в источнике</x:v>
      </x:c>
      <x:c r="J153" t="n">
        <x:f>IF(D153=1,K153,0)</x:f>
        <x:v>0</x:v>
      </x:c>
      <x:c r="K153" t="n">
        <x:f>D153+K152</x:f>
        <x:v>3</x:v>
      </x:c>
    </x:row>
    <x:row r="154">
      <x:c r="A154" t="str">
        <x:v>Order</x:v>
      </x:c>
      <x:c r="B154" t="n">
        <x:f>'04_checks'!B23</x:f>
        <x:v>1022</x:v>
      </x:c>
      <x:c r="C154" t="n">
        <x:v>23</x:v>
      </x:c>
      <x:c r="D154" t="n">
        <x:f>IF('04_checks'!H23="ERROR",1,0)</x:f>
        <x:v>0</x:v>
      </x:c>
      <x:c r="E154" t="str">
        <x:v>Order:23:6</x:v>
      </x:c>
      <x:c r="F154" t="str">
        <x:v>Дата</x:v>
      </x:c>
      <x:c r="G154" t="str">
        <x:v>Medium</x:v>
      </x:c>
      <x:c r="H154" t="str">
        <x:v>order_date</x:v>
      </x:c>
      <x:c r="I154" t="str">
        <x:v>Сверить дату со срезом и исходной записью</x:v>
      </x:c>
      <x:c r="J154" t="n">
        <x:f>IF(D154=1,K154,0)</x:f>
        <x:v>0</x:v>
      </x:c>
      <x:c r="K154" t="n">
        <x:f>D154+K153</x:f>
        <x:v>3</x:v>
      </x:c>
    </x:row>
    <x:row r="155">
      <x:c r="A155" t="str">
        <x:v>Order</x:v>
      </x:c>
      <x:c r="B155" t="n">
        <x:f>'04_checks'!B23</x:f>
        <x:v>1022</x:v>
      </x:c>
      <x:c r="C155" t="n">
        <x:v>23</x:v>
      </x:c>
      <x:c r="D155" t="n">
        <x:f>IF('04_checks'!I23="ERROR",1,0)</x:f>
        <x:v>0</x:v>
      </x:c>
      <x:c r="E155" t="str">
        <x:v>Order:23:7</x:v>
      </x:c>
      <x:c r="F155" t="str">
        <x:v>Статус</x:v>
      </x:c>
      <x:c r="G155" t="str">
        <x:v>Medium</x:v>
      </x:c>
      <x:c r="H155" t="str">
        <x:v>status</x:v>
      </x:c>
      <x:c r="I155" t="str">
        <x:v>Выбрать допустимый статус</x:v>
      </x:c>
      <x:c r="J155" t="n">
        <x:f>IF(D155=1,K155,0)</x:f>
        <x:v>0</x:v>
      </x:c>
      <x:c r="K155" t="n">
        <x:f>D155+K154</x:f>
        <x:v>3</x:v>
      </x:c>
    </x:row>
    <x:row r="156">
      <x:c r="A156" t="str">
        <x:v>Order</x:v>
      </x:c>
      <x:c r="B156" t="n">
        <x:f>'04_checks'!B24</x:f>
        <x:v>1023</x:v>
      </x:c>
      <x:c r="C156" t="n">
        <x:v>24</x:v>
      </x:c>
      <x:c r="D156" t="n">
        <x:f>IF('04_checks'!C24="ERROR",1,0)</x:f>
        <x:v>0</x:v>
      </x:c>
      <x:c r="E156" t="str">
        <x:v>Order:24:1</x:v>
      </x:c>
      <x:c r="F156" t="str">
        <x:v>Дубль</x:v>
      </x:c>
      <x:c r="G156" t="str">
        <x:v>High</x:v>
      </x:c>
      <x:c r="H156" t="str">
        <x:v>order_id</x:v>
      </x:c>
      <x:c r="I156" t="str">
        <x:v>Проверить уникальность ID в источнике; не удалять записи автоматически</x:v>
      </x:c>
      <x:c r="J156" t="n">
        <x:f>IF(D156=1,K156,0)</x:f>
        <x:v>0</x:v>
      </x:c>
      <x:c r="K156" t="n">
        <x:f>D156+K155</x:f>
        <x:v>3</x:v>
      </x:c>
    </x:row>
    <x:row r="157">
      <x:c r="A157" t="str">
        <x:v>Order</x:v>
      </x:c>
      <x:c r="B157" t="n">
        <x:f>'04_checks'!B24</x:f>
        <x:v>1023</x:v>
      </x:c>
      <x:c r="C157" t="n">
        <x:v>24</x:v>
      </x:c>
      <x:c r="D157" t="n">
        <x:f>IF('04_checks'!D24="ERROR",1,0)</x:f>
        <x:v>0</x:v>
      </x:c>
      <x:c r="E157" t="str">
        <x:v>Order:24:2</x:v>
      </x:c>
      <x:c r="F157" t="str">
        <x:v>Пустое поле</x:v>
      </x:c>
      <x:c r="G157" t="str">
        <x:v>High</x:v>
      </x:c>
      <x:c r="H157" t="str">
        <x:v>required_fields</x:v>
      </x:c>
      <x:c r="I157" t="str">
        <x:v>Дополнить обязательные поля в источнике</x:v>
      </x:c>
      <x:c r="J157" t="n">
        <x:f>IF(D157=1,K157,0)</x:f>
        <x:v>0</x:v>
      </x:c>
      <x:c r="K157" t="n">
        <x:f>D157+K156</x:f>
        <x:v>3</x:v>
      </x:c>
    </x:row>
    <x:row r="158">
      <x:c r="A158" t="str">
        <x:v>Order</x:v>
      </x:c>
      <x:c r="B158" t="n">
        <x:f>'04_checks'!B24</x:f>
        <x:v>1023</x:v>
      </x:c>
      <x:c r="C158" t="n">
        <x:v>24</x:v>
      </x:c>
      <x:c r="D158" t="n">
        <x:f>IF('04_checks'!E24="ERROR",1,0)</x:f>
        <x:v>0</x:v>
      </x:c>
      <x:c r="E158" t="str">
        <x:v>Order:24:3</x:v>
      </x:c>
      <x:c r="F158" t="str">
        <x:f>IF(COUNTIF('02_clients_raw'!$A$2:$A$67,'01_orders_raw'!C24)&gt;1,"Неоднозначная связь","Нет связи")</x:f>
        <x:v>Нет связи</x:v>
      </x:c>
      <x:c r="G158" t="str">
        <x:v>High</x:v>
      </x:c>
      <x:c r="H158" t="str">
        <x:v>client_id</x:v>
      </x:c>
      <x:c r="I158" t="str">
        <x:v>Исправить ссылку или разрешить дубли связанного ID</x:v>
      </x:c>
      <x:c r="J158" t="n">
        <x:f>IF(D158=1,K158,0)</x:f>
        <x:v>0</x:v>
      </x:c>
      <x:c r="K158" t="n">
        <x:f>D158+K157</x:f>
        <x:v>3</x:v>
      </x:c>
    </x:row>
    <x:row r="159">
      <x:c r="A159" t="str">
        <x:v>Order</x:v>
      </x:c>
      <x:c r="B159" t="n">
        <x:f>'04_checks'!B24</x:f>
        <x:v>1023</x:v>
      </x:c>
      <x:c r="C159" t="n">
        <x:v>24</x:v>
      </x:c>
      <x:c r="D159" t="n">
        <x:f>IF('04_checks'!F24="ERROR",1,0)</x:f>
        <x:v>0</x:v>
      </x:c>
      <x:c r="E159" t="str">
        <x:v>Order:24:4</x:v>
      </x:c>
      <x:c r="F159" t="str">
        <x:v>Ошибка расчета</x:v>
      </x:c>
      <x:c r="G159" t="str">
        <x:v>High</x:v>
      </x:c>
      <x:c r="H159" t="str">
        <x:v>quantity/price/order_sum</x:v>
      </x:c>
      <x:c r="I159" t="str">
        <x:v>Сверить исходные значения и правило расчёта</x:v>
      </x:c>
      <x:c r="J159" t="n">
        <x:f>IF(D159=1,K159,0)</x:f>
        <x:v>0</x:v>
      </x:c>
      <x:c r="K159" t="n">
        <x:f>D159+K158</x:f>
        <x:v>3</x:v>
      </x:c>
    </x:row>
    <x:row r="160">
      <x:c r="A160" t="str">
        <x:v>Order</x:v>
      </x:c>
      <x:c r="B160" t="n">
        <x:f>'04_checks'!B24</x:f>
        <x:v>1023</x:v>
      </x:c>
      <x:c r="C160" t="n">
        <x:v>24</x:v>
      </x:c>
      <x:c r="D160" t="n">
        <x:f>IF('04_checks'!G24="ERROR",1,0)</x:f>
        <x:v>0</x:v>
      </x:c>
      <x:c r="E160" t="str">
        <x:v>Order:24:5</x:v>
      </x:c>
      <x:c r="F160" t="str">
        <x:v>Отрицательная цена</x:v>
      </x:c>
      <x:c r="G160" t="str">
        <x:v>High</x:v>
      </x:c>
      <x:c r="H160" t="str">
        <x:v>price</x:v>
      </x:c>
      <x:c r="I160" t="str">
        <x:v>Проверить цену в источнике</x:v>
      </x:c>
      <x:c r="J160" t="n">
        <x:f>IF(D160=1,K160,0)</x:f>
        <x:v>0</x:v>
      </x:c>
      <x:c r="K160" t="n">
        <x:f>D160+K159</x:f>
        <x:v>3</x:v>
      </x:c>
    </x:row>
    <x:row r="161">
      <x:c r="A161" t="str">
        <x:v>Order</x:v>
      </x:c>
      <x:c r="B161" t="n">
        <x:f>'04_checks'!B24</x:f>
        <x:v>1023</x:v>
      </x:c>
      <x:c r="C161" t="n">
        <x:v>24</x:v>
      </x:c>
      <x:c r="D161" t="n">
        <x:f>IF('04_checks'!H24="ERROR",1,0)</x:f>
        <x:v>0</x:v>
      </x:c>
      <x:c r="E161" t="str">
        <x:v>Order:24:6</x:v>
      </x:c>
      <x:c r="F161" t="str">
        <x:v>Дата</x:v>
      </x:c>
      <x:c r="G161" t="str">
        <x:v>Medium</x:v>
      </x:c>
      <x:c r="H161" t="str">
        <x:v>order_date</x:v>
      </x:c>
      <x:c r="I161" t="str">
        <x:v>Сверить дату со срезом и исходной записью</x:v>
      </x:c>
      <x:c r="J161" t="n">
        <x:f>IF(D161=1,K161,0)</x:f>
        <x:v>0</x:v>
      </x:c>
      <x:c r="K161" t="n">
        <x:f>D161+K160</x:f>
        <x:v>3</x:v>
      </x:c>
    </x:row>
    <x:row r="162">
      <x:c r="A162" t="str">
        <x:v>Order</x:v>
      </x:c>
      <x:c r="B162" t="n">
        <x:f>'04_checks'!B24</x:f>
        <x:v>1023</x:v>
      </x:c>
      <x:c r="C162" t="n">
        <x:v>24</x:v>
      </x:c>
      <x:c r="D162" t="n">
        <x:f>IF('04_checks'!I24="ERROR",1,0)</x:f>
        <x:v>0</x:v>
      </x:c>
      <x:c r="E162" t="str">
        <x:v>Order:24:7</x:v>
      </x:c>
      <x:c r="F162" t="str">
        <x:v>Статус</x:v>
      </x:c>
      <x:c r="G162" t="str">
        <x:v>Medium</x:v>
      </x:c>
      <x:c r="H162" t="str">
        <x:v>status</x:v>
      </x:c>
      <x:c r="I162" t="str">
        <x:v>Выбрать допустимый статус</x:v>
      </x:c>
      <x:c r="J162" t="n">
        <x:f>IF(D162=1,K162,0)</x:f>
        <x:v>0</x:v>
      </x:c>
      <x:c r="K162" t="n">
        <x:f>D162+K161</x:f>
        <x:v>3</x:v>
      </x:c>
    </x:row>
    <x:row r="163">
      <x:c r="A163" t="str">
        <x:v>Order</x:v>
      </x:c>
      <x:c r="B163" t="n">
        <x:f>'04_checks'!B25</x:f>
        <x:v>1024</x:v>
      </x:c>
      <x:c r="C163" t="n">
        <x:v>25</x:v>
      </x:c>
      <x:c r="D163" t="n">
        <x:f>IF('04_checks'!C25="ERROR",1,0)</x:f>
        <x:v>0</x:v>
      </x:c>
      <x:c r="E163" t="str">
        <x:v>Order:25:1</x:v>
      </x:c>
      <x:c r="F163" t="str">
        <x:v>Дубль</x:v>
      </x:c>
      <x:c r="G163" t="str">
        <x:v>High</x:v>
      </x:c>
      <x:c r="H163" t="str">
        <x:v>order_id</x:v>
      </x:c>
      <x:c r="I163" t="str">
        <x:v>Проверить уникальность ID в источнике; не удалять записи автоматически</x:v>
      </x:c>
      <x:c r="J163" t="n">
        <x:f>IF(D163=1,K163,0)</x:f>
        <x:v>0</x:v>
      </x:c>
      <x:c r="K163" t="n">
        <x:f>D163+K162</x:f>
        <x:v>3</x:v>
      </x:c>
    </x:row>
    <x:row r="164">
      <x:c r="A164" t="str">
        <x:v>Order</x:v>
      </x:c>
      <x:c r="B164" t="n">
        <x:f>'04_checks'!B25</x:f>
        <x:v>1024</x:v>
      </x:c>
      <x:c r="C164" t="n">
        <x:v>25</x:v>
      </x:c>
      <x:c r="D164" t="n">
        <x:f>IF('04_checks'!D25="ERROR",1,0)</x:f>
        <x:v>0</x:v>
      </x:c>
      <x:c r="E164" t="str">
        <x:v>Order:25:2</x:v>
      </x:c>
      <x:c r="F164" t="str">
        <x:v>Пустое поле</x:v>
      </x:c>
      <x:c r="G164" t="str">
        <x:v>High</x:v>
      </x:c>
      <x:c r="H164" t="str">
        <x:v>required_fields</x:v>
      </x:c>
      <x:c r="I164" t="str">
        <x:v>Дополнить обязательные поля в источнике</x:v>
      </x:c>
      <x:c r="J164" t="n">
        <x:f>IF(D164=1,K164,0)</x:f>
        <x:v>0</x:v>
      </x:c>
      <x:c r="K164" t="n">
        <x:f>D164+K163</x:f>
        <x:v>3</x:v>
      </x:c>
    </x:row>
    <x:row r="165">
      <x:c r="A165" t="str">
        <x:v>Order</x:v>
      </x:c>
      <x:c r="B165" t="n">
        <x:f>'04_checks'!B25</x:f>
        <x:v>1024</x:v>
      </x:c>
      <x:c r="C165" t="n">
        <x:v>25</x:v>
      </x:c>
      <x:c r="D165" t="n">
        <x:f>IF('04_checks'!E25="ERROR",1,0)</x:f>
        <x:v>0</x:v>
      </x:c>
      <x:c r="E165" t="str">
        <x:v>Order:25:3</x:v>
      </x:c>
      <x:c r="F165" t="str">
        <x:f>IF(COUNTIF('02_clients_raw'!$A$2:$A$67,'01_orders_raw'!C25)&gt;1,"Неоднозначная связь","Нет связи")</x:f>
        <x:v>Нет связи</x:v>
      </x:c>
      <x:c r="G165" t="str">
        <x:v>High</x:v>
      </x:c>
      <x:c r="H165" t="str">
        <x:v>client_id</x:v>
      </x:c>
      <x:c r="I165" t="str">
        <x:v>Исправить ссылку или разрешить дубли связанного ID</x:v>
      </x:c>
      <x:c r="J165" t="n">
        <x:f>IF(D165=1,K165,0)</x:f>
        <x:v>0</x:v>
      </x:c>
      <x:c r="K165" t="n">
        <x:f>D165+K164</x:f>
        <x:v>3</x:v>
      </x:c>
    </x:row>
    <x:row r="166">
      <x:c r="A166" t="str">
        <x:v>Order</x:v>
      </x:c>
      <x:c r="B166" t="n">
        <x:f>'04_checks'!B25</x:f>
        <x:v>1024</x:v>
      </x:c>
      <x:c r="C166" t="n">
        <x:v>25</x:v>
      </x:c>
      <x:c r="D166" t="n">
        <x:f>IF('04_checks'!F25="ERROR",1,0)</x:f>
        <x:v>0</x:v>
      </x:c>
      <x:c r="E166" t="str">
        <x:v>Order:25:4</x:v>
      </x:c>
      <x:c r="F166" t="str">
        <x:v>Ошибка расчета</x:v>
      </x:c>
      <x:c r="G166" t="str">
        <x:v>High</x:v>
      </x:c>
      <x:c r="H166" t="str">
        <x:v>quantity/price/order_sum</x:v>
      </x:c>
      <x:c r="I166" t="str">
        <x:v>Сверить исходные значения и правило расчёта</x:v>
      </x:c>
      <x:c r="J166" t="n">
        <x:f>IF(D166=1,K166,0)</x:f>
        <x:v>0</x:v>
      </x:c>
      <x:c r="K166" t="n">
        <x:f>D166+K165</x:f>
        <x:v>3</x:v>
      </x:c>
    </x:row>
    <x:row r="167">
      <x:c r="A167" t="str">
        <x:v>Order</x:v>
      </x:c>
      <x:c r="B167" t="n">
        <x:f>'04_checks'!B25</x:f>
        <x:v>1024</x:v>
      </x:c>
      <x:c r="C167" t="n">
        <x:v>25</x:v>
      </x:c>
      <x:c r="D167" t="n">
        <x:f>IF('04_checks'!G25="ERROR",1,0)</x:f>
        <x:v>0</x:v>
      </x:c>
      <x:c r="E167" t="str">
        <x:v>Order:25:5</x:v>
      </x:c>
      <x:c r="F167" t="str">
        <x:v>Отрицательная цена</x:v>
      </x:c>
      <x:c r="G167" t="str">
        <x:v>High</x:v>
      </x:c>
      <x:c r="H167" t="str">
        <x:v>price</x:v>
      </x:c>
      <x:c r="I167" t="str">
        <x:v>Проверить цену в источнике</x:v>
      </x:c>
      <x:c r="J167" t="n">
        <x:f>IF(D167=1,K167,0)</x:f>
        <x:v>0</x:v>
      </x:c>
      <x:c r="K167" t="n">
        <x:f>D167+K166</x:f>
        <x:v>3</x:v>
      </x:c>
    </x:row>
    <x:row r="168">
      <x:c r="A168" t="str">
        <x:v>Order</x:v>
      </x:c>
      <x:c r="B168" t="n">
        <x:f>'04_checks'!B25</x:f>
        <x:v>1024</x:v>
      </x:c>
      <x:c r="C168" t="n">
        <x:v>25</x:v>
      </x:c>
      <x:c r="D168" t="n">
        <x:f>IF('04_checks'!H25="ERROR",1,0)</x:f>
        <x:v>0</x:v>
      </x:c>
      <x:c r="E168" t="str">
        <x:v>Order:25:6</x:v>
      </x:c>
      <x:c r="F168" t="str">
        <x:v>Дата</x:v>
      </x:c>
      <x:c r="G168" t="str">
        <x:v>Medium</x:v>
      </x:c>
      <x:c r="H168" t="str">
        <x:v>order_date</x:v>
      </x:c>
      <x:c r="I168" t="str">
        <x:v>Сверить дату со срезом и исходной записью</x:v>
      </x:c>
      <x:c r="J168" t="n">
        <x:f>IF(D168=1,K168,0)</x:f>
        <x:v>0</x:v>
      </x:c>
      <x:c r="K168" t="n">
        <x:f>D168+K167</x:f>
        <x:v>3</x:v>
      </x:c>
    </x:row>
    <x:row r="169">
      <x:c r="A169" t="str">
        <x:v>Order</x:v>
      </x:c>
      <x:c r="B169" t="n">
        <x:f>'04_checks'!B25</x:f>
        <x:v>1024</x:v>
      </x:c>
      <x:c r="C169" t="n">
        <x:v>25</x:v>
      </x:c>
      <x:c r="D169" t="n">
        <x:f>IF('04_checks'!I25="ERROR",1,0)</x:f>
        <x:v>0</x:v>
      </x:c>
      <x:c r="E169" t="str">
        <x:v>Order:25:7</x:v>
      </x:c>
      <x:c r="F169" t="str">
        <x:v>Статус</x:v>
      </x:c>
      <x:c r="G169" t="str">
        <x:v>Medium</x:v>
      </x:c>
      <x:c r="H169" t="str">
        <x:v>status</x:v>
      </x:c>
      <x:c r="I169" t="str">
        <x:v>Выбрать допустимый статус</x:v>
      </x:c>
      <x:c r="J169" t="n">
        <x:f>IF(D169=1,K169,0)</x:f>
        <x:v>0</x:v>
      </x:c>
      <x:c r="K169" t="n">
        <x:f>D169+K168</x:f>
        <x:v>3</x:v>
      </x:c>
    </x:row>
    <x:row r="170">
      <x:c r="A170" t="str">
        <x:v>Order</x:v>
      </x:c>
      <x:c r="B170" t="n">
        <x:f>'04_checks'!B26</x:f>
        <x:v>1025</x:v>
      </x:c>
      <x:c r="C170" t="n">
        <x:v>26</x:v>
      </x:c>
      <x:c r="D170" t="n">
        <x:f>IF('04_checks'!C26="ERROR",1,0)</x:f>
        <x:v>0</x:v>
      </x:c>
      <x:c r="E170" t="str">
        <x:v>Order:26:1</x:v>
      </x:c>
      <x:c r="F170" t="str">
        <x:v>Дубль</x:v>
      </x:c>
      <x:c r="G170" t="str">
        <x:v>High</x:v>
      </x:c>
      <x:c r="H170" t="str">
        <x:v>order_id</x:v>
      </x:c>
      <x:c r="I170" t="str">
        <x:v>Проверить уникальность ID в источнике; не удалять записи автоматически</x:v>
      </x:c>
      <x:c r="J170" t="n">
        <x:f>IF(D170=1,K170,0)</x:f>
        <x:v>0</x:v>
      </x:c>
      <x:c r="K170" t="n">
        <x:f>D170+K169</x:f>
        <x:v>3</x:v>
      </x:c>
    </x:row>
    <x:row r="171">
      <x:c r="A171" t="str">
        <x:v>Order</x:v>
      </x:c>
      <x:c r="B171" t="n">
        <x:f>'04_checks'!B26</x:f>
        <x:v>1025</x:v>
      </x:c>
      <x:c r="C171" t="n">
        <x:v>26</x:v>
      </x:c>
      <x:c r="D171" t="n">
        <x:f>IF('04_checks'!D26="ERROR",1,0)</x:f>
        <x:v>0</x:v>
      </x:c>
      <x:c r="E171" t="str">
        <x:v>Order:26:2</x:v>
      </x:c>
      <x:c r="F171" t="str">
        <x:v>Пустое поле</x:v>
      </x:c>
      <x:c r="G171" t="str">
        <x:v>High</x:v>
      </x:c>
      <x:c r="H171" t="str">
        <x:v>required_fields</x:v>
      </x:c>
      <x:c r="I171" t="str">
        <x:v>Дополнить обязательные поля в источнике</x:v>
      </x:c>
      <x:c r="J171" t="n">
        <x:f>IF(D171=1,K171,0)</x:f>
        <x:v>0</x:v>
      </x:c>
      <x:c r="K171" t="n">
        <x:f>D171+K170</x:f>
        <x:v>3</x:v>
      </x:c>
    </x:row>
    <x:row r="172">
      <x:c r="A172" t="str">
        <x:v>Order</x:v>
      </x:c>
      <x:c r="B172" t="n">
        <x:f>'04_checks'!B26</x:f>
        <x:v>1025</x:v>
      </x:c>
      <x:c r="C172" t="n">
        <x:v>26</x:v>
      </x:c>
      <x:c r="D172" t="n">
        <x:f>IF('04_checks'!E26="ERROR",1,0)</x:f>
        <x:v>0</x:v>
      </x:c>
      <x:c r="E172" t="str">
        <x:v>Order:26:3</x:v>
      </x:c>
      <x:c r="F172" t="str">
        <x:f>IF(COUNTIF('02_clients_raw'!$A$2:$A$67,'01_orders_raw'!C26)&gt;1,"Неоднозначная связь","Нет связи")</x:f>
        <x:v>Нет связи</x:v>
      </x:c>
      <x:c r="G172" t="str">
        <x:v>High</x:v>
      </x:c>
      <x:c r="H172" t="str">
        <x:v>client_id</x:v>
      </x:c>
      <x:c r="I172" t="str">
        <x:v>Исправить ссылку или разрешить дубли связанного ID</x:v>
      </x:c>
      <x:c r="J172" t="n">
        <x:f>IF(D172=1,K172,0)</x:f>
        <x:v>0</x:v>
      </x:c>
      <x:c r="K172" t="n">
        <x:f>D172+K171</x:f>
        <x:v>3</x:v>
      </x:c>
    </x:row>
    <x:row r="173">
      <x:c r="A173" t="str">
        <x:v>Order</x:v>
      </x:c>
      <x:c r="B173" t="n">
        <x:f>'04_checks'!B26</x:f>
        <x:v>1025</x:v>
      </x:c>
      <x:c r="C173" t="n">
        <x:v>26</x:v>
      </x:c>
      <x:c r="D173" t="n">
        <x:f>IF('04_checks'!F26="ERROR",1,0)</x:f>
        <x:v>0</x:v>
      </x:c>
      <x:c r="E173" t="str">
        <x:v>Order:26:4</x:v>
      </x:c>
      <x:c r="F173" t="str">
        <x:v>Ошибка расчета</x:v>
      </x:c>
      <x:c r="G173" t="str">
        <x:v>High</x:v>
      </x:c>
      <x:c r="H173" t="str">
        <x:v>quantity/price/order_sum</x:v>
      </x:c>
      <x:c r="I173" t="str">
        <x:v>Сверить исходные значения и правило расчёта</x:v>
      </x:c>
      <x:c r="J173" t="n">
        <x:f>IF(D173=1,K173,0)</x:f>
        <x:v>0</x:v>
      </x:c>
      <x:c r="K173" t="n">
        <x:f>D173+K172</x:f>
        <x:v>3</x:v>
      </x:c>
    </x:row>
    <x:row r="174">
      <x:c r="A174" t="str">
        <x:v>Order</x:v>
      </x:c>
      <x:c r="B174" t="n">
        <x:f>'04_checks'!B26</x:f>
        <x:v>1025</x:v>
      </x:c>
      <x:c r="C174" t="n">
        <x:v>26</x:v>
      </x:c>
      <x:c r="D174" t="n">
        <x:f>IF('04_checks'!G26="ERROR",1,0)</x:f>
        <x:v>0</x:v>
      </x:c>
      <x:c r="E174" t="str">
        <x:v>Order:26:5</x:v>
      </x:c>
      <x:c r="F174" t="str">
        <x:v>Отрицательная цена</x:v>
      </x:c>
      <x:c r="G174" t="str">
        <x:v>High</x:v>
      </x:c>
      <x:c r="H174" t="str">
        <x:v>price</x:v>
      </x:c>
      <x:c r="I174" t="str">
        <x:v>Проверить цену в источнике</x:v>
      </x:c>
      <x:c r="J174" t="n">
        <x:f>IF(D174=1,K174,0)</x:f>
        <x:v>0</x:v>
      </x:c>
      <x:c r="K174" t="n">
        <x:f>D174+K173</x:f>
        <x:v>3</x:v>
      </x:c>
    </x:row>
    <x:row r="175">
      <x:c r="A175" t="str">
        <x:v>Order</x:v>
      </x:c>
      <x:c r="B175" t="n">
        <x:f>'04_checks'!B26</x:f>
        <x:v>1025</x:v>
      </x:c>
      <x:c r="C175" t="n">
        <x:v>26</x:v>
      </x:c>
      <x:c r="D175" t="n">
        <x:f>IF('04_checks'!H26="ERROR",1,0)</x:f>
        <x:v>0</x:v>
      </x:c>
      <x:c r="E175" t="str">
        <x:v>Order:26:6</x:v>
      </x:c>
      <x:c r="F175" t="str">
        <x:v>Дата</x:v>
      </x:c>
      <x:c r="G175" t="str">
        <x:v>Medium</x:v>
      </x:c>
      <x:c r="H175" t="str">
        <x:v>order_date</x:v>
      </x:c>
      <x:c r="I175" t="str">
        <x:v>Сверить дату со срезом и исходной записью</x:v>
      </x:c>
      <x:c r="J175" t="n">
        <x:f>IF(D175=1,K175,0)</x:f>
        <x:v>0</x:v>
      </x:c>
      <x:c r="K175" t="n">
        <x:f>D175+K174</x:f>
        <x:v>3</x:v>
      </x:c>
    </x:row>
    <x:row r="176">
      <x:c r="A176" t="str">
        <x:v>Order</x:v>
      </x:c>
      <x:c r="B176" t="n">
        <x:f>'04_checks'!B26</x:f>
        <x:v>1025</x:v>
      </x:c>
      <x:c r="C176" t="n">
        <x:v>26</x:v>
      </x:c>
      <x:c r="D176" t="n">
        <x:f>IF('04_checks'!I26="ERROR",1,0)</x:f>
        <x:v>0</x:v>
      </x:c>
      <x:c r="E176" t="str">
        <x:v>Order:26:7</x:v>
      </x:c>
      <x:c r="F176" t="str">
        <x:v>Статус</x:v>
      </x:c>
      <x:c r="G176" t="str">
        <x:v>Medium</x:v>
      </x:c>
      <x:c r="H176" t="str">
        <x:v>status</x:v>
      </x:c>
      <x:c r="I176" t="str">
        <x:v>Выбрать допустимый статус</x:v>
      </x:c>
      <x:c r="J176" t="n">
        <x:f>IF(D176=1,K176,0)</x:f>
        <x:v>0</x:v>
      </x:c>
      <x:c r="K176" t="n">
        <x:f>D176+K175</x:f>
        <x:v>3</x:v>
      </x:c>
    </x:row>
    <x:row r="177">
      <x:c r="A177" t="str">
        <x:v>Order</x:v>
      </x:c>
      <x:c r="B177" t="n">
        <x:f>'04_checks'!B27</x:f>
        <x:v>1026</x:v>
      </x:c>
      <x:c r="C177" t="n">
        <x:v>27</x:v>
      </x:c>
      <x:c r="D177" t="n">
        <x:f>IF('04_checks'!C27="ERROR",1,0)</x:f>
        <x:v>0</x:v>
      </x:c>
      <x:c r="E177" t="str">
        <x:v>Order:27:1</x:v>
      </x:c>
      <x:c r="F177" t="str">
        <x:v>Дубль</x:v>
      </x:c>
      <x:c r="G177" t="str">
        <x:v>High</x:v>
      </x:c>
      <x:c r="H177" t="str">
        <x:v>order_id</x:v>
      </x:c>
      <x:c r="I177" t="str">
        <x:v>Проверить уникальность ID в источнике; не удалять записи автоматически</x:v>
      </x:c>
      <x:c r="J177" t="n">
        <x:f>IF(D177=1,K177,0)</x:f>
        <x:v>0</x:v>
      </x:c>
      <x:c r="K177" t="n">
        <x:f>D177+K176</x:f>
        <x:v>3</x:v>
      </x:c>
    </x:row>
    <x:row r="178">
      <x:c r="A178" t="str">
        <x:v>Order</x:v>
      </x:c>
      <x:c r="B178" t="n">
        <x:f>'04_checks'!B27</x:f>
        <x:v>1026</x:v>
      </x:c>
      <x:c r="C178" t="n">
        <x:v>27</x:v>
      </x:c>
      <x:c r="D178" t="n">
        <x:f>IF('04_checks'!D27="ERROR",1,0)</x:f>
        <x:v>0</x:v>
      </x:c>
      <x:c r="E178" t="str">
        <x:v>Order:27:2</x:v>
      </x:c>
      <x:c r="F178" t="str">
        <x:v>Пустое поле</x:v>
      </x:c>
      <x:c r="G178" t="str">
        <x:v>High</x:v>
      </x:c>
      <x:c r="H178" t="str">
        <x:v>required_fields</x:v>
      </x:c>
      <x:c r="I178" t="str">
        <x:v>Дополнить обязательные поля в источнике</x:v>
      </x:c>
      <x:c r="J178" t="n">
        <x:f>IF(D178=1,K178,0)</x:f>
        <x:v>0</x:v>
      </x:c>
      <x:c r="K178" t="n">
        <x:f>D178+K177</x:f>
        <x:v>3</x:v>
      </x:c>
    </x:row>
    <x:row r="179">
      <x:c r="A179" t="str">
        <x:v>Order</x:v>
      </x:c>
      <x:c r="B179" t="n">
        <x:f>'04_checks'!B27</x:f>
        <x:v>1026</x:v>
      </x:c>
      <x:c r="C179" t="n">
        <x:v>27</x:v>
      </x:c>
      <x:c r="D179" t="n">
        <x:f>IF('04_checks'!E27="ERROR",1,0)</x:f>
        <x:v>0</x:v>
      </x:c>
      <x:c r="E179" t="str">
        <x:v>Order:27:3</x:v>
      </x:c>
      <x:c r="F179" t="str">
        <x:f>IF(COUNTIF('02_clients_raw'!$A$2:$A$67,'01_orders_raw'!C27)&gt;1,"Неоднозначная связь","Нет связи")</x:f>
        <x:v>Нет связи</x:v>
      </x:c>
      <x:c r="G179" t="str">
        <x:v>High</x:v>
      </x:c>
      <x:c r="H179" t="str">
        <x:v>client_id</x:v>
      </x:c>
      <x:c r="I179" t="str">
        <x:v>Исправить ссылку или разрешить дубли связанного ID</x:v>
      </x:c>
      <x:c r="J179" t="n">
        <x:f>IF(D179=1,K179,0)</x:f>
        <x:v>0</x:v>
      </x:c>
      <x:c r="K179" t="n">
        <x:f>D179+K178</x:f>
        <x:v>3</x:v>
      </x:c>
    </x:row>
    <x:row r="180">
      <x:c r="A180" t="str">
        <x:v>Order</x:v>
      </x:c>
      <x:c r="B180" t="n">
        <x:f>'04_checks'!B27</x:f>
        <x:v>1026</x:v>
      </x:c>
      <x:c r="C180" t="n">
        <x:v>27</x:v>
      </x:c>
      <x:c r="D180" t="n">
        <x:f>IF('04_checks'!F27="ERROR",1,0)</x:f>
        <x:v>0</x:v>
      </x:c>
      <x:c r="E180" t="str">
        <x:v>Order:27:4</x:v>
      </x:c>
      <x:c r="F180" t="str">
        <x:v>Ошибка расчета</x:v>
      </x:c>
      <x:c r="G180" t="str">
        <x:v>High</x:v>
      </x:c>
      <x:c r="H180" t="str">
        <x:v>quantity/price/order_sum</x:v>
      </x:c>
      <x:c r="I180" t="str">
        <x:v>Сверить исходные значения и правило расчёта</x:v>
      </x:c>
      <x:c r="J180" t="n">
        <x:f>IF(D180=1,K180,0)</x:f>
        <x:v>0</x:v>
      </x:c>
      <x:c r="K180" t="n">
        <x:f>D180+K179</x:f>
        <x:v>3</x:v>
      </x:c>
    </x:row>
    <x:row r="181">
      <x:c r="A181" t="str">
        <x:v>Order</x:v>
      </x:c>
      <x:c r="B181" t="n">
        <x:f>'04_checks'!B27</x:f>
        <x:v>1026</x:v>
      </x:c>
      <x:c r="C181" t="n">
        <x:v>27</x:v>
      </x:c>
      <x:c r="D181" t="n">
        <x:f>IF('04_checks'!G27="ERROR",1,0)</x:f>
        <x:v>0</x:v>
      </x:c>
      <x:c r="E181" t="str">
        <x:v>Order:27:5</x:v>
      </x:c>
      <x:c r="F181" t="str">
        <x:v>Отрицательная цена</x:v>
      </x:c>
      <x:c r="G181" t="str">
        <x:v>High</x:v>
      </x:c>
      <x:c r="H181" t="str">
        <x:v>price</x:v>
      </x:c>
      <x:c r="I181" t="str">
        <x:v>Проверить цену в источнике</x:v>
      </x:c>
      <x:c r="J181" t="n">
        <x:f>IF(D181=1,K181,0)</x:f>
        <x:v>0</x:v>
      </x:c>
      <x:c r="K181" t="n">
        <x:f>D181+K180</x:f>
        <x:v>3</x:v>
      </x:c>
    </x:row>
    <x:row r="182">
      <x:c r="A182" t="str">
        <x:v>Order</x:v>
      </x:c>
      <x:c r="B182" t="n">
        <x:f>'04_checks'!B27</x:f>
        <x:v>1026</x:v>
      </x:c>
      <x:c r="C182" t="n">
        <x:v>27</x:v>
      </x:c>
      <x:c r="D182" t="n">
        <x:f>IF('04_checks'!H27="ERROR",1,0)</x:f>
        <x:v>0</x:v>
      </x:c>
      <x:c r="E182" t="str">
        <x:v>Order:27:6</x:v>
      </x:c>
      <x:c r="F182" t="str">
        <x:v>Дата</x:v>
      </x:c>
      <x:c r="G182" t="str">
        <x:v>Medium</x:v>
      </x:c>
      <x:c r="H182" t="str">
        <x:v>order_date</x:v>
      </x:c>
      <x:c r="I182" t="str">
        <x:v>Сверить дату со срезом и исходной записью</x:v>
      </x:c>
      <x:c r="J182" t="n">
        <x:f>IF(D182=1,K182,0)</x:f>
        <x:v>0</x:v>
      </x:c>
      <x:c r="K182" t="n">
        <x:f>D182+K181</x:f>
        <x:v>3</x:v>
      </x:c>
    </x:row>
    <x:row r="183">
      <x:c r="A183" t="str">
        <x:v>Order</x:v>
      </x:c>
      <x:c r="B183" t="n">
        <x:f>'04_checks'!B27</x:f>
        <x:v>1026</x:v>
      </x:c>
      <x:c r="C183" t="n">
        <x:v>27</x:v>
      </x:c>
      <x:c r="D183" t="n">
        <x:f>IF('04_checks'!I27="ERROR",1,0)</x:f>
        <x:v>0</x:v>
      </x:c>
      <x:c r="E183" t="str">
        <x:v>Order:27:7</x:v>
      </x:c>
      <x:c r="F183" t="str">
        <x:v>Статус</x:v>
      </x:c>
      <x:c r="G183" t="str">
        <x:v>Medium</x:v>
      </x:c>
      <x:c r="H183" t="str">
        <x:v>status</x:v>
      </x:c>
      <x:c r="I183" t="str">
        <x:v>Выбрать допустимый статус</x:v>
      </x:c>
      <x:c r="J183" t="n">
        <x:f>IF(D183=1,K183,0)</x:f>
        <x:v>0</x:v>
      </x:c>
      <x:c r="K183" t="n">
        <x:f>D183+K182</x:f>
        <x:v>3</x:v>
      </x:c>
    </x:row>
    <x:row r="184">
      <x:c r="A184" t="str">
        <x:v>Order</x:v>
      </x:c>
      <x:c r="B184" t="n">
        <x:f>'04_checks'!B28</x:f>
        <x:v>1027</x:v>
      </x:c>
      <x:c r="C184" t="n">
        <x:v>28</x:v>
      </x:c>
      <x:c r="D184" t="n">
        <x:f>IF('04_checks'!C28="ERROR",1,0)</x:f>
        <x:v>0</x:v>
      </x:c>
      <x:c r="E184" t="str">
        <x:v>Order:28:1</x:v>
      </x:c>
      <x:c r="F184" t="str">
        <x:v>Дубль</x:v>
      </x:c>
      <x:c r="G184" t="str">
        <x:v>High</x:v>
      </x:c>
      <x:c r="H184" t="str">
        <x:v>order_id</x:v>
      </x:c>
      <x:c r="I184" t="str">
        <x:v>Проверить уникальность ID в источнике; не удалять записи автоматически</x:v>
      </x:c>
      <x:c r="J184" t="n">
        <x:f>IF(D184=1,K184,0)</x:f>
        <x:v>0</x:v>
      </x:c>
      <x:c r="K184" t="n">
        <x:f>D184+K183</x:f>
        <x:v>3</x:v>
      </x:c>
    </x:row>
    <x:row r="185">
      <x:c r="A185" t="str">
        <x:v>Order</x:v>
      </x:c>
      <x:c r="B185" t="n">
        <x:f>'04_checks'!B28</x:f>
        <x:v>1027</x:v>
      </x:c>
      <x:c r="C185" t="n">
        <x:v>28</x:v>
      </x:c>
      <x:c r="D185" t="n">
        <x:f>IF('04_checks'!D28="ERROR",1,0)</x:f>
        <x:v>0</x:v>
      </x:c>
      <x:c r="E185" t="str">
        <x:v>Order:28:2</x:v>
      </x:c>
      <x:c r="F185" t="str">
        <x:v>Пустое поле</x:v>
      </x:c>
      <x:c r="G185" t="str">
        <x:v>High</x:v>
      </x:c>
      <x:c r="H185" t="str">
        <x:v>required_fields</x:v>
      </x:c>
      <x:c r="I185" t="str">
        <x:v>Дополнить обязательные поля в источнике</x:v>
      </x:c>
      <x:c r="J185" t="n">
        <x:f>IF(D185=1,K185,0)</x:f>
        <x:v>0</x:v>
      </x:c>
      <x:c r="K185" t="n">
        <x:f>D185+K184</x:f>
        <x:v>3</x:v>
      </x:c>
    </x:row>
    <x:row r="186">
      <x:c r="A186" t="str">
        <x:v>Order</x:v>
      </x:c>
      <x:c r="B186" t="n">
        <x:f>'04_checks'!B28</x:f>
        <x:v>1027</x:v>
      </x:c>
      <x:c r="C186" t="n">
        <x:v>28</x:v>
      </x:c>
      <x:c r="D186" t="n">
        <x:f>IF('04_checks'!E28="ERROR",1,0)</x:f>
        <x:v>0</x:v>
      </x:c>
      <x:c r="E186" t="str">
        <x:v>Order:28:3</x:v>
      </x:c>
      <x:c r="F186" t="str">
        <x:f>IF(COUNTIF('02_clients_raw'!$A$2:$A$67,'01_orders_raw'!C28)&gt;1,"Неоднозначная связь","Нет связи")</x:f>
        <x:v>Нет связи</x:v>
      </x:c>
      <x:c r="G186" t="str">
        <x:v>High</x:v>
      </x:c>
      <x:c r="H186" t="str">
        <x:v>client_id</x:v>
      </x:c>
      <x:c r="I186" t="str">
        <x:v>Исправить ссылку или разрешить дубли связанного ID</x:v>
      </x:c>
      <x:c r="J186" t="n">
        <x:f>IF(D186=1,K186,0)</x:f>
        <x:v>0</x:v>
      </x:c>
      <x:c r="K186" t="n">
        <x:f>D186+K185</x:f>
        <x:v>3</x:v>
      </x:c>
    </x:row>
    <x:row r="187">
      <x:c r="A187" t="str">
        <x:v>Order</x:v>
      </x:c>
      <x:c r="B187" t="n">
        <x:f>'04_checks'!B28</x:f>
        <x:v>1027</x:v>
      </x:c>
      <x:c r="C187" t="n">
        <x:v>28</x:v>
      </x:c>
      <x:c r="D187" t="n">
        <x:f>IF('04_checks'!F28="ERROR",1,0)</x:f>
        <x:v>0</x:v>
      </x:c>
      <x:c r="E187" t="str">
        <x:v>Order:28:4</x:v>
      </x:c>
      <x:c r="F187" t="str">
        <x:v>Ошибка расчета</x:v>
      </x:c>
      <x:c r="G187" t="str">
        <x:v>High</x:v>
      </x:c>
      <x:c r="H187" t="str">
        <x:v>quantity/price/order_sum</x:v>
      </x:c>
      <x:c r="I187" t="str">
        <x:v>Сверить исходные значения и правило расчёта</x:v>
      </x:c>
      <x:c r="J187" t="n">
        <x:f>IF(D187=1,K187,0)</x:f>
        <x:v>0</x:v>
      </x:c>
      <x:c r="K187" t="n">
        <x:f>D187+K186</x:f>
        <x:v>3</x:v>
      </x:c>
    </x:row>
    <x:row r="188">
      <x:c r="A188" t="str">
        <x:v>Order</x:v>
      </x:c>
      <x:c r="B188" t="n">
        <x:f>'04_checks'!B28</x:f>
        <x:v>1027</x:v>
      </x:c>
      <x:c r="C188" t="n">
        <x:v>28</x:v>
      </x:c>
      <x:c r="D188" t="n">
        <x:f>IF('04_checks'!G28="ERROR",1,0)</x:f>
        <x:v>0</x:v>
      </x:c>
      <x:c r="E188" t="str">
        <x:v>Order:28:5</x:v>
      </x:c>
      <x:c r="F188" t="str">
        <x:v>Отрицательная цена</x:v>
      </x:c>
      <x:c r="G188" t="str">
        <x:v>High</x:v>
      </x:c>
      <x:c r="H188" t="str">
        <x:v>price</x:v>
      </x:c>
      <x:c r="I188" t="str">
        <x:v>Проверить цену в источнике</x:v>
      </x:c>
      <x:c r="J188" t="n">
        <x:f>IF(D188=1,K188,0)</x:f>
        <x:v>0</x:v>
      </x:c>
      <x:c r="K188" t="n">
        <x:f>D188+K187</x:f>
        <x:v>3</x:v>
      </x:c>
    </x:row>
    <x:row r="189">
      <x:c r="A189" t="str">
        <x:v>Order</x:v>
      </x:c>
      <x:c r="B189" t="n">
        <x:f>'04_checks'!B28</x:f>
        <x:v>1027</x:v>
      </x:c>
      <x:c r="C189" t="n">
        <x:v>28</x:v>
      </x:c>
      <x:c r="D189" t="n">
        <x:f>IF('04_checks'!H28="ERROR",1,0)</x:f>
        <x:v>0</x:v>
      </x:c>
      <x:c r="E189" t="str">
        <x:v>Order:28:6</x:v>
      </x:c>
      <x:c r="F189" t="str">
        <x:v>Дата</x:v>
      </x:c>
      <x:c r="G189" t="str">
        <x:v>Medium</x:v>
      </x:c>
      <x:c r="H189" t="str">
        <x:v>order_date</x:v>
      </x:c>
      <x:c r="I189" t="str">
        <x:v>Сверить дату со срезом и исходной записью</x:v>
      </x:c>
      <x:c r="J189" t="n">
        <x:f>IF(D189=1,K189,0)</x:f>
        <x:v>0</x:v>
      </x:c>
      <x:c r="K189" t="n">
        <x:f>D189+K188</x:f>
        <x:v>3</x:v>
      </x:c>
    </x:row>
    <x:row r="190">
      <x:c r="A190" t="str">
        <x:v>Order</x:v>
      </x:c>
      <x:c r="B190" t="n">
        <x:f>'04_checks'!B28</x:f>
        <x:v>1027</x:v>
      </x:c>
      <x:c r="C190" t="n">
        <x:v>28</x:v>
      </x:c>
      <x:c r="D190" t="n">
        <x:f>IF('04_checks'!I28="ERROR",1,0)</x:f>
        <x:v>0</x:v>
      </x:c>
      <x:c r="E190" t="str">
        <x:v>Order:28:7</x:v>
      </x:c>
      <x:c r="F190" t="str">
        <x:v>Статус</x:v>
      </x:c>
      <x:c r="G190" t="str">
        <x:v>Medium</x:v>
      </x:c>
      <x:c r="H190" t="str">
        <x:v>status</x:v>
      </x:c>
      <x:c r="I190" t="str">
        <x:v>Выбрать допустимый статус</x:v>
      </x:c>
      <x:c r="J190" t="n">
        <x:f>IF(D190=1,K190,0)</x:f>
        <x:v>0</x:v>
      </x:c>
      <x:c r="K190" t="n">
        <x:f>D190+K189</x:f>
        <x:v>3</x:v>
      </x:c>
    </x:row>
    <x:row r="191">
      <x:c r="A191" t="str">
        <x:v>Order</x:v>
      </x:c>
      <x:c r="B191" t="n">
        <x:f>'04_checks'!B29</x:f>
        <x:v>1028</x:v>
      </x:c>
      <x:c r="C191" t="n">
        <x:v>29</x:v>
      </x:c>
      <x:c r="D191" t="n">
        <x:f>IF('04_checks'!C29="ERROR",1,0)</x:f>
        <x:v>0</x:v>
      </x:c>
      <x:c r="E191" t="str">
        <x:v>Order:29:1</x:v>
      </x:c>
      <x:c r="F191" t="str">
        <x:v>Дубль</x:v>
      </x:c>
      <x:c r="G191" t="str">
        <x:v>High</x:v>
      </x:c>
      <x:c r="H191" t="str">
        <x:v>order_id</x:v>
      </x:c>
      <x:c r="I191" t="str">
        <x:v>Проверить уникальность ID в источнике; не удалять записи автоматически</x:v>
      </x:c>
      <x:c r="J191" t="n">
        <x:f>IF(D191=1,K191,0)</x:f>
        <x:v>0</x:v>
      </x:c>
      <x:c r="K191" t="n">
        <x:f>D191+K190</x:f>
        <x:v>3</x:v>
      </x:c>
    </x:row>
    <x:row r="192">
      <x:c r="A192" t="str">
        <x:v>Order</x:v>
      </x:c>
      <x:c r="B192" t="n">
        <x:f>'04_checks'!B29</x:f>
        <x:v>1028</x:v>
      </x:c>
      <x:c r="C192" t="n">
        <x:v>29</x:v>
      </x:c>
      <x:c r="D192" t="n">
        <x:f>IF('04_checks'!D29="ERROR",1,0)</x:f>
        <x:v>0</x:v>
      </x:c>
      <x:c r="E192" t="str">
        <x:v>Order:29:2</x:v>
      </x:c>
      <x:c r="F192" t="str">
        <x:v>Пустое поле</x:v>
      </x:c>
      <x:c r="G192" t="str">
        <x:v>High</x:v>
      </x:c>
      <x:c r="H192" t="str">
        <x:v>required_fields</x:v>
      </x:c>
      <x:c r="I192" t="str">
        <x:v>Дополнить обязательные поля в источнике</x:v>
      </x:c>
      <x:c r="J192" t="n">
        <x:f>IF(D192=1,K192,0)</x:f>
        <x:v>0</x:v>
      </x:c>
      <x:c r="K192" t="n">
        <x:f>D192+K191</x:f>
        <x:v>3</x:v>
      </x:c>
    </x:row>
    <x:row r="193">
      <x:c r="A193" t="str">
        <x:v>Order</x:v>
      </x:c>
      <x:c r="B193" t="n">
        <x:f>'04_checks'!B29</x:f>
        <x:v>1028</x:v>
      </x:c>
      <x:c r="C193" t="n">
        <x:v>29</x:v>
      </x:c>
      <x:c r="D193" t="n">
        <x:f>IF('04_checks'!E29="ERROR",1,0)</x:f>
        <x:v>0</x:v>
      </x:c>
      <x:c r="E193" t="str">
        <x:v>Order:29:3</x:v>
      </x:c>
      <x:c r="F193" t="str">
        <x:f>IF(COUNTIF('02_clients_raw'!$A$2:$A$67,'01_orders_raw'!C29)&gt;1,"Неоднозначная связь","Нет связи")</x:f>
        <x:v>Нет связи</x:v>
      </x:c>
      <x:c r="G193" t="str">
        <x:v>High</x:v>
      </x:c>
      <x:c r="H193" t="str">
        <x:v>client_id</x:v>
      </x:c>
      <x:c r="I193" t="str">
        <x:v>Исправить ссылку или разрешить дубли связанного ID</x:v>
      </x:c>
      <x:c r="J193" t="n">
        <x:f>IF(D193=1,K193,0)</x:f>
        <x:v>0</x:v>
      </x:c>
      <x:c r="K193" t="n">
        <x:f>D193+K192</x:f>
        <x:v>3</x:v>
      </x:c>
    </x:row>
    <x:row r="194">
      <x:c r="A194" t="str">
        <x:v>Order</x:v>
      </x:c>
      <x:c r="B194" t="n">
        <x:f>'04_checks'!B29</x:f>
        <x:v>1028</x:v>
      </x:c>
      <x:c r="C194" t="n">
        <x:v>29</x:v>
      </x:c>
      <x:c r="D194" t="n">
        <x:f>IF('04_checks'!F29="ERROR",1,0)</x:f>
        <x:v>0</x:v>
      </x:c>
      <x:c r="E194" t="str">
        <x:v>Order:29:4</x:v>
      </x:c>
      <x:c r="F194" t="str">
        <x:v>Ошибка расчета</x:v>
      </x:c>
      <x:c r="G194" t="str">
        <x:v>High</x:v>
      </x:c>
      <x:c r="H194" t="str">
        <x:v>quantity/price/order_sum</x:v>
      </x:c>
      <x:c r="I194" t="str">
        <x:v>Сверить исходные значения и правило расчёта</x:v>
      </x:c>
      <x:c r="J194" t="n">
        <x:f>IF(D194=1,K194,0)</x:f>
        <x:v>0</x:v>
      </x:c>
      <x:c r="K194" t="n">
        <x:f>D194+K193</x:f>
        <x:v>3</x:v>
      </x:c>
    </x:row>
    <x:row r="195">
      <x:c r="A195" t="str">
        <x:v>Order</x:v>
      </x:c>
      <x:c r="B195" t="n">
        <x:f>'04_checks'!B29</x:f>
        <x:v>1028</x:v>
      </x:c>
      <x:c r="C195" t="n">
        <x:v>29</x:v>
      </x:c>
      <x:c r="D195" t="n">
        <x:f>IF('04_checks'!G29="ERROR",1,0)</x:f>
        <x:v>0</x:v>
      </x:c>
      <x:c r="E195" t="str">
        <x:v>Order:29:5</x:v>
      </x:c>
      <x:c r="F195" t="str">
        <x:v>Отрицательная цена</x:v>
      </x:c>
      <x:c r="G195" t="str">
        <x:v>High</x:v>
      </x:c>
      <x:c r="H195" t="str">
        <x:v>price</x:v>
      </x:c>
      <x:c r="I195" t="str">
        <x:v>Проверить цену в источнике</x:v>
      </x:c>
      <x:c r="J195" t="n">
        <x:f>IF(D195=1,K195,0)</x:f>
        <x:v>0</x:v>
      </x:c>
      <x:c r="K195" t="n">
        <x:f>D195+K194</x:f>
        <x:v>3</x:v>
      </x:c>
    </x:row>
    <x:row r="196">
      <x:c r="A196" t="str">
        <x:v>Order</x:v>
      </x:c>
      <x:c r="B196" t="n">
        <x:f>'04_checks'!B29</x:f>
        <x:v>1028</x:v>
      </x:c>
      <x:c r="C196" t="n">
        <x:v>29</x:v>
      </x:c>
      <x:c r="D196" t="n">
        <x:f>IF('04_checks'!H29="ERROR",1,0)</x:f>
        <x:v>0</x:v>
      </x:c>
      <x:c r="E196" t="str">
        <x:v>Order:29:6</x:v>
      </x:c>
      <x:c r="F196" t="str">
        <x:v>Дата</x:v>
      </x:c>
      <x:c r="G196" t="str">
        <x:v>Medium</x:v>
      </x:c>
      <x:c r="H196" t="str">
        <x:v>order_date</x:v>
      </x:c>
      <x:c r="I196" t="str">
        <x:v>Сверить дату со срезом и исходной записью</x:v>
      </x:c>
      <x:c r="J196" t="n">
        <x:f>IF(D196=1,K196,0)</x:f>
        <x:v>0</x:v>
      </x:c>
      <x:c r="K196" t="n">
        <x:f>D196+K195</x:f>
        <x:v>3</x:v>
      </x:c>
    </x:row>
    <x:row r="197">
      <x:c r="A197" t="str">
        <x:v>Order</x:v>
      </x:c>
      <x:c r="B197" t="n">
        <x:f>'04_checks'!B29</x:f>
        <x:v>1028</x:v>
      </x:c>
      <x:c r="C197" t="n">
        <x:v>29</x:v>
      </x:c>
      <x:c r="D197" t="n">
        <x:f>IF('04_checks'!I29="ERROR",1,0)</x:f>
        <x:v>0</x:v>
      </x:c>
      <x:c r="E197" t="str">
        <x:v>Order:29:7</x:v>
      </x:c>
      <x:c r="F197" t="str">
        <x:v>Статус</x:v>
      </x:c>
      <x:c r="G197" t="str">
        <x:v>Medium</x:v>
      </x:c>
      <x:c r="H197" t="str">
        <x:v>status</x:v>
      </x:c>
      <x:c r="I197" t="str">
        <x:v>Выбрать допустимый статус</x:v>
      </x:c>
      <x:c r="J197" t="n">
        <x:f>IF(D197=1,K197,0)</x:f>
        <x:v>0</x:v>
      </x:c>
      <x:c r="K197" t="n">
        <x:f>D197+K196</x:f>
        <x:v>3</x:v>
      </x:c>
    </x:row>
    <x:row r="198">
      <x:c r="A198" t="str">
        <x:v>Order</x:v>
      </x:c>
      <x:c r="B198" t="n">
        <x:f>'04_checks'!B30</x:f>
        <x:v>1029</x:v>
      </x:c>
      <x:c r="C198" t="n">
        <x:v>30</x:v>
      </x:c>
      <x:c r="D198" t="n">
        <x:f>IF('04_checks'!C30="ERROR",1,0)</x:f>
        <x:v>0</x:v>
      </x:c>
      <x:c r="E198" t="str">
        <x:v>Order:30:1</x:v>
      </x:c>
      <x:c r="F198" t="str">
        <x:v>Дубль</x:v>
      </x:c>
      <x:c r="G198" t="str">
        <x:v>High</x:v>
      </x:c>
      <x:c r="H198" t="str">
        <x:v>order_id</x:v>
      </x:c>
      <x:c r="I198" t="str">
        <x:v>Проверить уникальность ID в источнике; не удалять записи автоматически</x:v>
      </x:c>
      <x:c r="J198" t="n">
        <x:f>IF(D198=1,K198,0)</x:f>
        <x:v>0</x:v>
      </x:c>
      <x:c r="K198" t="n">
        <x:f>D198+K197</x:f>
        <x:v>3</x:v>
      </x:c>
    </x:row>
    <x:row r="199">
      <x:c r="A199" t="str">
        <x:v>Order</x:v>
      </x:c>
      <x:c r="B199" t="n">
        <x:f>'04_checks'!B30</x:f>
        <x:v>1029</x:v>
      </x:c>
      <x:c r="C199" t="n">
        <x:v>30</x:v>
      </x:c>
      <x:c r="D199" t="n">
        <x:f>IF('04_checks'!D30="ERROR",1,0)</x:f>
        <x:v>1</x:v>
      </x:c>
      <x:c r="E199" t="str">
        <x:v>Order:30:2</x:v>
      </x:c>
      <x:c r="F199" t="str">
        <x:v>Пустое поле</x:v>
      </x:c>
      <x:c r="G199" t="str">
        <x:v>High</x:v>
      </x:c>
      <x:c r="H199" t="str">
        <x:v>required_fields</x:v>
      </x:c>
      <x:c r="I199" t="str">
        <x:v>Дополнить обязательные поля в источнике</x:v>
      </x:c>
      <x:c r="J199" t="n">
        <x:f>IF(D199=1,K199,0)</x:f>
        <x:v>4</x:v>
      </x:c>
      <x:c r="K199" t="n">
        <x:f>D199+K198</x:f>
        <x:v>4</x:v>
      </x:c>
    </x:row>
    <x:row r="200">
      <x:c r="A200" t="str">
        <x:v>Order</x:v>
      </x:c>
      <x:c r="B200" t="n">
        <x:f>'04_checks'!B30</x:f>
        <x:v>1029</x:v>
      </x:c>
      <x:c r="C200" t="n">
        <x:v>30</x:v>
      </x:c>
      <x:c r="D200" t="n">
        <x:f>IF('04_checks'!E30="ERROR",1,0)</x:f>
        <x:v>0</x:v>
      </x:c>
      <x:c r="E200" t="str">
        <x:v>Order:30:3</x:v>
      </x:c>
      <x:c r="F200" t="str">
        <x:f>IF(COUNTIF('02_clients_raw'!$A$2:$A$67,'01_orders_raw'!C30)&gt;1,"Неоднозначная связь","Нет связи")</x:f>
        <x:v>Нет связи</x:v>
      </x:c>
      <x:c r="G200" t="str">
        <x:v>High</x:v>
      </x:c>
      <x:c r="H200" t="str">
        <x:v>client_id</x:v>
      </x:c>
      <x:c r="I200" t="str">
        <x:v>Исправить ссылку или разрешить дубли связанного ID</x:v>
      </x:c>
      <x:c r="J200" t="n">
        <x:f>IF(D200=1,K200,0)</x:f>
        <x:v>0</x:v>
      </x:c>
      <x:c r="K200" t="n">
        <x:f>D200+K199</x:f>
        <x:v>4</x:v>
      </x:c>
    </x:row>
    <x:row r="201">
      <x:c r="A201" t="str">
        <x:v>Order</x:v>
      </x:c>
      <x:c r="B201" t="n">
        <x:f>'04_checks'!B30</x:f>
        <x:v>1029</x:v>
      </x:c>
      <x:c r="C201" t="n">
        <x:v>30</x:v>
      </x:c>
      <x:c r="D201" t="n">
        <x:f>IF('04_checks'!F30="ERROR",1,0)</x:f>
        <x:v>0</x:v>
      </x:c>
      <x:c r="E201" t="str">
        <x:v>Order:30:4</x:v>
      </x:c>
      <x:c r="F201" t="str">
        <x:v>Ошибка расчета</x:v>
      </x:c>
      <x:c r="G201" t="str">
        <x:v>High</x:v>
      </x:c>
      <x:c r="H201" t="str">
        <x:v>quantity/price/order_sum</x:v>
      </x:c>
      <x:c r="I201" t="str">
        <x:v>Сверить исходные значения и правило расчёта</x:v>
      </x:c>
      <x:c r="J201" t="n">
        <x:f>IF(D201=1,K201,0)</x:f>
        <x:v>0</x:v>
      </x:c>
      <x:c r="K201" t="n">
        <x:f>D201+K200</x:f>
        <x:v>4</x:v>
      </x:c>
    </x:row>
    <x:row r="202">
      <x:c r="A202" t="str">
        <x:v>Order</x:v>
      </x:c>
      <x:c r="B202" t="n">
        <x:f>'04_checks'!B30</x:f>
        <x:v>1029</x:v>
      </x:c>
      <x:c r="C202" t="n">
        <x:v>30</x:v>
      </x:c>
      <x:c r="D202" t="n">
        <x:f>IF('04_checks'!G30="ERROR",1,0)</x:f>
        <x:v>0</x:v>
      </x:c>
      <x:c r="E202" t="str">
        <x:v>Order:30:5</x:v>
      </x:c>
      <x:c r="F202" t="str">
        <x:v>Отрицательная цена</x:v>
      </x:c>
      <x:c r="G202" t="str">
        <x:v>High</x:v>
      </x:c>
      <x:c r="H202" t="str">
        <x:v>price</x:v>
      </x:c>
      <x:c r="I202" t="str">
        <x:v>Проверить цену в источнике</x:v>
      </x:c>
      <x:c r="J202" t="n">
        <x:f>IF(D202=1,K202,0)</x:f>
        <x:v>0</x:v>
      </x:c>
      <x:c r="K202" t="n">
        <x:f>D202+K201</x:f>
        <x:v>4</x:v>
      </x:c>
    </x:row>
    <x:row r="203">
      <x:c r="A203" t="str">
        <x:v>Order</x:v>
      </x:c>
      <x:c r="B203" t="n">
        <x:f>'04_checks'!B30</x:f>
        <x:v>1029</x:v>
      </x:c>
      <x:c r="C203" t="n">
        <x:v>30</x:v>
      </x:c>
      <x:c r="D203" t="n">
        <x:f>IF('04_checks'!H30="ERROR",1,0)</x:f>
        <x:v>0</x:v>
      </x:c>
      <x:c r="E203" t="str">
        <x:v>Order:30:6</x:v>
      </x:c>
      <x:c r="F203" t="str">
        <x:v>Дата</x:v>
      </x:c>
      <x:c r="G203" t="str">
        <x:v>Medium</x:v>
      </x:c>
      <x:c r="H203" t="str">
        <x:v>order_date</x:v>
      </x:c>
      <x:c r="I203" t="str">
        <x:v>Сверить дату со срезом и исходной записью</x:v>
      </x:c>
      <x:c r="J203" t="n">
        <x:f>IF(D203=1,K203,0)</x:f>
        <x:v>0</x:v>
      </x:c>
      <x:c r="K203" t="n">
        <x:f>D203+K202</x:f>
        <x:v>4</x:v>
      </x:c>
    </x:row>
    <x:row r="204">
      <x:c r="A204" t="str">
        <x:v>Order</x:v>
      </x:c>
      <x:c r="B204" t="n">
        <x:f>'04_checks'!B30</x:f>
        <x:v>1029</x:v>
      </x:c>
      <x:c r="C204" t="n">
        <x:v>30</x:v>
      </x:c>
      <x:c r="D204" t="n">
        <x:f>IF('04_checks'!I30="ERROR",1,0)</x:f>
        <x:v>0</x:v>
      </x:c>
      <x:c r="E204" t="str">
        <x:v>Order:30:7</x:v>
      </x:c>
      <x:c r="F204" t="str">
        <x:v>Статус</x:v>
      </x:c>
      <x:c r="G204" t="str">
        <x:v>Medium</x:v>
      </x:c>
      <x:c r="H204" t="str">
        <x:v>status</x:v>
      </x:c>
      <x:c r="I204" t="str">
        <x:v>Выбрать допустимый статус</x:v>
      </x:c>
      <x:c r="J204" t="n">
        <x:f>IF(D204=1,K204,0)</x:f>
        <x:v>0</x:v>
      </x:c>
      <x:c r="K204" t="n">
        <x:f>D204+K203</x:f>
        <x:v>4</x:v>
      </x:c>
    </x:row>
    <x:row r="205">
      <x:c r="A205" t="str">
        <x:v>Order</x:v>
      </x:c>
      <x:c r="B205" t="n">
        <x:f>'04_checks'!B31</x:f>
        <x:v>1030</x:v>
      </x:c>
      <x:c r="C205" t="n">
        <x:v>31</x:v>
      </x:c>
      <x:c r="D205" t="n">
        <x:f>IF('04_checks'!C31="ERROR",1,0)</x:f>
        <x:v>0</x:v>
      </x:c>
      <x:c r="E205" t="str">
        <x:v>Order:31:1</x:v>
      </x:c>
      <x:c r="F205" t="str">
        <x:v>Дубль</x:v>
      </x:c>
      <x:c r="G205" t="str">
        <x:v>High</x:v>
      </x:c>
      <x:c r="H205" t="str">
        <x:v>order_id</x:v>
      </x:c>
      <x:c r="I205" t="str">
        <x:v>Проверить уникальность ID в источнике; не удалять записи автоматически</x:v>
      </x:c>
      <x:c r="J205" t="n">
        <x:f>IF(D205=1,K205,0)</x:f>
        <x:v>0</x:v>
      </x:c>
      <x:c r="K205" t="n">
        <x:f>D205+K204</x:f>
        <x:v>4</x:v>
      </x:c>
    </x:row>
    <x:row r="206">
      <x:c r="A206" t="str">
        <x:v>Order</x:v>
      </x:c>
      <x:c r="B206" t="n">
        <x:f>'04_checks'!B31</x:f>
        <x:v>1030</x:v>
      </x:c>
      <x:c r="C206" t="n">
        <x:v>31</x:v>
      </x:c>
      <x:c r="D206" t="n">
        <x:f>IF('04_checks'!D31="ERROR",1,0)</x:f>
        <x:v>0</x:v>
      </x:c>
      <x:c r="E206" t="str">
        <x:v>Order:31:2</x:v>
      </x:c>
      <x:c r="F206" t="str">
        <x:v>Пустое поле</x:v>
      </x:c>
      <x:c r="G206" t="str">
        <x:v>High</x:v>
      </x:c>
      <x:c r="H206" t="str">
        <x:v>required_fields</x:v>
      </x:c>
      <x:c r="I206" t="str">
        <x:v>Дополнить обязательные поля в источнике</x:v>
      </x:c>
      <x:c r="J206" t="n">
        <x:f>IF(D206=1,K206,0)</x:f>
        <x:v>0</x:v>
      </x:c>
      <x:c r="K206" t="n">
        <x:f>D206+K205</x:f>
        <x:v>4</x:v>
      </x:c>
    </x:row>
    <x:row r="207">
      <x:c r="A207" t="str">
        <x:v>Order</x:v>
      </x:c>
      <x:c r="B207" t="n">
        <x:f>'04_checks'!B31</x:f>
        <x:v>1030</x:v>
      </x:c>
      <x:c r="C207" t="n">
        <x:v>31</x:v>
      </x:c>
      <x:c r="D207" t="n">
        <x:f>IF('04_checks'!E31="ERROR",1,0)</x:f>
        <x:v>0</x:v>
      </x:c>
      <x:c r="E207" t="str">
        <x:v>Order:31:3</x:v>
      </x:c>
      <x:c r="F207" t="str">
        <x:f>IF(COUNTIF('02_clients_raw'!$A$2:$A$67,'01_orders_raw'!C31)&gt;1,"Неоднозначная связь","Нет связи")</x:f>
        <x:v>Нет связи</x:v>
      </x:c>
      <x:c r="G207" t="str">
        <x:v>High</x:v>
      </x:c>
      <x:c r="H207" t="str">
        <x:v>client_id</x:v>
      </x:c>
      <x:c r="I207" t="str">
        <x:v>Исправить ссылку или разрешить дубли связанного ID</x:v>
      </x:c>
      <x:c r="J207" t="n">
        <x:f>IF(D207=1,K207,0)</x:f>
        <x:v>0</x:v>
      </x:c>
      <x:c r="K207" t="n">
        <x:f>D207+K206</x:f>
        <x:v>4</x:v>
      </x:c>
    </x:row>
    <x:row r="208">
      <x:c r="A208" t="str">
        <x:v>Order</x:v>
      </x:c>
      <x:c r="B208" t="n">
        <x:f>'04_checks'!B31</x:f>
        <x:v>1030</x:v>
      </x:c>
      <x:c r="C208" t="n">
        <x:v>31</x:v>
      </x:c>
      <x:c r="D208" t="n">
        <x:f>IF('04_checks'!F31="ERROR",1,0)</x:f>
        <x:v>0</x:v>
      </x:c>
      <x:c r="E208" t="str">
        <x:v>Order:31:4</x:v>
      </x:c>
      <x:c r="F208" t="str">
        <x:v>Ошибка расчета</x:v>
      </x:c>
      <x:c r="G208" t="str">
        <x:v>High</x:v>
      </x:c>
      <x:c r="H208" t="str">
        <x:v>quantity/price/order_sum</x:v>
      </x:c>
      <x:c r="I208" t="str">
        <x:v>Сверить исходные значения и правило расчёта</x:v>
      </x:c>
      <x:c r="J208" t="n">
        <x:f>IF(D208=1,K208,0)</x:f>
        <x:v>0</x:v>
      </x:c>
      <x:c r="K208" t="n">
        <x:f>D208+K207</x:f>
        <x:v>4</x:v>
      </x:c>
    </x:row>
    <x:row r="209">
      <x:c r="A209" t="str">
        <x:v>Order</x:v>
      </x:c>
      <x:c r="B209" t="n">
        <x:f>'04_checks'!B31</x:f>
        <x:v>1030</x:v>
      </x:c>
      <x:c r="C209" t="n">
        <x:v>31</x:v>
      </x:c>
      <x:c r="D209" t="n">
        <x:f>IF('04_checks'!G31="ERROR",1,0)</x:f>
        <x:v>0</x:v>
      </x:c>
      <x:c r="E209" t="str">
        <x:v>Order:31:5</x:v>
      </x:c>
      <x:c r="F209" t="str">
        <x:v>Отрицательная цена</x:v>
      </x:c>
      <x:c r="G209" t="str">
        <x:v>High</x:v>
      </x:c>
      <x:c r="H209" t="str">
        <x:v>price</x:v>
      </x:c>
      <x:c r="I209" t="str">
        <x:v>Проверить цену в источнике</x:v>
      </x:c>
      <x:c r="J209" t="n">
        <x:f>IF(D209=1,K209,0)</x:f>
        <x:v>0</x:v>
      </x:c>
      <x:c r="K209" t="n">
        <x:f>D209+K208</x:f>
        <x:v>4</x:v>
      </x:c>
    </x:row>
    <x:row r="210">
      <x:c r="A210" t="str">
        <x:v>Order</x:v>
      </x:c>
      <x:c r="B210" t="n">
        <x:f>'04_checks'!B31</x:f>
        <x:v>1030</x:v>
      </x:c>
      <x:c r="C210" t="n">
        <x:v>31</x:v>
      </x:c>
      <x:c r="D210" t="n">
        <x:f>IF('04_checks'!H31="ERROR",1,0)</x:f>
        <x:v>0</x:v>
      </x:c>
      <x:c r="E210" t="str">
        <x:v>Order:31:6</x:v>
      </x:c>
      <x:c r="F210" t="str">
        <x:v>Дата</x:v>
      </x:c>
      <x:c r="G210" t="str">
        <x:v>Medium</x:v>
      </x:c>
      <x:c r="H210" t="str">
        <x:v>order_date</x:v>
      </x:c>
      <x:c r="I210" t="str">
        <x:v>Сверить дату со срезом и исходной записью</x:v>
      </x:c>
      <x:c r="J210" t="n">
        <x:f>IF(D210=1,K210,0)</x:f>
        <x:v>0</x:v>
      </x:c>
      <x:c r="K210" t="n">
        <x:f>D210+K209</x:f>
        <x:v>4</x:v>
      </x:c>
    </x:row>
    <x:row r="211">
      <x:c r="A211" t="str">
        <x:v>Order</x:v>
      </x:c>
      <x:c r="B211" t="n">
        <x:f>'04_checks'!B31</x:f>
        <x:v>1030</x:v>
      </x:c>
      <x:c r="C211" t="n">
        <x:v>31</x:v>
      </x:c>
      <x:c r="D211" t="n">
        <x:f>IF('04_checks'!I31="ERROR",1,0)</x:f>
        <x:v>0</x:v>
      </x:c>
      <x:c r="E211" t="str">
        <x:v>Order:31:7</x:v>
      </x:c>
      <x:c r="F211" t="str">
        <x:v>Статус</x:v>
      </x:c>
      <x:c r="G211" t="str">
        <x:v>Medium</x:v>
      </x:c>
      <x:c r="H211" t="str">
        <x:v>status</x:v>
      </x:c>
      <x:c r="I211" t="str">
        <x:v>Выбрать допустимый статус</x:v>
      </x:c>
      <x:c r="J211" t="n">
        <x:f>IF(D211=1,K211,0)</x:f>
        <x:v>0</x:v>
      </x:c>
      <x:c r="K211" t="n">
        <x:f>D211+K210</x:f>
        <x:v>4</x:v>
      </x:c>
    </x:row>
    <x:row r="212">
      <x:c r="A212" t="str">
        <x:v>Order</x:v>
      </x:c>
      <x:c r="B212" t="n">
        <x:f>'04_checks'!B32</x:f>
        <x:v>1031</x:v>
      </x:c>
      <x:c r="C212" t="n">
        <x:v>32</x:v>
      </x:c>
      <x:c r="D212" t="n">
        <x:f>IF('04_checks'!C32="ERROR",1,0)</x:f>
        <x:v>0</x:v>
      </x:c>
      <x:c r="E212" t="str">
        <x:v>Order:32:1</x:v>
      </x:c>
      <x:c r="F212" t="str">
        <x:v>Дубль</x:v>
      </x:c>
      <x:c r="G212" t="str">
        <x:v>High</x:v>
      </x:c>
      <x:c r="H212" t="str">
        <x:v>order_id</x:v>
      </x:c>
      <x:c r="I212" t="str">
        <x:v>Проверить уникальность ID в источнике; не удалять записи автоматически</x:v>
      </x:c>
      <x:c r="J212" t="n">
        <x:f>IF(D212=1,K212,0)</x:f>
        <x:v>0</x:v>
      </x:c>
      <x:c r="K212" t="n">
        <x:f>D212+K211</x:f>
        <x:v>4</x:v>
      </x:c>
    </x:row>
    <x:row r="213">
      <x:c r="A213" t="str">
        <x:v>Order</x:v>
      </x:c>
      <x:c r="B213" t="n">
        <x:f>'04_checks'!B32</x:f>
        <x:v>1031</x:v>
      </x:c>
      <x:c r="C213" t="n">
        <x:v>32</x:v>
      </x:c>
      <x:c r="D213" t="n">
        <x:f>IF('04_checks'!D32="ERROR",1,0)</x:f>
        <x:v>0</x:v>
      </x:c>
      <x:c r="E213" t="str">
        <x:v>Order:32:2</x:v>
      </x:c>
      <x:c r="F213" t="str">
        <x:v>Пустое поле</x:v>
      </x:c>
      <x:c r="G213" t="str">
        <x:v>High</x:v>
      </x:c>
      <x:c r="H213" t="str">
        <x:v>required_fields</x:v>
      </x:c>
      <x:c r="I213" t="str">
        <x:v>Дополнить обязательные поля в источнике</x:v>
      </x:c>
      <x:c r="J213" t="n">
        <x:f>IF(D213=1,K213,0)</x:f>
        <x:v>0</x:v>
      </x:c>
      <x:c r="K213" t="n">
        <x:f>D213+K212</x:f>
        <x:v>4</x:v>
      </x:c>
    </x:row>
    <x:row r="214">
      <x:c r="A214" t="str">
        <x:v>Order</x:v>
      </x:c>
      <x:c r="B214" t="n">
        <x:f>'04_checks'!B32</x:f>
        <x:v>1031</x:v>
      </x:c>
      <x:c r="C214" t="n">
        <x:v>32</x:v>
      </x:c>
      <x:c r="D214" t="n">
        <x:f>IF('04_checks'!E32="ERROR",1,0)</x:f>
        <x:v>0</x:v>
      </x:c>
      <x:c r="E214" t="str">
        <x:v>Order:32:3</x:v>
      </x:c>
      <x:c r="F214" t="str">
        <x:f>IF(COUNTIF('02_clients_raw'!$A$2:$A$67,'01_orders_raw'!C32)&gt;1,"Неоднозначная связь","Нет связи")</x:f>
        <x:v>Нет связи</x:v>
      </x:c>
      <x:c r="G214" t="str">
        <x:v>High</x:v>
      </x:c>
      <x:c r="H214" t="str">
        <x:v>client_id</x:v>
      </x:c>
      <x:c r="I214" t="str">
        <x:v>Исправить ссылку или разрешить дубли связанного ID</x:v>
      </x:c>
      <x:c r="J214" t="n">
        <x:f>IF(D214=1,K214,0)</x:f>
        <x:v>0</x:v>
      </x:c>
      <x:c r="K214" t="n">
        <x:f>D214+K213</x:f>
        <x:v>4</x:v>
      </x:c>
    </x:row>
    <x:row r="215">
      <x:c r="A215" t="str">
        <x:v>Order</x:v>
      </x:c>
      <x:c r="B215" t="n">
        <x:f>'04_checks'!B32</x:f>
        <x:v>1031</x:v>
      </x:c>
      <x:c r="C215" t="n">
        <x:v>32</x:v>
      </x:c>
      <x:c r="D215" t="n">
        <x:f>IF('04_checks'!F32="ERROR",1,0)</x:f>
        <x:v>0</x:v>
      </x:c>
      <x:c r="E215" t="str">
        <x:v>Order:32:4</x:v>
      </x:c>
      <x:c r="F215" t="str">
        <x:v>Ошибка расчета</x:v>
      </x:c>
      <x:c r="G215" t="str">
        <x:v>High</x:v>
      </x:c>
      <x:c r="H215" t="str">
        <x:v>quantity/price/order_sum</x:v>
      </x:c>
      <x:c r="I215" t="str">
        <x:v>Сверить исходные значения и правило расчёта</x:v>
      </x:c>
      <x:c r="J215" t="n">
        <x:f>IF(D215=1,K215,0)</x:f>
        <x:v>0</x:v>
      </x:c>
      <x:c r="K215" t="n">
        <x:f>D215+K214</x:f>
        <x:v>4</x:v>
      </x:c>
    </x:row>
    <x:row r="216">
      <x:c r="A216" t="str">
        <x:v>Order</x:v>
      </x:c>
      <x:c r="B216" t="n">
        <x:f>'04_checks'!B32</x:f>
        <x:v>1031</x:v>
      </x:c>
      <x:c r="C216" t="n">
        <x:v>32</x:v>
      </x:c>
      <x:c r="D216" t="n">
        <x:f>IF('04_checks'!G32="ERROR",1,0)</x:f>
        <x:v>0</x:v>
      </x:c>
      <x:c r="E216" t="str">
        <x:v>Order:32:5</x:v>
      </x:c>
      <x:c r="F216" t="str">
        <x:v>Отрицательная цена</x:v>
      </x:c>
      <x:c r="G216" t="str">
        <x:v>High</x:v>
      </x:c>
      <x:c r="H216" t="str">
        <x:v>price</x:v>
      </x:c>
      <x:c r="I216" t="str">
        <x:v>Проверить цену в источнике</x:v>
      </x:c>
      <x:c r="J216" t="n">
        <x:f>IF(D216=1,K216,0)</x:f>
        <x:v>0</x:v>
      </x:c>
      <x:c r="K216" t="n">
        <x:f>D216+K215</x:f>
        <x:v>4</x:v>
      </x:c>
    </x:row>
    <x:row r="217">
      <x:c r="A217" t="str">
        <x:v>Order</x:v>
      </x:c>
      <x:c r="B217" t="n">
        <x:f>'04_checks'!B32</x:f>
        <x:v>1031</x:v>
      </x:c>
      <x:c r="C217" t="n">
        <x:v>32</x:v>
      </x:c>
      <x:c r="D217" t="n">
        <x:f>IF('04_checks'!H32="ERROR",1,0)</x:f>
        <x:v>0</x:v>
      </x:c>
      <x:c r="E217" t="str">
        <x:v>Order:32:6</x:v>
      </x:c>
      <x:c r="F217" t="str">
        <x:v>Дата</x:v>
      </x:c>
      <x:c r="G217" t="str">
        <x:v>Medium</x:v>
      </x:c>
      <x:c r="H217" t="str">
        <x:v>order_date</x:v>
      </x:c>
      <x:c r="I217" t="str">
        <x:v>Сверить дату со срезом и исходной записью</x:v>
      </x:c>
      <x:c r="J217" t="n">
        <x:f>IF(D217=1,K217,0)</x:f>
        <x:v>0</x:v>
      </x:c>
      <x:c r="K217" t="n">
        <x:f>D217+K216</x:f>
        <x:v>4</x:v>
      </x:c>
    </x:row>
    <x:row r="218">
      <x:c r="A218" t="str">
        <x:v>Order</x:v>
      </x:c>
      <x:c r="B218" t="n">
        <x:f>'04_checks'!B32</x:f>
        <x:v>1031</x:v>
      </x:c>
      <x:c r="C218" t="n">
        <x:v>32</x:v>
      </x:c>
      <x:c r="D218" t="n">
        <x:f>IF('04_checks'!I32="ERROR",1,0)</x:f>
        <x:v>0</x:v>
      </x:c>
      <x:c r="E218" t="str">
        <x:v>Order:32:7</x:v>
      </x:c>
      <x:c r="F218" t="str">
        <x:v>Статус</x:v>
      </x:c>
      <x:c r="G218" t="str">
        <x:v>Medium</x:v>
      </x:c>
      <x:c r="H218" t="str">
        <x:v>status</x:v>
      </x:c>
      <x:c r="I218" t="str">
        <x:v>Выбрать допустимый статус</x:v>
      </x:c>
      <x:c r="J218" t="n">
        <x:f>IF(D218=1,K218,0)</x:f>
        <x:v>0</x:v>
      </x:c>
      <x:c r="K218" t="n">
        <x:f>D218+K217</x:f>
        <x:v>4</x:v>
      </x:c>
    </x:row>
    <x:row r="219">
      <x:c r="A219" t="str">
        <x:v>Order</x:v>
      </x:c>
      <x:c r="B219" t="n">
        <x:f>'04_checks'!B33</x:f>
        <x:v>1032</x:v>
      </x:c>
      <x:c r="C219" t="n">
        <x:v>33</x:v>
      </x:c>
      <x:c r="D219" t="n">
        <x:f>IF('04_checks'!C33="ERROR",1,0)</x:f>
        <x:v>0</x:v>
      </x:c>
      <x:c r="E219" t="str">
        <x:v>Order:33:1</x:v>
      </x:c>
      <x:c r="F219" t="str">
        <x:v>Дубль</x:v>
      </x:c>
      <x:c r="G219" t="str">
        <x:v>High</x:v>
      </x:c>
      <x:c r="H219" t="str">
        <x:v>order_id</x:v>
      </x:c>
      <x:c r="I219" t="str">
        <x:v>Проверить уникальность ID в источнике; не удалять записи автоматически</x:v>
      </x:c>
      <x:c r="J219" t="n">
        <x:f>IF(D219=1,K219,0)</x:f>
        <x:v>0</x:v>
      </x:c>
      <x:c r="K219" t="n">
        <x:f>D219+K218</x:f>
        <x:v>4</x:v>
      </x:c>
    </x:row>
    <x:row r="220">
      <x:c r="A220" t="str">
        <x:v>Order</x:v>
      </x:c>
      <x:c r="B220" t="n">
        <x:f>'04_checks'!B33</x:f>
        <x:v>1032</x:v>
      </x:c>
      <x:c r="C220" t="n">
        <x:v>33</x:v>
      </x:c>
      <x:c r="D220" t="n">
        <x:f>IF('04_checks'!D33="ERROR",1,0)</x:f>
        <x:v>0</x:v>
      </x:c>
      <x:c r="E220" t="str">
        <x:v>Order:33:2</x:v>
      </x:c>
      <x:c r="F220" t="str">
        <x:v>Пустое поле</x:v>
      </x:c>
      <x:c r="G220" t="str">
        <x:v>High</x:v>
      </x:c>
      <x:c r="H220" t="str">
        <x:v>required_fields</x:v>
      </x:c>
      <x:c r="I220" t="str">
        <x:v>Дополнить обязательные поля в источнике</x:v>
      </x:c>
      <x:c r="J220" t="n">
        <x:f>IF(D220=1,K220,0)</x:f>
        <x:v>0</x:v>
      </x:c>
      <x:c r="K220" t="n">
        <x:f>D220+K219</x:f>
        <x:v>4</x:v>
      </x:c>
    </x:row>
    <x:row r="221">
      <x:c r="A221" t="str">
        <x:v>Order</x:v>
      </x:c>
      <x:c r="B221" t="n">
        <x:f>'04_checks'!B33</x:f>
        <x:v>1032</x:v>
      </x:c>
      <x:c r="C221" t="n">
        <x:v>33</x:v>
      </x:c>
      <x:c r="D221" t="n">
        <x:f>IF('04_checks'!E33="ERROR",1,0)</x:f>
        <x:v>0</x:v>
      </x:c>
      <x:c r="E221" t="str">
        <x:v>Order:33:3</x:v>
      </x:c>
      <x:c r="F221" t="str">
        <x:f>IF(COUNTIF('02_clients_raw'!$A$2:$A$67,'01_orders_raw'!C33)&gt;1,"Неоднозначная связь","Нет связи")</x:f>
        <x:v>Нет связи</x:v>
      </x:c>
      <x:c r="G221" t="str">
        <x:v>High</x:v>
      </x:c>
      <x:c r="H221" t="str">
        <x:v>client_id</x:v>
      </x:c>
      <x:c r="I221" t="str">
        <x:v>Исправить ссылку или разрешить дубли связанного ID</x:v>
      </x:c>
      <x:c r="J221" t="n">
        <x:f>IF(D221=1,K221,0)</x:f>
        <x:v>0</x:v>
      </x:c>
      <x:c r="K221" t="n">
        <x:f>D221+K220</x:f>
        <x:v>4</x:v>
      </x:c>
    </x:row>
    <x:row r="222">
      <x:c r="A222" t="str">
        <x:v>Order</x:v>
      </x:c>
      <x:c r="B222" t="n">
        <x:f>'04_checks'!B33</x:f>
        <x:v>1032</x:v>
      </x:c>
      <x:c r="C222" t="n">
        <x:v>33</x:v>
      </x:c>
      <x:c r="D222" t="n">
        <x:f>IF('04_checks'!F33="ERROR",1,0)</x:f>
        <x:v>0</x:v>
      </x:c>
      <x:c r="E222" t="str">
        <x:v>Order:33:4</x:v>
      </x:c>
      <x:c r="F222" t="str">
        <x:v>Ошибка расчета</x:v>
      </x:c>
      <x:c r="G222" t="str">
        <x:v>High</x:v>
      </x:c>
      <x:c r="H222" t="str">
        <x:v>quantity/price/order_sum</x:v>
      </x:c>
      <x:c r="I222" t="str">
        <x:v>Сверить исходные значения и правило расчёта</x:v>
      </x:c>
      <x:c r="J222" t="n">
        <x:f>IF(D222=1,K222,0)</x:f>
        <x:v>0</x:v>
      </x:c>
      <x:c r="K222" t="n">
        <x:f>D222+K221</x:f>
        <x:v>4</x:v>
      </x:c>
    </x:row>
    <x:row r="223">
      <x:c r="A223" t="str">
        <x:v>Order</x:v>
      </x:c>
      <x:c r="B223" t="n">
        <x:f>'04_checks'!B33</x:f>
        <x:v>1032</x:v>
      </x:c>
      <x:c r="C223" t="n">
        <x:v>33</x:v>
      </x:c>
      <x:c r="D223" t="n">
        <x:f>IF('04_checks'!G33="ERROR",1,0)</x:f>
        <x:v>0</x:v>
      </x:c>
      <x:c r="E223" t="str">
        <x:v>Order:33:5</x:v>
      </x:c>
      <x:c r="F223" t="str">
        <x:v>Отрицательная цена</x:v>
      </x:c>
      <x:c r="G223" t="str">
        <x:v>High</x:v>
      </x:c>
      <x:c r="H223" t="str">
        <x:v>price</x:v>
      </x:c>
      <x:c r="I223" t="str">
        <x:v>Проверить цену в источнике</x:v>
      </x:c>
      <x:c r="J223" t="n">
        <x:f>IF(D223=1,K223,0)</x:f>
        <x:v>0</x:v>
      </x:c>
      <x:c r="K223" t="n">
        <x:f>D223+K222</x:f>
        <x:v>4</x:v>
      </x:c>
    </x:row>
    <x:row r="224">
      <x:c r="A224" t="str">
        <x:v>Order</x:v>
      </x:c>
      <x:c r="B224" t="n">
        <x:f>'04_checks'!B33</x:f>
        <x:v>1032</x:v>
      </x:c>
      <x:c r="C224" t="n">
        <x:v>33</x:v>
      </x:c>
      <x:c r="D224" t="n">
        <x:f>IF('04_checks'!H33="ERROR",1,0)</x:f>
        <x:v>0</x:v>
      </x:c>
      <x:c r="E224" t="str">
        <x:v>Order:33:6</x:v>
      </x:c>
      <x:c r="F224" t="str">
        <x:v>Дата</x:v>
      </x:c>
      <x:c r="G224" t="str">
        <x:v>Medium</x:v>
      </x:c>
      <x:c r="H224" t="str">
        <x:v>order_date</x:v>
      </x:c>
      <x:c r="I224" t="str">
        <x:v>Сверить дату со срезом и исходной записью</x:v>
      </x:c>
      <x:c r="J224" t="n">
        <x:f>IF(D224=1,K224,0)</x:f>
        <x:v>0</x:v>
      </x:c>
      <x:c r="K224" t="n">
        <x:f>D224+K223</x:f>
        <x:v>4</x:v>
      </x:c>
    </x:row>
    <x:row r="225">
      <x:c r="A225" t="str">
        <x:v>Order</x:v>
      </x:c>
      <x:c r="B225" t="n">
        <x:f>'04_checks'!B33</x:f>
        <x:v>1032</x:v>
      </x:c>
      <x:c r="C225" t="n">
        <x:v>33</x:v>
      </x:c>
      <x:c r="D225" t="n">
        <x:f>IF('04_checks'!I33="ERROR",1,0)</x:f>
        <x:v>0</x:v>
      </x:c>
      <x:c r="E225" t="str">
        <x:v>Order:33:7</x:v>
      </x:c>
      <x:c r="F225" t="str">
        <x:v>Статус</x:v>
      </x:c>
      <x:c r="G225" t="str">
        <x:v>Medium</x:v>
      </x:c>
      <x:c r="H225" t="str">
        <x:v>status</x:v>
      </x:c>
      <x:c r="I225" t="str">
        <x:v>Выбрать допустимый статус</x:v>
      </x:c>
      <x:c r="J225" t="n">
        <x:f>IF(D225=1,K225,0)</x:f>
        <x:v>0</x:v>
      </x:c>
      <x:c r="K225" t="n">
        <x:f>D225+K224</x:f>
        <x:v>4</x:v>
      </x:c>
    </x:row>
    <x:row r="226">
      <x:c r="A226" t="str">
        <x:v>Order</x:v>
      </x:c>
      <x:c r="B226" t="n">
        <x:f>'04_checks'!B34</x:f>
        <x:v>1033</x:v>
      </x:c>
      <x:c r="C226" t="n">
        <x:v>34</x:v>
      </x:c>
      <x:c r="D226" t="n">
        <x:f>IF('04_checks'!C34="ERROR",1,0)</x:f>
        <x:v>0</x:v>
      </x:c>
      <x:c r="E226" t="str">
        <x:v>Order:34:1</x:v>
      </x:c>
      <x:c r="F226" t="str">
        <x:v>Дубль</x:v>
      </x:c>
      <x:c r="G226" t="str">
        <x:v>High</x:v>
      </x:c>
      <x:c r="H226" t="str">
        <x:v>order_id</x:v>
      </x:c>
      <x:c r="I226" t="str">
        <x:v>Проверить уникальность ID в источнике; не удалять записи автоматически</x:v>
      </x:c>
      <x:c r="J226" t="n">
        <x:f>IF(D226=1,K226,0)</x:f>
        <x:v>0</x:v>
      </x:c>
      <x:c r="K226" t="n">
        <x:f>D226+K225</x:f>
        <x:v>4</x:v>
      </x:c>
    </x:row>
    <x:row r="227">
      <x:c r="A227" t="str">
        <x:v>Order</x:v>
      </x:c>
      <x:c r="B227" t="n">
        <x:f>'04_checks'!B34</x:f>
        <x:v>1033</x:v>
      </x:c>
      <x:c r="C227" t="n">
        <x:v>34</x:v>
      </x:c>
      <x:c r="D227" t="n">
        <x:f>IF('04_checks'!D34="ERROR",1,0)</x:f>
        <x:v>0</x:v>
      </x:c>
      <x:c r="E227" t="str">
        <x:v>Order:34:2</x:v>
      </x:c>
      <x:c r="F227" t="str">
        <x:v>Пустое поле</x:v>
      </x:c>
      <x:c r="G227" t="str">
        <x:v>High</x:v>
      </x:c>
      <x:c r="H227" t="str">
        <x:v>required_fields</x:v>
      </x:c>
      <x:c r="I227" t="str">
        <x:v>Дополнить обязательные поля в источнике</x:v>
      </x:c>
      <x:c r="J227" t="n">
        <x:f>IF(D227=1,K227,0)</x:f>
        <x:v>0</x:v>
      </x:c>
      <x:c r="K227" t="n">
        <x:f>D227+K226</x:f>
        <x:v>4</x:v>
      </x:c>
    </x:row>
    <x:row r="228">
      <x:c r="A228" t="str">
        <x:v>Order</x:v>
      </x:c>
      <x:c r="B228" t="n">
        <x:f>'04_checks'!B34</x:f>
        <x:v>1033</x:v>
      </x:c>
      <x:c r="C228" t="n">
        <x:v>34</x:v>
      </x:c>
      <x:c r="D228" t="n">
        <x:f>IF('04_checks'!E34="ERROR",1,0)</x:f>
        <x:v>0</x:v>
      </x:c>
      <x:c r="E228" t="str">
        <x:v>Order:34:3</x:v>
      </x:c>
      <x:c r="F228" t="str">
        <x:f>IF(COUNTIF('02_clients_raw'!$A$2:$A$67,'01_orders_raw'!C34)&gt;1,"Неоднозначная связь","Нет связи")</x:f>
        <x:v>Нет связи</x:v>
      </x:c>
      <x:c r="G228" t="str">
        <x:v>High</x:v>
      </x:c>
      <x:c r="H228" t="str">
        <x:v>client_id</x:v>
      </x:c>
      <x:c r="I228" t="str">
        <x:v>Исправить ссылку или разрешить дубли связанного ID</x:v>
      </x:c>
      <x:c r="J228" t="n">
        <x:f>IF(D228=1,K228,0)</x:f>
        <x:v>0</x:v>
      </x:c>
      <x:c r="K228" t="n">
        <x:f>D228+K227</x:f>
        <x:v>4</x:v>
      </x:c>
    </x:row>
    <x:row r="229">
      <x:c r="A229" t="str">
        <x:v>Order</x:v>
      </x:c>
      <x:c r="B229" t="n">
        <x:f>'04_checks'!B34</x:f>
        <x:v>1033</x:v>
      </x:c>
      <x:c r="C229" t="n">
        <x:v>34</x:v>
      </x:c>
      <x:c r="D229" t="n">
        <x:f>IF('04_checks'!F34="ERROR",1,0)</x:f>
        <x:v>0</x:v>
      </x:c>
      <x:c r="E229" t="str">
        <x:v>Order:34:4</x:v>
      </x:c>
      <x:c r="F229" t="str">
        <x:v>Ошибка расчета</x:v>
      </x:c>
      <x:c r="G229" t="str">
        <x:v>High</x:v>
      </x:c>
      <x:c r="H229" t="str">
        <x:v>quantity/price/order_sum</x:v>
      </x:c>
      <x:c r="I229" t="str">
        <x:v>Сверить исходные значения и правило расчёта</x:v>
      </x:c>
      <x:c r="J229" t="n">
        <x:f>IF(D229=1,K229,0)</x:f>
        <x:v>0</x:v>
      </x:c>
      <x:c r="K229" t="n">
        <x:f>D229+K228</x:f>
        <x:v>4</x:v>
      </x:c>
    </x:row>
    <x:row r="230">
      <x:c r="A230" t="str">
        <x:v>Order</x:v>
      </x:c>
      <x:c r="B230" t="n">
        <x:f>'04_checks'!B34</x:f>
        <x:v>1033</x:v>
      </x:c>
      <x:c r="C230" t="n">
        <x:v>34</x:v>
      </x:c>
      <x:c r="D230" t="n">
        <x:f>IF('04_checks'!G34="ERROR",1,0)</x:f>
        <x:v>0</x:v>
      </x:c>
      <x:c r="E230" t="str">
        <x:v>Order:34:5</x:v>
      </x:c>
      <x:c r="F230" t="str">
        <x:v>Отрицательная цена</x:v>
      </x:c>
      <x:c r="G230" t="str">
        <x:v>High</x:v>
      </x:c>
      <x:c r="H230" t="str">
        <x:v>price</x:v>
      </x:c>
      <x:c r="I230" t="str">
        <x:v>Проверить цену в источнике</x:v>
      </x:c>
      <x:c r="J230" t="n">
        <x:f>IF(D230=1,K230,0)</x:f>
        <x:v>0</x:v>
      </x:c>
      <x:c r="K230" t="n">
        <x:f>D230+K229</x:f>
        <x:v>4</x:v>
      </x:c>
    </x:row>
    <x:row r="231">
      <x:c r="A231" t="str">
        <x:v>Order</x:v>
      </x:c>
      <x:c r="B231" t="n">
        <x:f>'04_checks'!B34</x:f>
        <x:v>1033</x:v>
      </x:c>
      <x:c r="C231" t="n">
        <x:v>34</x:v>
      </x:c>
      <x:c r="D231" t="n">
        <x:f>IF('04_checks'!H34="ERROR",1,0)</x:f>
        <x:v>0</x:v>
      </x:c>
      <x:c r="E231" t="str">
        <x:v>Order:34:6</x:v>
      </x:c>
      <x:c r="F231" t="str">
        <x:v>Дата</x:v>
      </x:c>
      <x:c r="G231" t="str">
        <x:v>Medium</x:v>
      </x:c>
      <x:c r="H231" t="str">
        <x:v>order_date</x:v>
      </x:c>
      <x:c r="I231" t="str">
        <x:v>Сверить дату со срезом и исходной записью</x:v>
      </x:c>
      <x:c r="J231" t="n">
        <x:f>IF(D231=1,K231,0)</x:f>
        <x:v>0</x:v>
      </x:c>
      <x:c r="K231" t="n">
        <x:f>D231+K230</x:f>
        <x:v>4</x:v>
      </x:c>
    </x:row>
    <x:row r="232">
      <x:c r="A232" t="str">
        <x:v>Order</x:v>
      </x:c>
      <x:c r="B232" t="n">
        <x:f>'04_checks'!B34</x:f>
        <x:v>1033</x:v>
      </x:c>
      <x:c r="C232" t="n">
        <x:v>34</x:v>
      </x:c>
      <x:c r="D232" t="n">
        <x:f>IF('04_checks'!I34="ERROR",1,0)</x:f>
        <x:v>0</x:v>
      </x:c>
      <x:c r="E232" t="str">
        <x:v>Order:34:7</x:v>
      </x:c>
      <x:c r="F232" t="str">
        <x:v>Статус</x:v>
      </x:c>
      <x:c r="G232" t="str">
        <x:v>Medium</x:v>
      </x:c>
      <x:c r="H232" t="str">
        <x:v>status</x:v>
      </x:c>
      <x:c r="I232" t="str">
        <x:v>Выбрать допустимый статус</x:v>
      </x:c>
      <x:c r="J232" t="n">
        <x:f>IF(D232=1,K232,0)</x:f>
        <x:v>0</x:v>
      </x:c>
      <x:c r="K232" t="n">
        <x:f>D232+K231</x:f>
        <x:v>4</x:v>
      </x:c>
    </x:row>
    <x:row r="233">
      <x:c r="A233" t="str">
        <x:v>Order</x:v>
      </x:c>
      <x:c r="B233" t="n">
        <x:f>'04_checks'!B35</x:f>
        <x:v>1034</x:v>
      </x:c>
      <x:c r="C233" t="n">
        <x:v>35</x:v>
      </x:c>
      <x:c r="D233" t="n">
        <x:f>IF('04_checks'!C35="ERROR",1,0)</x:f>
        <x:v>0</x:v>
      </x:c>
      <x:c r="E233" t="str">
        <x:v>Order:35:1</x:v>
      </x:c>
      <x:c r="F233" t="str">
        <x:v>Дубль</x:v>
      </x:c>
      <x:c r="G233" t="str">
        <x:v>High</x:v>
      </x:c>
      <x:c r="H233" t="str">
        <x:v>order_id</x:v>
      </x:c>
      <x:c r="I233" t="str">
        <x:v>Проверить уникальность ID в источнике; не удалять записи автоматически</x:v>
      </x:c>
      <x:c r="J233" t="n">
        <x:f>IF(D233=1,K233,0)</x:f>
        <x:v>0</x:v>
      </x:c>
      <x:c r="K233" t="n">
        <x:f>D233+K232</x:f>
        <x:v>4</x:v>
      </x:c>
    </x:row>
    <x:row r="234">
      <x:c r="A234" t="str">
        <x:v>Order</x:v>
      </x:c>
      <x:c r="B234" t="n">
        <x:f>'04_checks'!B35</x:f>
        <x:v>1034</x:v>
      </x:c>
      <x:c r="C234" t="n">
        <x:v>35</x:v>
      </x:c>
      <x:c r="D234" t="n">
        <x:f>IF('04_checks'!D35="ERROR",1,0)</x:f>
        <x:v>0</x:v>
      </x:c>
      <x:c r="E234" t="str">
        <x:v>Order:35:2</x:v>
      </x:c>
      <x:c r="F234" t="str">
        <x:v>Пустое поле</x:v>
      </x:c>
      <x:c r="G234" t="str">
        <x:v>High</x:v>
      </x:c>
      <x:c r="H234" t="str">
        <x:v>required_fields</x:v>
      </x:c>
      <x:c r="I234" t="str">
        <x:v>Дополнить обязательные поля в источнике</x:v>
      </x:c>
      <x:c r="J234" t="n">
        <x:f>IF(D234=1,K234,0)</x:f>
        <x:v>0</x:v>
      </x:c>
      <x:c r="K234" t="n">
        <x:f>D234+K233</x:f>
        <x:v>4</x:v>
      </x:c>
    </x:row>
    <x:row r="235">
      <x:c r="A235" t="str">
        <x:v>Order</x:v>
      </x:c>
      <x:c r="B235" t="n">
        <x:f>'04_checks'!B35</x:f>
        <x:v>1034</x:v>
      </x:c>
      <x:c r="C235" t="n">
        <x:v>35</x:v>
      </x:c>
      <x:c r="D235" t="n">
        <x:f>IF('04_checks'!E35="ERROR",1,0)</x:f>
        <x:v>0</x:v>
      </x:c>
      <x:c r="E235" t="str">
        <x:v>Order:35:3</x:v>
      </x:c>
      <x:c r="F235" t="str">
        <x:f>IF(COUNTIF('02_clients_raw'!$A$2:$A$67,'01_orders_raw'!C35)&gt;1,"Неоднозначная связь","Нет связи")</x:f>
        <x:v>Нет связи</x:v>
      </x:c>
      <x:c r="G235" t="str">
        <x:v>High</x:v>
      </x:c>
      <x:c r="H235" t="str">
        <x:v>client_id</x:v>
      </x:c>
      <x:c r="I235" t="str">
        <x:v>Исправить ссылку или разрешить дубли связанного ID</x:v>
      </x:c>
      <x:c r="J235" t="n">
        <x:f>IF(D235=1,K235,0)</x:f>
        <x:v>0</x:v>
      </x:c>
      <x:c r="K235" t="n">
        <x:f>D235+K234</x:f>
        <x:v>4</x:v>
      </x:c>
    </x:row>
    <x:row r="236">
      <x:c r="A236" t="str">
        <x:v>Order</x:v>
      </x:c>
      <x:c r="B236" t="n">
        <x:f>'04_checks'!B35</x:f>
        <x:v>1034</x:v>
      </x:c>
      <x:c r="C236" t="n">
        <x:v>35</x:v>
      </x:c>
      <x:c r="D236" t="n">
        <x:f>IF('04_checks'!F35="ERROR",1,0)</x:f>
        <x:v>0</x:v>
      </x:c>
      <x:c r="E236" t="str">
        <x:v>Order:35:4</x:v>
      </x:c>
      <x:c r="F236" t="str">
        <x:v>Ошибка расчета</x:v>
      </x:c>
      <x:c r="G236" t="str">
        <x:v>High</x:v>
      </x:c>
      <x:c r="H236" t="str">
        <x:v>quantity/price/order_sum</x:v>
      </x:c>
      <x:c r="I236" t="str">
        <x:v>Сверить исходные значения и правило расчёта</x:v>
      </x:c>
      <x:c r="J236" t="n">
        <x:f>IF(D236=1,K236,0)</x:f>
        <x:v>0</x:v>
      </x:c>
      <x:c r="K236" t="n">
        <x:f>D236+K235</x:f>
        <x:v>4</x:v>
      </x:c>
    </x:row>
    <x:row r="237">
      <x:c r="A237" t="str">
        <x:v>Order</x:v>
      </x:c>
      <x:c r="B237" t="n">
        <x:f>'04_checks'!B35</x:f>
        <x:v>1034</x:v>
      </x:c>
      <x:c r="C237" t="n">
        <x:v>35</x:v>
      </x:c>
      <x:c r="D237" t="n">
        <x:f>IF('04_checks'!G35="ERROR",1,0)</x:f>
        <x:v>0</x:v>
      </x:c>
      <x:c r="E237" t="str">
        <x:v>Order:35:5</x:v>
      </x:c>
      <x:c r="F237" t="str">
        <x:v>Отрицательная цена</x:v>
      </x:c>
      <x:c r="G237" t="str">
        <x:v>High</x:v>
      </x:c>
      <x:c r="H237" t="str">
        <x:v>price</x:v>
      </x:c>
      <x:c r="I237" t="str">
        <x:v>Проверить цену в источнике</x:v>
      </x:c>
      <x:c r="J237" t="n">
        <x:f>IF(D237=1,K237,0)</x:f>
        <x:v>0</x:v>
      </x:c>
      <x:c r="K237" t="n">
        <x:f>D237+K236</x:f>
        <x:v>4</x:v>
      </x:c>
    </x:row>
    <x:row r="238">
      <x:c r="A238" t="str">
        <x:v>Order</x:v>
      </x:c>
      <x:c r="B238" t="n">
        <x:f>'04_checks'!B35</x:f>
        <x:v>1034</x:v>
      </x:c>
      <x:c r="C238" t="n">
        <x:v>35</x:v>
      </x:c>
      <x:c r="D238" t="n">
        <x:f>IF('04_checks'!H35="ERROR",1,0)</x:f>
        <x:v>0</x:v>
      </x:c>
      <x:c r="E238" t="str">
        <x:v>Order:35:6</x:v>
      </x:c>
      <x:c r="F238" t="str">
        <x:v>Дата</x:v>
      </x:c>
      <x:c r="G238" t="str">
        <x:v>Medium</x:v>
      </x:c>
      <x:c r="H238" t="str">
        <x:v>order_date</x:v>
      </x:c>
      <x:c r="I238" t="str">
        <x:v>Сверить дату со срезом и исходной записью</x:v>
      </x:c>
      <x:c r="J238" t="n">
        <x:f>IF(D238=1,K238,0)</x:f>
        <x:v>0</x:v>
      </x:c>
      <x:c r="K238" t="n">
        <x:f>D238+K237</x:f>
        <x:v>4</x:v>
      </x:c>
    </x:row>
    <x:row r="239">
      <x:c r="A239" t="str">
        <x:v>Order</x:v>
      </x:c>
      <x:c r="B239" t="n">
        <x:f>'04_checks'!B35</x:f>
        <x:v>1034</x:v>
      </x:c>
      <x:c r="C239" t="n">
        <x:v>35</x:v>
      </x:c>
      <x:c r="D239" t="n">
        <x:f>IF('04_checks'!I35="ERROR",1,0)</x:f>
        <x:v>0</x:v>
      </x:c>
      <x:c r="E239" t="str">
        <x:v>Order:35:7</x:v>
      </x:c>
      <x:c r="F239" t="str">
        <x:v>Статус</x:v>
      </x:c>
      <x:c r="G239" t="str">
        <x:v>Medium</x:v>
      </x:c>
      <x:c r="H239" t="str">
        <x:v>status</x:v>
      </x:c>
      <x:c r="I239" t="str">
        <x:v>Выбрать допустимый статус</x:v>
      </x:c>
      <x:c r="J239" t="n">
        <x:f>IF(D239=1,K239,0)</x:f>
        <x:v>0</x:v>
      </x:c>
      <x:c r="K239" t="n">
        <x:f>D239+K238</x:f>
        <x:v>4</x:v>
      </x:c>
    </x:row>
    <x:row r="240">
      <x:c r="A240" t="str">
        <x:v>Order</x:v>
      </x:c>
      <x:c r="B240" t="n">
        <x:f>'04_checks'!B36</x:f>
        <x:v>1035</x:v>
      </x:c>
      <x:c r="C240" t="n">
        <x:v>36</x:v>
      </x:c>
      <x:c r="D240" t="n">
        <x:f>IF('04_checks'!C36="ERROR",1,0)</x:f>
        <x:v>0</x:v>
      </x:c>
      <x:c r="E240" t="str">
        <x:v>Order:36:1</x:v>
      </x:c>
      <x:c r="F240" t="str">
        <x:v>Дубль</x:v>
      </x:c>
      <x:c r="G240" t="str">
        <x:v>High</x:v>
      </x:c>
      <x:c r="H240" t="str">
        <x:v>order_id</x:v>
      </x:c>
      <x:c r="I240" t="str">
        <x:v>Проверить уникальность ID в источнике; не удалять записи автоматически</x:v>
      </x:c>
      <x:c r="J240" t="n">
        <x:f>IF(D240=1,K240,0)</x:f>
        <x:v>0</x:v>
      </x:c>
      <x:c r="K240" t="n">
        <x:f>D240+K239</x:f>
        <x:v>4</x:v>
      </x:c>
    </x:row>
    <x:row r="241">
      <x:c r="A241" t="str">
        <x:v>Order</x:v>
      </x:c>
      <x:c r="B241" t="n">
        <x:f>'04_checks'!B36</x:f>
        <x:v>1035</x:v>
      </x:c>
      <x:c r="C241" t="n">
        <x:v>36</x:v>
      </x:c>
      <x:c r="D241" t="n">
        <x:f>IF('04_checks'!D36="ERROR",1,0)</x:f>
        <x:v>0</x:v>
      </x:c>
      <x:c r="E241" t="str">
        <x:v>Order:36:2</x:v>
      </x:c>
      <x:c r="F241" t="str">
        <x:v>Пустое поле</x:v>
      </x:c>
      <x:c r="G241" t="str">
        <x:v>High</x:v>
      </x:c>
      <x:c r="H241" t="str">
        <x:v>required_fields</x:v>
      </x:c>
      <x:c r="I241" t="str">
        <x:v>Дополнить обязательные поля в источнике</x:v>
      </x:c>
      <x:c r="J241" t="n">
        <x:f>IF(D241=1,K241,0)</x:f>
        <x:v>0</x:v>
      </x:c>
      <x:c r="K241" t="n">
        <x:f>D241+K240</x:f>
        <x:v>4</x:v>
      </x:c>
    </x:row>
    <x:row r="242">
      <x:c r="A242" t="str">
        <x:v>Order</x:v>
      </x:c>
      <x:c r="B242" t="n">
        <x:f>'04_checks'!B36</x:f>
        <x:v>1035</x:v>
      </x:c>
      <x:c r="C242" t="n">
        <x:v>36</x:v>
      </x:c>
      <x:c r="D242" t="n">
        <x:f>IF('04_checks'!E36="ERROR",1,0)</x:f>
        <x:v>0</x:v>
      </x:c>
      <x:c r="E242" t="str">
        <x:v>Order:36:3</x:v>
      </x:c>
      <x:c r="F242" t="str">
        <x:f>IF(COUNTIF('02_clients_raw'!$A$2:$A$67,'01_orders_raw'!C36)&gt;1,"Неоднозначная связь","Нет связи")</x:f>
        <x:v>Нет связи</x:v>
      </x:c>
      <x:c r="G242" t="str">
        <x:v>High</x:v>
      </x:c>
      <x:c r="H242" t="str">
        <x:v>client_id</x:v>
      </x:c>
      <x:c r="I242" t="str">
        <x:v>Исправить ссылку или разрешить дубли связанного ID</x:v>
      </x:c>
      <x:c r="J242" t="n">
        <x:f>IF(D242=1,K242,0)</x:f>
        <x:v>0</x:v>
      </x:c>
      <x:c r="K242" t="n">
        <x:f>D242+K241</x:f>
        <x:v>4</x:v>
      </x:c>
    </x:row>
    <x:row r="243">
      <x:c r="A243" t="str">
        <x:v>Order</x:v>
      </x:c>
      <x:c r="B243" t="n">
        <x:f>'04_checks'!B36</x:f>
        <x:v>1035</x:v>
      </x:c>
      <x:c r="C243" t="n">
        <x:v>36</x:v>
      </x:c>
      <x:c r="D243" t="n">
        <x:f>IF('04_checks'!F36="ERROR",1,0)</x:f>
        <x:v>0</x:v>
      </x:c>
      <x:c r="E243" t="str">
        <x:v>Order:36:4</x:v>
      </x:c>
      <x:c r="F243" t="str">
        <x:v>Ошибка расчета</x:v>
      </x:c>
      <x:c r="G243" t="str">
        <x:v>High</x:v>
      </x:c>
      <x:c r="H243" t="str">
        <x:v>quantity/price/order_sum</x:v>
      </x:c>
      <x:c r="I243" t="str">
        <x:v>Сверить исходные значения и правило расчёта</x:v>
      </x:c>
      <x:c r="J243" t="n">
        <x:f>IF(D243=1,K243,0)</x:f>
        <x:v>0</x:v>
      </x:c>
      <x:c r="K243" t="n">
        <x:f>D243+K242</x:f>
        <x:v>4</x:v>
      </x:c>
    </x:row>
    <x:row r="244">
      <x:c r="A244" t="str">
        <x:v>Order</x:v>
      </x:c>
      <x:c r="B244" t="n">
        <x:f>'04_checks'!B36</x:f>
        <x:v>1035</x:v>
      </x:c>
      <x:c r="C244" t="n">
        <x:v>36</x:v>
      </x:c>
      <x:c r="D244" t="n">
        <x:f>IF('04_checks'!G36="ERROR",1,0)</x:f>
        <x:v>0</x:v>
      </x:c>
      <x:c r="E244" t="str">
        <x:v>Order:36:5</x:v>
      </x:c>
      <x:c r="F244" t="str">
        <x:v>Отрицательная цена</x:v>
      </x:c>
      <x:c r="G244" t="str">
        <x:v>High</x:v>
      </x:c>
      <x:c r="H244" t="str">
        <x:v>price</x:v>
      </x:c>
      <x:c r="I244" t="str">
        <x:v>Проверить цену в источнике</x:v>
      </x:c>
      <x:c r="J244" t="n">
        <x:f>IF(D244=1,K244,0)</x:f>
        <x:v>0</x:v>
      </x:c>
      <x:c r="K244" t="n">
        <x:f>D244+K243</x:f>
        <x:v>4</x:v>
      </x:c>
    </x:row>
    <x:row r="245">
      <x:c r="A245" t="str">
        <x:v>Order</x:v>
      </x:c>
      <x:c r="B245" t="n">
        <x:f>'04_checks'!B36</x:f>
        <x:v>1035</x:v>
      </x:c>
      <x:c r="C245" t="n">
        <x:v>36</x:v>
      </x:c>
      <x:c r="D245" t="n">
        <x:f>IF('04_checks'!H36="ERROR",1,0)</x:f>
        <x:v>0</x:v>
      </x:c>
      <x:c r="E245" t="str">
        <x:v>Order:36:6</x:v>
      </x:c>
      <x:c r="F245" t="str">
        <x:v>Дата</x:v>
      </x:c>
      <x:c r="G245" t="str">
        <x:v>Medium</x:v>
      </x:c>
      <x:c r="H245" t="str">
        <x:v>order_date</x:v>
      </x:c>
      <x:c r="I245" t="str">
        <x:v>Сверить дату со срезом и исходной записью</x:v>
      </x:c>
      <x:c r="J245" t="n">
        <x:f>IF(D245=1,K245,0)</x:f>
        <x:v>0</x:v>
      </x:c>
      <x:c r="K245" t="n">
        <x:f>D245+K244</x:f>
        <x:v>4</x:v>
      </x:c>
    </x:row>
    <x:row r="246">
      <x:c r="A246" t="str">
        <x:v>Order</x:v>
      </x:c>
      <x:c r="B246" t="n">
        <x:f>'04_checks'!B36</x:f>
        <x:v>1035</x:v>
      </x:c>
      <x:c r="C246" t="n">
        <x:v>36</x:v>
      </x:c>
      <x:c r="D246" t="n">
        <x:f>IF('04_checks'!I36="ERROR",1,0)</x:f>
        <x:v>0</x:v>
      </x:c>
      <x:c r="E246" t="str">
        <x:v>Order:36:7</x:v>
      </x:c>
      <x:c r="F246" t="str">
        <x:v>Статус</x:v>
      </x:c>
      <x:c r="G246" t="str">
        <x:v>Medium</x:v>
      </x:c>
      <x:c r="H246" t="str">
        <x:v>status</x:v>
      </x:c>
      <x:c r="I246" t="str">
        <x:v>Выбрать допустимый статус</x:v>
      </x:c>
      <x:c r="J246" t="n">
        <x:f>IF(D246=1,K246,0)</x:f>
        <x:v>0</x:v>
      </x:c>
      <x:c r="K246" t="n">
        <x:f>D246+K245</x:f>
        <x:v>4</x:v>
      </x:c>
    </x:row>
    <x:row r="247">
      <x:c r="A247" t="str">
        <x:v>Order</x:v>
      </x:c>
      <x:c r="B247" t="n">
        <x:f>'04_checks'!B37</x:f>
        <x:v>1036</x:v>
      </x:c>
      <x:c r="C247" t="n">
        <x:v>37</x:v>
      </x:c>
      <x:c r="D247" t="n">
        <x:f>IF('04_checks'!C37="ERROR",1,0)</x:f>
        <x:v>0</x:v>
      </x:c>
      <x:c r="E247" t="str">
        <x:v>Order:37:1</x:v>
      </x:c>
      <x:c r="F247" t="str">
        <x:v>Дубль</x:v>
      </x:c>
      <x:c r="G247" t="str">
        <x:v>High</x:v>
      </x:c>
      <x:c r="H247" t="str">
        <x:v>order_id</x:v>
      </x:c>
      <x:c r="I247" t="str">
        <x:v>Проверить уникальность ID в источнике; не удалять записи автоматически</x:v>
      </x:c>
      <x:c r="J247" t="n">
        <x:f>IF(D247=1,K247,0)</x:f>
        <x:v>0</x:v>
      </x:c>
      <x:c r="K247" t="n">
        <x:f>D247+K246</x:f>
        <x:v>4</x:v>
      </x:c>
    </x:row>
    <x:row r="248">
      <x:c r="A248" t="str">
        <x:v>Order</x:v>
      </x:c>
      <x:c r="B248" t="n">
        <x:f>'04_checks'!B37</x:f>
        <x:v>1036</x:v>
      </x:c>
      <x:c r="C248" t="n">
        <x:v>37</x:v>
      </x:c>
      <x:c r="D248" t="n">
        <x:f>IF('04_checks'!D37="ERROR",1,0)</x:f>
        <x:v>0</x:v>
      </x:c>
      <x:c r="E248" t="str">
        <x:v>Order:37:2</x:v>
      </x:c>
      <x:c r="F248" t="str">
        <x:v>Пустое поле</x:v>
      </x:c>
      <x:c r="G248" t="str">
        <x:v>High</x:v>
      </x:c>
      <x:c r="H248" t="str">
        <x:v>required_fields</x:v>
      </x:c>
      <x:c r="I248" t="str">
        <x:v>Дополнить обязательные поля в источнике</x:v>
      </x:c>
      <x:c r="J248" t="n">
        <x:f>IF(D248=1,K248,0)</x:f>
        <x:v>0</x:v>
      </x:c>
      <x:c r="K248" t="n">
        <x:f>D248+K247</x:f>
        <x:v>4</x:v>
      </x:c>
    </x:row>
    <x:row r="249">
      <x:c r="A249" t="str">
        <x:v>Order</x:v>
      </x:c>
      <x:c r="B249" t="n">
        <x:f>'04_checks'!B37</x:f>
        <x:v>1036</x:v>
      </x:c>
      <x:c r="C249" t="n">
        <x:v>37</x:v>
      </x:c>
      <x:c r="D249" t="n">
        <x:f>IF('04_checks'!E37="ERROR",1,0)</x:f>
        <x:v>0</x:v>
      </x:c>
      <x:c r="E249" t="str">
        <x:v>Order:37:3</x:v>
      </x:c>
      <x:c r="F249" t="str">
        <x:f>IF(COUNTIF('02_clients_raw'!$A$2:$A$67,'01_orders_raw'!C37)&gt;1,"Неоднозначная связь","Нет связи")</x:f>
        <x:v>Нет связи</x:v>
      </x:c>
      <x:c r="G249" t="str">
        <x:v>High</x:v>
      </x:c>
      <x:c r="H249" t="str">
        <x:v>client_id</x:v>
      </x:c>
      <x:c r="I249" t="str">
        <x:v>Исправить ссылку или разрешить дубли связанного ID</x:v>
      </x:c>
      <x:c r="J249" t="n">
        <x:f>IF(D249=1,K249,0)</x:f>
        <x:v>0</x:v>
      </x:c>
      <x:c r="K249" t="n">
        <x:f>D249+K248</x:f>
        <x:v>4</x:v>
      </x:c>
    </x:row>
    <x:row r="250">
      <x:c r="A250" t="str">
        <x:v>Order</x:v>
      </x:c>
      <x:c r="B250" t="n">
        <x:f>'04_checks'!B37</x:f>
        <x:v>1036</x:v>
      </x:c>
      <x:c r="C250" t="n">
        <x:v>37</x:v>
      </x:c>
      <x:c r="D250" t="n">
        <x:f>IF('04_checks'!F37="ERROR",1,0)</x:f>
        <x:v>0</x:v>
      </x:c>
      <x:c r="E250" t="str">
        <x:v>Order:37:4</x:v>
      </x:c>
      <x:c r="F250" t="str">
        <x:v>Ошибка расчета</x:v>
      </x:c>
      <x:c r="G250" t="str">
        <x:v>High</x:v>
      </x:c>
      <x:c r="H250" t="str">
        <x:v>quantity/price/order_sum</x:v>
      </x:c>
      <x:c r="I250" t="str">
        <x:v>Сверить исходные значения и правило расчёта</x:v>
      </x:c>
      <x:c r="J250" t="n">
        <x:f>IF(D250=1,K250,0)</x:f>
        <x:v>0</x:v>
      </x:c>
      <x:c r="K250" t="n">
        <x:f>D250+K249</x:f>
        <x:v>4</x:v>
      </x:c>
    </x:row>
    <x:row r="251">
      <x:c r="A251" t="str">
        <x:v>Order</x:v>
      </x:c>
      <x:c r="B251" t="n">
        <x:f>'04_checks'!B37</x:f>
        <x:v>1036</x:v>
      </x:c>
      <x:c r="C251" t="n">
        <x:v>37</x:v>
      </x:c>
      <x:c r="D251" t="n">
        <x:f>IF('04_checks'!G37="ERROR",1,0)</x:f>
        <x:v>0</x:v>
      </x:c>
      <x:c r="E251" t="str">
        <x:v>Order:37:5</x:v>
      </x:c>
      <x:c r="F251" t="str">
        <x:v>Отрицательная цена</x:v>
      </x:c>
      <x:c r="G251" t="str">
        <x:v>High</x:v>
      </x:c>
      <x:c r="H251" t="str">
        <x:v>price</x:v>
      </x:c>
      <x:c r="I251" t="str">
        <x:v>Проверить цену в источнике</x:v>
      </x:c>
      <x:c r="J251" t="n">
        <x:f>IF(D251=1,K251,0)</x:f>
        <x:v>0</x:v>
      </x:c>
      <x:c r="K251" t="n">
        <x:f>D251+K250</x:f>
        <x:v>4</x:v>
      </x:c>
    </x:row>
    <x:row r="252">
      <x:c r="A252" t="str">
        <x:v>Order</x:v>
      </x:c>
      <x:c r="B252" t="n">
        <x:f>'04_checks'!B37</x:f>
        <x:v>1036</x:v>
      </x:c>
      <x:c r="C252" t="n">
        <x:v>37</x:v>
      </x:c>
      <x:c r="D252" t="n">
        <x:f>IF('04_checks'!H37="ERROR",1,0)</x:f>
        <x:v>0</x:v>
      </x:c>
      <x:c r="E252" t="str">
        <x:v>Order:37:6</x:v>
      </x:c>
      <x:c r="F252" t="str">
        <x:v>Дата</x:v>
      </x:c>
      <x:c r="G252" t="str">
        <x:v>Medium</x:v>
      </x:c>
      <x:c r="H252" t="str">
        <x:v>order_date</x:v>
      </x:c>
      <x:c r="I252" t="str">
        <x:v>Сверить дату со срезом и исходной записью</x:v>
      </x:c>
      <x:c r="J252" t="n">
        <x:f>IF(D252=1,K252,0)</x:f>
        <x:v>0</x:v>
      </x:c>
      <x:c r="K252" t="n">
        <x:f>D252+K251</x:f>
        <x:v>4</x:v>
      </x:c>
    </x:row>
    <x:row r="253">
      <x:c r="A253" t="str">
        <x:v>Order</x:v>
      </x:c>
      <x:c r="B253" t="n">
        <x:f>'04_checks'!B37</x:f>
        <x:v>1036</x:v>
      </x:c>
      <x:c r="C253" t="n">
        <x:v>37</x:v>
      </x:c>
      <x:c r="D253" t="n">
        <x:f>IF('04_checks'!I37="ERROR",1,0)</x:f>
        <x:v>0</x:v>
      </x:c>
      <x:c r="E253" t="str">
        <x:v>Order:37:7</x:v>
      </x:c>
      <x:c r="F253" t="str">
        <x:v>Статус</x:v>
      </x:c>
      <x:c r="G253" t="str">
        <x:v>Medium</x:v>
      </x:c>
      <x:c r="H253" t="str">
        <x:v>status</x:v>
      </x:c>
      <x:c r="I253" t="str">
        <x:v>Выбрать допустимый статус</x:v>
      </x:c>
      <x:c r="J253" t="n">
        <x:f>IF(D253=1,K253,0)</x:f>
        <x:v>0</x:v>
      </x:c>
      <x:c r="K253" t="n">
        <x:f>D253+K252</x:f>
        <x:v>4</x:v>
      </x:c>
    </x:row>
    <x:row r="254">
      <x:c r="A254" t="str">
        <x:v>Order</x:v>
      </x:c>
      <x:c r="B254" t="n">
        <x:f>'04_checks'!B38</x:f>
        <x:v>1037</x:v>
      </x:c>
      <x:c r="C254" t="n">
        <x:v>38</x:v>
      </x:c>
      <x:c r="D254" t="n">
        <x:f>IF('04_checks'!C38="ERROR",1,0)</x:f>
        <x:v>0</x:v>
      </x:c>
      <x:c r="E254" t="str">
        <x:v>Order:38:1</x:v>
      </x:c>
      <x:c r="F254" t="str">
        <x:v>Дубль</x:v>
      </x:c>
      <x:c r="G254" t="str">
        <x:v>High</x:v>
      </x:c>
      <x:c r="H254" t="str">
        <x:v>order_id</x:v>
      </x:c>
      <x:c r="I254" t="str">
        <x:v>Проверить уникальность ID в источнике; не удалять записи автоматически</x:v>
      </x:c>
      <x:c r="J254" t="n">
        <x:f>IF(D254=1,K254,0)</x:f>
        <x:v>0</x:v>
      </x:c>
      <x:c r="K254" t="n">
        <x:f>D254+K253</x:f>
        <x:v>4</x:v>
      </x:c>
    </x:row>
    <x:row r="255">
      <x:c r="A255" t="str">
        <x:v>Order</x:v>
      </x:c>
      <x:c r="B255" t="n">
        <x:f>'04_checks'!B38</x:f>
        <x:v>1037</x:v>
      </x:c>
      <x:c r="C255" t="n">
        <x:v>38</x:v>
      </x:c>
      <x:c r="D255" t="n">
        <x:f>IF('04_checks'!D38="ERROR",1,0)</x:f>
        <x:v>0</x:v>
      </x:c>
      <x:c r="E255" t="str">
        <x:v>Order:38:2</x:v>
      </x:c>
      <x:c r="F255" t="str">
        <x:v>Пустое поле</x:v>
      </x:c>
      <x:c r="G255" t="str">
        <x:v>High</x:v>
      </x:c>
      <x:c r="H255" t="str">
        <x:v>required_fields</x:v>
      </x:c>
      <x:c r="I255" t="str">
        <x:v>Дополнить обязательные поля в источнике</x:v>
      </x:c>
      <x:c r="J255" t="n">
        <x:f>IF(D255=1,K255,0)</x:f>
        <x:v>0</x:v>
      </x:c>
      <x:c r="K255" t="n">
        <x:f>D255+K254</x:f>
        <x:v>4</x:v>
      </x:c>
    </x:row>
    <x:row r="256">
      <x:c r="A256" t="str">
        <x:v>Order</x:v>
      </x:c>
      <x:c r="B256" t="n">
        <x:f>'04_checks'!B38</x:f>
        <x:v>1037</x:v>
      </x:c>
      <x:c r="C256" t="n">
        <x:v>38</x:v>
      </x:c>
      <x:c r="D256" t="n">
        <x:f>IF('04_checks'!E38="ERROR",1,0)</x:f>
        <x:v>0</x:v>
      </x:c>
      <x:c r="E256" t="str">
        <x:v>Order:38:3</x:v>
      </x:c>
      <x:c r="F256" t="str">
        <x:f>IF(COUNTIF('02_clients_raw'!$A$2:$A$67,'01_orders_raw'!C38)&gt;1,"Неоднозначная связь","Нет связи")</x:f>
        <x:v>Нет связи</x:v>
      </x:c>
      <x:c r="G256" t="str">
        <x:v>High</x:v>
      </x:c>
      <x:c r="H256" t="str">
        <x:v>client_id</x:v>
      </x:c>
      <x:c r="I256" t="str">
        <x:v>Исправить ссылку или разрешить дубли связанного ID</x:v>
      </x:c>
      <x:c r="J256" t="n">
        <x:f>IF(D256=1,K256,0)</x:f>
        <x:v>0</x:v>
      </x:c>
      <x:c r="K256" t="n">
        <x:f>D256+K255</x:f>
        <x:v>4</x:v>
      </x:c>
    </x:row>
    <x:row r="257">
      <x:c r="A257" t="str">
        <x:v>Order</x:v>
      </x:c>
      <x:c r="B257" t="n">
        <x:f>'04_checks'!B38</x:f>
        <x:v>1037</x:v>
      </x:c>
      <x:c r="C257" t="n">
        <x:v>38</x:v>
      </x:c>
      <x:c r="D257" t="n">
        <x:f>IF('04_checks'!F38="ERROR",1,0)</x:f>
        <x:v>0</x:v>
      </x:c>
      <x:c r="E257" t="str">
        <x:v>Order:38:4</x:v>
      </x:c>
      <x:c r="F257" t="str">
        <x:v>Ошибка расчета</x:v>
      </x:c>
      <x:c r="G257" t="str">
        <x:v>High</x:v>
      </x:c>
      <x:c r="H257" t="str">
        <x:v>quantity/price/order_sum</x:v>
      </x:c>
      <x:c r="I257" t="str">
        <x:v>Сверить исходные значения и правило расчёта</x:v>
      </x:c>
      <x:c r="J257" t="n">
        <x:f>IF(D257=1,K257,0)</x:f>
        <x:v>0</x:v>
      </x:c>
      <x:c r="K257" t="n">
        <x:f>D257+K256</x:f>
        <x:v>4</x:v>
      </x:c>
    </x:row>
    <x:row r="258">
      <x:c r="A258" t="str">
        <x:v>Order</x:v>
      </x:c>
      <x:c r="B258" t="n">
        <x:f>'04_checks'!B38</x:f>
        <x:v>1037</x:v>
      </x:c>
      <x:c r="C258" t="n">
        <x:v>38</x:v>
      </x:c>
      <x:c r="D258" t="n">
        <x:f>IF('04_checks'!G38="ERROR",1,0)</x:f>
        <x:v>0</x:v>
      </x:c>
      <x:c r="E258" t="str">
        <x:v>Order:38:5</x:v>
      </x:c>
      <x:c r="F258" t="str">
        <x:v>Отрицательная цена</x:v>
      </x:c>
      <x:c r="G258" t="str">
        <x:v>High</x:v>
      </x:c>
      <x:c r="H258" t="str">
        <x:v>price</x:v>
      </x:c>
      <x:c r="I258" t="str">
        <x:v>Проверить цену в источнике</x:v>
      </x:c>
      <x:c r="J258" t="n">
        <x:f>IF(D258=1,K258,0)</x:f>
        <x:v>0</x:v>
      </x:c>
      <x:c r="K258" t="n">
        <x:f>D258+K257</x:f>
        <x:v>4</x:v>
      </x:c>
    </x:row>
    <x:row r="259">
      <x:c r="A259" t="str">
        <x:v>Order</x:v>
      </x:c>
      <x:c r="B259" t="n">
        <x:f>'04_checks'!B38</x:f>
        <x:v>1037</x:v>
      </x:c>
      <x:c r="C259" t="n">
        <x:v>38</x:v>
      </x:c>
      <x:c r="D259" t="n">
        <x:f>IF('04_checks'!H38="ERROR",1,0)</x:f>
        <x:v>0</x:v>
      </x:c>
      <x:c r="E259" t="str">
        <x:v>Order:38:6</x:v>
      </x:c>
      <x:c r="F259" t="str">
        <x:v>Дата</x:v>
      </x:c>
      <x:c r="G259" t="str">
        <x:v>Medium</x:v>
      </x:c>
      <x:c r="H259" t="str">
        <x:v>order_date</x:v>
      </x:c>
      <x:c r="I259" t="str">
        <x:v>Сверить дату со срезом и исходной записью</x:v>
      </x:c>
      <x:c r="J259" t="n">
        <x:f>IF(D259=1,K259,0)</x:f>
        <x:v>0</x:v>
      </x:c>
      <x:c r="K259" t="n">
        <x:f>D259+K258</x:f>
        <x:v>4</x:v>
      </x:c>
    </x:row>
    <x:row r="260">
      <x:c r="A260" t="str">
        <x:v>Order</x:v>
      </x:c>
      <x:c r="B260" t="n">
        <x:f>'04_checks'!B38</x:f>
        <x:v>1037</x:v>
      </x:c>
      <x:c r="C260" t="n">
        <x:v>38</x:v>
      </x:c>
      <x:c r="D260" t="n">
        <x:f>IF('04_checks'!I38="ERROR",1,0)</x:f>
        <x:v>0</x:v>
      </x:c>
      <x:c r="E260" t="str">
        <x:v>Order:38:7</x:v>
      </x:c>
      <x:c r="F260" t="str">
        <x:v>Статус</x:v>
      </x:c>
      <x:c r="G260" t="str">
        <x:v>Medium</x:v>
      </x:c>
      <x:c r="H260" t="str">
        <x:v>status</x:v>
      </x:c>
      <x:c r="I260" t="str">
        <x:v>Выбрать допустимый статус</x:v>
      </x:c>
      <x:c r="J260" t="n">
        <x:f>IF(D260=1,K260,0)</x:f>
        <x:v>0</x:v>
      </x:c>
      <x:c r="K260" t="n">
        <x:f>D260+K259</x:f>
        <x:v>4</x:v>
      </x:c>
    </x:row>
    <x:row r="261">
      <x:c r="A261" t="str">
        <x:v>Order</x:v>
      </x:c>
      <x:c r="B261" t="n">
        <x:f>'04_checks'!B39</x:f>
        <x:v>1038</x:v>
      </x:c>
      <x:c r="C261" t="n">
        <x:v>39</x:v>
      </x:c>
      <x:c r="D261" t="n">
        <x:f>IF('04_checks'!C39="ERROR",1,0)</x:f>
        <x:v>0</x:v>
      </x:c>
      <x:c r="E261" t="str">
        <x:v>Order:39:1</x:v>
      </x:c>
      <x:c r="F261" t="str">
        <x:v>Дубль</x:v>
      </x:c>
      <x:c r="G261" t="str">
        <x:v>High</x:v>
      </x:c>
      <x:c r="H261" t="str">
        <x:v>order_id</x:v>
      </x:c>
      <x:c r="I261" t="str">
        <x:v>Проверить уникальность ID в источнике; не удалять записи автоматически</x:v>
      </x:c>
      <x:c r="J261" t="n">
        <x:f>IF(D261=1,K261,0)</x:f>
        <x:v>0</x:v>
      </x:c>
      <x:c r="K261" t="n">
        <x:f>D261+K260</x:f>
        <x:v>4</x:v>
      </x:c>
    </x:row>
    <x:row r="262">
      <x:c r="A262" t="str">
        <x:v>Order</x:v>
      </x:c>
      <x:c r="B262" t="n">
        <x:f>'04_checks'!B39</x:f>
        <x:v>1038</x:v>
      </x:c>
      <x:c r="C262" t="n">
        <x:v>39</x:v>
      </x:c>
      <x:c r="D262" t="n">
        <x:f>IF('04_checks'!D39="ERROR",1,0)</x:f>
        <x:v>0</x:v>
      </x:c>
      <x:c r="E262" t="str">
        <x:v>Order:39:2</x:v>
      </x:c>
      <x:c r="F262" t="str">
        <x:v>Пустое поле</x:v>
      </x:c>
      <x:c r="G262" t="str">
        <x:v>High</x:v>
      </x:c>
      <x:c r="H262" t="str">
        <x:v>required_fields</x:v>
      </x:c>
      <x:c r="I262" t="str">
        <x:v>Дополнить обязательные поля в источнике</x:v>
      </x:c>
      <x:c r="J262" t="n">
        <x:f>IF(D262=1,K262,0)</x:f>
        <x:v>0</x:v>
      </x:c>
      <x:c r="K262" t="n">
        <x:f>D262+K261</x:f>
        <x:v>4</x:v>
      </x:c>
    </x:row>
    <x:row r="263">
      <x:c r="A263" t="str">
        <x:v>Order</x:v>
      </x:c>
      <x:c r="B263" t="n">
        <x:f>'04_checks'!B39</x:f>
        <x:v>1038</x:v>
      </x:c>
      <x:c r="C263" t="n">
        <x:v>39</x:v>
      </x:c>
      <x:c r="D263" t="n">
        <x:f>IF('04_checks'!E39="ERROR",1,0)</x:f>
        <x:v>1</x:v>
      </x:c>
      <x:c r="E263" t="str">
        <x:v>Order:39:3</x:v>
      </x:c>
      <x:c r="F263" t="str">
        <x:f>IF(COUNTIF('02_clients_raw'!$A$2:$A$67,'01_orders_raw'!C39)&gt;1,"Неоднозначная связь","Нет связи")</x:f>
        <x:v>Неоднозначная связь</x:v>
      </x:c>
      <x:c r="G263" t="str">
        <x:v>High</x:v>
      </x:c>
      <x:c r="H263" t="str">
        <x:v>client_id</x:v>
      </x:c>
      <x:c r="I263" t="str">
        <x:v>Исправить ссылку или разрешить дубли связанного ID</x:v>
      </x:c>
      <x:c r="J263" t="n">
        <x:f>IF(D263=1,K263,0)</x:f>
        <x:v>5</x:v>
      </x:c>
      <x:c r="K263" t="n">
        <x:f>D263+K262</x:f>
        <x:v>5</x:v>
      </x:c>
    </x:row>
    <x:row r="264">
      <x:c r="A264" t="str">
        <x:v>Order</x:v>
      </x:c>
      <x:c r="B264" t="n">
        <x:f>'04_checks'!B39</x:f>
        <x:v>1038</x:v>
      </x:c>
      <x:c r="C264" t="n">
        <x:v>39</x:v>
      </x:c>
      <x:c r="D264" t="n">
        <x:f>IF('04_checks'!F39="ERROR",1,0)</x:f>
        <x:v>0</x:v>
      </x:c>
      <x:c r="E264" t="str">
        <x:v>Order:39:4</x:v>
      </x:c>
      <x:c r="F264" t="str">
        <x:v>Ошибка расчета</x:v>
      </x:c>
      <x:c r="G264" t="str">
        <x:v>High</x:v>
      </x:c>
      <x:c r="H264" t="str">
        <x:v>quantity/price/order_sum</x:v>
      </x:c>
      <x:c r="I264" t="str">
        <x:v>Сверить исходные значения и правило расчёта</x:v>
      </x:c>
      <x:c r="J264" t="n">
        <x:f>IF(D264=1,K264,0)</x:f>
        <x:v>0</x:v>
      </x:c>
      <x:c r="K264" t="n">
        <x:f>D264+K263</x:f>
        <x:v>5</x:v>
      </x:c>
    </x:row>
    <x:row r="265">
      <x:c r="A265" t="str">
        <x:v>Order</x:v>
      </x:c>
      <x:c r="B265" t="n">
        <x:f>'04_checks'!B39</x:f>
        <x:v>1038</x:v>
      </x:c>
      <x:c r="C265" t="n">
        <x:v>39</x:v>
      </x:c>
      <x:c r="D265" t="n">
        <x:f>IF('04_checks'!G39="ERROR",1,0)</x:f>
        <x:v>0</x:v>
      </x:c>
      <x:c r="E265" t="str">
        <x:v>Order:39:5</x:v>
      </x:c>
      <x:c r="F265" t="str">
        <x:v>Отрицательная цена</x:v>
      </x:c>
      <x:c r="G265" t="str">
        <x:v>High</x:v>
      </x:c>
      <x:c r="H265" t="str">
        <x:v>price</x:v>
      </x:c>
      <x:c r="I265" t="str">
        <x:v>Проверить цену в источнике</x:v>
      </x:c>
      <x:c r="J265" t="n">
        <x:f>IF(D265=1,K265,0)</x:f>
        <x:v>0</x:v>
      </x:c>
      <x:c r="K265" t="n">
        <x:f>D265+K264</x:f>
        <x:v>5</x:v>
      </x:c>
    </x:row>
    <x:row r="266">
      <x:c r="A266" t="str">
        <x:v>Order</x:v>
      </x:c>
      <x:c r="B266" t="n">
        <x:f>'04_checks'!B39</x:f>
        <x:v>1038</x:v>
      </x:c>
      <x:c r="C266" t="n">
        <x:v>39</x:v>
      </x:c>
      <x:c r="D266" t="n">
        <x:f>IF('04_checks'!H39="ERROR",1,0)</x:f>
        <x:v>0</x:v>
      </x:c>
      <x:c r="E266" t="str">
        <x:v>Order:39:6</x:v>
      </x:c>
      <x:c r="F266" t="str">
        <x:v>Дата</x:v>
      </x:c>
      <x:c r="G266" t="str">
        <x:v>Medium</x:v>
      </x:c>
      <x:c r="H266" t="str">
        <x:v>order_date</x:v>
      </x:c>
      <x:c r="I266" t="str">
        <x:v>Сверить дату со срезом и исходной записью</x:v>
      </x:c>
      <x:c r="J266" t="n">
        <x:f>IF(D266=1,K266,0)</x:f>
        <x:v>0</x:v>
      </x:c>
      <x:c r="K266" t="n">
        <x:f>D266+K265</x:f>
        <x:v>5</x:v>
      </x:c>
    </x:row>
    <x:row r="267">
      <x:c r="A267" t="str">
        <x:v>Order</x:v>
      </x:c>
      <x:c r="B267" t="n">
        <x:f>'04_checks'!B39</x:f>
        <x:v>1038</x:v>
      </x:c>
      <x:c r="C267" t="n">
        <x:v>39</x:v>
      </x:c>
      <x:c r="D267" t="n">
        <x:f>IF('04_checks'!I39="ERROR",1,0)</x:f>
        <x:v>0</x:v>
      </x:c>
      <x:c r="E267" t="str">
        <x:v>Order:39:7</x:v>
      </x:c>
      <x:c r="F267" t="str">
        <x:v>Статус</x:v>
      </x:c>
      <x:c r="G267" t="str">
        <x:v>Medium</x:v>
      </x:c>
      <x:c r="H267" t="str">
        <x:v>status</x:v>
      </x:c>
      <x:c r="I267" t="str">
        <x:v>Выбрать допустимый статус</x:v>
      </x:c>
      <x:c r="J267" t="n">
        <x:f>IF(D267=1,K267,0)</x:f>
        <x:v>0</x:v>
      </x:c>
      <x:c r="K267" t="n">
        <x:f>D267+K266</x:f>
        <x:v>5</x:v>
      </x:c>
    </x:row>
    <x:row r="268">
      <x:c r="A268" t="str">
        <x:v>Order</x:v>
      </x:c>
      <x:c r="B268" t="n">
        <x:f>'04_checks'!B40</x:f>
        <x:v>1039</x:v>
      </x:c>
      <x:c r="C268" t="n">
        <x:v>40</x:v>
      </x:c>
      <x:c r="D268" t="n">
        <x:f>IF('04_checks'!C40="ERROR",1,0)</x:f>
        <x:v>0</x:v>
      </x:c>
      <x:c r="E268" t="str">
        <x:v>Order:40:1</x:v>
      </x:c>
      <x:c r="F268" t="str">
        <x:v>Дубль</x:v>
      </x:c>
      <x:c r="G268" t="str">
        <x:v>High</x:v>
      </x:c>
      <x:c r="H268" t="str">
        <x:v>order_id</x:v>
      </x:c>
      <x:c r="I268" t="str">
        <x:v>Проверить уникальность ID в источнике; не удалять записи автоматически</x:v>
      </x:c>
      <x:c r="J268" t="n">
        <x:f>IF(D268=1,K268,0)</x:f>
        <x:v>0</x:v>
      </x:c>
      <x:c r="K268" t="n">
        <x:f>D268+K267</x:f>
        <x:v>5</x:v>
      </x:c>
    </x:row>
    <x:row r="269">
      <x:c r="A269" t="str">
        <x:v>Order</x:v>
      </x:c>
      <x:c r="B269" t="n">
        <x:f>'04_checks'!B40</x:f>
        <x:v>1039</x:v>
      </x:c>
      <x:c r="C269" t="n">
        <x:v>40</x:v>
      </x:c>
      <x:c r="D269" t="n">
        <x:f>IF('04_checks'!D40="ERROR",1,0)</x:f>
        <x:v>0</x:v>
      </x:c>
      <x:c r="E269" t="str">
        <x:v>Order:40:2</x:v>
      </x:c>
      <x:c r="F269" t="str">
        <x:v>Пустое поле</x:v>
      </x:c>
      <x:c r="G269" t="str">
        <x:v>High</x:v>
      </x:c>
      <x:c r="H269" t="str">
        <x:v>required_fields</x:v>
      </x:c>
      <x:c r="I269" t="str">
        <x:v>Дополнить обязательные поля в источнике</x:v>
      </x:c>
      <x:c r="J269" t="n">
        <x:f>IF(D269=1,K269,0)</x:f>
        <x:v>0</x:v>
      </x:c>
      <x:c r="K269" t="n">
        <x:f>D269+K268</x:f>
        <x:v>5</x:v>
      </x:c>
    </x:row>
    <x:row r="270">
      <x:c r="A270" t="str">
        <x:v>Order</x:v>
      </x:c>
      <x:c r="B270" t="n">
        <x:f>'04_checks'!B40</x:f>
        <x:v>1039</x:v>
      </x:c>
      <x:c r="C270" t="n">
        <x:v>40</x:v>
      </x:c>
      <x:c r="D270" t="n">
        <x:f>IF('04_checks'!E40="ERROR",1,0)</x:f>
        <x:v>0</x:v>
      </x:c>
      <x:c r="E270" t="str">
        <x:v>Order:40:3</x:v>
      </x:c>
      <x:c r="F270" t="str">
        <x:f>IF(COUNTIF('02_clients_raw'!$A$2:$A$67,'01_orders_raw'!C40)&gt;1,"Неоднозначная связь","Нет связи")</x:f>
        <x:v>Нет связи</x:v>
      </x:c>
      <x:c r="G270" t="str">
        <x:v>High</x:v>
      </x:c>
      <x:c r="H270" t="str">
        <x:v>client_id</x:v>
      </x:c>
      <x:c r="I270" t="str">
        <x:v>Исправить ссылку или разрешить дубли связанного ID</x:v>
      </x:c>
      <x:c r="J270" t="n">
        <x:f>IF(D270=1,K270,0)</x:f>
        <x:v>0</x:v>
      </x:c>
      <x:c r="K270" t="n">
        <x:f>D270+K269</x:f>
        <x:v>5</x:v>
      </x:c>
    </x:row>
    <x:row r="271">
      <x:c r="A271" t="str">
        <x:v>Order</x:v>
      </x:c>
      <x:c r="B271" t="n">
        <x:f>'04_checks'!B40</x:f>
        <x:v>1039</x:v>
      </x:c>
      <x:c r="C271" t="n">
        <x:v>40</x:v>
      </x:c>
      <x:c r="D271" t="n">
        <x:f>IF('04_checks'!F40="ERROR",1,0)</x:f>
        <x:v>0</x:v>
      </x:c>
      <x:c r="E271" t="str">
        <x:v>Order:40:4</x:v>
      </x:c>
      <x:c r="F271" t="str">
        <x:v>Ошибка расчета</x:v>
      </x:c>
      <x:c r="G271" t="str">
        <x:v>High</x:v>
      </x:c>
      <x:c r="H271" t="str">
        <x:v>quantity/price/order_sum</x:v>
      </x:c>
      <x:c r="I271" t="str">
        <x:v>Сверить исходные значения и правило расчёта</x:v>
      </x:c>
      <x:c r="J271" t="n">
        <x:f>IF(D271=1,K271,0)</x:f>
        <x:v>0</x:v>
      </x:c>
      <x:c r="K271" t="n">
        <x:f>D271+K270</x:f>
        <x:v>5</x:v>
      </x:c>
    </x:row>
    <x:row r="272">
      <x:c r="A272" t="str">
        <x:v>Order</x:v>
      </x:c>
      <x:c r="B272" t="n">
        <x:f>'04_checks'!B40</x:f>
        <x:v>1039</x:v>
      </x:c>
      <x:c r="C272" t="n">
        <x:v>40</x:v>
      </x:c>
      <x:c r="D272" t="n">
        <x:f>IF('04_checks'!G40="ERROR",1,0)</x:f>
        <x:v>0</x:v>
      </x:c>
      <x:c r="E272" t="str">
        <x:v>Order:40:5</x:v>
      </x:c>
      <x:c r="F272" t="str">
        <x:v>Отрицательная цена</x:v>
      </x:c>
      <x:c r="G272" t="str">
        <x:v>High</x:v>
      </x:c>
      <x:c r="H272" t="str">
        <x:v>price</x:v>
      </x:c>
      <x:c r="I272" t="str">
        <x:v>Проверить цену в источнике</x:v>
      </x:c>
      <x:c r="J272" t="n">
        <x:f>IF(D272=1,K272,0)</x:f>
        <x:v>0</x:v>
      </x:c>
      <x:c r="K272" t="n">
        <x:f>D272+K271</x:f>
        <x:v>5</x:v>
      </x:c>
    </x:row>
    <x:row r="273">
      <x:c r="A273" t="str">
        <x:v>Order</x:v>
      </x:c>
      <x:c r="B273" t="n">
        <x:f>'04_checks'!B40</x:f>
        <x:v>1039</x:v>
      </x:c>
      <x:c r="C273" t="n">
        <x:v>40</x:v>
      </x:c>
      <x:c r="D273" t="n">
        <x:f>IF('04_checks'!H40="ERROR",1,0)</x:f>
        <x:v>0</x:v>
      </x:c>
      <x:c r="E273" t="str">
        <x:v>Order:40:6</x:v>
      </x:c>
      <x:c r="F273" t="str">
        <x:v>Дата</x:v>
      </x:c>
      <x:c r="G273" t="str">
        <x:v>Medium</x:v>
      </x:c>
      <x:c r="H273" t="str">
        <x:v>order_date</x:v>
      </x:c>
      <x:c r="I273" t="str">
        <x:v>Сверить дату со срезом и исходной записью</x:v>
      </x:c>
      <x:c r="J273" t="n">
        <x:f>IF(D273=1,K273,0)</x:f>
        <x:v>0</x:v>
      </x:c>
      <x:c r="K273" t="n">
        <x:f>D273+K272</x:f>
        <x:v>5</x:v>
      </x:c>
    </x:row>
    <x:row r="274">
      <x:c r="A274" t="str">
        <x:v>Order</x:v>
      </x:c>
      <x:c r="B274" t="n">
        <x:f>'04_checks'!B40</x:f>
        <x:v>1039</x:v>
      </x:c>
      <x:c r="C274" t="n">
        <x:v>40</x:v>
      </x:c>
      <x:c r="D274" t="n">
        <x:f>IF('04_checks'!I40="ERROR",1,0)</x:f>
        <x:v>0</x:v>
      </x:c>
      <x:c r="E274" t="str">
        <x:v>Order:40:7</x:v>
      </x:c>
      <x:c r="F274" t="str">
        <x:v>Статус</x:v>
      </x:c>
      <x:c r="G274" t="str">
        <x:v>Medium</x:v>
      </x:c>
      <x:c r="H274" t="str">
        <x:v>status</x:v>
      </x:c>
      <x:c r="I274" t="str">
        <x:v>Выбрать допустимый статус</x:v>
      </x:c>
      <x:c r="J274" t="n">
        <x:f>IF(D274=1,K274,0)</x:f>
        <x:v>0</x:v>
      </x:c>
      <x:c r="K274" t="n">
        <x:f>D274+K273</x:f>
        <x:v>5</x:v>
      </x:c>
    </x:row>
    <x:row r="275">
      <x:c r="A275" t="str">
        <x:v>Order</x:v>
      </x:c>
      <x:c r="B275" t="n">
        <x:f>'04_checks'!B41</x:f>
        <x:v>1040</x:v>
      </x:c>
      <x:c r="C275" t="n">
        <x:v>41</x:v>
      </x:c>
      <x:c r="D275" t="n">
        <x:f>IF('04_checks'!C41="ERROR",1,0)</x:f>
        <x:v>0</x:v>
      </x:c>
      <x:c r="E275" t="str">
        <x:v>Order:41:1</x:v>
      </x:c>
      <x:c r="F275" t="str">
        <x:v>Дубль</x:v>
      </x:c>
      <x:c r="G275" t="str">
        <x:v>High</x:v>
      </x:c>
      <x:c r="H275" t="str">
        <x:v>order_id</x:v>
      </x:c>
      <x:c r="I275" t="str">
        <x:v>Проверить уникальность ID в источнике; не удалять записи автоматически</x:v>
      </x:c>
      <x:c r="J275" t="n">
        <x:f>IF(D275=1,K275,0)</x:f>
        <x:v>0</x:v>
      </x:c>
      <x:c r="K275" t="n">
        <x:f>D275+K274</x:f>
        <x:v>5</x:v>
      </x:c>
    </x:row>
    <x:row r="276">
      <x:c r="A276" t="str">
        <x:v>Order</x:v>
      </x:c>
      <x:c r="B276" t="n">
        <x:f>'04_checks'!B41</x:f>
        <x:v>1040</x:v>
      </x:c>
      <x:c r="C276" t="n">
        <x:v>41</x:v>
      </x:c>
      <x:c r="D276" t="n">
        <x:f>IF('04_checks'!D41="ERROR",1,0)</x:f>
        <x:v>0</x:v>
      </x:c>
      <x:c r="E276" t="str">
        <x:v>Order:41:2</x:v>
      </x:c>
      <x:c r="F276" t="str">
        <x:v>Пустое поле</x:v>
      </x:c>
      <x:c r="G276" t="str">
        <x:v>High</x:v>
      </x:c>
      <x:c r="H276" t="str">
        <x:v>required_fields</x:v>
      </x:c>
      <x:c r="I276" t="str">
        <x:v>Дополнить обязательные поля в источнике</x:v>
      </x:c>
      <x:c r="J276" t="n">
        <x:f>IF(D276=1,K276,0)</x:f>
        <x:v>0</x:v>
      </x:c>
      <x:c r="K276" t="n">
        <x:f>D276+K275</x:f>
        <x:v>5</x:v>
      </x:c>
    </x:row>
    <x:row r="277">
      <x:c r="A277" t="str">
        <x:v>Order</x:v>
      </x:c>
      <x:c r="B277" t="n">
        <x:f>'04_checks'!B41</x:f>
        <x:v>1040</x:v>
      </x:c>
      <x:c r="C277" t="n">
        <x:v>41</x:v>
      </x:c>
      <x:c r="D277" t="n">
        <x:f>IF('04_checks'!E41="ERROR",1,0)</x:f>
        <x:v>0</x:v>
      </x:c>
      <x:c r="E277" t="str">
        <x:v>Order:41:3</x:v>
      </x:c>
      <x:c r="F277" t="str">
        <x:f>IF(COUNTIF('02_clients_raw'!$A$2:$A$67,'01_orders_raw'!C41)&gt;1,"Неоднозначная связь","Нет связи")</x:f>
        <x:v>Нет связи</x:v>
      </x:c>
      <x:c r="G277" t="str">
        <x:v>High</x:v>
      </x:c>
      <x:c r="H277" t="str">
        <x:v>client_id</x:v>
      </x:c>
      <x:c r="I277" t="str">
        <x:v>Исправить ссылку или разрешить дубли связанного ID</x:v>
      </x:c>
      <x:c r="J277" t="n">
        <x:f>IF(D277=1,K277,0)</x:f>
        <x:v>0</x:v>
      </x:c>
      <x:c r="K277" t="n">
        <x:f>D277+K276</x:f>
        <x:v>5</x:v>
      </x:c>
    </x:row>
    <x:row r="278">
      <x:c r="A278" t="str">
        <x:v>Order</x:v>
      </x:c>
      <x:c r="B278" t="n">
        <x:f>'04_checks'!B41</x:f>
        <x:v>1040</x:v>
      </x:c>
      <x:c r="C278" t="n">
        <x:v>41</x:v>
      </x:c>
      <x:c r="D278" t="n">
        <x:f>IF('04_checks'!F41="ERROR",1,0)</x:f>
        <x:v>1</x:v>
      </x:c>
      <x:c r="E278" t="str">
        <x:v>Order:41:4</x:v>
      </x:c>
      <x:c r="F278" t="str">
        <x:v>Ошибка расчета</x:v>
      </x:c>
      <x:c r="G278" t="str">
        <x:v>High</x:v>
      </x:c>
      <x:c r="H278" t="str">
        <x:v>quantity/price/order_sum</x:v>
      </x:c>
      <x:c r="I278" t="str">
        <x:v>Сверить исходные значения и правило расчёта</x:v>
      </x:c>
      <x:c r="J278" t="n">
        <x:f>IF(D278=1,K278,0)</x:f>
        <x:v>6</x:v>
      </x:c>
      <x:c r="K278" t="n">
        <x:f>D278+K277</x:f>
        <x:v>6</x:v>
      </x:c>
    </x:row>
    <x:row r="279">
      <x:c r="A279" t="str">
        <x:v>Order</x:v>
      </x:c>
      <x:c r="B279" t="n">
        <x:f>'04_checks'!B41</x:f>
        <x:v>1040</x:v>
      </x:c>
      <x:c r="C279" t="n">
        <x:v>41</x:v>
      </x:c>
      <x:c r="D279" t="n">
        <x:f>IF('04_checks'!G41="ERROR",1,0)</x:f>
        <x:v>0</x:v>
      </x:c>
      <x:c r="E279" t="str">
        <x:v>Order:41:5</x:v>
      </x:c>
      <x:c r="F279" t="str">
        <x:v>Отрицательная цена</x:v>
      </x:c>
      <x:c r="G279" t="str">
        <x:v>High</x:v>
      </x:c>
      <x:c r="H279" t="str">
        <x:v>price</x:v>
      </x:c>
      <x:c r="I279" t="str">
        <x:v>Проверить цену в источнике</x:v>
      </x:c>
      <x:c r="J279" t="n">
        <x:f>IF(D279=1,K279,0)</x:f>
        <x:v>0</x:v>
      </x:c>
      <x:c r="K279" t="n">
        <x:f>D279+K278</x:f>
        <x:v>6</x:v>
      </x:c>
    </x:row>
    <x:row r="280">
      <x:c r="A280" t="str">
        <x:v>Order</x:v>
      </x:c>
      <x:c r="B280" t="n">
        <x:f>'04_checks'!B41</x:f>
        <x:v>1040</x:v>
      </x:c>
      <x:c r="C280" t="n">
        <x:v>41</x:v>
      </x:c>
      <x:c r="D280" t="n">
        <x:f>IF('04_checks'!H41="ERROR",1,0)</x:f>
        <x:v>0</x:v>
      </x:c>
      <x:c r="E280" t="str">
        <x:v>Order:41:6</x:v>
      </x:c>
      <x:c r="F280" t="str">
        <x:v>Дата</x:v>
      </x:c>
      <x:c r="G280" t="str">
        <x:v>Medium</x:v>
      </x:c>
      <x:c r="H280" t="str">
        <x:v>order_date</x:v>
      </x:c>
      <x:c r="I280" t="str">
        <x:v>Сверить дату со срезом и исходной записью</x:v>
      </x:c>
      <x:c r="J280" t="n">
        <x:f>IF(D280=1,K280,0)</x:f>
        <x:v>0</x:v>
      </x:c>
      <x:c r="K280" t="n">
        <x:f>D280+K279</x:f>
        <x:v>6</x:v>
      </x:c>
    </x:row>
    <x:row r="281">
      <x:c r="A281" t="str">
        <x:v>Order</x:v>
      </x:c>
      <x:c r="B281" t="n">
        <x:f>'04_checks'!B41</x:f>
        <x:v>1040</x:v>
      </x:c>
      <x:c r="C281" t="n">
        <x:v>41</x:v>
      </x:c>
      <x:c r="D281" t="n">
        <x:f>IF('04_checks'!I41="ERROR",1,0)</x:f>
        <x:v>0</x:v>
      </x:c>
      <x:c r="E281" t="str">
        <x:v>Order:41:7</x:v>
      </x:c>
      <x:c r="F281" t="str">
        <x:v>Статус</x:v>
      </x:c>
      <x:c r="G281" t="str">
        <x:v>Medium</x:v>
      </x:c>
      <x:c r="H281" t="str">
        <x:v>status</x:v>
      </x:c>
      <x:c r="I281" t="str">
        <x:v>Выбрать допустимый статус</x:v>
      </x:c>
      <x:c r="J281" t="n">
        <x:f>IF(D281=1,K281,0)</x:f>
        <x:v>0</x:v>
      </x:c>
      <x:c r="K281" t="n">
        <x:f>D281+K280</x:f>
        <x:v>6</x:v>
      </x:c>
    </x:row>
    <x:row r="282">
      <x:c r="A282" t="str">
        <x:v>Order</x:v>
      </x:c>
      <x:c r="B282" t="n">
        <x:f>'04_checks'!B42</x:f>
        <x:v>1041</x:v>
      </x:c>
      <x:c r="C282" t="n">
        <x:v>42</x:v>
      </x:c>
      <x:c r="D282" t="n">
        <x:f>IF('04_checks'!C42="ERROR",1,0)</x:f>
        <x:v>0</x:v>
      </x:c>
      <x:c r="E282" t="str">
        <x:v>Order:42:1</x:v>
      </x:c>
      <x:c r="F282" t="str">
        <x:v>Дубль</x:v>
      </x:c>
      <x:c r="G282" t="str">
        <x:v>High</x:v>
      </x:c>
      <x:c r="H282" t="str">
        <x:v>order_id</x:v>
      </x:c>
      <x:c r="I282" t="str">
        <x:v>Проверить уникальность ID в источнике; не удалять записи автоматически</x:v>
      </x:c>
      <x:c r="J282" t="n">
        <x:f>IF(D282=1,K282,0)</x:f>
        <x:v>0</x:v>
      </x:c>
      <x:c r="K282" t="n">
        <x:f>D282+K281</x:f>
        <x:v>6</x:v>
      </x:c>
    </x:row>
    <x:row r="283">
      <x:c r="A283" t="str">
        <x:v>Order</x:v>
      </x:c>
      <x:c r="B283" t="n">
        <x:f>'04_checks'!B42</x:f>
        <x:v>1041</x:v>
      </x:c>
      <x:c r="C283" t="n">
        <x:v>42</x:v>
      </x:c>
      <x:c r="D283" t="n">
        <x:f>IF('04_checks'!D42="ERROR",1,0)</x:f>
        <x:v>0</x:v>
      </x:c>
      <x:c r="E283" t="str">
        <x:v>Order:42:2</x:v>
      </x:c>
      <x:c r="F283" t="str">
        <x:v>Пустое поле</x:v>
      </x:c>
      <x:c r="G283" t="str">
        <x:v>High</x:v>
      </x:c>
      <x:c r="H283" t="str">
        <x:v>required_fields</x:v>
      </x:c>
      <x:c r="I283" t="str">
        <x:v>Дополнить обязательные поля в источнике</x:v>
      </x:c>
      <x:c r="J283" t="n">
        <x:f>IF(D283=1,K283,0)</x:f>
        <x:v>0</x:v>
      </x:c>
      <x:c r="K283" t="n">
        <x:f>D283+K282</x:f>
        <x:v>6</x:v>
      </x:c>
    </x:row>
    <x:row r="284">
      <x:c r="A284" t="str">
        <x:v>Order</x:v>
      </x:c>
      <x:c r="B284" t="n">
        <x:f>'04_checks'!B42</x:f>
        <x:v>1041</x:v>
      </x:c>
      <x:c r="C284" t="n">
        <x:v>42</x:v>
      </x:c>
      <x:c r="D284" t="n">
        <x:f>IF('04_checks'!E42="ERROR",1,0)</x:f>
        <x:v>0</x:v>
      </x:c>
      <x:c r="E284" t="str">
        <x:v>Order:42:3</x:v>
      </x:c>
      <x:c r="F284" t="str">
        <x:f>IF(COUNTIF('02_clients_raw'!$A$2:$A$67,'01_orders_raw'!C42)&gt;1,"Неоднозначная связь","Нет связи")</x:f>
        <x:v>Нет связи</x:v>
      </x:c>
      <x:c r="G284" t="str">
        <x:v>High</x:v>
      </x:c>
      <x:c r="H284" t="str">
        <x:v>client_id</x:v>
      </x:c>
      <x:c r="I284" t="str">
        <x:v>Исправить ссылку или разрешить дубли связанного ID</x:v>
      </x:c>
      <x:c r="J284" t="n">
        <x:f>IF(D284=1,K284,0)</x:f>
        <x:v>0</x:v>
      </x:c>
      <x:c r="K284" t="n">
        <x:f>D284+K283</x:f>
        <x:v>6</x:v>
      </x:c>
    </x:row>
    <x:row r="285">
      <x:c r="A285" t="str">
        <x:v>Order</x:v>
      </x:c>
      <x:c r="B285" t="n">
        <x:f>'04_checks'!B42</x:f>
        <x:v>1041</x:v>
      </x:c>
      <x:c r="C285" t="n">
        <x:v>42</x:v>
      </x:c>
      <x:c r="D285" t="n">
        <x:f>IF('04_checks'!F42="ERROR",1,0)</x:f>
        <x:v>0</x:v>
      </x:c>
      <x:c r="E285" t="str">
        <x:v>Order:42:4</x:v>
      </x:c>
      <x:c r="F285" t="str">
        <x:v>Ошибка расчета</x:v>
      </x:c>
      <x:c r="G285" t="str">
        <x:v>High</x:v>
      </x:c>
      <x:c r="H285" t="str">
        <x:v>quantity/price/order_sum</x:v>
      </x:c>
      <x:c r="I285" t="str">
        <x:v>Сверить исходные значения и правило расчёта</x:v>
      </x:c>
      <x:c r="J285" t="n">
        <x:f>IF(D285=1,K285,0)</x:f>
        <x:v>0</x:v>
      </x:c>
      <x:c r="K285" t="n">
        <x:f>D285+K284</x:f>
        <x:v>6</x:v>
      </x:c>
    </x:row>
    <x:row r="286">
      <x:c r="A286" t="str">
        <x:v>Order</x:v>
      </x:c>
      <x:c r="B286" t="n">
        <x:f>'04_checks'!B42</x:f>
        <x:v>1041</x:v>
      </x:c>
      <x:c r="C286" t="n">
        <x:v>42</x:v>
      </x:c>
      <x:c r="D286" t="n">
        <x:f>IF('04_checks'!G42="ERROR",1,0)</x:f>
        <x:v>0</x:v>
      </x:c>
      <x:c r="E286" t="str">
        <x:v>Order:42:5</x:v>
      </x:c>
      <x:c r="F286" t="str">
        <x:v>Отрицательная цена</x:v>
      </x:c>
      <x:c r="G286" t="str">
        <x:v>High</x:v>
      </x:c>
      <x:c r="H286" t="str">
        <x:v>price</x:v>
      </x:c>
      <x:c r="I286" t="str">
        <x:v>Проверить цену в источнике</x:v>
      </x:c>
      <x:c r="J286" t="n">
        <x:f>IF(D286=1,K286,0)</x:f>
        <x:v>0</x:v>
      </x:c>
      <x:c r="K286" t="n">
        <x:f>D286+K285</x:f>
        <x:v>6</x:v>
      </x:c>
    </x:row>
    <x:row r="287">
      <x:c r="A287" t="str">
        <x:v>Order</x:v>
      </x:c>
      <x:c r="B287" t="n">
        <x:f>'04_checks'!B42</x:f>
        <x:v>1041</x:v>
      </x:c>
      <x:c r="C287" t="n">
        <x:v>42</x:v>
      </x:c>
      <x:c r="D287" t="n">
        <x:f>IF('04_checks'!H42="ERROR",1,0)</x:f>
        <x:v>0</x:v>
      </x:c>
      <x:c r="E287" t="str">
        <x:v>Order:42:6</x:v>
      </x:c>
      <x:c r="F287" t="str">
        <x:v>Дата</x:v>
      </x:c>
      <x:c r="G287" t="str">
        <x:v>Medium</x:v>
      </x:c>
      <x:c r="H287" t="str">
        <x:v>order_date</x:v>
      </x:c>
      <x:c r="I287" t="str">
        <x:v>Сверить дату со срезом и исходной записью</x:v>
      </x:c>
      <x:c r="J287" t="n">
        <x:f>IF(D287=1,K287,0)</x:f>
        <x:v>0</x:v>
      </x:c>
      <x:c r="K287" t="n">
        <x:f>D287+K286</x:f>
        <x:v>6</x:v>
      </x:c>
    </x:row>
    <x:row r="288">
      <x:c r="A288" t="str">
        <x:v>Order</x:v>
      </x:c>
      <x:c r="B288" t="n">
        <x:f>'04_checks'!B42</x:f>
        <x:v>1041</x:v>
      </x:c>
      <x:c r="C288" t="n">
        <x:v>42</x:v>
      </x:c>
      <x:c r="D288" t="n">
        <x:f>IF('04_checks'!I42="ERROR",1,0)</x:f>
        <x:v>0</x:v>
      </x:c>
      <x:c r="E288" t="str">
        <x:v>Order:42:7</x:v>
      </x:c>
      <x:c r="F288" t="str">
        <x:v>Статус</x:v>
      </x:c>
      <x:c r="G288" t="str">
        <x:v>Medium</x:v>
      </x:c>
      <x:c r="H288" t="str">
        <x:v>status</x:v>
      </x:c>
      <x:c r="I288" t="str">
        <x:v>Выбрать допустимый статус</x:v>
      </x:c>
      <x:c r="J288" t="n">
        <x:f>IF(D288=1,K288,0)</x:f>
        <x:v>0</x:v>
      </x:c>
      <x:c r="K288" t="n">
        <x:f>D288+K287</x:f>
        <x:v>6</x:v>
      </x:c>
    </x:row>
    <x:row r="289">
      <x:c r="A289" t="str">
        <x:v>Order</x:v>
      </x:c>
      <x:c r="B289" t="n">
        <x:f>'04_checks'!B43</x:f>
        <x:v>1042</x:v>
      </x:c>
      <x:c r="C289" t="n">
        <x:v>43</x:v>
      </x:c>
      <x:c r="D289" t="n">
        <x:f>IF('04_checks'!C43="ERROR",1,0)</x:f>
        <x:v>0</x:v>
      </x:c>
      <x:c r="E289" t="str">
        <x:v>Order:43:1</x:v>
      </x:c>
      <x:c r="F289" t="str">
        <x:v>Дубль</x:v>
      </x:c>
      <x:c r="G289" t="str">
        <x:v>High</x:v>
      </x:c>
      <x:c r="H289" t="str">
        <x:v>order_id</x:v>
      </x:c>
      <x:c r="I289" t="str">
        <x:v>Проверить уникальность ID в источнике; не удалять записи автоматически</x:v>
      </x:c>
      <x:c r="J289" t="n">
        <x:f>IF(D289=1,K289,0)</x:f>
        <x:v>0</x:v>
      </x:c>
      <x:c r="K289" t="n">
        <x:f>D289+K288</x:f>
        <x:v>6</x:v>
      </x:c>
    </x:row>
    <x:row r="290">
      <x:c r="A290" t="str">
        <x:v>Order</x:v>
      </x:c>
      <x:c r="B290" t="n">
        <x:f>'04_checks'!B43</x:f>
        <x:v>1042</x:v>
      </x:c>
      <x:c r="C290" t="n">
        <x:v>43</x:v>
      </x:c>
      <x:c r="D290" t="n">
        <x:f>IF('04_checks'!D43="ERROR",1,0)</x:f>
        <x:v>0</x:v>
      </x:c>
      <x:c r="E290" t="str">
        <x:v>Order:43:2</x:v>
      </x:c>
      <x:c r="F290" t="str">
        <x:v>Пустое поле</x:v>
      </x:c>
      <x:c r="G290" t="str">
        <x:v>High</x:v>
      </x:c>
      <x:c r="H290" t="str">
        <x:v>required_fields</x:v>
      </x:c>
      <x:c r="I290" t="str">
        <x:v>Дополнить обязательные поля в источнике</x:v>
      </x:c>
      <x:c r="J290" t="n">
        <x:f>IF(D290=1,K290,0)</x:f>
        <x:v>0</x:v>
      </x:c>
      <x:c r="K290" t="n">
        <x:f>D290+K289</x:f>
        <x:v>6</x:v>
      </x:c>
    </x:row>
    <x:row r="291">
      <x:c r="A291" t="str">
        <x:v>Order</x:v>
      </x:c>
      <x:c r="B291" t="n">
        <x:f>'04_checks'!B43</x:f>
        <x:v>1042</x:v>
      </x:c>
      <x:c r="C291" t="n">
        <x:v>43</x:v>
      </x:c>
      <x:c r="D291" t="n">
        <x:f>IF('04_checks'!E43="ERROR",1,0)</x:f>
        <x:v>0</x:v>
      </x:c>
      <x:c r="E291" t="str">
        <x:v>Order:43:3</x:v>
      </x:c>
      <x:c r="F291" t="str">
        <x:f>IF(COUNTIF('02_clients_raw'!$A$2:$A$67,'01_orders_raw'!C43)&gt;1,"Неоднозначная связь","Нет связи")</x:f>
        <x:v>Нет связи</x:v>
      </x:c>
      <x:c r="G291" t="str">
        <x:v>High</x:v>
      </x:c>
      <x:c r="H291" t="str">
        <x:v>client_id</x:v>
      </x:c>
      <x:c r="I291" t="str">
        <x:v>Исправить ссылку или разрешить дубли связанного ID</x:v>
      </x:c>
      <x:c r="J291" t="n">
        <x:f>IF(D291=1,K291,0)</x:f>
        <x:v>0</x:v>
      </x:c>
      <x:c r="K291" t="n">
        <x:f>D291+K290</x:f>
        <x:v>6</x:v>
      </x:c>
    </x:row>
    <x:row r="292">
      <x:c r="A292" t="str">
        <x:v>Order</x:v>
      </x:c>
      <x:c r="B292" t="n">
        <x:f>'04_checks'!B43</x:f>
        <x:v>1042</x:v>
      </x:c>
      <x:c r="C292" t="n">
        <x:v>43</x:v>
      </x:c>
      <x:c r="D292" t="n">
        <x:f>IF('04_checks'!F43="ERROR",1,0)</x:f>
        <x:v>0</x:v>
      </x:c>
      <x:c r="E292" t="str">
        <x:v>Order:43:4</x:v>
      </x:c>
      <x:c r="F292" t="str">
        <x:v>Ошибка расчета</x:v>
      </x:c>
      <x:c r="G292" t="str">
        <x:v>High</x:v>
      </x:c>
      <x:c r="H292" t="str">
        <x:v>quantity/price/order_sum</x:v>
      </x:c>
      <x:c r="I292" t="str">
        <x:v>Сверить исходные значения и правило расчёта</x:v>
      </x:c>
      <x:c r="J292" t="n">
        <x:f>IF(D292=1,K292,0)</x:f>
        <x:v>0</x:v>
      </x:c>
      <x:c r="K292" t="n">
        <x:f>D292+K291</x:f>
        <x:v>6</x:v>
      </x:c>
    </x:row>
    <x:row r="293">
      <x:c r="A293" t="str">
        <x:v>Order</x:v>
      </x:c>
      <x:c r="B293" t="n">
        <x:f>'04_checks'!B43</x:f>
        <x:v>1042</x:v>
      </x:c>
      <x:c r="C293" t="n">
        <x:v>43</x:v>
      </x:c>
      <x:c r="D293" t="n">
        <x:f>IF('04_checks'!G43="ERROR",1,0)</x:f>
        <x:v>0</x:v>
      </x:c>
      <x:c r="E293" t="str">
        <x:v>Order:43:5</x:v>
      </x:c>
      <x:c r="F293" t="str">
        <x:v>Отрицательная цена</x:v>
      </x:c>
      <x:c r="G293" t="str">
        <x:v>High</x:v>
      </x:c>
      <x:c r="H293" t="str">
        <x:v>price</x:v>
      </x:c>
      <x:c r="I293" t="str">
        <x:v>Проверить цену в источнике</x:v>
      </x:c>
      <x:c r="J293" t="n">
        <x:f>IF(D293=1,K293,0)</x:f>
        <x:v>0</x:v>
      </x:c>
      <x:c r="K293" t="n">
        <x:f>D293+K292</x:f>
        <x:v>6</x:v>
      </x:c>
    </x:row>
    <x:row r="294">
      <x:c r="A294" t="str">
        <x:v>Order</x:v>
      </x:c>
      <x:c r="B294" t="n">
        <x:f>'04_checks'!B43</x:f>
        <x:v>1042</x:v>
      </x:c>
      <x:c r="C294" t="n">
        <x:v>43</x:v>
      </x:c>
      <x:c r="D294" t="n">
        <x:f>IF('04_checks'!H43="ERROR",1,0)</x:f>
        <x:v>0</x:v>
      </x:c>
      <x:c r="E294" t="str">
        <x:v>Order:43:6</x:v>
      </x:c>
      <x:c r="F294" t="str">
        <x:v>Дата</x:v>
      </x:c>
      <x:c r="G294" t="str">
        <x:v>Medium</x:v>
      </x:c>
      <x:c r="H294" t="str">
        <x:v>order_date</x:v>
      </x:c>
      <x:c r="I294" t="str">
        <x:v>Сверить дату со срезом и исходной записью</x:v>
      </x:c>
      <x:c r="J294" t="n">
        <x:f>IF(D294=1,K294,0)</x:f>
        <x:v>0</x:v>
      </x:c>
      <x:c r="K294" t="n">
        <x:f>D294+K293</x:f>
        <x:v>6</x:v>
      </x:c>
    </x:row>
    <x:row r="295">
      <x:c r="A295" t="str">
        <x:v>Order</x:v>
      </x:c>
      <x:c r="B295" t="n">
        <x:f>'04_checks'!B43</x:f>
        <x:v>1042</x:v>
      </x:c>
      <x:c r="C295" t="n">
        <x:v>43</x:v>
      </x:c>
      <x:c r="D295" t="n">
        <x:f>IF('04_checks'!I43="ERROR",1,0)</x:f>
        <x:v>0</x:v>
      </x:c>
      <x:c r="E295" t="str">
        <x:v>Order:43:7</x:v>
      </x:c>
      <x:c r="F295" t="str">
        <x:v>Статус</x:v>
      </x:c>
      <x:c r="G295" t="str">
        <x:v>Medium</x:v>
      </x:c>
      <x:c r="H295" t="str">
        <x:v>status</x:v>
      </x:c>
      <x:c r="I295" t="str">
        <x:v>Выбрать допустимый статус</x:v>
      </x:c>
      <x:c r="J295" t="n">
        <x:f>IF(D295=1,K295,0)</x:f>
        <x:v>0</x:v>
      </x:c>
      <x:c r="K295" t="n">
        <x:f>D295+K294</x:f>
        <x:v>6</x:v>
      </x:c>
    </x:row>
    <x:row r="296">
      <x:c r="A296" t="str">
        <x:v>Order</x:v>
      </x:c>
      <x:c r="B296" t="n">
        <x:f>'04_checks'!B44</x:f>
        <x:v>1043</x:v>
      </x:c>
      <x:c r="C296" t="n">
        <x:v>44</x:v>
      </x:c>
      <x:c r="D296" t="n">
        <x:f>IF('04_checks'!C44="ERROR",1,0)</x:f>
        <x:v>0</x:v>
      </x:c>
      <x:c r="E296" t="str">
        <x:v>Order:44:1</x:v>
      </x:c>
      <x:c r="F296" t="str">
        <x:v>Дубль</x:v>
      </x:c>
      <x:c r="G296" t="str">
        <x:v>High</x:v>
      </x:c>
      <x:c r="H296" t="str">
        <x:v>order_id</x:v>
      </x:c>
      <x:c r="I296" t="str">
        <x:v>Проверить уникальность ID в источнике; не удалять записи автоматически</x:v>
      </x:c>
      <x:c r="J296" t="n">
        <x:f>IF(D296=1,K296,0)</x:f>
        <x:v>0</x:v>
      </x:c>
      <x:c r="K296" t="n">
        <x:f>D296+K295</x:f>
        <x:v>6</x:v>
      </x:c>
    </x:row>
    <x:row r="297">
      <x:c r="A297" t="str">
        <x:v>Order</x:v>
      </x:c>
      <x:c r="B297" t="n">
        <x:f>'04_checks'!B44</x:f>
        <x:v>1043</x:v>
      </x:c>
      <x:c r="C297" t="n">
        <x:v>44</x:v>
      </x:c>
      <x:c r="D297" t="n">
        <x:f>IF('04_checks'!D44="ERROR",1,0)</x:f>
        <x:v>0</x:v>
      </x:c>
      <x:c r="E297" t="str">
        <x:v>Order:44:2</x:v>
      </x:c>
      <x:c r="F297" t="str">
        <x:v>Пустое поле</x:v>
      </x:c>
      <x:c r="G297" t="str">
        <x:v>High</x:v>
      </x:c>
      <x:c r="H297" t="str">
        <x:v>required_fields</x:v>
      </x:c>
      <x:c r="I297" t="str">
        <x:v>Дополнить обязательные поля в источнике</x:v>
      </x:c>
      <x:c r="J297" t="n">
        <x:f>IF(D297=1,K297,0)</x:f>
        <x:v>0</x:v>
      </x:c>
      <x:c r="K297" t="n">
        <x:f>D297+K296</x:f>
        <x:v>6</x:v>
      </x:c>
    </x:row>
    <x:row r="298">
      <x:c r="A298" t="str">
        <x:v>Order</x:v>
      </x:c>
      <x:c r="B298" t="n">
        <x:f>'04_checks'!B44</x:f>
        <x:v>1043</x:v>
      </x:c>
      <x:c r="C298" t="n">
        <x:v>44</x:v>
      </x:c>
      <x:c r="D298" t="n">
        <x:f>IF('04_checks'!E44="ERROR",1,0)</x:f>
        <x:v>0</x:v>
      </x:c>
      <x:c r="E298" t="str">
        <x:v>Order:44:3</x:v>
      </x:c>
      <x:c r="F298" t="str">
        <x:f>IF(COUNTIF('02_clients_raw'!$A$2:$A$67,'01_orders_raw'!C44)&gt;1,"Неоднозначная связь","Нет связи")</x:f>
        <x:v>Нет связи</x:v>
      </x:c>
      <x:c r="G298" t="str">
        <x:v>High</x:v>
      </x:c>
      <x:c r="H298" t="str">
        <x:v>client_id</x:v>
      </x:c>
      <x:c r="I298" t="str">
        <x:v>Исправить ссылку или разрешить дубли связанного ID</x:v>
      </x:c>
      <x:c r="J298" t="n">
        <x:f>IF(D298=1,K298,0)</x:f>
        <x:v>0</x:v>
      </x:c>
      <x:c r="K298" t="n">
        <x:f>D298+K297</x:f>
        <x:v>6</x:v>
      </x:c>
    </x:row>
    <x:row r="299">
      <x:c r="A299" t="str">
        <x:v>Order</x:v>
      </x:c>
      <x:c r="B299" t="n">
        <x:f>'04_checks'!B44</x:f>
        <x:v>1043</x:v>
      </x:c>
      <x:c r="C299" t="n">
        <x:v>44</x:v>
      </x:c>
      <x:c r="D299" t="n">
        <x:f>IF('04_checks'!F44="ERROR",1,0)</x:f>
        <x:v>0</x:v>
      </x:c>
      <x:c r="E299" t="str">
        <x:v>Order:44:4</x:v>
      </x:c>
      <x:c r="F299" t="str">
        <x:v>Ошибка расчета</x:v>
      </x:c>
      <x:c r="G299" t="str">
        <x:v>High</x:v>
      </x:c>
      <x:c r="H299" t="str">
        <x:v>quantity/price/order_sum</x:v>
      </x:c>
      <x:c r="I299" t="str">
        <x:v>Сверить исходные значения и правило расчёта</x:v>
      </x:c>
      <x:c r="J299" t="n">
        <x:f>IF(D299=1,K299,0)</x:f>
        <x:v>0</x:v>
      </x:c>
      <x:c r="K299" t="n">
        <x:f>D299+K298</x:f>
        <x:v>6</x:v>
      </x:c>
    </x:row>
    <x:row r="300">
      <x:c r="A300" t="str">
        <x:v>Order</x:v>
      </x:c>
      <x:c r="B300" t="n">
        <x:f>'04_checks'!B44</x:f>
        <x:v>1043</x:v>
      </x:c>
      <x:c r="C300" t="n">
        <x:v>44</x:v>
      </x:c>
      <x:c r="D300" t="n">
        <x:f>IF('04_checks'!G44="ERROR",1,0)</x:f>
        <x:v>0</x:v>
      </x:c>
      <x:c r="E300" t="str">
        <x:v>Order:44:5</x:v>
      </x:c>
      <x:c r="F300" t="str">
        <x:v>Отрицательная цена</x:v>
      </x:c>
      <x:c r="G300" t="str">
        <x:v>High</x:v>
      </x:c>
      <x:c r="H300" t="str">
        <x:v>price</x:v>
      </x:c>
      <x:c r="I300" t="str">
        <x:v>Проверить цену в источнике</x:v>
      </x:c>
      <x:c r="J300" t="n">
        <x:f>IF(D300=1,K300,0)</x:f>
        <x:v>0</x:v>
      </x:c>
      <x:c r="K300" t="n">
        <x:f>D300+K299</x:f>
        <x:v>6</x:v>
      </x:c>
    </x:row>
    <x:row r="301">
      <x:c r="A301" t="str">
        <x:v>Order</x:v>
      </x:c>
      <x:c r="B301" t="n">
        <x:f>'04_checks'!B44</x:f>
        <x:v>1043</x:v>
      </x:c>
      <x:c r="C301" t="n">
        <x:v>44</x:v>
      </x:c>
      <x:c r="D301" t="n">
        <x:f>IF('04_checks'!H44="ERROR",1,0)</x:f>
        <x:v>0</x:v>
      </x:c>
      <x:c r="E301" t="str">
        <x:v>Order:44:6</x:v>
      </x:c>
      <x:c r="F301" t="str">
        <x:v>Дата</x:v>
      </x:c>
      <x:c r="G301" t="str">
        <x:v>Medium</x:v>
      </x:c>
      <x:c r="H301" t="str">
        <x:v>order_date</x:v>
      </x:c>
      <x:c r="I301" t="str">
        <x:v>Сверить дату со срезом и исходной записью</x:v>
      </x:c>
      <x:c r="J301" t="n">
        <x:f>IF(D301=1,K301,0)</x:f>
        <x:v>0</x:v>
      </x:c>
      <x:c r="K301" t="n">
        <x:f>D301+K300</x:f>
        <x:v>6</x:v>
      </x:c>
    </x:row>
    <x:row r="302">
      <x:c r="A302" t="str">
        <x:v>Order</x:v>
      </x:c>
      <x:c r="B302" t="n">
        <x:f>'04_checks'!B44</x:f>
        <x:v>1043</x:v>
      </x:c>
      <x:c r="C302" t="n">
        <x:v>44</x:v>
      </x:c>
      <x:c r="D302" t="n">
        <x:f>IF('04_checks'!I44="ERROR",1,0)</x:f>
        <x:v>0</x:v>
      </x:c>
      <x:c r="E302" t="str">
        <x:v>Order:44:7</x:v>
      </x:c>
      <x:c r="F302" t="str">
        <x:v>Статус</x:v>
      </x:c>
      <x:c r="G302" t="str">
        <x:v>Medium</x:v>
      </x:c>
      <x:c r="H302" t="str">
        <x:v>status</x:v>
      </x:c>
      <x:c r="I302" t="str">
        <x:v>Выбрать допустимый статус</x:v>
      </x:c>
      <x:c r="J302" t="n">
        <x:f>IF(D302=1,K302,0)</x:f>
        <x:v>0</x:v>
      </x:c>
      <x:c r="K302" t="n">
        <x:f>D302+K301</x:f>
        <x:v>6</x:v>
      </x:c>
    </x:row>
    <x:row r="303">
      <x:c r="A303" t="str">
        <x:v>Order</x:v>
      </x:c>
      <x:c r="B303" t="n">
        <x:f>'04_checks'!B45</x:f>
        <x:v>1044</x:v>
      </x:c>
      <x:c r="C303" t="n">
        <x:v>45</x:v>
      </x:c>
      <x:c r="D303" t="n">
        <x:f>IF('04_checks'!C45="ERROR",1,0)</x:f>
        <x:v>0</x:v>
      </x:c>
      <x:c r="E303" t="str">
        <x:v>Order:45:1</x:v>
      </x:c>
      <x:c r="F303" t="str">
        <x:v>Дубль</x:v>
      </x:c>
      <x:c r="G303" t="str">
        <x:v>High</x:v>
      </x:c>
      <x:c r="H303" t="str">
        <x:v>order_id</x:v>
      </x:c>
      <x:c r="I303" t="str">
        <x:v>Проверить уникальность ID в источнике; не удалять записи автоматически</x:v>
      </x:c>
      <x:c r="J303" t="n">
        <x:f>IF(D303=1,K303,0)</x:f>
        <x:v>0</x:v>
      </x:c>
      <x:c r="K303" t="n">
        <x:f>D303+K302</x:f>
        <x:v>6</x:v>
      </x:c>
    </x:row>
    <x:row r="304">
      <x:c r="A304" t="str">
        <x:v>Order</x:v>
      </x:c>
      <x:c r="B304" t="n">
        <x:f>'04_checks'!B45</x:f>
        <x:v>1044</x:v>
      </x:c>
      <x:c r="C304" t="n">
        <x:v>45</x:v>
      </x:c>
      <x:c r="D304" t="n">
        <x:f>IF('04_checks'!D45="ERROR",1,0)</x:f>
        <x:v>0</x:v>
      </x:c>
      <x:c r="E304" t="str">
        <x:v>Order:45:2</x:v>
      </x:c>
      <x:c r="F304" t="str">
        <x:v>Пустое поле</x:v>
      </x:c>
      <x:c r="G304" t="str">
        <x:v>High</x:v>
      </x:c>
      <x:c r="H304" t="str">
        <x:v>required_fields</x:v>
      </x:c>
      <x:c r="I304" t="str">
        <x:v>Дополнить обязательные поля в источнике</x:v>
      </x:c>
      <x:c r="J304" t="n">
        <x:f>IF(D304=1,K304,0)</x:f>
        <x:v>0</x:v>
      </x:c>
      <x:c r="K304" t="n">
        <x:f>D304+K303</x:f>
        <x:v>6</x:v>
      </x:c>
    </x:row>
    <x:row r="305">
      <x:c r="A305" t="str">
        <x:v>Order</x:v>
      </x:c>
      <x:c r="B305" t="n">
        <x:f>'04_checks'!B45</x:f>
        <x:v>1044</x:v>
      </x:c>
      <x:c r="C305" t="n">
        <x:v>45</x:v>
      </x:c>
      <x:c r="D305" t="n">
        <x:f>IF('04_checks'!E45="ERROR",1,0)</x:f>
        <x:v>0</x:v>
      </x:c>
      <x:c r="E305" t="str">
        <x:v>Order:45:3</x:v>
      </x:c>
      <x:c r="F305" t="str">
        <x:f>IF(COUNTIF('02_clients_raw'!$A$2:$A$67,'01_orders_raw'!C45)&gt;1,"Неоднозначная связь","Нет связи")</x:f>
        <x:v>Нет связи</x:v>
      </x:c>
      <x:c r="G305" t="str">
        <x:v>High</x:v>
      </x:c>
      <x:c r="H305" t="str">
        <x:v>client_id</x:v>
      </x:c>
      <x:c r="I305" t="str">
        <x:v>Исправить ссылку или разрешить дубли связанного ID</x:v>
      </x:c>
      <x:c r="J305" t="n">
        <x:f>IF(D305=1,K305,0)</x:f>
        <x:v>0</x:v>
      </x:c>
      <x:c r="K305" t="n">
        <x:f>D305+K304</x:f>
        <x:v>6</x:v>
      </x:c>
    </x:row>
    <x:row r="306">
      <x:c r="A306" t="str">
        <x:v>Order</x:v>
      </x:c>
      <x:c r="B306" t="n">
        <x:f>'04_checks'!B45</x:f>
        <x:v>1044</x:v>
      </x:c>
      <x:c r="C306" t="n">
        <x:v>45</x:v>
      </x:c>
      <x:c r="D306" t="n">
        <x:f>IF('04_checks'!F45="ERROR",1,0)</x:f>
        <x:v>0</x:v>
      </x:c>
      <x:c r="E306" t="str">
        <x:v>Order:45:4</x:v>
      </x:c>
      <x:c r="F306" t="str">
        <x:v>Ошибка расчета</x:v>
      </x:c>
      <x:c r="G306" t="str">
        <x:v>High</x:v>
      </x:c>
      <x:c r="H306" t="str">
        <x:v>quantity/price/order_sum</x:v>
      </x:c>
      <x:c r="I306" t="str">
        <x:v>Сверить исходные значения и правило расчёта</x:v>
      </x:c>
      <x:c r="J306" t="n">
        <x:f>IF(D306=1,K306,0)</x:f>
        <x:v>0</x:v>
      </x:c>
      <x:c r="K306" t="n">
        <x:f>D306+K305</x:f>
        <x:v>6</x:v>
      </x:c>
    </x:row>
    <x:row r="307">
      <x:c r="A307" t="str">
        <x:v>Order</x:v>
      </x:c>
      <x:c r="B307" t="n">
        <x:f>'04_checks'!B45</x:f>
        <x:v>1044</x:v>
      </x:c>
      <x:c r="C307" t="n">
        <x:v>45</x:v>
      </x:c>
      <x:c r="D307" t="n">
        <x:f>IF('04_checks'!G45="ERROR",1,0)</x:f>
        <x:v>0</x:v>
      </x:c>
      <x:c r="E307" t="str">
        <x:v>Order:45:5</x:v>
      </x:c>
      <x:c r="F307" t="str">
        <x:v>Отрицательная цена</x:v>
      </x:c>
      <x:c r="G307" t="str">
        <x:v>High</x:v>
      </x:c>
      <x:c r="H307" t="str">
        <x:v>price</x:v>
      </x:c>
      <x:c r="I307" t="str">
        <x:v>Проверить цену в источнике</x:v>
      </x:c>
      <x:c r="J307" t="n">
        <x:f>IF(D307=1,K307,0)</x:f>
        <x:v>0</x:v>
      </x:c>
      <x:c r="K307" t="n">
        <x:f>D307+K306</x:f>
        <x:v>6</x:v>
      </x:c>
    </x:row>
    <x:row r="308">
      <x:c r="A308" t="str">
        <x:v>Order</x:v>
      </x:c>
      <x:c r="B308" t="n">
        <x:f>'04_checks'!B45</x:f>
        <x:v>1044</x:v>
      </x:c>
      <x:c r="C308" t="n">
        <x:v>45</x:v>
      </x:c>
      <x:c r="D308" t="n">
        <x:f>IF('04_checks'!H45="ERROR",1,0)</x:f>
        <x:v>0</x:v>
      </x:c>
      <x:c r="E308" t="str">
        <x:v>Order:45:6</x:v>
      </x:c>
      <x:c r="F308" t="str">
        <x:v>Дата</x:v>
      </x:c>
      <x:c r="G308" t="str">
        <x:v>Medium</x:v>
      </x:c>
      <x:c r="H308" t="str">
        <x:v>order_date</x:v>
      </x:c>
      <x:c r="I308" t="str">
        <x:v>Сверить дату со срезом и исходной записью</x:v>
      </x:c>
      <x:c r="J308" t="n">
        <x:f>IF(D308=1,K308,0)</x:f>
        <x:v>0</x:v>
      </x:c>
      <x:c r="K308" t="n">
        <x:f>D308+K307</x:f>
        <x:v>6</x:v>
      </x:c>
    </x:row>
    <x:row r="309">
      <x:c r="A309" t="str">
        <x:v>Order</x:v>
      </x:c>
      <x:c r="B309" t="n">
        <x:f>'04_checks'!B45</x:f>
        <x:v>1044</x:v>
      </x:c>
      <x:c r="C309" t="n">
        <x:v>45</x:v>
      </x:c>
      <x:c r="D309" t="n">
        <x:f>IF('04_checks'!I45="ERROR",1,0)</x:f>
        <x:v>0</x:v>
      </x:c>
      <x:c r="E309" t="str">
        <x:v>Order:45:7</x:v>
      </x:c>
      <x:c r="F309" t="str">
        <x:v>Статус</x:v>
      </x:c>
      <x:c r="G309" t="str">
        <x:v>Medium</x:v>
      </x:c>
      <x:c r="H309" t="str">
        <x:v>status</x:v>
      </x:c>
      <x:c r="I309" t="str">
        <x:v>Выбрать допустимый статус</x:v>
      </x:c>
      <x:c r="J309" t="n">
        <x:f>IF(D309=1,K309,0)</x:f>
        <x:v>0</x:v>
      </x:c>
      <x:c r="K309" t="n">
        <x:f>D309+K308</x:f>
        <x:v>6</x:v>
      </x:c>
    </x:row>
    <x:row r="310">
      <x:c r="A310" t="str">
        <x:v>Order</x:v>
      </x:c>
      <x:c r="B310" t="n">
        <x:f>'04_checks'!B46</x:f>
        <x:v>1045</x:v>
      </x:c>
      <x:c r="C310" t="n">
        <x:v>46</x:v>
      </x:c>
      <x:c r="D310" t="n">
        <x:f>IF('04_checks'!C46="ERROR",1,0)</x:f>
        <x:v>0</x:v>
      </x:c>
      <x:c r="E310" t="str">
        <x:v>Order:46:1</x:v>
      </x:c>
      <x:c r="F310" t="str">
        <x:v>Дубль</x:v>
      </x:c>
      <x:c r="G310" t="str">
        <x:v>High</x:v>
      </x:c>
      <x:c r="H310" t="str">
        <x:v>order_id</x:v>
      </x:c>
      <x:c r="I310" t="str">
        <x:v>Проверить уникальность ID в источнике; не удалять записи автоматически</x:v>
      </x:c>
      <x:c r="J310" t="n">
        <x:f>IF(D310=1,K310,0)</x:f>
        <x:v>0</x:v>
      </x:c>
      <x:c r="K310" t="n">
        <x:f>D310+K309</x:f>
        <x:v>6</x:v>
      </x:c>
    </x:row>
    <x:row r="311">
      <x:c r="A311" t="str">
        <x:v>Order</x:v>
      </x:c>
      <x:c r="B311" t="n">
        <x:f>'04_checks'!B46</x:f>
        <x:v>1045</x:v>
      </x:c>
      <x:c r="C311" t="n">
        <x:v>46</x:v>
      </x:c>
      <x:c r="D311" t="n">
        <x:f>IF('04_checks'!D46="ERROR",1,0)</x:f>
        <x:v>0</x:v>
      </x:c>
      <x:c r="E311" t="str">
        <x:v>Order:46:2</x:v>
      </x:c>
      <x:c r="F311" t="str">
        <x:v>Пустое поле</x:v>
      </x:c>
      <x:c r="G311" t="str">
        <x:v>High</x:v>
      </x:c>
      <x:c r="H311" t="str">
        <x:v>required_fields</x:v>
      </x:c>
      <x:c r="I311" t="str">
        <x:v>Дополнить обязательные поля в источнике</x:v>
      </x:c>
      <x:c r="J311" t="n">
        <x:f>IF(D311=1,K311,0)</x:f>
        <x:v>0</x:v>
      </x:c>
      <x:c r="K311" t="n">
        <x:f>D311+K310</x:f>
        <x:v>6</x:v>
      </x:c>
    </x:row>
    <x:row r="312">
      <x:c r="A312" t="str">
        <x:v>Order</x:v>
      </x:c>
      <x:c r="B312" t="n">
        <x:f>'04_checks'!B46</x:f>
        <x:v>1045</x:v>
      </x:c>
      <x:c r="C312" t="n">
        <x:v>46</x:v>
      </x:c>
      <x:c r="D312" t="n">
        <x:f>IF('04_checks'!E46="ERROR",1,0)</x:f>
        <x:v>0</x:v>
      </x:c>
      <x:c r="E312" t="str">
        <x:v>Order:46:3</x:v>
      </x:c>
      <x:c r="F312" t="str">
        <x:f>IF(COUNTIF('02_clients_raw'!$A$2:$A$67,'01_orders_raw'!C46)&gt;1,"Неоднозначная связь","Нет связи")</x:f>
        <x:v>Нет связи</x:v>
      </x:c>
      <x:c r="G312" t="str">
        <x:v>High</x:v>
      </x:c>
      <x:c r="H312" t="str">
        <x:v>client_id</x:v>
      </x:c>
      <x:c r="I312" t="str">
        <x:v>Исправить ссылку или разрешить дубли связанного ID</x:v>
      </x:c>
      <x:c r="J312" t="n">
        <x:f>IF(D312=1,K312,0)</x:f>
        <x:v>0</x:v>
      </x:c>
      <x:c r="K312" t="n">
        <x:f>D312+K311</x:f>
        <x:v>6</x:v>
      </x:c>
    </x:row>
    <x:row r="313">
      <x:c r="A313" t="str">
        <x:v>Order</x:v>
      </x:c>
      <x:c r="B313" t="n">
        <x:f>'04_checks'!B46</x:f>
        <x:v>1045</x:v>
      </x:c>
      <x:c r="C313" t="n">
        <x:v>46</x:v>
      </x:c>
      <x:c r="D313" t="n">
        <x:f>IF('04_checks'!F46="ERROR",1,0)</x:f>
        <x:v>0</x:v>
      </x:c>
      <x:c r="E313" t="str">
        <x:v>Order:46:4</x:v>
      </x:c>
      <x:c r="F313" t="str">
        <x:v>Ошибка расчета</x:v>
      </x:c>
      <x:c r="G313" t="str">
        <x:v>High</x:v>
      </x:c>
      <x:c r="H313" t="str">
        <x:v>quantity/price/order_sum</x:v>
      </x:c>
      <x:c r="I313" t="str">
        <x:v>Сверить исходные значения и правило расчёта</x:v>
      </x:c>
      <x:c r="J313" t="n">
        <x:f>IF(D313=1,K313,0)</x:f>
        <x:v>0</x:v>
      </x:c>
      <x:c r="K313" t="n">
        <x:f>D313+K312</x:f>
        <x:v>6</x:v>
      </x:c>
    </x:row>
    <x:row r="314">
      <x:c r="A314" t="str">
        <x:v>Order</x:v>
      </x:c>
      <x:c r="B314" t="n">
        <x:f>'04_checks'!B46</x:f>
        <x:v>1045</x:v>
      </x:c>
      <x:c r="C314" t="n">
        <x:v>46</x:v>
      </x:c>
      <x:c r="D314" t="n">
        <x:f>IF('04_checks'!G46="ERROR",1,0)</x:f>
        <x:v>0</x:v>
      </x:c>
      <x:c r="E314" t="str">
        <x:v>Order:46:5</x:v>
      </x:c>
      <x:c r="F314" t="str">
        <x:v>Отрицательная цена</x:v>
      </x:c>
      <x:c r="G314" t="str">
        <x:v>High</x:v>
      </x:c>
      <x:c r="H314" t="str">
        <x:v>price</x:v>
      </x:c>
      <x:c r="I314" t="str">
        <x:v>Проверить цену в источнике</x:v>
      </x:c>
      <x:c r="J314" t="n">
        <x:f>IF(D314=1,K314,0)</x:f>
        <x:v>0</x:v>
      </x:c>
      <x:c r="K314" t="n">
        <x:f>D314+K313</x:f>
        <x:v>6</x:v>
      </x:c>
    </x:row>
    <x:row r="315">
      <x:c r="A315" t="str">
        <x:v>Order</x:v>
      </x:c>
      <x:c r="B315" t="n">
        <x:f>'04_checks'!B46</x:f>
        <x:v>1045</x:v>
      </x:c>
      <x:c r="C315" t="n">
        <x:v>46</x:v>
      </x:c>
      <x:c r="D315" t="n">
        <x:f>IF('04_checks'!H46="ERROR",1,0)</x:f>
        <x:v>0</x:v>
      </x:c>
      <x:c r="E315" t="str">
        <x:v>Order:46:6</x:v>
      </x:c>
      <x:c r="F315" t="str">
        <x:v>Дата</x:v>
      </x:c>
      <x:c r="G315" t="str">
        <x:v>Medium</x:v>
      </x:c>
      <x:c r="H315" t="str">
        <x:v>order_date</x:v>
      </x:c>
      <x:c r="I315" t="str">
        <x:v>Сверить дату со срезом и исходной записью</x:v>
      </x:c>
      <x:c r="J315" t="n">
        <x:f>IF(D315=1,K315,0)</x:f>
        <x:v>0</x:v>
      </x:c>
      <x:c r="K315" t="n">
        <x:f>D315+K314</x:f>
        <x:v>6</x:v>
      </x:c>
    </x:row>
    <x:row r="316">
      <x:c r="A316" t="str">
        <x:v>Order</x:v>
      </x:c>
      <x:c r="B316" t="n">
        <x:f>'04_checks'!B46</x:f>
        <x:v>1045</x:v>
      </x:c>
      <x:c r="C316" t="n">
        <x:v>46</x:v>
      </x:c>
      <x:c r="D316" t="n">
        <x:f>IF('04_checks'!I46="ERROR",1,0)</x:f>
        <x:v>0</x:v>
      </x:c>
      <x:c r="E316" t="str">
        <x:v>Order:46:7</x:v>
      </x:c>
      <x:c r="F316" t="str">
        <x:v>Статус</x:v>
      </x:c>
      <x:c r="G316" t="str">
        <x:v>Medium</x:v>
      </x:c>
      <x:c r="H316" t="str">
        <x:v>status</x:v>
      </x:c>
      <x:c r="I316" t="str">
        <x:v>Выбрать допустимый статус</x:v>
      </x:c>
      <x:c r="J316" t="n">
        <x:f>IF(D316=1,K316,0)</x:f>
        <x:v>0</x:v>
      </x:c>
      <x:c r="K316" t="n">
        <x:f>D316+K315</x:f>
        <x:v>6</x:v>
      </x:c>
    </x:row>
    <x:row r="317">
      <x:c r="A317" t="str">
        <x:v>Order</x:v>
      </x:c>
      <x:c r="B317" t="n">
        <x:f>'04_checks'!B47</x:f>
        <x:v>1046</x:v>
      </x:c>
      <x:c r="C317" t="n">
        <x:v>47</x:v>
      </x:c>
      <x:c r="D317" t="n">
        <x:f>IF('04_checks'!C47="ERROR",1,0)</x:f>
        <x:v>0</x:v>
      </x:c>
      <x:c r="E317" t="str">
        <x:v>Order:47:1</x:v>
      </x:c>
      <x:c r="F317" t="str">
        <x:v>Дубль</x:v>
      </x:c>
      <x:c r="G317" t="str">
        <x:v>High</x:v>
      </x:c>
      <x:c r="H317" t="str">
        <x:v>order_id</x:v>
      </x:c>
      <x:c r="I317" t="str">
        <x:v>Проверить уникальность ID в источнике; не удалять записи автоматически</x:v>
      </x:c>
      <x:c r="J317" t="n">
        <x:f>IF(D317=1,K317,0)</x:f>
        <x:v>0</x:v>
      </x:c>
      <x:c r="K317" t="n">
        <x:f>D317+K316</x:f>
        <x:v>6</x:v>
      </x:c>
    </x:row>
    <x:row r="318">
      <x:c r="A318" t="str">
        <x:v>Order</x:v>
      </x:c>
      <x:c r="B318" t="n">
        <x:f>'04_checks'!B47</x:f>
        <x:v>1046</x:v>
      </x:c>
      <x:c r="C318" t="n">
        <x:v>47</x:v>
      </x:c>
      <x:c r="D318" t="n">
        <x:f>IF('04_checks'!D47="ERROR",1,0)</x:f>
        <x:v>0</x:v>
      </x:c>
      <x:c r="E318" t="str">
        <x:v>Order:47:2</x:v>
      </x:c>
      <x:c r="F318" t="str">
        <x:v>Пустое поле</x:v>
      </x:c>
      <x:c r="G318" t="str">
        <x:v>High</x:v>
      </x:c>
      <x:c r="H318" t="str">
        <x:v>required_fields</x:v>
      </x:c>
      <x:c r="I318" t="str">
        <x:v>Дополнить обязательные поля в источнике</x:v>
      </x:c>
      <x:c r="J318" t="n">
        <x:f>IF(D318=1,K318,0)</x:f>
        <x:v>0</x:v>
      </x:c>
      <x:c r="K318" t="n">
        <x:f>D318+K317</x:f>
        <x:v>6</x:v>
      </x:c>
    </x:row>
    <x:row r="319">
      <x:c r="A319" t="str">
        <x:v>Order</x:v>
      </x:c>
      <x:c r="B319" t="n">
        <x:f>'04_checks'!B47</x:f>
        <x:v>1046</x:v>
      </x:c>
      <x:c r="C319" t="n">
        <x:v>47</x:v>
      </x:c>
      <x:c r="D319" t="n">
        <x:f>IF('04_checks'!E47="ERROR",1,0)</x:f>
        <x:v>0</x:v>
      </x:c>
      <x:c r="E319" t="str">
        <x:v>Order:47:3</x:v>
      </x:c>
      <x:c r="F319" t="str">
        <x:f>IF(COUNTIF('02_clients_raw'!$A$2:$A$67,'01_orders_raw'!C47)&gt;1,"Неоднозначная связь","Нет связи")</x:f>
        <x:v>Нет связи</x:v>
      </x:c>
      <x:c r="G319" t="str">
        <x:v>High</x:v>
      </x:c>
      <x:c r="H319" t="str">
        <x:v>client_id</x:v>
      </x:c>
      <x:c r="I319" t="str">
        <x:v>Исправить ссылку или разрешить дубли связанного ID</x:v>
      </x:c>
      <x:c r="J319" t="n">
        <x:f>IF(D319=1,K319,0)</x:f>
        <x:v>0</x:v>
      </x:c>
      <x:c r="K319" t="n">
        <x:f>D319+K318</x:f>
        <x:v>6</x:v>
      </x:c>
    </x:row>
    <x:row r="320">
      <x:c r="A320" t="str">
        <x:v>Order</x:v>
      </x:c>
      <x:c r="B320" t="n">
        <x:f>'04_checks'!B47</x:f>
        <x:v>1046</x:v>
      </x:c>
      <x:c r="C320" t="n">
        <x:v>47</x:v>
      </x:c>
      <x:c r="D320" t="n">
        <x:f>IF('04_checks'!F47="ERROR",1,0)</x:f>
        <x:v>0</x:v>
      </x:c>
      <x:c r="E320" t="str">
        <x:v>Order:47:4</x:v>
      </x:c>
      <x:c r="F320" t="str">
        <x:v>Ошибка расчета</x:v>
      </x:c>
      <x:c r="G320" t="str">
        <x:v>High</x:v>
      </x:c>
      <x:c r="H320" t="str">
        <x:v>quantity/price/order_sum</x:v>
      </x:c>
      <x:c r="I320" t="str">
        <x:v>Сверить исходные значения и правило расчёта</x:v>
      </x:c>
      <x:c r="J320" t="n">
        <x:f>IF(D320=1,K320,0)</x:f>
        <x:v>0</x:v>
      </x:c>
      <x:c r="K320" t="n">
        <x:f>D320+K319</x:f>
        <x:v>6</x:v>
      </x:c>
    </x:row>
    <x:row r="321">
      <x:c r="A321" t="str">
        <x:v>Order</x:v>
      </x:c>
      <x:c r="B321" t="n">
        <x:f>'04_checks'!B47</x:f>
        <x:v>1046</x:v>
      </x:c>
      <x:c r="C321" t="n">
        <x:v>47</x:v>
      </x:c>
      <x:c r="D321" t="n">
        <x:f>IF('04_checks'!G47="ERROR",1,0)</x:f>
        <x:v>0</x:v>
      </x:c>
      <x:c r="E321" t="str">
        <x:v>Order:47:5</x:v>
      </x:c>
      <x:c r="F321" t="str">
        <x:v>Отрицательная цена</x:v>
      </x:c>
      <x:c r="G321" t="str">
        <x:v>High</x:v>
      </x:c>
      <x:c r="H321" t="str">
        <x:v>price</x:v>
      </x:c>
      <x:c r="I321" t="str">
        <x:v>Проверить цену в источнике</x:v>
      </x:c>
      <x:c r="J321" t="n">
        <x:f>IF(D321=1,K321,0)</x:f>
        <x:v>0</x:v>
      </x:c>
      <x:c r="K321" t="n">
        <x:f>D321+K320</x:f>
        <x:v>6</x:v>
      </x:c>
    </x:row>
    <x:row r="322">
      <x:c r="A322" t="str">
        <x:v>Order</x:v>
      </x:c>
      <x:c r="B322" t="n">
        <x:f>'04_checks'!B47</x:f>
        <x:v>1046</x:v>
      </x:c>
      <x:c r="C322" t="n">
        <x:v>47</x:v>
      </x:c>
      <x:c r="D322" t="n">
        <x:f>IF('04_checks'!H47="ERROR",1,0)</x:f>
        <x:v>0</x:v>
      </x:c>
      <x:c r="E322" t="str">
        <x:v>Order:47:6</x:v>
      </x:c>
      <x:c r="F322" t="str">
        <x:v>Дата</x:v>
      </x:c>
      <x:c r="G322" t="str">
        <x:v>Medium</x:v>
      </x:c>
      <x:c r="H322" t="str">
        <x:v>order_date</x:v>
      </x:c>
      <x:c r="I322" t="str">
        <x:v>Сверить дату со срезом и исходной записью</x:v>
      </x:c>
      <x:c r="J322" t="n">
        <x:f>IF(D322=1,K322,0)</x:f>
        <x:v>0</x:v>
      </x:c>
      <x:c r="K322" t="n">
        <x:f>D322+K321</x:f>
        <x:v>6</x:v>
      </x:c>
    </x:row>
    <x:row r="323">
      <x:c r="A323" t="str">
        <x:v>Order</x:v>
      </x:c>
      <x:c r="B323" t="n">
        <x:f>'04_checks'!B47</x:f>
        <x:v>1046</x:v>
      </x:c>
      <x:c r="C323" t="n">
        <x:v>47</x:v>
      </x:c>
      <x:c r="D323" t="n">
        <x:f>IF('04_checks'!I47="ERROR",1,0)</x:f>
        <x:v>0</x:v>
      </x:c>
      <x:c r="E323" t="str">
        <x:v>Order:47:7</x:v>
      </x:c>
      <x:c r="F323" t="str">
        <x:v>Статус</x:v>
      </x:c>
      <x:c r="G323" t="str">
        <x:v>Medium</x:v>
      </x:c>
      <x:c r="H323" t="str">
        <x:v>status</x:v>
      </x:c>
      <x:c r="I323" t="str">
        <x:v>Выбрать допустимый статус</x:v>
      </x:c>
      <x:c r="J323" t="n">
        <x:f>IF(D323=1,K323,0)</x:f>
        <x:v>0</x:v>
      </x:c>
      <x:c r="K323" t="n">
        <x:f>D323+K322</x:f>
        <x:v>6</x:v>
      </x:c>
    </x:row>
    <x:row r="324">
      <x:c r="A324" t="str">
        <x:v>Order</x:v>
      </x:c>
      <x:c r="B324" t="n">
        <x:f>'04_checks'!B48</x:f>
        <x:v>1047</x:v>
      </x:c>
      <x:c r="C324" t="n">
        <x:v>48</x:v>
      </x:c>
      <x:c r="D324" t="n">
        <x:f>IF('04_checks'!C48="ERROR",1,0)</x:f>
        <x:v>0</x:v>
      </x:c>
      <x:c r="E324" t="str">
        <x:v>Order:48:1</x:v>
      </x:c>
      <x:c r="F324" t="str">
        <x:v>Дубль</x:v>
      </x:c>
      <x:c r="G324" t="str">
        <x:v>High</x:v>
      </x:c>
      <x:c r="H324" t="str">
        <x:v>order_id</x:v>
      </x:c>
      <x:c r="I324" t="str">
        <x:v>Проверить уникальность ID в источнике; не удалять записи автоматически</x:v>
      </x:c>
      <x:c r="J324" t="n">
        <x:f>IF(D324=1,K324,0)</x:f>
        <x:v>0</x:v>
      </x:c>
      <x:c r="K324" t="n">
        <x:f>D324+K323</x:f>
        <x:v>6</x:v>
      </x:c>
    </x:row>
    <x:row r="325">
      <x:c r="A325" t="str">
        <x:v>Order</x:v>
      </x:c>
      <x:c r="B325" t="n">
        <x:f>'04_checks'!B48</x:f>
        <x:v>1047</x:v>
      </x:c>
      <x:c r="C325" t="n">
        <x:v>48</x:v>
      </x:c>
      <x:c r="D325" t="n">
        <x:f>IF('04_checks'!D48="ERROR",1,0)</x:f>
        <x:v>0</x:v>
      </x:c>
      <x:c r="E325" t="str">
        <x:v>Order:48:2</x:v>
      </x:c>
      <x:c r="F325" t="str">
        <x:v>Пустое поле</x:v>
      </x:c>
      <x:c r="G325" t="str">
        <x:v>High</x:v>
      </x:c>
      <x:c r="H325" t="str">
        <x:v>required_fields</x:v>
      </x:c>
      <x:c r="I325" t="str">
        <x:v>Дополнить обязательные поля в источнике</x:v>
      </x:c>
      <x:c r="J325" t="n">
        <x:f>IF(D325=1,K325,0)</x:f>
        <x:v>0</x:v>
      </x:c>
      <x:c r="K325" t="n">
        <x:f>D325+K324</x:f>
        <x:v>6</x:v>
      </x:c>
    </x:row>
    <x:row r="326">
      <x:c r="A326" t="str">
        <x:v>Order</x:v>
      </x:c>
      <x:c r="B326" t="n">
        <x:f>'04_checks'!B48</x:f>
        <x:v>1047</x:v>
      </x:c>
      <x:c r="C326" t="n">
        <x:v>48</x:v>
      </x:c>
      <x:c r="D326" t="n">
        <x:f>IF('04_checks'!E48="ERROR",1,0)</x:f>
        <x:v>0</x:v>
      </x:c>
      <x:c r="E326" t="str">
        <x:v>Order:48:3</x:v>
      </x:c>
      <x:c r="F326" t="str">
        <x:f>IF(COUNTIF('02_clients_raw'!$A$2:$A$67,'01_orders_raw'!C48)&gt;1,"Неоднозначная связь","Нет связи")</x:f>
        <x:v>Нет связи</x:v>
      </x:c>
      <x:c r="G326" t="str">
        <x:v>High</x:v>
      </x:c>
      <x:c r="H326" t="str">
        <x:v>client_id</x:v>
      </x:c>
      <x:c r="I326" t="str">
        <x:v>Исправить ссылку или разрешить дубли связанного ID</x:v>
      </x:c>
      <x:c r="J326" t="n">
        <x:f>IF(D326=1,K326,0)</x:f>
        <x:v>0</x:v>
      </x:c>
      <x:c r="K326" t="n">
        <x:f>D326+K325</x:f>
        <x:v>6</x:v>
      </x:c>
    </x:row>
    <x:row r="327">
      <x:c r="A327" t="str">
        <x:v>Order</x:v>
      </x:c>
      <x:c r="B327" t="n">
        <x:f>'04_checks'!B48</x:f>
        <x:v>1047</x:v>
      </x:c>
      <x:c r="C327" t="n">
        <x:v>48</x:v>
      </x:c>
      <x:c r="D327" t="n">
        <x:f>IF('04_checks'!F48="ERROR",1,0)</x:f>
        <x:v>0</x:v>
      </x:c>
      <x:c r="E327" t="str">
        <x:v>Order:48:4</x:v>
      </x:c>
      <x:c r="F327" t="str">
        <x:v>Ошибка расчета</x:v>
      </x:c>
      <x:c r="G327" t="str">
        <x:v>High</x:v>
      </x:c>
      <x:c r="H327" t="str">
        <x:v>quantity/price/order_sum</x:v>
      </x:c>
      <x:c r="I327" t="str">
        <x:v>Сверить исходные значения и правило расчёта</x:v>
      </x:c>
      <x:c r="J327" t="n">
        <x:f>IF(D327=1,K327,0)</x:f>
        <x:v>0</x:v>
      </x:c>
      <x:c r="K327" t="n">
        <x:f>D327+K326</x:f>
        <x:v>6</x:v>
      </x:c>
    </x:row>
    <x:row r="328">
      <x:c r="A328" t="str">
        <x:v>Order</x:v>
      </x:c>
      <x:c r="B328" t="n">
        <x:f>'04_checks'!B48</x:f>
        <x:v>1047</x:v>
      </x:c>
      <x:c r="C328" t="n">
        <x:v>48</x:v>
      </x:c>
      <x:c r="D328" t="n">
        <x:f>IF('04_checks'!G48="ERROR",1,0)</x:f>
        <x:v>0</x:v>
      </x:c>
      <x:c r="E328" t="str">
        <x:v>Order:48:5</x:v>
      </x:c>
      <x:c r="F328" t="str">
        <x:v>Отрицательная цена</x:v>
      </x:c>
      <x:c r="G328" t="str">
        <x:v>High</x:v>
      </x:c>
      <x:c r="H328" t="str">
        <x:v>price</x:v>
      </x:c>
      <x:c r="I328" t="str">
        <x:v>Проверить цену в источнике</x:v>
      </x:c>
      <x:c r="J328" t="n">
        <x:f>IF(D328=1,K328,0)</x:f>
        <x:v>0</x:v>
      </x:c>
      <x:c r="K328" t="n">
        <x:f>D328+K327</x:f>
        <x:v>6</x:v>
      </x:c>
    </x:row>
    <x:row r="329">
      <x:c r="A329" t="str">
        <x:v>Order</x:v>
      </x:c>
      <x:c r="B329" t="n">
        <x:f>'04_checks'!B48</x:f>
        <x:v>1047</x:v>
      </x:c>
      <x:c r="C329" t="n">
        <x:v>48</x:v>
      </x:c>
      <x:c r="D329" t="n">
        <x:f>IF('04_checks'!H48="ERROR",1,0)</x:f>
        <x:v>0</x:v>
      </x:c>
      <x:c r="E329" t="str">
        <x:v>Order:48:6</x:v>
      </x:c>
      <x:c r="F329" t="str">
        <x:v>Дата</x:v>
      </x:c>
      <x:c r="G329" t="str">
        <x:v>Medium</x:v>
      </x:c>
      <x:c r="H329" t="str">
        <x:v>order_date</x:v>
      </x:c>
      <x:c r="I329" t="str">
        <x:v>Сверить дату со срезом и исходной записью</x:v>
      </x:c>
      <x:c r="J329" t="n">
        <x:f>IF(D329=1,K329,0)</x:f>
        <x:v>0</x:v>
      </x:c>
      <x:c r="K329" t="n">
        <x:f>D329+K328</x:f>
        <x:v>6</x:v>
      </x:c>
    </x:row>
    <x:row r="330">
      <x:c r="A330" t="str">
        <x:v>Order</x:v>
      </x:c>
      <x:c r="B330" t="n">
        <x:f>'04_checks'!B48</x:f>
        <x:v>1047</x:v>
      </x:c>
      <x:c r="C330" t="n">
        <x:v>48</x:v>
      </x:c>
      <x:c r="D330" t="n">
        <x:f>IF('04_checks'!I48="ERROR",1,0)</x:f>
        <x:v>0</x:v>
      </x:c>
      <x:c r="E330" t="str">
        <x:v>Order:48:7</x:v>
      </x:c>
      <x:c r="F330" t="str">
        <x:v>Статус</x:v>
      </x:c>
      <x:c r="G330" t="str">
        <x:v>Medium</x:v>
      </x:c>
      <x:c r="H330" t="str">
        <x:v>status</x:v>
      </x:c>
      <x:c r="I330" t="str">
        <x:v>Выбрать допустимый статус</x:v>
      </x:c>
      <x:c r="J330" t="n">
        <x:f>IF(D330=1,K330,0)</x:f>
        <x:v>0</x:v>
      </x:c>
      <x:c r="K330" t="n">
        <x:f>D330+K329</x:f>
        <x:v>6</x:v>
      </x:c>
    </x:row>
    <x:row r="331">
      <x:c r="A331" t="str">
        <x:v>Order</x:v>
      </x:c>
      <x:c r="B331" t="n">
        <x:f>'04_checks'!B49</x:f>
        <x:v>1048</x:v>
      </x:c>
      <x:c r="C331" t="n">
        <x:v>49</x:v>
      </x:c>
      <x:c r="D331" t="n">
        <x:f>IF('04_checks'!C49="ERROR",1,0)</x:f>
        <x:v>0</x:v>
      </x:c>
      <x:c r="E331" t="str">
        <x:v>Order:49:1</x:v>
      </x:c>
      <x:c r="F331" t="str">
        <x:v>Дубль</x:v>
      </x:c>
      <x:c r="G331" t="str">
        <x:v>High</x:v>
      </x:c>
      <x:c r="H331" t="str">
        <x:v>order_id</x:v>
      </x:c>
      <x:c r="I331" t="str">
        <x:v>Проверить уникальность ID в источнике; не удалять записи автоматически</x:v>
      </x:c>
      <x:c r="J331" t="n">
        <x:f>IF(D331=1,K331,0)</x:f>
        <x:v>0</x:v>
      </x:c>
      <x:c r="K331" t="n">
        <x:f>D331+K330</x:f>
        <x:v>6</x:v>
      </x:c>
    </x:row>
    <x:row r="332">
      <x:c r="A332" t="str">
        <x:v>Order</x:v>
      </x:c>
      <x:c r="B332" t="n">
        <x:f>'04_checks'!B49</x:f>
        <x:v>1048</x:v>
      </x:c>
      <x:c r="C332" t="n">
        <x:v>49</x:v>
      </x:c>
      <x:c r="D332" t="n">
        <x:f>IF('04_checks'!D49="ERROR",1,0)</x:f>
        <x:v>0</x:v>
      </x:c>
      <x:c r="E332" t="str">
        <x:v>Order:49:2</x:v>
      </x:c>
      <x:c r="F332" t="str">
        <x:v>Пустое поле</x:v>
      </x:c>
      <x:c r="G332" t="str">
        <x:v>High</x:v>
      </x:c>
      <x:c r="H332" t="str">
        <x:v>required_fields</x:v>
      </x:c>
      <x:c r="I332" t="str">
        <x:v>Дополнить обязательные поля в источнике</x:v>
      </x:c>
      <x:c r="J332" t="n">
        <x:f>IF(D332=1,K332,0)</x:f>
        <x:v>0</x:v>
      </x:c>
      <x:c r="K332" t="n">
        <x:f>D332+K331</x:f>
        <x:v>6</x:v>
      </x:c>
    </x:row>
    <x:row r="333">
      <x:c r="A333" t="str">
        <x:v>Order</x:v>
      </x:c>
      <x:c r="B333" t="n">
        <x:f>'04_checks'!B49</x:f>
        <x:v>1048</x:v>
      </x:c>
      <x:c r="C333" t="n">
        <x:v>49</x:v>
      </x:c>
      <x:c r="D333" t="n">
        <x:f>IF('04_checks'!E49="ERROR",1,0)</x:f>
        <x:v>0</x:v>
      </x:c>
      <x:c r="E333" t="str">
        <x:v>Order:49:3</x:v>
      </x:c>
      <x:c r="F333" t="str">
        <x:f>IF(COUNTIF('02_clients_raw'!$A$2:$A$67,'01_orders_raw'!C49)&gt;1,"Неоднозначная связь","Нет связи")</x:f>
        <x:v>Нет связи</x:v>
      </x:c>
      <x:c r="G333" t="str">
        <x:v>High</x:v>
      </x:c>
      <x:c r="H333" t="str">
        <x:v>client_id</x:v>
      </x:c>
      <x:c r="I333" t="str">
        <x:v>Исправить ссылку или разрешить дубли связанного ID</x:v>
      </x:c>
      <x:c r="J333" t="n">
        <x:f>IF(D333=1,K333,0)</x:f>
        <x:v>0</x:v>
      </x:c>
      <x:c r="K333" t="n">
        <x:f>D333+K332</x:f>
        <x:v>6</x:v>
      </x:c>
    </x:row>
    <x:row r="334">
      <x:c r="A334" t="str">
        <x:v>Order</x:v>
      </x:c>
      <x:c r="B334" t="n">
        <x:f>'04_checks'!B49</x:f>
        <x:v>1048</x:v>
      </x:c>
      <x:c r="C334" t="n">
        <x:v>49</x:v>
      </x:c>
      <x:c r="D334" t="n">
        <x:f>IF('04_checks'!F49="ERROR",1,0)</x:f>
        <x:v>0</x:v>
      </x:c>
      <x:c r="E334" t="str">
        <x:v>Order:49:4</x:v>
      </x:c>
      <x:c r="F334" t="str">
        <x:v>Ошибка расчета</x:v>
      </x:c>
      <x:c r="G334" t="str">
        <x:v>High</x:v>
      </x:c>
      <x:c r="H334" t="str">
        <x:v>quantity/price/order_sum</x:v>
      </x:c>
      <x:c r="I334" t="str">
        <x:v>Сверить исходные значения и правило расчёта</x:v>
      </x:c>
      <x:c r="J334" t="n">
        <x:f>IF(D334=1,K334,0)</x:f>
        <x:v>0</x:v>
      </x:c>
      <x:c r="K334" t="n">
        <x:f>D334+K333</x:f>
        <x:v>6</x:v>
      </x:c>
    </x:row>
    <x:row r="335">
      <x:c r="A335" t="str">
        <x:v>Order</x:v>
      </x:c>
      <x:c r="B335" t="n">
        <x:f>'04_checks'!B49</x:f>
        <x:v>1048</x:v>
      </x:c>
      <x:c r="C335" t="n">
        <x:v>49</x:v>
      </x:c>
      <x:c r="D335" t="n">
        <x:f>IF('04_checks'!G49="ERROR",1,0)</x:f>
        <x:v>0</x:v>
      </x:c>
      <x:c r="E335" t="str">
        <x:v>Order:49:5</x:v>
      </x:c>
      <x:c r="F335" t="str">
        <x:v>Отрицательная цена</x:v>
      </x:c>
      <x:c r="G335" t="str">
        <x:v>High</x:v>
      </x:c>
      <x:c r="H335" t="str">
        <x:v>price</x:v>
      </x:c>
      <x:c r="I335" t="str">
        <x:v>Проверить цену в источнике</x:v>
      </x:c>
      <x:c r="J335" t="n">
        <x:f>IF(D335=1,K335,0)</x:f>
        <x:v>0</x:v>
      </x:c>
      <x:c r="K335" t="n">
        <x:f>D335+K334</x:f>
        <x:v>6</x:v>
      </x:c>
    </x:row>
    <x:row r="336">
      <x:c r="A336" t="str">
        <x:v>Order</x:v>
      </x:c>
      <x:c r="B336" t="n">
        <x:f>'04_checks'!B49</x:f>
        <x:v>1048</x:v>
      </x:c>
      <x:c r="C336" t="n">
        <x:v>49</x:v>
      </x:c>
      <x:c r="D336" t="n">
        <x:f>IF('04_checks'!H49="ERROR",1,0)</x:f>
        <x:v>0</x:v>
      </x:c>
      <x:c r="E336" t="str">
        <x:v>Order:49:6</x:v>
      </x:c>
      <x:c r="F336" t="str">
        <x:v>Дата</x:v>
      </x:c>
      <x:c r="G336" t="str">
        <x:v>Medium</x:v>
      </x:c>
      <x:c r="H336" t="str">
        <x:v>order_date</x:v>
      </x:c>
      <x:c r="I336" t="str">
        <x:v>Сверить дату со срезом и исходной записью</x:v>
      </x:c>
      <x:c r="J336" t="n">
        <x:f>IF(D336=1,K336,0)</x:f>
        <x:v>0</x:v>
      </x:c>
      <x:c r="K336" t="n">
        <x:f>D336+K335</x:f>
        <x:v>6</x:v>
      </x:c>
    </x:row>
    <x:row r="337">
      <x:c r="A337" t="str">
        <x:v>Order</x:v>
      </x:c>
      <x:c r="B337" t="n">
        <x:f>'04_checks'!B49</x:f>
        <x:v>1048</x:v>
      </x:c>
      <x:c r="C337" t="n">
        <x:v>49</x:v>
      </x:c>
      <x:c r="D337" t="n">
        <x:f>IF('04_checks'!I49="ERROR",1,0)</x:f>
        <x:v>0</x:v>
      </x:c>
      <x:c r="E337" t="str">
        <x:v>Order:49:7</x:v>
      </x:c>
      <x:c r="F337" t="str">
        <x:v>Статус</x:v>
      </x:c>
      <x:c r="G337" t="str">
        <x:v>Medium</x:v>
      </x:c>
      <x:c r="H337" t="str">
        <x:v>status</x:v>
      </x:c>
      <x:c r="I337" t="str">
        <x:v>Выбрать допустимый статус</x:v>
      </x:c>
      <x:c r="J337" t="n">
        <x:f>IF(D337=1,K337,0)</x:f>
        <x:v>0</x:v>
      </x:c>
      <x:c r="K337" t="n">
        <x:f>D337+K336</x:f>
        <x:v>6</x:v>
      </x:c>
    </x:row>
    <x:row r="338">
      <x:c r="A338" t="str">
        <x:v>Order</x:v>
      </x:c>
      <x:c r="B338" t="n">
        <x:f>'04_checks'!B50</x:f>
        <x:v>1049</x:v>
      </x:c>
      <x:c r="C338" t="n">
        <x:v>50</x:v>
      </x:c>
      <x:c r="D338" t="n">
        <x:f>IF('04_checks'!C50="ERROR",1,0)</x:f>
        <x:v>0</x:v>
      </x:c>
      <x:c r="E338" t="str">
        <x:v>Order:50:1</x:v>
      </x:c>
      <x:c r="F338" t="str">
        <x:v>Дубль</x:v>
      </x:c>
      <x:c r="G338" t="str">
        <x:v>High</x:v>
      </x:c>
      <x:c r="H338" t="str">
        <x:v>order_id</x:v>
      </x:c>
      <x:c r="I338" t="str">
        <x:v>Проверить уникальность ID в источнике; не удалять записи автоматически</x:v>
      </x:c>
      <x:c r="J338" t="n">
        <x:f>IF(D338=1,K338,0)</x:f>
        <x:v>0</x:v>
      </x:c>
      <x:c r="K338" t="n">
        <x:f>D338+K337</x:f>
        <x:v>6</x:v>
      </x:c>
    </x:row>
    <x:row r="339">
      <x:c r="A339" t="str">
        <x:v>Order</x:v>
      </x:c>
      <x:c r="B339" t="n">
        <x:f>'04_checks'!B50</x:f>
        <x:v>1049</x:v>
      </x:c>
      <x:c r="C339" t="n">
        <x:v>50</x:v>
      </x:c>
      <x:c r="D339" t="n">
        <x:f>IF('04_checks'!D50="ERROR",1,0)</x:f>
        <x:v>0</x:v>
      </x:c>
      <x:c r="E339" t="str">
        <x:v>Order:50:2</x:v>
      </x:c>
      <x:c r="F339" t="str">
        <x:v>Пустое поле</x:v>
      </x:c>
      <x:c r="G339" t="str">
        <x:v>High</x:v>
      </x:c>
      <x:c r="H339" t="str">
        <x:v>required_fields</x:v>
      </x:c>
      <x:c r="I339" t="str">
        <x:v>Дополнить обязательные поля в источнике</x:v>
      </x:c>
      <x:c r="J339" t="n">
        <x:f>IF(D339=1,K339,0)</x:f>
        <x:v>0</x:v>
      </x:c>
      <x:c r="K339" t="n">
        <x:f>D339+K338</x:f>
        <x:v>6</x:v>
      </x:c>
    </x:row>
    <x:row r="340">
      <x:c r="A340" t="str">
        <x:v>Order</x:v>
      </x:c>
      <x:c r="B340" t="n">
        <x:f>'04_checks'!B50</x:f>
        <x:v>1049</x:v>
      </x:c>
      <x:c r="C340" t="n">
        <x:v>50</x:v>
      </x:c>
      <x:c r="D340" t="n">
        <x:f>IF('04_checks'!E50="ERROR",1,0)</x:f>
        <x:v>0</x:v>
      </x:c>
      <x:c r="E340" t="str">
        <x:v>Order:50:3</x:v>
      </x:c>
      <x:c r="F340" t="str">
        <x:f>IF(COUNTIF('02_clients_raw'!$A$2:$A$67,'01_orders_raw'!C50)&gt;1,"Неоднозначная связь","Нет связи")</x:f>
        <x:v>Нет связи</x:v>
      </x:c>
      <x:c r="G340" t="str">
        <x:v>High</x:v>
      </x:c>
      <x:c r="H340" t="str">
        <x:v>client_id</x:v>
      </x:c>
      <x:c r="I340" t="str">
        <x:v>Исправить ссылку или разрешить дубли связанного ID</x:v>
      </x:c>
      <x:c r="J340" t="n">
        <x:f>IF(D340=1,K340,0)</x:f>
        <x:v>0</x:v>
      </x:c>
      <x:c r="K340" t="n">
        <x:f>D340+K339</x:f>
        <x:v>6</x:v>
      </x:c>
    </x:row>
    <x:row r="341">
      <x:c r="A341" t="str">
        <x:v>Order</x:v>
      </x:c>
      <x:c r="B341" t="n">
        <x:f>'04_checks'!B50</x:f>
        <x:v>1049</x:v>
      </x:c>
      <x:c r="C341" t="n">
        <x:v>50</x:v>
      </x:c>
      <x:c r="D341" t="n">
        <x:f>IF('04_checks'!F50="ERROR",1,0)</x:f>
        <x:v>0</x:v>
      </x:c>
      <x:c r="E341" t="str">
        <x:v>Order:50:4</x:v>
      </x:c>
      <x:c r="F341" t="str">
        <x:v>Ошибка расчета</x:v>
      </x:c>
      <x:c r="G341" t="str">
        <x:v>High</x:v>
      </x:c>
      <x:c r="H341" t="str">
        <x:v>quantity/price/order_sum</x:v>
      </x:c>
      <x:c r="I341" t="str">
        <x:v>Сверить исходные значения и правило расчёта</x:v>
      </x:c>
      <x:c r="J341" t="n">
        <x:f>IF(D341=1,K341,0)</x:f>
        <x:v>0</x:v>
      </x:c>
      <x:c r="K341" t="n">
        <x:f>D341+K340</x:f>
        <x:v>6</x:v>
      </x:c>
    </x:row>
    <x:row r="342">
      <x:c r="A342" t="str">
        <x:v>Order</x:v>
      </x:c>
      <x:c r="B342" t="n">
        <x:f>'04_checks'!B50</x:f>
        <x:v>1049</x:v>
      </x:c>
      <x:c r="C342" t="n">
        <x:v>50</x:v>
      </x:c>
      <x:c r="D342" t="n">
        <x:f>IF('04_checks'!G50="ERROR",1,0)</x:f>
        <x:v>0</x:v>
      </x:c>
      <x:c r="E342" t="str">
        <x:v>Order:50:5</x:v>
      </x:c>
      <x:c r="F342" t="str">
        <x:v>Отрицательная цена</x:v>
      </x:c>
      <x:c r="G342" t="str">
        <x:v>High</x:v>
      </x:c>
      <x:c r="H342" t="str">
        <x:v>price</x:v>
      </x:c>
      <x:c r="I342" t="str">
        <x:v>Проверить цену в источнике</x:v>
      </x:c>
      <x:c r="J342" t="n">
        <x:f>IF(D342=1,K342,0)</x:f>
        <x:v>0</x:v>
      </x:c>
      <x:c r="K342" t="n">
        <x:f>D342+K341</x:f>
        <x:v>6</x:v>
      </x:c>
    </x:row>
    <x:row r="343">
      <x:c r="A343" t="str">
        <x:v>Order</x:v>
      </x:c>
      <x:c r="B343" t="n">
        <x:f>'04_checks'!B50</x:f>
        <x:v>1049</x:v>
      </x:c>
      <x:c r="C343" t="n">
        <x:v>50</x:v>
      </x:c>
      <x:c r="D343" t="n">
        <x:f>IF('04_checks'!H50="ERROR",1,0)</x:f>
        <x:v>0</x:v>
      </x:c>
      <x:c r="E343" t="str">
        <x:v>Order:50:6</x:v>
      </x:c>
      <x:c r="F343" t="str">
        <x:v>Дата</x:v>
      </x:c>
      <x:c r="G343" t="str">
        <x:v>Medium</x:v>
      </x:c>
      <x:c r="H343" t="str">
        <x:v>order_date</x:v>
      </x:c>
      <x:c r="I343" t="str">
        <x:v>Сверить дату со срезом и исходной записью</x:v>
      </x:c>
      <x:c r="J343" t="n">
        <x:f>IF(D343=1,K343,0)</x:f>
        <x:v>0</x:v>
      </x:c>
      <x:c r="K343" t="n">
        <x:f>D343+K342</x:f>
        <x:v>6</x:v>
      </x:c>
    </x:row>
    <x:row r="344">
      <x:c r="A344" t="str">
        <x:v>Order</x:v>
      </x:c>
      <x:c r="B344" t="n">
        <x:f>'04_checks'!B50</x:f>
        <x:v>1049</x:v>
      </x:c>
      <x:c r="C344" t="n">
        <x:v>50</x:v>
      </x:c>
      <x:c r="D344" t="n">
        <x:f>IF('04_checks'!I50="ERROR",1,0)</x:f>
        <x:v>0</x:v>
      </x:c>
      <x:c r="E344" t="str">
        <x:v>Order:50:7</x:v>
      </x:c>
      <x:c r="F344" t="str">
        <x:v>Статус</x:v>
      </x:c>
      <x:c r="G344" t="str">
        <x:v>Medium</x:v>
      </x:c>
      <x:c r="H344" t="str">
        <x:v>status</x:v>
      </x:c>
      <x:c r="I344" t="str">
        <x:v>Выбрать допустимый статус</x:v>
      </x:c>
      <x:c r="J344" t="n">
        <x:f>IF(D344=1,K344,0)</x:f>
        <x:v>0</x:v>
      </x:c>
      <x:c r="K344" t="n">
        <x:f>D344+K343</x:f>
        <x:v>6</x:v>
      </x:c>
    </x:row>
    <x:row r="345">
      <x:c r="A345" t="str">
        <x:v>Order</x:v>
      </x:c>
      <x:c r="B345" t="n">
        <x:f>'04_checks'!B51</x:f>
        <x:v>1050</x:v>
      </x:c>
      <x:c r="C345" t="n">
        <x:v>51</x:v>
      </x:c>
      <x:c r="D345" t="n">
        <x:f>IF('04_checks'!C51="ERROR",1,0)</x:f>
        <x:v>0</x:v>
      </x:c>
      <x:c r="E345" t="str">
        <x:v>Order:51:1</x:v>
      </x:c>
      <x:c r="F345" t="str">
        <x:v>Дубль</x:v>
      </x:c>
      <x:c r="G345" t="str">
        <x:v>High</x:v>
      </x:c>
      <x:c r="H345" t="str">
        <x:v>order_id</x:v>
      </x:c>
      <x:c r="I345" t="str">
        <x:v>Проверить уникальность ID в источнике; не удалять записи автоматически</x:v>
      </x:c>
      <x:c r="J345" t="n">
        <x:f>IF(D345=1,K345,0)</x:f>
        <x:v>0</x:v>
      </x:c>
      <x:c r="K345" t="n">
        <x:f>D345+K344</x:f>
        <x:v>6</x:v>
      </x:c>
    </x:row>
    <x:row r="346">
      <x:c r="A346" t="str">
        <x:v>Order</x:v>
      </x:c>
      <x:c r="B346" t="n">
        <x:f>'04_checks'!B51</x:f>
        <x:v>1050</x:v>
      </x:c>
      <x:c r="C346" t="n">
        <x:v>51</x:v>
      </x:c>
      <x:c r="D346" t="n">
        <x:f>IF('04_checks'!D51="ERROR",1,0)</x:f>
        <x:v>0</x:v>
      </x:c>
      <x:c r="E346" t="str">
        <x:v>Order:51:2</x:v>
      </x:c>
      <x:c r="F346" t="str">
        <x:v>Пустое поле</x:v>
      </x:c>
      <x:c r="G346" t="str">
        <x:v>High</x:v>
      </x:c>
      <x:c r="H346" t="str">
        <x:v>required_fields</x:v>
      </x:c>
      <x:c r="I346" t="str">
        <x:v>Дополнить обязательные поля в источнике</x:v>
      </x:c>
      <x:c r="J346" t="n">
        <x:f>IF(D346=1,K346,0)</x:f>
        <x:v>0</x:v>
      </x:c>
      <x:c r="K346" t="n">
        <x:f>D346+K345</x:f>
        <x:v>6</x:v>
      </x:c>
    </x:row>
    <x:row r="347">
      <x:c r="A347" t="str">
        <x:v>Order</x:v>
      </x:c>
      <x:c r="B347" t="n">
        <x:f>'04_checks'!B51</x:f>
        <x:v>1050</x:v>
      </x:c>
      <x:c r="C347" t="n">
        <x:v>51</x:v>
      </x:c>
      <x:c r="D347" t="n">
        <x:f>IF('04_checks'!E51="ERROR",1,0)</x:f>
        <x:v>0</x:v>
      </x:c>
      <x:c r="E347" t="str">
        <x:v>Order:51:3</x:v>
      </x:c>
      <x:c r="F347" t="str">
        <x:f>IF(COUNTIF('02_clients_raw'!$A$2:$A$67,'01_orders_raw'!C51)&gt;1,"Неоднозначная связь","Нет связи")</x:f>
        <x:v>Нет связи</x:v>
      </x:c>
      <x:c r="G347" t="str">
        <x:v>High</x:v>
      </x:c>
      <x:c r="H347" t="str">
        <x:v>client_id</x:v>
      </x:c>
      <x:c r="I347" t="str">
        <x:v>Исправить ссылку или разрешить дубли связанного ID</x:v>
      </x:c>
      <x:c r="J347" t="n">
        <x:f>IF(D347=1,K347,0)</x:f>
        <x:v>0</x:v>
      </x:c>
      <x:c r="K347" t="n">
        <x:f>D347+K346</x:f>
        <x:v>6</x:v>
      </x:c>
    </x:row>
    <x:row r="348">
      <x:c r="A348" t="str">
        <x:v>Order</x:v>
      </x:c>
      <x:c r="B348" t="n">
        <x:f>'04_checks'!B51</x:f>
        <x:v>1050</x:v>
      </x:c>
      <x:c r="C348" t="n">
        <x:v>51</x:v>
      </x:c>
      <x:c r="D348" t="n">
        <x:f>IF('04_checks'!F51="ERROR",1,0)</x:f>
        <x:v>0</x:v>
      </x:c>
      <x:c r="E348" t="str">
        <x:v>Order:51:4</x:v>
      </x:c>
      <x:c r="F348" t="str">
        <x:v>Ошибка расчета</x:v>
      </x:c>
      <x:c r="G348" t="str">
        <x:v>High</x:v>
      </x:c>
      <x:c r="H348" t="str">
        <x:v>quantity/price/order_sum</x:v>
      </x:c>
      <x:c r="I348" t="str">
        <x:v>Сверить исходные значения и правило расчёта</x:v>
      </x:c>
      <x:c r="J348" t="n">
        <x:f>IF(D348=1,K348,0)</x:f>
        <x:v>0</x:v>
      </x:c>
      <x:c r="K348" t="n">
        <x:f>D348+K347</x:f>
        <x:v>6</x:v>
      </x:c>
    </x:row>
    <x:row r="349">
      <x:c r="A349" t="str">
        <x:v>Order</x:v>
      </x:c>
      <x:c r="B349" t="n">
        <x:f>'04_checks'!B51</x:f>
        <x:v>1050</x:v>
      </x:c>
      <x:c r="C349" t="n">
        <x:v>51</x:v>
      </x:c>
      <x:c r="D349" t="n">
        <x:f>IF('04_checks'!G51="ERROR",1,0)</x:f>
        <x:v>0</x:v>
      </x:c>
      <x:c r="E349" t="str">
        <x:v>Order:51:5</x:v>
      </x:c>
      <x:c r="F349" t="str">
        <x:v>Отрицательная цена</x:v>
      </x:c>
      <x:c r="G349" t="str">
        <x:v>High</x:v>
      </x:c>
      <x:c r="H349" t="str">
        <x:v>price</x:v>
      </x:c>
      <x:c r="I349" t="str">
        <x:v>Проверить цену в источнике</x:v>
      </x:c>
      <x:c r="J349" t="n">
        <x:f>IF(D349=1,K349,0)</x:f>
        <x:v>0</x:v>
      </x:c>
      <x:c r="K349" t="n">
        <x:f>D349+K348</x:f>
        <x:v>6</x:v>
      </x:c>
    </x:row>
    <x:row r="350">
      <x:c r="A350" t="str">
        <x:v>Order</x:v>
      </x:c>
      <x:c r="B350" t="n">
        <x:f>'04_checks'!B51</x:f>
        <x:v>1050</x:v>
      </x:c>
      <x:c r="C350" t="n">
        <x:v>51</x:v>
      </x:c>
      <x:c r="D350" t="n">
        <x:f>IF('04_checks'!H51="ERROR",1,0)</x:f>
        <x:v>0</x:v>
      </x:c>
      <x:c r="E350" t="str">
        <x:v>Order:51:6</x:v>
      </x:c>
      <x:c r="F350" t="str">
        <x:v>Дата</x:v>
      </x:c>
      <x:c r="G350" t="str">
        <x:v>Medium</x:v>
      </x:c>
      <x:c r="H350" t="str">
        <x:v>order_date</x:v>
      </x:c>
      <x:c r="I350" t="str">
        <x:v>Сверить дату со срезом и исходной записью</x:v>
      </x:c>
      <x:c r="J350" t="n">
        <x:f>IF(D350=1,K350,0)</x:f>
        <x:v>0</x:v>
      </x:c>
      <x:c r="K350" t="n">
        <x:f>D350+K349</x:f>
        <x:v>6</x:v>
      </x:c>
    </x:row>
    <x:row r="351">
      <x:c r="A351" t="str">
        <x:v>Order</x:v>
      </x:c>
      <x:c r="B351" t="n">
        <x:f>'04_checks'!B51</x:f>
        <x:v>1050</x:v>
      </x:c>
      <x:c r="C351" t="n">
        <x:v>51</x:v>
      </x:c>
      <x:c r="D351" t="n">
        <x:f>IF('04_checks'!I51="ERROR",1,0)</x:f>
        <x:v>0</x:v>
      </x:c>
      <x:c r="E351" t="str">
        <x:v>Order:51:7</x:v>
      </x:c>
      <x:c r="F351" t="str">
        <x:v>Статус</x:v>
      </x:c>
      <x:c r="G351" t="str">
        <x:v>Medium</x:v>
      </x:c>
      <x:c r="H351" t="str">
        <x:v>status</x:v>
      </x:c>
      <x:c r="I351" t="str">
        <x:v>Выбрать допустимый статус</x:v>
      </x:c>
      <x:c r="J351" t="n">
        <x:f>IF(D351=1,K351,0)</x:f>
        <x:v>0</x:v>
      </x:c>
      <x:c r="K351" t="n">
        <x:f>D351+K350</x:f>
        <x:v>6</x:v>
      </x:c>
    </x:row>
    <x:row r="352">
      <x:c r="A352" t="str">
        <x:v>Order</x:v>
      </x:c>
      <x:c r="B352" t="n">
        <x:f>'04_checks'!B52</x:f>
        <x:v>1051</x:v>
      </x:c>
      <x:c r="C352" t="n">
        <x:v>52</x:v>
      </x:c>
      <x:c r="D352" t="n">
        <x:f>IF('04_checks'!C52="ERROR",1,0)</x:f>
        <x:v>0</x:v>
      </x:c>
      <x:c r="E352" t="str">
        <x:v>Order:52:1</x:v>
      </x:c>
      <x:c r="F352" t="str">
        <x:v>Дубль</x:v>
      </x:c>
      <x:c r="G352" t="str">
        <x:v>High</x:v>
      </x:c>
      <x:c r="H352" t="str">
        <x:v>order_id</x:v>
      </x:c>
      <x:c r="I352" t="str">
        <x:v>Проверить уникальность ID в источнике; не удалять записи автоматически</x:v>
      </x:c>
      <x:c r="J352" t="n">
        <x:f>IF(D352=1,K352,0)</x:f>
        <x:v>0</x:v>
      </x:c>
      <x:c r="K352" t="n">
        <x:f>D352+K351</x:f>
        <x:v>6</x:v>
      </x:c>
    </x:row>
    <x:row r="353">
      <x:c r="A353" t="str">
        <x:v>Order</x:v>
      </x:c>
      <x:c r="B353" t="n">
        <x:f>'04_checks'!B52</x:f>
        <x:v>1051</x:v>
      </x:c>
      <x:c r="C353" t="n">
        <x:v>52</x:v>
      </x:c>
      <x:c r="D353" t="n">
        <x:f>IF('04_checks'!D52="ERROR",1,0)</x:f>
        <x:v>0</x:v>
      </x:c>
      <x:c r="E353" t="str">
        <x:v>Order:52:2</x:v>
      </x:c>
      <x:c r="F353" t="str">
        <x:v>Пустое поле</x:v>
      </x:c>
      <x:c r="G353" t="str">
        <x:v>High</x:v>
      </x:c>
      <x:c r="H353" t="str">
        <x:v>required_fields</x:v>
      </x:c>
      <x:c r="I353" t="str">
        <x:v>Дополнить обязательные поля в источнике</x:v>
      </x:c>
      <x:c r="J353" t="n">
        <x:f>IF(D353=1,K353,0)</x:f>
        <x:v>0</x:v>
      </x:c>
      <x:c r="K353" t="n">
        <x:f>D353+K352</x:f>
        <x:v>6</x:v>
      </x:c>
    </x:row>
    <x:row r="354">
      <x:c r="A354" t="str">
        <x:v>Order</x:v>
      </x:c>
      <x:c r="B354" t="n">
        <x:f>'04_checks'!B52</x:f>
        <x:v>1051</x:v>
      </x:c>
      <x:c r="C354" t="n">
        <x:v>52</x:v>
      </x:c>
      <x:c r="D354" t="n">
        <x:f>IF('04_checks'!E52="ERROR",1,0)</x:f>
        <x:v>0</x:v>
      </x:c>
      <x:c r="E354" t="str">
        <x:v>Order:52:3</x:v>
      </x:c>
      <x:c r="F354" t="str">
        <x:f>IF(COUNTIF('02_clients_raw'!$A$2:$A$67,'01_orders_raw'!C52)&gt;1,"Неоднозначная связь","Нет связи")</x:f>
        <x:v>Нет связи</x:v>
      </x:c>
      <x:c r="G354" t="str">
        <x:v>High</x:v>
      </x:c>
      <x:c r="H354" t="str">
        <x:v>client_id</x:v>
      </x:c>
      <x:c r="I354" t="str">
        <x:v>Исправить ссылку или разрешить дубли связанного ID</x:v>
      </x:c>
      <x:c r="J354" t="n">
        <x:f>IF(D354=1,K354,0)</x:f>
        <x:v>0</x:v>
      </x:c>
      <x:c r="K354" t="n">
        <x:f>D354+K353</x:f>
        <x:v>6</x:v>
      </x:c>
    </x:row>
    <x:row r="355">
      <x:c r="A355" t="str">
        <x:v>Order</x:v>
      </x:c>
      <x:c r="B355" t="n">
        <x:f>'04_checks'!B52</x:f>
        <x:v>1051</x:v>
      </x:c>
      <x:c r="C355" t="n">
        <x:v>52</x:v>
      </x:c>
      <x:c r="D355" t="n">
        <x:f>IF('04_checks'!F52="ERROR",1,0)</x:f>
        <x:v>0</x:v>
      </x:c>
      <x:c r="E355" t="str">
        <x:v>Order:52:4</x:v>
      </x:c>
      <x:c r="F355" t="str">
        <x:v>Ошибка расчета</x:v>
      </x:c>
      <x:c r="G355" t="str">
        <x:v>High</x:v>
      </x:c>
      <x:c r="H355" t="str">
        <x:v>quantity/price/order_sum</x:v>
      </x:c>
      <x:c r="I355" t="str">
        <x:v>Сверить исходные значения и правило расчёта</x:v>
      </x:c>
      <x:c r="J355" t="n">
        <x:f>IF(D355=1,K355,0)</x:f>
        <x:v>0</x:v>
      </x:c>
      <x:c r="K355" t="n">
        <x:f>D355+K354</x:f>
        <x:v>6</x:v>
      </x:c>
    </x:row>
    <x:row r="356">
      <x:c r="A356" t="str">
        <x:v>Order</x:v>
      </x:c>
      <x:c r="B356" t="n">
        <x:f>'04_checks'!B52</x:f>
        <x:v>1051</x:v>
      </x:c>
      <x:c r="C356" t="n">
        <x:v>52</x:v>
      </x:c>
      <x:c r="D356" t="n">
        <x:f>IF('04_checks'!G52="ERROR",1,0)</x:f>
        <x:v>0</x:v>
      </x:c>
      <x:c r="E356" t="str">
        <x:v>Order:52:5</x:v>
      </x:c>
      <x:c r="F356" t="str">
        <x:v>Отрицательная цена</x:v>
      </x:c>
      <x:c r="G356" t="str">
        <x:v>High</x:v>
      </x:c>
      <x:c r="H356" t="str">
        <x:v>price</x:v>
      </x:c>
      <x:c r="I356" t="str">
        <x:v>Проверить цену в источнике</x:v>
      </x:c>
      <x:c r="J356" t="n">
        <x:f>IF(D356=1,K356,0)</x:f>
        <x:v>0</x:v>
      </x:c>
      <x:c r="K356" t="n">
        <x:f>D356+K355</x:f>
        <x:v>6</x:v>
      </x:c>
    </x:row>
    <x:row r="357">
      <x:c r="A357" t="str">
        <x:v>Order</x:v>
      </x:c>
      <x:c r="B357" t="n">
        <x:f>'04_checks'!B52</x:f>
        <x:v>1051</x:v>
      </x:c>
      <x:c r="C357" t="n">
        <x:v>52</x:v>
      </x:c>
      <x:c r="D357" t="n">
        <x:f>IF('04_checks'!H52="ERROR",1,0)</x:f>
        <x:v>0</x:v>
      </x:c>
      <x:c r="E357" t="str">
        <x:v>Order:52:6</x:v>
      </x:c>
      <x:c r="F357" t="str">
        <x:v>Дата</x:v>
      </x:c>
      <x:c r="G357" t="str">
        <x:v>Medium</x:v>
      </x:c>
      <x:c r="H357" t="str">
        <x:v>order_date</x:v>
      </x:c>
      <x:c r="I357" t="str">
        <x:v>Сверить дату со срезом и исходной записью</x:v>
      </x:c>
      <x:c r="J357" t="n">
        <x:f>IF(D357=1,K357,0)</x:f>
        <x:v>0</x:v>
      </x:c>
      <x:c r="K357" t="n">
        <x:f>D357+K356</x:f>
        <x:v>6</x:v>
      </x:c>
    </x:row>
    <x:row r="358">
      <x:c r="A358" t="str">
        <x:v>Order</x:v>
      </x:c>
      <x:c r="B358" t="n">
        <x:f>'04_checks'!B52</x:f>
        <x:v>1051</x:v>
      </x:c>
      <x:c r="C358" t="n">
        <x:v>52</x:v>
      </x:c>
      <x:c r="D358" t="n">
        <x:f>IF('04_checks'!I52="ERROR",1,0)</x:f>
        <x:v>0</x:v>
      </x:c>
      <x:c r="E358" t="str">
        <x:v>Order:52:7</x:v>
      </x:c>
      <x:c r="F358" t="str">
        <x:v>Статус</x:v>
      </x:c>
      <x:c r="G358" t="str">
        <x:v>Medium</x:v>
      </x:c>
      <x:c r="H358" t="str">
        <x:v>status</x:v>
      </x:c>
      <x:c r="I358" t="str">
        <x:v>Выбрать допустимый статус</x:v>
      </x:c>
      <x:c r="J358" t="n">
        <x:f>IF(D358=1,K358,0)</x:f>
        <x:v>0</x:v>
      </x:c>
      <x:c r="K358" t="n">
        <x:f>D358+K357</x:f>
        <x:v>6</x:v>
      </x:c>
    </x:row>
    <x:row r="359">
      <x:c r="A359" t="str">
        <x:v>Order</x:v>
      </x:c>
      <x:c r="B359" t="n">
        <x:f>'04_checks'!B53</x:f>
        <x:v>1052</x:v>
      </x:c>
      <x:c r="C359" t="n">
        <x:v>53</x:v>
      </x:c>
      <x:c r="D359" t="n">
        <x:f>IF('04_checks'!C53="ERROR",1,0)</x:f>
        <x:v>0</x:v>
      </x:c>
      <x:c r="E359" t="str">
        <x:v>Order:53:1</x:v>
      </x:c>
      <x:c r="F359" t="str">
        <x:v>Дубль</x:v>
      </x:c>
      <x:c r="G359" t="str">
        <x:v>High</x:v>
      </x:c>
      <x:c r="H359" t="str">
        <x:v>order_id</x:v>
      </x:c>
      <x:c r="I359" t="str">
        <x:v>Проверить уникальность ID в источнике; не удалять записи автоматически</x:v>
      </x:c>
      <x:c r="J359" t="n">
        <x:f>IF(D359=1,K359,0)</x:f>
        <x:v>0</x:v>
      </x:c>
      <x:c r="K359" t="n">
        <x:f>D359+K358</x:f>
        <x:v>6</x:v>
      </x:c>
    </x:row>
    <x:row r="360">
      <x:c r="A360" t="str">
        <x:v>Order</x:v>
      </x:c>
      <x:c r="B360" t="n">
        <x:f>'04_checks'!B53</x:f>
        <x:v>1052</x:v>
      </x:c>
      <x:c r="C360" t="n">
        <x:v>53</x:v>
      </x:c>
      <x:c r="D360" t="n">
        <x:f>IF('04_checks'!D53="ERROR",1,0)</x:f>
        <x:v>0</x:v>
      </x:c>
      <x:c r="E360" t="str">
        <x:v>Order:53:2</x:v>
      </x:c>
      <x:c r="F360" t="str">
        <x:v>Пустое поле</x:v>
      </x:c>
      <x:c r="G360" t="str">
        <x:v>High</x:v>
      </x:c>
      <x:c r="H360" t="str">
        <x:v>required_fields</x:v>
      </x:c>
      <x:c r="I360" t="str">
        <x:v>Дополнить обязательные поля в источнике</x:v>
      </x:c>
      <x:c r="J360" t="n">
        <x:f>IF(D360=1,K360,0)</x:f>
        <x:v>0</x:v>
      </x:c>
      <x:c r="K360" t="n">
        <x:f>D360+K359</x:f>
        <x:v>6</x:v>
      </x:c>
    </x:row>
    <x:row r="361">
      <x:c r="A361" t="str">
        <x:v>Order</x:v>
      </x:c>
      <x:c r="B361" t="n">
        <x:f>'04_checks'!B53</x:f>
        <x:v>1052</x:v>
      </x:c>
      <x:c r="C361" t="n">
        <x:v>53</x:v>
      </x:c>
      <x:c r="D361" t="n">
        <x:f>IF('04_checks'!E53="ERROR",1,0)</x:f>
        <x:v>0</x:v>
      </x:c>
      <x:c r="E361" t="str">
        <x:v>Order:53:3</x:v>
      </x:c>
      <x:c r="F361" t="str">
        <x:f>IF(COUNTIF('02_clients_raw'!$A$2:$A$67,'01_orders_raw'!C53)&gt;1,"Неоднозначная связь","Нет связи")</x:f>
        <x:v>Нет связи</x:v>
      </x:c>
      <x:c r="G361" t="str">
        <x:v>High</x:v>
      </x:c>
      <x:c r="H361" t="str">
        <x:v>client_id</x:v>
      </x:c>
      <x:c r="I361" t="str">
        <x:v>Исправить ссылку или разрешить дубли связанного ID</x:v>
      </x:c>
      <x:c r="J361" t="n">
        <x:f>IF(D361=1,K361,0)</x:f>
        <x:v>0</x:v>
      </x:c>
      <x:c r="K361" t="n">
        <x:f>D361+K360</x:f>
        <x:v>6</x:v>
      </x:c>
    </x:row>
    <x:row r="362">
      <x:c r="A362" t="str">
        <x:v>Order</x:v>
      </x:c>
      <x:c r="B362" t="n">
        <x:f>'04_checks'!B53</x:f>
        <x:v>1052</x:v>
      </x:c>
      <x:c r="C362" t="n">
        <x:v>53</x:v>
      </x:c>
      <x:c r="D362" t="n">
        <x:f>IF('04_checks'!F53="ERROR",1,0)</x:f>
        <x:v>0</x:v>
      </x:c>
      <x:c r="E362" t="str">
        <x:v>Order:53:4</x:v>
      </x:c>
      <x:c r="F362" t="str">
        <x:v>Ошибка расчета</x:v>
      </x:c>
      <x:c r="G362" t="str">
        <x:v>High</x:v>
      </x:c>
      <x:c r="H362" t="str">
        <x:v>quantity/price/order_sum</x:v>
      </x:c>
      <x:c r="I362" t="str">
        <x:v>Сверить исходные значения и правило расчёта</x:v>
      </x:c>
      <x:c r="J362" t="n">
        <x:f>IF(D362=1,K362,0)</x:f>
        <x:v>0</x:v>
      </x:c>
      <x:c r="K362" t="n">
        <x:f>D362+K361</x:f>
        <x:v>6</x:v>
      </x:c>
    </x:row>
    <x:row r="363">
      <x:c r="A363" t="str">
        <x:v>Order</x:v>
      </x:c>
      <x:c r="B363" t="n">
        <x:f>'04_checks'!B53</x:f>
        <x:v>1052</x:v>
      </x:c>
      <x:c r="C363" t="n">
        <x:v>53</x:v>
      </x:c>
      <x:c r="D363" t="n">
        <x:f>IF('04_checks'!G53="ERROR",1,0)</x:f>
        <x:v>0</x:v>
      </x:c>
      <x:c r="E363" t="str">
        <x:v>Order:53:5</x:v>
      </x:c>
      <x:c r="F363" t="str">
        <x:v>Отрицательная цена</x:v>
      </x:c>
      <x:c r="G363" t="str">
        <x:v>High</x:v>
      </x:c>
      <x:c r="H363" t="str">
        <x:v>price</x:v>
      </x:c>
      <x:c r="I363" t="str">
        <x:v>Проверить цену в источнике</x:v>
      </x:c>
      <x:c r="J363" t="n">
        <x:f>IF(D363=1,K363,0)</x:f>
        <x:v>0</x:v>
      </x:c>
      <x:c r="K363" t="n">
        <x:f>D363+K362</x:f>
        <x:v>6</x:v>
      </x:c>
    </x:row>
    <x:row r="364">
      <x:c r="A364" t="str">
        <x:v>Order</x:v>
      </x:c>
      <x:c r="B364" t="n">
        <x:f>'04_checks'!B53</x:f>
        <x:v>1052</x:v>
      </x:c>
      <x:c r="C364" t="n">
        <x:v>53</x:v>
      </x:c>
      <x:c r="D364" t="n">
        <x:f>IF('04_checks'!H53="ERROR",1,0)</x:f>
        <x:v>0</x:v>
      </x:c>
      <x:c r="E364" t="str">
        <x:v>Order:53:6</x:v>
      </x:c>
      <x:c r="F364" t="str">
        <x:v>Дата</x:v>
      </x:c>
      <x:c r="G364" t="str">
        <x:v>Medium</x:v>
      </x:c>
      <x:c r="H364" t="str">
        <x:v>order_date</x:v>
      </x:c>
      <x:c r="I364" t="str">
        <x:v>Сверить дату со срезом и исходной записью</x:v>
      </x:c>
      <x:c r="J364" t="n">
        <x:f>IF(D364=1,K364,0)</x:f>
        <x:v>0</x:v>
      </x:c>
      <x:c r="K364" t="n">
        <x:f>D364+K363</x:f>
        <x:v>6</x:v>
      </x:c>
    </x:row>
    <x:row r="365">
      <x:c r="A365" t="str">
        <x:v>Order</x:v>
      </x:c>
      <x:c r="B365" t="n">
        <x:f>'04_checks'!B53</x:f>
        <x:v>1052</x:v>
      </x:c>
      <x:c r="C365" t="n">
        <x:v>53</x:v>
      </x:c>
      <x:c r="D365" t="n">
        <x:f>IF('04_checks'!I53="ERROR",1,0)</x:f>
        <x:v>0</x:v>
      </x:c>
      <x:c r="E365" t="str">
        <x:v>Order:53:7</x:v>
      </x:c>
      <x:c r="F365" t="str">
        <x:v>Статус</x:v>
      </x:c>
      <x:c r="G365" t="str">
        <x:v>Medium</x:v>
      </x:c>
      <x:c r="H365" t="str">
        <x:v>status</x:v>
      </x:c>
      <x:c r="I365" t="str">
        <x:v>Выбрать допустимый статус</x:v>
      </x:c>
      <x:c r="J365" t="n">
        <x:f>IF(D365=1,K365,0)</x:f>
        <x:v>0</x:v>
      </x:c>
      <x:c r="K365" t="n">
        <x:f>D365+K364</x:f>
        <x:v>6</x:v>
      </x:c>
    </x:row>
    <x:row r="366">
      <x:c r="A366" t="str">
        <x:v>Order</x:v>
      </x:c>
      <x:c r="B366" t="n">
        <x:f>'04_checks'!B54</x:f>
        <x:v>1053</x:v>
      </x:c>
      <x:c r="C366" t="n">
        <x:v>54</x:v>
      </x:c>
      <x:c r="D366" t="n">
        <x:f>IF('04_checks'!C54="ERROR",1,0)</x:f>
        <x:v>0</x:v>
      </x:c>
      <x:c r="E366" t="str">
        <x:v>Order:54:1</x:v>
      </x:c>
      <x:c r="F366" t="str">
        <x:v>Дубль</x:v>
      </x:c>
      <x:c r="G366" t="str">
        <x:v>High</x:v>
      </x:c>
      <x:c r="H366" t="str">
        <x:v>order_id</x:v>
      </x:c>
      <x:c r="I366" t="str">
        <x:v>Проверить уникальность ID в источнике; не удалять записи автоматически</x:v>
      </x:c>
      <x:c r="J366" t="n">
        <x:f>IF(D366=1,K366,0)</x:f>
        <x:v>0</x:v>
      </x:c>
      <x:c r="K366" t="n">
        <x:f>D366+K365</x:f>
        <x:v>6</x:v>
      </x:c>
    </x:row>
    <x:row r="367">
      <x:c r="A367" t="str">
        <x:v>Order</x:v>
      </x:c>
      <x:c r="B367" t="n">
        <x:f>'04_checks'!B54</x:f>
        <x:v>1053</x:v>
      </x:c>
      <x:c r="C367" t="n">
        <x:v>54</x:v>
      </x:c>
      <x:c r="D367" t="n">
        <x:f>IF('04_checks'!D54="ERROR",1,0)</x:f>
        <x:v>0</x:v>
      </x:c>
      <x:c r="E367" t="str">
        <x:v>Order:54:2</x:v>
      </x:c>
      <x:c r="F367" t="str">
        <x:v>Пустое поле</x:v>
      </x:c>
      <x:c r="G367" t="str">
        <x:v>High</x:v>
      </x:c>
      <x:c r="H367" t="str">
        <x:v>required_fields</x:v>
      </x:c>
      <x:c r="I367" t="str">
        <x:v>Дополнить обязательные поля в источнике</x:v>
      </x:c>
      <x:c r="J367" t="n">
        <x:f>IF(D367=1,K367,0)</x:f>
        <x:v>0</x:v>
      </x:c>
      <x:c r="K367" t="n">
        <x:f>D367+K366</x:f>
        <x:v>6</x:v>
      </x:c>
    </x:row>
    <x:row r="368">
      <x:c r="A368" t="str">
        <x:v>Order</x:v>
      </x:c>
      <x:c r="B368" t="n">
        <x:f>'04_checks'!B54</x:f>
        <x:v>1053</x:v>
      </x:c>
      <x:c r="C368" t="n">
        <x:v>54</x:v>
      </x:c>
      <x:c r="D368" t="n">
        <x:f>IF('04_checks'!E54="ERROR",1,0)</x:f>
        <x:v>0</x:v>
      </x:c>
      <x:c r="E368" t="str">
        <x:v>Order:54:3</x:v>
      </x:c>
      <x:c r="F368" t="str">
        <x:f>IF(COUNTIF('02_clients_raw'!$A$2:$A$67,'01_orders_raw'!C54)&gt;1,"Неоднозначная связь","Нет связи")</x:f>
        <x:v>Нет связи</x:v>
      </x:c>
      <x:c r="G368" t="str">
        <x:v>High</x:v>
      </x:c>
      <x:c r="H368" t="str">
        <x:v>client_id</x:v>
      </x:c>
      <x:c r="I368" t="str">
        <x:v>Исправить ссылку или разрешить дубли связанного ID</x:v>
      </x:c>
      <x:c r="J368" t="n">
        <x:f>IF(D368=1,K368,0)</x:f>
        <x:v>0</x:v>
      </x:c>
      <x:c r="K368" t="n">
        <x:f>D368+K367</x:f>
        <x:v>6</x:v>
      </x:c>
    </x:row>
    <x:row r="369">
      <x:c r="A369" t="str">
        <x:v>Order</x:v>
      </x:c>
      <x:c r="B369" t="n">
        <x:f>'04_checks'!B54</x:f>
        <x:v>1053</x:v>
      </x:c>
      <x:c r="C369" t="n">
        <x:v>54</x:v>
      </x:c>
      <x:c r="D369" t="n">
        <x:f>IF('04_checks'!F54="ERROR",1,0)</x:f>
        <x:v>0</x:v>
      </x:c>
      <x:c r="E369" t="str">
        <x:v>Order:54:4</x:v>
      </x:c>
      <x:c r="F369" t="str">
        <x:v>Ошибка расчета</x:v>
      </x:c>
      <x:c r="G369" t="str">
        <x:v>High</x:v>
      </x:c>
      <x:c r="H369" t="str">
        <x:v>quantity/price/order_sum</x:v>
      </x:c>
      <x:c r="I369" t="str">
        <x:v>Сверить исходные значения и правило расчёта</x:v>
      </x:c>
      <x:c r="J369" t="n">
        <x:f>IF(D369=1,K369,0)</x:f>
        <x:v>0</x:v>
      </x:c>
      <x:c r="K369" t="n">
        <x:f>D369+K368</x:f>
        <x:v>6</x:v>
      </x:c>
    </x:row>
    <x:row r="370">
      <x:c r="A370" t="str">
        <x:v>Order</x:v>
      </x:c>
      <x:c r="B370" t="n">
        <x:f>'04_checks'!B54</x:f>
        <x:v>1053</x:v>
      </x:c>
      <x:c r="C370" t="n">
        <x:v>54</x:v>
      </x:c>
      <x:c r="D370" t="n">
        <x:f>IF('04_checks'!G54="ERROR",1,0)</x:f>
        <x:v>1</x:v>
      </x:c>
      <x:c r="E370" t="str">
        <x:v>Order:54:5</x:v>
      </x:c>
      <x:c r="F370" t="str">
        <x:v>Отрицательная цена</x:v>
      </x:c>
      <x:c r="G370" t="str">
        <x:v>High</x:v>
      </x:c>
      <x:c r="H370" t="str">
        <x:v>price</x:v>
      </x:c>
      <x:c r="I370" t="str">
        <x:v>Проверить цену в источнике</x:v>
      </x:c>
      <x:c r="J370" t="n">
        <x:f>IF(D370=1,K370,0)</x:f>
        <x:v>7</x:v>
      </x:c>
      <x:c r="K370" t="n">
        <x:f>D370+K369</x:f>
        <x:v>7</x:v>
      </x:c>
    </x:row>
    <x:row r="371">
      <x:c r="A371" t="str">
        <x:v>Order</x:v>
      </x:c>
      <x:c r="B371" t="n">
        <x:f>'04_checks'!B54</x:f>
        <x:v>1053</x:v>
      </x:c>
      <x:c r="C371" t="n">
        <x:v>54</x:v>
      </x:c>
      <x:c r="D371" t="n">
        <x:f>IF('04_checks'!H54="ERROR",1,0)</x:f>
        <x:v>0</x:v>
      </x:c>
      <x:c r="E371" t="str">
        <x:v>Order:54:6</x:v>
      </x:c>
      <x:c r="F371" t="str">
        <x:v>Дата</x:v>
      </x:c>
      <x:c r="G371" t="str">
        <x:v>Medium</x:v>
      </x:c>
      <x:c r="H371" t="str">
        <x:v>order_date</x:v>
      </x:c>
      <x:c r="I371" t="str">
        <x:v>Сверить дату со срезом и исходной записью</x:v>
      </x:c>
      <x:c r="J371" t="n">
        <x:f>IF(D371=1,K371,0)</x:f>
        <x:v>0</x:v>
      </x:c>
      <x:c r="K371" t="n">
        <x:f>D371+K370</x:f>
        <x:v>7</x:v>
      </x:c>
    </x:row>
    <x:row r="372">
      <x:c r="A372" t="str">
        <x:v>Order</x:v>
      </x:c>
      <x:c r="B372" t="n">
        <x:f>'04_checks'!B54</x:f>
        <x:v>1053</x:v>
      </x:c>
      <x:c r="C372" t="n">
        <x:v>54</x:v>
      </x:c>
      <x:c r="D372" t="n">
        <x:f>IF('04_checks'!I54="ERROR",1,0)</x:f>
        <x:v>0</x:v>
      </x:c>
      <x:c r="E372" t="str">
        <x:v>Order:54:7</x:v>
      </x:c>
      <x:c r="F372" t="str">
        <x:v>Статус</x:v>
      </x:c>
      <x:c r="G372" t="str">
        <x:v>Medium</x:v>
      </x:c>
      <x:c r="H372" t="str">
        <x:v>status</x:v>
      </x:c>
      <x:c r="I372" t="str">
        <x:v>Выбрать допустимый статус</x:v>
      </x:c>
      <x:c r="J372" t="n">
        <x:f>IF(D372=1,K372,0)</x:f>
        <x:v>0</x:v>
      </x:c>
      <x:c r="K372" t="n">
        <x:f>D372+K371</x:f>
        <x:v>7</x:v>
      </x:c>
    </x:row>
    <x:row r="373">
      <x:c r="A373" t="str">
        <x:v>Order</x:v>
      </x:c>
      <x:c r="B373" t="n">
        <x:f>'04_checks'!B55</x:f>
        <x:v>1054</x:v>
      </x:c>
      <x:c r="C373" t="n">
        <x:v>55</x:v>
      </x:c>
      <x:c r="D373" t="n">
        <x:f>IF('04_checks'!C55="ERROR",1,0)</x:f>
        <x:v>0</x:v>
      </x:c>
      <x:c r="E373" t="str">
        <x:v>Order:55:1</x:v>
      </x:c>
      <x:c r="F373" t="str">
        <x:v>Дубль</x:v>
      </x:c>
      <x:c r="G373" t="str">
        <x:v>High</x:v>
      </x:c>
      <x:c r="H373" t="str">
        <x:v>order_id</x:v>
      </x:c>
      <x:c r="I373" t="str">
        <x:v>Проверить уникальность ID в источнике; не удалять записи автоматически</x:v>
      </x:c>
      <x:c r="J373" t="n">
        <x:f>IF(D373=1,K373,0)</x:f>
        <x:v>0</x:v>
      </x:c>
      <x:c r="K373" t="n">
        <x:f>D373+K372</x:f>
        <x:v>7</x:v>
      </x:c>
    </x:row>
    <x:row r="374">
      <x:c r="A374" t="str">
        <x:v>Order</x:v>
      </x:c>
      <x:c r="B374" t="n">
        <x:f>'04_checks'!B55</x:f>
        <x:v>1054</x:v>
      </x:c>
      <x:c r="C374" t="n">
        <x:v>55</x:v>
      </x:c>
      <x:c r="D374" t="n">
        <x:f>IF('04_checks'!D55="ERROR",1,0)</x:f>
        <x:v>0</x:v>
      </x:c>
      <x:c r="E374" t="str">
        <x:v>Order:55:2</x:v>
      </x:c>
      <x:c r="F374" t="str">
        <x:v>Пустое поле</x:v>
      </x:c>
      <x:c r="G374" t="str">
        <x:v>High</x:v>
      </x:c>
      <x:c r="H374" t="str">
        <x:v>required_fields</x:v>
      </x:c>
      <x:c r="I374" t="str">
        <x:v>Дополнить обязательные поля в источнике</x:v>
      </x:c>
      <x:c r="J374" t="n">
        <x:f>IF(D374=1,K374,0)</x:f>
        <x:v>0</x:v>
      </x:c>
      <x:c r="K374" t="n">
        <x:f>D374+K373</x:f>
        <x:v>7</x:v>
      </x:c>
    </x:row>
    <x:row r="375">
      <x:c r="A375" t="str">
        <x:v>Order</x:v>
      </x:c>
      <x:c r="B375" t="n">
        <x:f>'04_checks'!B55</x:f>
        <x:v>1054</x:v>
      </x:c>
      <x:c r="C375" t="n">
        <x:v>55</x:v>
      </x:c>
      <x:c r="D375" t="n">
        <x:f>IF('04_checks'!E55="ERROR",1,0)</x:f>
        <x:v>0</x:v>
      </x:c>
      <x:c r="E375" t="str">
        <x:v>Order:55:3</x:v>
      </x:c>
      <x:c r="F375" t="str">
        <x:f>IF(COUNTIF('02_clients_raw'!$A$2:$A$67,'01_orders_raw'!C55)&gt;1,"Неоднозначная связь","Нет связи")</x:f>
        <x:v>Нет связи</x:v>
      </x:c>
      <x:c r="G375" t="str">
        <x:v>High</x:v>
      </x:c>
      <x:c r="H375" t="str">
        <x:v>client_id</x:v>
      </x:c>
      <x:c r="I375" t="str">
        <x:v>Исправить ссылку или разрешить дубли связанного ID</x:v>
      </x:c>
      <x:c r="J375" t="n">
        <x:f>IF(D375=1,K375,0)</x:f>
        <x:v>0</x:v>
      </x:c>
      <x:c r="K375" t="n">
        <x:f>D375+K374</x:f>
        <x:v>7</x:v>
      </x:c>
    </x:row>
    <x:row r="376">
      <x:c r="A376" t="str">
        <x:v>Order</x:v>
      </x:c>
      <x:c r="B376" t="n">
        <x:f>'04_checks'!B55</x:f>
        <x:v>1054</x:v>
      </x:c>
      <x:c r="C376" t="n">
        <x:v>55</x:v>
      </x:c>
      <x:c r="D376" t="n">
        <x:f>IF('04_checks'!F55="ERROR",1,0)</x:f>
        <x:v>0</x:v>
      </x:c>
      <x:c r="E376" t="str">
        <x:v>Order:55:4</x:v>
      </x:c>
      <x:c r="F376" t="str">
        <x:v>Ошибка расчета</x:v>
      </x:c>
      <x:c r="G376" t="str">
        <x:v>High</x:v>
      </x:c>
      <x:c r="H376" t="str">
        <x:v>quantity/price/order_sum</x:v>
      </x:c>
      <x:c r="I376" t="str">
        <x:v>Сверить исходные значения и правило расчёта</x:v>
      </x:c>
      <x:c r="J376" t="n">
        <x:f>IF(D376=1,K376,0)</x:f>
        <x:v>0</x:v>
      </x:c>
      <x:c r="K376" t="n">
        <x:f>D376+K375</x:f>
        <x:v>7</x:v>
      </x:c>
    </x:row>
    <x:row r="377">
      <x:c r="A377" t="str">
        <x:v>Order</x:v>
      </x:c>
      <x:c r="B377" t="n">
        <x:f>'04_checks'!B55</x:f>
        <x:v>1054</x:v>
      </x:c>
      <x:c r="C377" t="n">
        <x:v>55</x:v>
      </x:c>
      <x:c r="D377" t="n">
        <x:f>IF('04_checks'!G55="ERROR",1,0)</x:f>
        <x:v>0</x:v>
      </x:c>
      <x:c r="E377" t="str">
        <x:v>Order:55:5</x:v>
      </x:c>
      <x:c r="F377" t="str">
        <x:v>Отрицательная цена</x:v>
      </x:c>
      <x:c r="G377" t="str">
        <x:v>High</x:v>
      </x:c>
      <x:c r="H377" t="str">
        <x:v>price</x:v>
      </x:c>
      <x:c r="I377" t="str">
        <x:v>Проверить цену в источнике</x:v>
      </x:c>
      <x:c r="J377" t="n">
        <x:f>IF(D377=1,K377,0)</x:f>
        <x:v>0</x:v>
      </x:c>
      <x:c r="K377" t="n">
        <x:f>D377+K376</x:f>
        <x:v>7</x:v>
      </x:c>
    </x:row>
    <x:row r="378">
      <x:c r="A378" t="str">
        <x:v>Order</x:v>
      </x:c>
      <x:c r="B378" t="n">
        <x:f>'04_checks'!B55</x:f>
        <x:v>1054</x:v>
      </x:c>
      <x:c r="C378" t="n">
        <x:v>55</x:v>
      </x:c>
      <x:c r="D378" t="n">
        <x:f>IF('04_checks'!H55="ERROR",1,0)</x:f>
        <x:v>0</x:v>
      </x:c>
      <x:c r="E378" t="str">
        <x:v>Order:55:6</x:v>
      </x:c>
      <x:c r="F378" t="str">
        <x:v>Дата</x:v>
      </x:c>
      <x:c r="G378" t="str">
        <x:v>Medium</x:v>
      </x:c>
      <x:c r="H378" t="str">
        <x:v>order_date</x:v>
      </x:c>
      <x:c r="I378" t="str">
        <x:v>Сверить дату со срезом и исходной записью</x:v>
      </x:c>
      <x:c r="J378" t="n">
        <x:f>IF(D378=1,K378,0)</x:f>
        <x:v>0</x:v>
      </x:c>
      <x:c r="K378" t="n">
        <x:f>D378+K377</x:f>
        <x:v>7</x:v>
      </x:c>
    </x:row>
    <x:row r="379">
      <x:c r="A379" t="str">
        <x:v>Order</x:v>
      </x:c>
      <x:c r="B379" t="n">
        <x:f>'04_checks'!B55</x:f>
        <x:v>1054</x:v>
      </x:c>
      <x:c r="C379" t="n">
        <x:v>55</x:v>
      </x:c>
      <x:c r="D379" t="n">
        <x:f>IF('04_checks'!I55="ERROR",1,0)</x:f>
        <x:v>0</x:v>
      </x:c>
      <x:c r="E379" t="str">
        <x:v>Order:55:7</x:v>
      </x:c>
      <x:c r="F379" t="str">
        <x:v>Статус</x:v>
      </x:c>
      <x:c r="G379" t="str">
        <x:v>Medium</x:v>
      </x:c>
      <x:c r="H379" t="str">
        <x:v>status</x:v>
      </x:c>
      <x:c r="I379" t="str">
        <x:v>Выбрать допустимый статус</x:v>
      </x:c>
      <x:c r="J379" t="n">
        <x:f>IF(D379=1,K379,0)</x:f>
        <x:v>0</x:v>
      </x:c>
      <x:c r="K379" t="n">
        <x:f>D379+K378</x:f>
        <x:v>7</x:v>
      </x:c>
    </x:row>
    <x:row r="380">
      <x:c r="A380" t="str">
        <x:v>Order</x:v>
      </x:c>
      <x:c r="B380" t="n">
        <x:f>'04_checks'!B56</x:f>
        <x:v>1055</x:v>
      </x:c>
      <x:c r="C380" t="n">
        <x:v>56</x:v>
      </x:c>
      <x:c r="D380" t="n">
        <x:f>IF('04_checks'!C56="ERROR",1,0)</x:f>
        <x:v>0</x:v>
      </x:c>
      <x:c r="E380" t="str">
        <x:v>Order:56:1</x:v>
      </x:c>
      <x:c r="F380" t="str">
        <x:v>Дубль</x:v>
      </x:c>
      <x:c r="G380" t="str">
        <x:v>High</x:v>
      </x:c>
      <x:c r="H380" t="str">
        <x:v>order_id</x:v>
      </x:c>
      <x:c r="I380" t="str">
        <x:v>Проверить уникальность ID в источнике; не удалять записи автоматически</x:v>
      </x:c>
      <x:c r="J380" t="n">
        <x:f>IF(D380=1,K380,0)</x:f>
        <x:v>0</x:v>
      </x:c>
      <x:c r="K380" t="n">
        <x:f>D380+K379</x:f>
        <x:v>7</x:v>
      </x:c>
    </x:row>
    <x:row r="381">
      <x:c r="A381" t="str">
        <x:v>Order</x:v>
      </x:c>
      <x:c r="B381" t="n">
        <x:f>'04_checks'!B56</x:f>
        <x:v>1055</x:v>
      </x:c>
      <x:c r="C381" t="n">
        <x:v>56</x:v>
      </x:c>
      <x:c r="D381" t="n">
        <x:f>IF('04_checks'!D56="ERROR",1,0)</x:f>
        <x:v>0</x:v>
      </x:c>
      <x:c r="E381" t="str">
        <x:v>Order:56:2</x:v>
      </x:c>
      <x:c r="F381" t="str">
        <x:v>Пустое поле</x:v>
      </x:c>
      <x:c r="G381" t="str">
        <x:v>High</x:v>
      </x:c>
      <x:c r="H381" t="str">
        <x:v>required_fields</x:v>
      </x:c>
      <x:c r="I381" t="str">
        <x:v>Дополнить обязательные поля в источнике</x:v>
      </x:c>
      <x:c r="J381" t="n">
        <x:f>IF(D381=1,K381,0)</x:f>
        <x:v>0</x:v>
      </x:c>
      <x:c r="K381" t="n">
        <x:f>D381+K380</x:f>
        <x:v>7</x:v>
      </x:c>
    </x:row>
    <x:row r="382">
      <x:c r="A382" t="str">
        <x:v>Order</x:v>
      </x:c>
      <x:c r="B382" t="n">
        <x:f>'04_checks'!B56</x:f>
        <x:v>1055</x:v>
      </x:c>
      <x:c r="C382" t="n">
        <x:v>56</x:v>
      </x:c>
      <x:c r="D382" t="n">
        <x:f>IF('04_checks'!E56="ERROR",1,0)</x:f>
        <x:v>0</x:v>
      </x:c>
      <x:c r="E382" t="str">
        <x:v>Order:56:3</x:v>
      </x:c>
      <x:c r="F382" t="str">
        <x:f>IF(COUNTIF('02_clients_raw'!$A$2:$A$67,'01_orders_raw'!C56)&gt;1,"Неоднозначная связь","Нет связи")</x:f>
        <x:v>Нет связи</x:v>
      </x:c>
      <x:c r="G382" t="str">
        <x:v>High</x:v>
      </x:c>
      <x:c r="H382" t="str">
        <x:v>client_id</x:v>
      </x:c>
      <x:c r="I382" t="str">
        <x:v>Исправить ссылку или разрешить дубли связанного ID</x:v>
      </x:c>
      <x:c r="J382" t="n">
        <x:f>IF(D382=1,K382,0)</x:f>
        <x:v>0</x:v>
      </x:c>
      <x:c r="K382" t="n">
        <x:f>D382+K381</x:f>
        <x:v>7</x:v>
      </x:c>
    </x:row>
    <x:row r="383">
      <x:c r="A383" t="str">
        <x:v>Order</x:v>
      </x:c>
      <x:c r="B383" t="n">
        <x:f>'04_checks'!B56</x:f>
        <x:v>1055</x:v>
      </x:c>
      <x:c r="C383" t="n">
        <x:v>56</x:v>
      </x:c>
      <x:c r="D383" t="n">
        <x:f>IF('04_checks'!F56="ERROR",1,0)</x:f>
        <x:v>0</x:v>
      </x:c>
      <x:c r="E383" t="str">
        <x:v>Order:56:4</x:v>
      </x:c>
      <x:c r="F383" t="str">
        <x:v>Ошибка расчета</x:v>
      </x:c>
      <x:c r="G383" t="str">
        <x:v>High</x:v>
      </x:c>
      <x:c r="H383" t="str">
        <x:v>quantity/price/order_sum</x:v>
      </x:c>
      <x:c r="I383" t="str">
        <x:v>Сверить исходные значения и правило расчёта</x:v>
      </x:c>
      <x:c r="J383" t="n">
        <x:f>IF(D383=1,K383,0)</x:f>
        <x:v>0</x:v>
      </x:c>
      <x:c r="K383" t="n">
        <x:f>D383+K382</x:f>
        <x:v>7</x:v>
      </x:c>
    </x:row>
    <x:row r="384">
      <x:c r="A384" t="str">
        <x:v>Order</x:v>
      </x:c>
      <x:c r="B384" t="n">
        <x:f>'04_checks'!B56</x:f>
        <x:v>1055</x:v>
      </x:c>
      <x:c r="C384" t="n">
        <x:v>56</x:v>
      </x:c>
      <x:c r="D384" t="n">
        <x:f>IF('04_checks'!G56="ERROR",1,0)</x:f>
        <x:v>0</x:v>
      </x:c>
      <x:c r="E384" t="str">
        <x:v>Order:56:5</x:v>
      </x:c>
      <x:c r="F384" t="str">
        <x:v>Отрицательная цена</x:v>
      </x:c>
      <x:c r="G384" t="str">
        <x:v>High</x:v>
      </x:c>
      <x:c r="H384" t="str">
        <x:v>price</x:v>
      </x:c>
      <x:c r="I384" t="str">
        <x:v>Проверить цену в источнике</x:v>
      </x:c>
      <x:c r="J384" t="n">
        <x:f>IF(D384=1,K384,0)</x:f>
        <x:v>0</x:v>
      </x:c>
      <x:c r="K384" t="n">
        <x:f>D384+K383</x:f>
        <x:v>7</x:v>
      </x:c>
    </x:row>
    <x:row r="385">
      <x:c r="A385" t="str">
        <x:v>Order</x:v>
      </x:c>
      <x:c r="B385" t="n">
        <x:f>'04_checks'!B56</x:f>
        <x:v>1055</x:v>
      </x:c>
      <x:c r="C385" t="n">
        <x:v>56</x:v>
      </x:c>
      <x:c r="D385" t="n">
        <x:f>IF('04_checks'!H56="ERROR",1,0)</x:f>
        <x:v>0</x:v>
      </x:c>
      <x:c r="E385" t="str">
        <x:v>Order:56:6</x:v>
      </x:c>
      <x:c r="F385" t="str">
        <x:v>Дата</x:v>
      </x:c>
      <x:c r="G385" t="str">
        <x:v>Medium</x:v>
      </x:c>
      <x:c r="H385" t="str">
        <x:v>order_date</x:v>
      </x:c>
      <x:c r="I385" t="str">
        <x:v>Сверить дату со срезом и исходной записью</x:v>
      </x:c>
      <x:c r="J385" t="n">
        <x:f>IF(D385=1,K385,0)</x:f>
        <x:v>0</x:v>
      </x:c>
      <x:c r="K385" t="n">
        <x:f>D385+K384</x:f>
        <x:v>7</x:v>
      </x:c>
    </x:row>
    <x:row r="386">
      <x:c r="A386" t="str">
        <x:v>Order</x:v>
      </x:c>
      <x:c r="B386" t="n">
        <x:f>'04_checks'!B56</x:f>
        <x:v>1055</x:v>
      </x:c>
      <x:c r="C386" t="n">
        <x:v>56</x:v>
      </x:c>
      <x:c r="D386" t="n">
        <x:f>IF('04_checks'!I56="ERROR",1,0)</x:f>
        <x:v>0</x:v>
      </x:c>
      <x:c r="E386" t="str">
        <x:v>Order:56:7</x:v>
      </x:c>
      <x:c r="F386" t="str">
        <x:v>Статус</x:v>
      </x:c>
      <x:c r="G386" t="str">
        <x:v>Medium</x:v>
      </x:c>
      <x:c r="H386" t="str">
        <x:v>status</x:v>
      </x:c>
      <x:c r="I386" t="str">
        <x:v>Выбрать допустимый статус</x:v>
      </x:c>
      <x:c r="J386" t="n">
        <x:f>IF(D386=1,K386,0)</x:f>
        <x:v>0</x:v>
      </x:c>
      <x:c r="K386" t="n">
        <x:f>D386+K385</x:f>
        <x:v>7</x:v>
      </x:c>
    </x:row>
    <x:row r="387">
      <x:c r="A387" t="str">
        <x:v>Order</x:v>
      </x:c>
      <x:c r="B387" t="n">
        <x:f>'04_checks'!B57</x:f>
        <x:v>1056</x:v>
      </x:c>
      <x:c r="C387" t="n">
        <x:v>57</x:v>
      </x:c>
      <x:c r="D387" t="n">
        <x:f>IF('04_checks'!C57="ERROR",1,0)</x:f>
        <x:v>0</x:v>
      </x:c>
      <x:c r="E387" t="str">
        <x:v>Order:57:1</x:v>
      </x:c>
      <x:c r="F387" t="str">
        <x:v>Дубль</x:v>
      </x:c>
      <x:c r="G387" t="str">
        <x:v>High</x:v>
      </x:c>
      <x:c r="H387" t="str">
        <x:v>order_id</x:v>
      </x:c>
      <x:c r="I387" t="str">
        <x:v>Проверить уникальность ID в источнике; не удалять записи автоматически</x:v>
      </x:c>
      <x:c r="J387" t="n">
        <x:f>IF(D387=1,K387,0)</x:f>
        <x:v>0</x:v>
      </x:c>
      <x:c r="K387" t="n">
        <x:f>D387+K386</x:f>
        <x:v>7</x:v>
      </x:c>
    </x:row>
    <x:row r="388">
      <x:c r="A388" t="str">
        <x:v>Order</x:v>
      </x:c>
      <x:c r="B388" t="n">
        <x:f>'04_checks'!B57</x:f>
        <x:v>1056</x:v>
      </x:c>
      <x:c r="C388" t="n">
        <x:v>57</x:v>
      </x:c>
      <x:c r="D388" t="n">
        <x:f>IF('04_checks'!D57="ERROR",1,0)</x:f>
        <x:v>0</x:v>
      </x:c>
      <x:c r="E388" t="str">
        <x:v>Order:57:2</x:v>
      </x:c>
      <x:c r="F388" t="str">
        <x:v>Пустое поле</x:v>
      </x:c>
      <x:c r="G388" t="str">
        <x:v>High</x:v>
      </x:c>
      <x:c r="H388" t="str">
        <x:v>required_fields</x:v>
      </x:c>
      <x:c r="I388" t="str">
        <x:v>Дополнить обязательные поля в источнике</x:v>
      </x:c>
      <x:c r="J388" t="n">
        <x:f>IF(D388=1,K388,0)</x:f>
        <x:v>0</x:v>
      </x:c>
      <x:c r="K388" t="n">
        <x:f>D388+K387</x:f>
        <x:v>7</x:v>
      </x:c>
    </x:row>
    <x:row r="389">
      <x:c r="A389" t="str">
        <x:v>Order</x:v>
      </x:c>
      <x:c r="B389" t="n">
        <x:f>'04_checks'!B57</x:f>
        <x:v>1056</x:v>
      </x:c>
      <x:c r="C389" t="n">
        <x:v>57</x:v>
      </x:c>
      <x:c r="D389" t="n">
        <x:f>IF('04_checks'!E57="ERROR",1,0)</x:f>
        <x:v>0</x:v>
      </x:c>
      <x:c r="E389" t="str">
        <x:v>Order:57:3</x:v>
      </x:c>
      <x:c r="F389" t="str">
        <x:f>IF(COUNTIF('02_clients_raw'!$A$2:$A$67,'01_orders_raw'!C57)&gt;1,"Неоднозначная связь","Нет связи")</x:f>
        <x:v>Нет связи</x:v>
      </x:c>
      <x:c r="G389" t="str">
        <x:v>High</x:v>
      </x:c>
      <x:c r="H389" t="str">
        <x:v>client_id</x:v>
      </x:c>
      <x:c r="I389" t="str">
        <x:v>Исправить ссылку или разрешить дубли связанного ID</x:v>
      </x:c>
      <x:c r="J389" t="n">
        <x:f>IF(D389=1,K389,0)</x:f>
        <x:v>0</x:v>
      </x:c>
      <x:c r="K389" t="n">
        <x:f>D389+K388</x:f>
        <x:v>7</x:v>
      </x:c>
    </x:row>
    <x:row r="390">
      <x:c r="A390" t="str">
        <x:v>Order</x:v>
      </x:c>
      <x:c r="B390" t="n">
        <x:f>'04_checks'!B57</x:f>
        <x:v>1056</x:v>
      </x:c>
      <x:c r="C390" t="n">
        <x:v>57</x:v>
      </x:c>
      <x:c r="D390" t="n">
        <x:f>IF('04_checks'!F57="ERROR",1,0)</x:f>
        <x:v>0</x:v>
      </x:c>
      <x:c r="E390" t="str">
        <x:v>Order:57:4</x:v>
      </x:c>
      <x:c r="F390" t="str">
        <x:v>Ошибка расчета</x:v>
      </x:c>
      <x:c r="G390" t="str">
        <x:v>High</x:v>
      </x:c>
      <x:c r="H390" t="str">
        <x:v>quantity/price/order_sum</x:v>
      </x:c>
      <x:c r="I390" t="str">
        <x:v>Сверить исходные значения и правило расчёта</x:v>
      </x:c>
      <x:c r="J390" t="n">
        <x:f>IF(D390=1,K390,0)</x:f>
        <x:v>0</x:v>
      </x:c>
      <x:c r="K390" t="n">
        <x:f>D390+K389</x:f>
        <x:v>7</x:v>
      </x:c>
    </x:row>
    <x:row r="391">
      <x:c r="A391" t="str">
        <x:v>Order</x:v>
      </x:c>
      <x:c r="B391" t="n">
        <x:f>'04_checks'!B57</x:f>
        <x:v>1056</x:v>
      </x:c>
      <x:c r="C391" t="n">
        <x:v>57</x:v>
      </x:c>
      <x:c r="D391" t="n">
        <x:f>IF('04_checks'!G57="ERROR",1,0)</x:f>
        <x:v>0</x:v>
      </x:c>
      <x:c r="E391" t="str">
        <x:v>Order:57:5</x:v>
      </x:c>
      <x:c r="F391" t="str">
        <x:v>Отрицательная цена</x:v>
      </x:c>
      <x:c r="G391" t="str">
        <x:v>High</x:v>
      </x:c>
      <x:c r="H391" t="str">
        <x:v>price</x:v>
      </x:c>
      <x:c r="I391" t="str">
        <x:v>Проверить цену в источнике</x:v>
      </x:c>
      <x:c r="J391" t="n">
        <x:f>IF(D391=1,K391,0)</x:f>
        <x:v>0</x:v>
      </x:c>
      <x:c r="K391" t="n">
        <x:f>D391+K390</x:f>
        <x:v>7</x:v>
      </x:c>
    </x:row>
    <x:row r="392">
      <x:c r="A392" t="str">
        <x:v>Order</x:v>
      </x:c>
      <x:c r="B392" t="n">
        <x:f>'04_checks'!B57</x:f>
        <x:v>1056</x:v>
      </x:c>
      <x:c r="C392" t="n">
        <x:v>57</x:v>
      </x:c>
      <x:c r="D392" t="n">
        <x:f>IF('04_checks'!H57="ERROR",1,0)</x:f>
        <x:v>0</x:v>
      </x:c>
      <x:c r="E392" t="str">
        <x:v>Order:57:6</x:v>
      </x:c>
      <x:c r="F392" t="str">
        <x:v>Дата</x:v>
      </x:c>
      <x:c r="G392" t="str">
        <x:v>Medium</x:v>
      </x:c>
      <x:c r="H392" t="str">
        <x:v>order_date</x:v>
      </x:c>
      <x:c r="I392" t="str">
        <x:v>Сверить дату со срезом и исходной записью</x:v>
      </x:c>
      <x:c r="J392" t="n">
        <x:f>IF(D392=1,K392,0)</x:f>
        <x:v>0</x:v>
      </x:c>
      <x:c r="K392" t="n">
        <x:f>D392+K391</x:f>
        <x:v>7</x:v>
      </x:c>
    </x:row>
    <x:row r="393">
      <x:c r="A393" t="str">
        <x:v>Order</x:v>
      </x:c>
      <x:c r="B393" t="n">
        <x:f>'04_checks'!B57</x:f>
        <x:v>1056</x:v>
      </x:c>
      <x:c r="C393" t="n">
        <x:v>57</x:v>
      </x:c>
      <x:c r="D393" t="n">
        <x:f>IF('04_checks'!I57="ERROR",1,0)</x:f>
        <x:v>0</x:v>
      </x:c>
      <x:c r="E393" t="str">
        <x:v>Order:57:7</x:v>
      </x:c>
      <x:c r="F393" t="str">
        <x:v>Статус</x:v>
      </x:c>
      <x:c r="G393" t="str">
        <x:v>Medium</x:v>
      </x:c>
      <x:c r="H393" t="str">
        <x:v>status</x:v>
      </x:c>
      <x:c r="I393" t="str">
        <x:v>Выбрать допустимый статус</x:v>
      </x:c>
      <x:c r="J393" t="n">
        <x:f>IF(D393=1,K393,0)</x:f>
        <x:v>0</x:v>
      </x:c>
      <x:c r="K393" t="n">
        <x:f>D393+K392</x:f>
        <x:v>7</x:v>
      </x:c>
    </x:row>
    <x:row r="394">
      <x:c r="A394" t="str">
        <x:v>Order</x:v>
      </x:c>
      <x:c r="B394" t="n">
        <x:f>'04_checks'!B58</x:f>
        <x:v>1057</x:v>
      </x:c>
      <x:c r="C394" t="n">
        <x:v>58</x:v>
      </x:c>
      <x:c r="D394" t="n">
        <x:f>IF('04_checks'!C58="ERROR",1,0)</x:f>
        <x:v>0</x:v>
      </x:c>
      <x:c r="E394" t="str">
        <x:v>Order:58:1</x:v>
      </x:c>
      <x:c r="F394" t="str">
        <x:v>Дубль</x:v>
      </x:c>
      <x:c r="G394" t="str">
        <x:v>High</x:v>
      </x:c>
      <x:c r="H394" t="str">
        <x:v>order_id</x:v>
      </x:c>
      <x:c r="I394" t="str">
        <x:v>Проверить уникальность ID в источнике; не удалять записи автоматически</x:v>
      </x:c>
      <x:c r="J394" t="n">
        <x:f>IF(D394=1,K394,0)</x:f>
        <x:v>0</x:v>
      </x:c>
      <x:c r="K394" t="n">
        <x:f>D394+K393</x:f>
        <x:v>7</x:v>
      </x:c>
    </x:row>
    <x:row r="395">
      <x:c r="A395" t="str">
        <x:v>Order</x:v>
      </x:c>
      <x:c r="B395" t="n">
        <x:f>'04_checks'!B58</x:f>
        <x:v>1057</x:v>
      </x:c>
      <x:c r="C395" t="n">
        <x:v>58</x:v>
      </x:c>
      <x:c r="D395" t="n">
        <x:f>IF('04_checks'!D58="ERROR",1,0)</x:f>
        <x:v>0</x:v>
      </x:c>
      <x:c r="E395" t="str">
        <x:v>Order:58:2</x:v>
      </x:c>
      <x:c r="F395" t="str">
        <x:v>Пустое поле</x:v>
      </x:c>
      <x:c r="G395" t="str">
        <x:v>High</x:v>
      </x:c>
      <x:c r="H395" t="str">
        <x:v>required_fields</x:v>
      </x:c>
      <x:c r="I395" t="str">
        <x:v>Дополнить обязательные поля в источнике</x:v>
      </x:c>
      <x:c r="J395" t="n">
        <x:f>IF(D395=1,K395,0)</x:f>
        <x:v>0</x:v>
      </x:c>
      <x:c r="K395" t="n">
        <x:f>D395+K394</x:f>
        <x:v>7</x:v>
      </x:c>
    </x:row>
    <x:row r="396">
      <x:c r="A396" t="str">
        <x:v>Order</x:v>
      </x:c>
      <x:c r="B396" t="n">
        <x:f>'04_checks'!B58</x:f>
        <x:v>1057</x:v>
      </x:c>
      <x:c r="C396" t="n">
        <x:v>58</x:v>
      </x:c>
      <x:c r="D396" t="n">
        <x:f>IF('04_checks'!E58="ERROR",1,0)</x:f>
        <x:v>0</x:v>
      </x:c>
      <x:c r="E396" t="str">
        <x:v>Order:58:3</x:v>
      </x:c>
      <x:c r="F396" t="str">
        <x:f>IF(COUNTIF('02_clients_raw'!$A$2:$A$67,'01_orders_raw'!C58)&gt;1,"Неоднозначная связь","Нет связи")</x:f>
        <x:v>Нет связи</x:v>
      </x:c>
      <x:c r="G396" t="str">
        <x:v>High</x:v>
      </x:c>
      <x:c r="H396" t="str">
        <x:v>client_id</x:v>
      </x:c>
      <x:c r="I396" t="str">
        <x:v>Исправить ссылку или разрешить дубли связанного ID</x:v>
      </x:c>
      <x:c r="J396" t="n">
        <x:f>IF(D396=1,K396,0)</x:f>
        <x:v>0</x:v>
      </x:c>
      <x:c r="K396" t="n">
        <x:f>D396+K395</x:f>
        <x:v>7</x:v>
      </x:c>
    </x:row>
    <x:row r="397">
      <x:c r="A397" t="str">
        <x:v>Order</x:v>
      </x:c>
      <x:c r="B397" t="n">
        <x:f>'04_checks'!B58</x:f>
        <x:v>1057</x:v>
      </x:c>
      <x:c r="C397" t="n">
        <x:v>58</x:v>
      </x:c>
      <x:c r="D397" t="n">
        <x:f>IF('04_checks'!F58="ERROR",1,0)</x:f>
        <x:v>0</x:v>
      </x:c>
      <x:c r="E397" t="str">
        <x:v>Order:58:4</x:v>
      </x:c>
      <x:c r="F397" t="str">
        <x:v>Ошибка расчета</x:v>
      </x:c>
      <x:c r="G397" t="str">
        <x:v>High</x:v>
      </x:c>
      <x:c r="H397" t="str">
        <x:v>quantity/price/order_sum</x:v>
      </x:c>
      <x:c r="I397" t="str">
        <x:v>Сверить исходные значения и правило расчёта</x:v>
      </x:c>
      <x:c r="J397" t="n">
        <x:f>IF(D397=1,K397,0)</x:f>
        <x:v>0</x:v>
      </x:c>
      <x:c r="K397" t="n">
        <x:f>D397+K396</x:f>
        <x:v>7</x:v>
      </x:c>
    </x:row>
    <x:row r="398">
      <x:c r="A398" t="str">
        <x:v>Order</x:v>
      </x:c>
      <x:c r="B398" t="n">
        <x:f>'04_checks'!B58</x:f>
        <x:v>1057</x:v>
      </x:c>
      <x:c r="C398" t="n">
        <x:v>58</x:v>
      </x:c>
      <x:c r="D398" t="n">
        <x:f>IF('04_checks'!G58="ERROR",1,0)</x:f>
        <x:v>0</x:v>
      </x:c>
      <x:c r="E398" t="str">
        <x:v>Order:58:5</x:v>
      </x:c>
      <x:c r="F398" t="str">
        <x:v>Отрицательная цена</x:v>
      </x:c>
      <x:c r="G398" t="str">
        <x:v>High</x:v>
      </x:c>
      <x:c r="H398" t="str">
        <x:v>price</x:v>
      </x:c>
      <x:c r="I398" t="str">
        <x:v>Проверить цену в источнике</x:v>
      </x:c>
      <x:c r="J398" t="n">
        <x:f>IF(D398=1,K398,0)</x:f>
        <x:v>0</x:v>
      </x:c>
      <x:c r="K398" t="n">
        <x:f>D398+K397</x:f>
        <x:v>7</x:v>
      </x:c>
    </x:row>
    <x:row r="399">
      <x:c r="A399" t="str">
        <x:v>Order</x:v>
      </x:c>
      <x:c r="B399" t="n">
        <x:f>'04_checks'!B58</x:f>
        <x:v>1057</x:v>
      </x:c>
      <x:c r="C399" t="n">
        <x:v>58</x:v>
      </x:c>
      <x:c r="D399" t="n">
        <x:f>IF('04_checks'!H58="ERROR",1,0)</x:f>
        <x:v>0</x:v>
      </x:c>
      <x:c r="E399" t="str">
        <x:v>Order:58:6</x:v>
      </x:c>
      <x:c r="F399" t="str">
        <x:v>Дата</x:v>
      </x:c>
      <x:c r="G399" t="str">
        <x:v>Medium</x:v>
      </x:c>
      <x:c r="H399" t="str">
        <x:v>order_date</x:v>
      </x:c>
      <x:c r="I399" t="str">
        <x:v>Сверить дату со срезом и исходной записью</x:v>
      </x:c>
      <x:c r="J399" t="n">
        <x:f>IF(D399=1,K399,0)</x:f>
        <x:v>0</x:v>
      </x:c>
      <x:c r="K399" t="n">
        <x:f>D399+K398</x:f>
        <x:v>7</x:v>
      </x:c>
    </x:row>
    <x:row r="400">
      <x:c r="A400" t="str">
        <x:v>Order</x:v>
      </x:c>
      <x:c r="B400" t="n">
        <x:f>'04_checks'!B58</x:f>
        <x:v>1057</x:v>
      </x:c>
      <x:c r="C400" t="n">
        <x:v>58</x:v>
      </x:c>
      <x:c r="D400" t="n">
        <x:f>IF('04_checks'!I58="ERROR",1,0)</x:f>
        <x:v>0</x:v>
      </x:c>
      <x:c r="E400" t="str">
        <x:v>Order:58:7</x:v>
      </x:c>
      <x:c r="F400" t="str">
        <x:v>Статус</x:v>
      </x:c>
      <x:c r="G400" t="str">
        <x:v>Medium</x:v>
      </x:c>
      <x:c r="H400" t="str">
        <x:v>status</x:v>
      </x:c>
      <x:c r="I400" t="str">
        <x:v>Выбрать допустимый статус</x:v>
      </x:c>
      <x:c r="J400" t="n">
        <x:f>IF(D400=1,K400,0)</x:f>
        <x:v>0</x:v>
      </x:c>
      <x:c r="K400" t="n">
        <x:f>D400+K399</x:f>
        <x:v>7</x:v>
      </x:c>
    </x:row>
    <x:row r="401">
      <x:c r="A401" t="str">
        <x:v>Order</x:v>
      </x:c>
      <x:c r="B401" t="n">
        <x:f>'04_checks'!B59</x:f>
        <x:v>1058</x:v>
      </x:c>
      <x:c r="C401" t="n">
        <x:v>59</x:v>
      </x:c>
      <x:c r="D401" t="n">
        <x:f>IF('04_checks'!C59="ERROR",1,0)</x:f>
        <x:v>0</x:v>
      </x:c>
      <x:c r="E401" t="str">
        <x:v>Order:59:1</x:v>
      </x:c>
      <x:c r="F401" t="str">
        <x:v>Дубль</x:v>
      </x:c>
      <x:c r="G401" t="str">
        <x:v>High</x:v>
      </x:c>
      <x:c r="H401" t="str">
        <x:v>order_id</x:v>
      </x:c>
      <x:c r="I401" t="str">
        <x:v>Проверить уникальность ID в источнике; не удалять записи автоматически</x:v>
      </x:c>
      <x:c r="J401" t="n">
        <x:f>IF(D401=1,K401,0)</x:f>
        <x:v>0</x:v>
      </x:c>
      <x:c r="K401" t="n">
        <x:f>D401+K400</x:f>
        <x:v>7</x:v>
      </x:c>
    </x:row>
    <x:row r="402">
      <x:c r="A402" t="str">
        <x:v>Order</x:v>
      </x:c>
      <x:c r="B402" t="n">
        <x:f>'04_checks'!B59</x:f>
        <x:v>1058</x:v>
      </x:c>
      <x:c r="C402" t="n">
        <x:v>59</x:v>
      </x:c>
      <x:c r="D402" t="n">
        <x:f>IF('04_checks'!D59="ERROR",1,0)</x:f>
        <x:v>0</x:v>
      </x:c>
      <x:c r="E402" t="str">
        <x:v>Order:59:2</x:v>
      </x:c>
      <x:c r="F402" t="str">
        <x:v>Пустое поле</x:v>
      </x:c>
      <x:c r="G402" t="str">
        <x:v>High</x:v>
      </x:c>
      <x:c r="H402" t="str">
        <x:v>required_fields</x:v>
      </x:c>
      <x:c r="I402" t="str">
        <x:v>Дополнить обязательные поля в источнике</x:v>
      </x:c>
      <x:c r="J402" t="n">
        <x:f>IF(D402=1,K402,0)</x:f>
        <x:v>0</x:v>
      </x:c>
      <x:c r="K402" t="n">
        <x:f>D402+K401</x:f>
        <x:v>7</x:v>
      </x:c>
    </x:row>
    <x:row r="403">
      <x:c r="A403" t="str">
        <x:v>Order</x:v>
      </x:c>
      <x:c r="B403" t="n">
        <x:f>'04_checks'!B59</x:f>
        <x:v>1058</x:v>
      </x:c>
      <x:c r="C403" t="n">
        <x:v>59</x:v>
      </x:c>
      <x:c r="D403" t="n">
        <x:f>IF('04_checks'!E59="ERROR",1,0)</x:f>
        <x:v>0</x:v>
      </x:c>
      <x:c r="E403" t="str">
        <x:v>Order:59:3</x:v>
      </x:c>
      <x:c r="F403" t="str">
        <x:f>IF(COUNTIF('02_clients_raw'!$A$2:$A$67,'01_orders_raw'!C59)&gt;1,"Неоднозначная связь","Нет связи")</x:f>
        <x:v>Нет связи</x:v>
      </x:c>
      <x:c r="G403" t="str">
        <x:v>High</x:v>
      </x:c>
      <x:c r="H403" t="str">
        <x:v>client_id</x:v>
      </x:c>
      <x:c r="I403" t="str">
        <x:v>Исправить ссылку или разрешить дубли связанного ID</x:v>
      </x:c>
      <x:c r="J403" t="n">
        <x:f>IF(D403=1,K403,0)</x:f>
        <x:v>0</x:v>
      </x:c>
      <x:c r="K403" t="n">
        <x:f>D403+K402</x:f>
        <x:v>7</x:v>
      </x:c>
    </x:row>
    <x:row r="404">
      <x:c r="A404" t="str">
        <x:v>Order</x:v>
      </x:c>
      <x:c r="B404" t="n">
        <x:f>'04_checks'!B59</x:f>
        <x:v>1058</x:v>
      </x:c>
      <x:c r="C404" t="n">
        <x:v>59</x:v>
      </x:c>
      <x:c r="D404" t="n">
        <x:f>IF('04_checks'!F59="ERROR",1,0)</x:f>
        <x:v>0</x:v>
      </x:c>
      <x:c r="E404" t="str">
        <x:v>Order:59:4</x:v>
      </x:c>
      <x:c r="F404" t="str">
        <x:v>Ошибка расчета</x:v>
      </x:c>
      <x:c r="G404" t="str">
        <x:v>High</x:v>
      </x:c>
      <x:c r="H404" t="str">
        <x:v>quantity/price/order_sum</x:v>
      </x:c>
      <x:c r="I404" t="str">
        <x:v>Сверить исходные значения и правило расчёта</x:v>
      </x:c>
      <x:c r="J404" t="n">
        <x:f>IF(D404=1,K404,0)</x:f>
        <x:v>0</x:v>
      </x:c>
      <x:c r="K404" t="n">
        <x:f>D404+K403</x:f>
        <x:v>7</x:v>
      </x:c>
    </x:row>
    <x:row r="405">
      <x:c r="A405" t="str">
        <x:v>Order</x:v>
      </x:c>
      <x:c r="B405" t="n">
        <x:f>'04_checks'!B59</x:f>
        <x:v>1058</x:v>
      </x:c>
      <x:c r="C405" t="n">
        <x:v>59</x:v>
      </x:c>
      <x:c r="D405" t="n">
        <x:f>IF('04_checks'!G59="ERROR",1,0)</x:f>
        <x:v>0</x:v>
      </x:c>
      <x:c r="E405" t="str">
        <x:v>Order:59:5</x:v>
      </x:c>
      <x:c r="F405" t="str">
        <x:v>Отрицательная цена</x:v>
      </x:c>
      <x:c r="G405" t="str">
        <x:v>High</x:v>
      </x:c>
      <x:c r="H405" t="str">
        <x:v>price</x:v>
      </x:c>
      <x:c r="I405" t="str">
        <x:v>Проверить цену в источнике</x:v>
      </x:c>
      <x:c r="J405" t="n">
        <x:f>IF(D405=1,K405,0)</x:f>
        <x:v>0</x:v>
      </x:c>
      <x:c r="K405" t="n">
        <x:f>D405+K404</x:f>
        <x:v>7</x:v>
      </x:c>
    </x:row>
    <x:row r="406">
      <x:c r="A406" t="str">
        <x:v>Order</x:v>
      </x:c>
      <x:c r="B406" t="n">
        <x:f>'04_checks'!B59</x:f>
        <x:v>1058</x:v>
      </x:c>
      <x:c r="C406" t="n">
        <x:v>59</x:v>
      </x:c>
      <x:c r="D406" t="n">
        <x:f>IF('04_checks'!H59="ERROR",1,0)</x:f>
        <x:v>0</x:v>
      </x:c>
      <x:c r="E406" t="str">
        <x:v>Order:59:6</x:v>
      </x:c>
      <x:c r="F406" t="str">
        <x:v>Дата</x:v>
      </x:c>
      <x:c r="G406" t="str">
        <x:v>Medium</x:v>
      </x:c>
      <x:c r="H406" t="str">
        <x:v>order_date</x:v>
      </x:c>
      <x:c r="I406" t="str">
        <x:v>Сверить дату со срезом и исходной записью</x:v>
      </x:c>
      <x:c r="J406" t="n">
        <x:f>IF(D406=1,K406,0)</x:f>
        <x:v>0</x:v>
      </x:c>
      <x:c r="K406" t="n">
        <x:f>D406+K405</x:f>
        <x:v>7</x:v>
      </x:c>
    </x:row>
    <x:row r="407">
      <x:c r="A407" t="str">
        <x:v>Order</x:v>
      </x:c>
      <x:c r="B407" t="n">
        <x:f>'04_checks'!B59</x:f>
        <x:v>1058</x:v>
      </x:c>
      <x:c r="C407" t="n">
        <x:v>59</x:v>
      </x:c>
      <x:c r="D407" t="n">
        <x:f>IF('04_checks'!I59="ERROR",1,0)</x:f>
        <x:v>0</x:v>
      </x:c>
      <x:c r="E407" t="str">
        <x:v>Order:59:7</x:v>
      </x:c>
      <x:c r="F407" t="str">
        <x:v>Статус</x:v>
      </x:c>
      <x:c r="G407" t="str">
        <x:v>Medium</x:v>
      </x:c>
      <x:c r="H407" t="str">
        <x:v>status</x:v>
      </x:c>
      <x:c r="I407" t="str">
        <x:v>Выбрать допустимый статус</x:v>
      </x:c>
      <x:c r="J407" t="n">
        <x:f>IF(D407=1,K407,0)</x:f>
        <x:v>0</x:v>
      </x:c>
      <x:c r="K407" t="n">
        <x:f>D407+K406</x:f>
        <x:v>7</x:v>
      </x:c>
    </x:row>
    <x:row r="408">
      <x:c r="A408" t="str">
        <x:v>Order</x:v>
      </x:c>
      <x:c r="B408" t="n">
        <x:f>'04_checks'!B60</x:f>
        <x:v>1059</x:v>
      </x:c>
      <x:c r="C408" t="n">
        <x:v>60</x:v>
      </x:c>
      <x:c r="D408" t="n">
        <x:f>IF('04_checks'!C60="ERROR",1,0)</x:f>
        <x:v>0</x:v>
      </x:c>
      <x:c r="E408" t="str">
        <x:v>Order:60:1</x:v>
      </x:c>
      <x:c r="F408" t="str">
        <x:v>Дубль</x:v>
      </x:c>
      <x:c r="G408" t="str">
        <x:v>High</x:v>
      </x:c>
      <x:c r="H408" t="str">
        <x:v>order_id</x:v>
      </x:c>
      <x:c r="I408" t="str">
        <x:v>Проверить уникальность ID в источнике; не удалять записи автоматически</x:v>
      </x:c>
      <x:c r="J408" t="n">
        <x:f>IF(D408=1,K408,0)</x:f>
        <x:v>0</x:v>
      </x:c>
      <x:c r="K408" t="n">
        <x:f>D408+K407</x:f>
        <x:v>7</x:v>
      </x:c>
    </x:row>
    <x:row r="409">
      <x:c r="A409" t="str">
        <x:v>Order</x:v>
      </x:c>
      <x:c r="B409" t="n">
        <x:f>'04_checks'!B60</x:f>
        <x:v>1059</x:v>
      </x:c>
      <x:c r="C409" t="n">
        <x:v>60</x:v>
      </x:c>
      <x:c r="D409" t="n">
        <x:f>IF('04_checks'!D60="ERROR",1,0)</x:f>
        <x:v>0</x:v>
      </x:c>
      <x:c r="E409" t="str">
        <x:v>Order:60:2</x:v>
      </x:c>
      <x:c r="F409" t="str">
        <x:v>Пустое поле</x:v>
      </x:c>
      <x:c r="G409" t="str">
        <x:v>High</x:v>
      </x:c>
      <x:c r="H409" t="str">
        <x:v>required_fields</x:v>
      </x:c>
      <x:c r="I409" t="str">
        <x:v>Дополнить обязательные поля в источнике</x:v>
      </x:c>
      <x:c r="J409" t="n">
        <x:f>IF(D409=1,K409,0)</x:f>
        <x:v>0</x:v>
      </x:c>
      <x:c r="K409" t="n">
        <x:f>D409+K408</x:f>
        <x:v>7</x:v>
      </x:c>
    </x:row>
    <x:row r="410">
      <x:c r="A410" t="str">
        <x:v>Order</x:v>
      </x:c>
      <x:c r="B410" t="n">
        <x:f>'04_checks'!B60</x:f>
        <x:v>1059</x:v>
      </x:c>
      <x:c r="C410" t="n">
        <x:v>60</x:v>
      </x:c>
      <x:c r="D410" t="n">
        <x:f>IF('04_checks'!E60="ERROR",1,0)</x:f>
        <x:v>0</x:v>
      </x:c>
      <x:c r="E410" t="str">
        <x:v>Order:60:3</x:v>
      </x:c>
      <x:c r="F410" t="str">
        <x:f>IF(COUNTIF('02_clients_raw'!$A$2:$A$67,'01_orders_raw'!C60)&gt;1,"Неоднозначная связь","Нет связи")</x:f>
        <x:v>Нет связи</x:v>
      </x:c>
      <x:c r="G410" t="str">
        <x:v>High</x:v>
      </x:c>
      <x:c r="H410" t="str">
        <x:v>client_id</x:v>
      </x:c>
      <x:c r="I410" t="str">
        <x:v>Исправить ссылку или разрешить дубли связанного ID</x:v>
      </x:c>
      <x:c r="J410" t="n">
        <x:f>IF(D410=1,K410,0)</x:f>
        <x:v>0</x:v>
      </x:c>
      <x:c r="K410" t="n">
        <x:f>D410+K409</x:f>
        <x:v>7</x:v>
      </x:c>
    </x:row>
    <x:row r="411">
      <x:c r="A411" t="str">
        <x:v>Order</x:v>
      </x:c>
      <x:c r="B411" t="n">
        <x:f>'04_checks'!B60</x:f>
        <x:v>1059</x:v>
      </x:c>
      <x:c r="C411" t="n">
        <x:v>60</x:v>
      </x:c>
      <x:c r="D411" t="n">
        <x:f>IF('04_checks'!F60="ERROR",1,0)</x:f>
        <x:v>0</x:v>
      </x:c>
      <x:c r="E411" t="str">
        <x:v>Order:60:4</x:v>
      </x:c>
      <x:c r="F411" t="str">
        <x:v>Ошибка расчета</x:v>
      </x:c>
      <x:c r="G411" t="str">
        <x:v>High</x:v>
      </x:c>
      <x:c r="H411" t="str">
        <x:v>quantity/price/order_sum</x:v>
      </x:c>
      <x:c r="I411" t="str">
        <x:v>Сверить исходные значения и правило расчёта</x:v>
      </x:c>
      <x:c r="J411" t="n">
        <x:f>IF(D411=1,K411,0)</x:f>
        <x:v>0</x:v>
      </x:c>
      <x:c r="K411" t="n">
        <x:f>D411+K410</x:f>
        <x:v>7</x:v>
      </x:c>
    </x:row>
    <x:row r="412">
      <x:c r="A412" t="str">
        <x:v>Order</x:v>
      </x:c>
      <x:c r="B412" t="n">
        <x:f>'04_checks'!B60</x:f>
        <x:v>1059</x:v>
      </x:c>
      <x:c r="C412" t="n">
        <x:v>60</x:v>
      </x:c>
      <x:c r="D412" t="n">
        <x:f>IF('04_checks'!G60="ERROR",1,0)</x:f>
        <x:v>0</x:v>
      </x:c>
      <x:c r="E412" t="str">
        <x:v>Order:60:5</x:v>
      </x:c>
      <x:c r="F412" t="str">
        <x:v>Отрицательная цена</x:v>
      </x:c>
      <x:c r="G412" t="str">
        <x:v>High</x:v>
      </x:c>
      <x:c r="H412" t="str">
        <x:v>price</x:v>
      </x:c>
      <x:c r="I412" t="str">
        <x:v>Проверить цену в источнике</x:v>
      </x:c>
      <x:c r="J412" t="n">
        <x:f>IF(D412=1,K412,0)</x:f>
        <x:v>0</x:v>
      </x:c>
      <x:c r="K412" t="n">
        <x:f>D412+K411</x:f>
        <x:v>7</x:v>
      </x:c>
    </x:row>
    <x:row r="413">
      <x:c r="A413" t="str">
        <x:v>Order</x:v>
      </x:c>
      <x:c r="B413" t="n">
        <x:f>'04_checks'!B60</x:f>
        <x:v>1059</x:v>
      </x:c>
      <x:c r="C413" t="n">
        <x:v>60</x:v>
      </x:c>
      <x:c r="D413" t="n">
        <x:f>IF('04_checks'!H60="ERROR",1,0)</x:f>
        <x:v>0</x:v>
      </x:c>
      <x:c r="E413" t="str">
        <x:v>Order:60:6</x:v>
      </x:c>
      <x:c r="F413" t="str">
        <x:v>Дата</x:v>
      </x:c>
      <x:c r="G413" t="str">
        <x:v>Medium</x:v>
      </x:c>
      <x:c r="H413" t="str">
        <x:v>order_date</x:v>
      </x:c>
      <x:c r="I413" t="str">
        <x:v>Сверить дату со срезом и исходной записью</x:v>
      </x:c>
      <x:c r="J413" t="n">
        <x:f>IF(D413=1,K413,0)</x:f>
        <x:v>0</x:v>
      </x:c>
      <x:c r="K413" t="n">
        <x:f>D413+K412</x:f>
        <x:v>7</x:v>
      </x:c>
    </x:row>
    <x:row r="414">
      <x:c r="A414" t="str">
        <x:v>Order</x:v>
      </x:c>
      <x:c r="B414" t="n">
        <x:f>'04_checks'!B60</x:f>
        <x:v>1059</x:v>
      </x:c>
      <x:c r="C414" t="n">
        <x:v>60</x:v>
      </x:c>
      <x:c r="D414" t="n">
        <x:f>IF('04_checks'!I60="ERROR",1,0)</x:f>
        <x:v>0</x:v>
      </x:c>
      <x:c r="E414" t="str">
        <x:v>Order:60:7</x:v>
      </x:c>
      <x:c r="F414" t="str">
        <x:v>Статус</x:v>
      </x:c>
      <x:c r="G414" t="str">
        <x:v>Medium</x:v>
      </x:c>
      <x:c r="H414" t="str">
        <x:v>status</x:v>
      </x:c>
      <x:c r="I414" t="str">
        <x:v>Выбрать допустимый статус</x:v>
      </x:c>
      <x:c r="J414" t="n">
        <x:f>IF(D414=1,K414,0)</x:f>
        <x:v>0</x:v>
      </x:c>
      <x:c r="K414" t="n">
        <x:f>D414+K413</x:f>
        <x:v>7</x:v>
      </x:c>
    </x:row>
    <x:row r="415">
      <x:c r="A415" t="str">
        <x:v>Order</x:v>
      </x:c>
      <x:c r="B415" t="n">
        <x:f>'04_checks'!B61</x:f>
        <x:v>1060</x:v>
      </x:c>
      <x:c r="C415" t="n">
        <x:v>61</x:v>
      </x:c>
      <x:c r="D415" t="n">
        <x:f>IF('04_checks'!C61="ERROR",1,0)</x:f>
        <x:v>0</x:v>
      </x:c>
      <x:c r="E415" t="str">
        <x:v>Order:61:1</x:v>
      </x:c>
      <x:c r="F415" t="str">
        <x:v>Дубль</x:v>
      </x:c>
      <x:c r="G415" t="str">
        <x:v>High</x:v>
      </x:c>
      <x:c r="H415" t="str">
        <x:v>order_id</x:v>
      </x:c>
      <x:c r="I415" t="str">
        <x:v>Проверить уникальность ID в источнике; не удалять записи автоматически</x:v>
      </x:c>
      <x:c r="J415" t="n">
        <x:f>IF(D415=1,K415,0)</x:f>
        <x:v>0</x:v>
      </x:c>
      <x:c r="K415" t="n">
        <x:f>D415+K414</x:f>
        <x:v>7</x:v>
      </x:c>
    </x:row>
    <x:row r="416">
      <x:c r="A416" t="str">
        <x:v>Order</x:v>
      </x:c>
      <x:c r="B416" t="n">
        <x:f>'04_checks'!B61</x:f>
        <x:v>1060</x:v>
      </x:c>
      <x:c r="C416" t="n">
        <x:v>61</x:v>
      </x:c>
      <x:c r="D416" t="n">
        <x:f>IF('04_checks'!D61="ERROR",1,0)</x:f>
        <x:v>0</x:v>
      </x:c>
      <x:c r="E416" t="str">
        <x:v>Order:61:2</x:v>
      </x:c>
      <x:c r="F416" t="str">
        <x:v>Пустое поле</x:v>
      </x:c>
      <x:c r="G416" t="str">
        <x:v>High</x:v>
      </x:c>
      <x:c r="H416" t="str">
        <x:v>required_fields</x:v>
      </x:c>
      <x:c r="I416" t="str">
        <x:v>Дополнить обязательные поля в источнике</x:v>
      </x:c>
      <x:c r="J416" t="n">
        <x:f>IF(D416=1,K416,0)</x:f>
        <x:v>0</x:v>
      </x:c>
      <x:c r="K416" t="n">
        <x:f>D416+K415</x:f>
        <x:v>7</x:v>
      </x:c>
    </x:row>
    <x:row r="417">
      <x:c r="A417" t="str">
        <x:v>Order</x:v>
      </x:c>
      <x:c r="B417" t="n">
        <x:f>'04_checks'!B61</x:f>
        <x:v>1060</x:v>
      </x:c>
      <x:c r="C417" t="n">
        <x:v>61</x:v>
      </x:c>
      <x:c r="D417" t="n">
        <x:f>IF('04_checks'!E61="ERROR",1,0)</x:f>
        <x:v>0</x:v>
      </x:c>
      <x:c r="E417" t="str">
        <x:v>Order:61:3</x:v>
      </x:c>
      <x:c r="F417" t="str">
        <x:f>IF(COUNTIF('02_clients_raw'!$A$2:$A$67,'01_orders_raw'!C61)&gt;1,"Неоднозначная связь","Нет связи")</x:f>
        <x:v>Нет связи</x:v>
      </x:c>
      <x:c r="G417" t="str">
        <x:v>High</x:v>
      </x:c>
      <x:c r="H417" t="str">
        <x:v>client_id</x:v>
      </x:c>
      <x:c r="I417" t="str">
        <x:v>Исправить ссылку или разрешить дубли связанного ID</x:v>
      </x:c>
      <x:c r="J417" t="n">
        <x:f>IF(D417=1,K417,0)</x:f>
        <x:v>0</x:v>
      </x:c>
      <x:c r="K417" t="n">
        <x:f>D417+K416</x:f>
        <x:v>7</x:v>
      </x:c>
    </x:row>
    <x:row r="418">
      <x:c r="A418" t="str">
        <x:v>Order</x:v>
      </x:c>
      <x:c r="B418" t="n">
        <x:f>'04_checks'!B61</x:f>
        <x:v>1060</x:v>
      </x:c>
      <x:c r="C418" t="n">
        <x:v>61</x:v>
      </x:c>
      <x:c r="D418" t="n">
        <x:f>IF('04_checks'!F61="ERROR",1,0)</x:f>
        <x:v>0</x:v>
      </x:c>
      <x:c r="E418" t="str">
        <x:v>Order:61:4</x:v>
      </x:c>
      <x:c r="F418" t="str">
        <x:v>Ошибка расчета</x:v>
      </x:c>
      <x:c r="G418" t="str">
        <x:v>High</x:v>
      </x:c>
      <x:c r="H418" t="str">
        <x:v>quantity/price/order_sum</x:v>
      </x:c>
      <x:c r="I418" t="str">
        <x:v>Сверить исходные значения и правило расчёта</x:v>
      </x:c>
      <x:c r="J418" t="n">
        <x:f>IF(D418=1,K418,0)</x:f>
        <x:v>0</x:v>
      </x:c>
      <x:c r="K418" t="n">
        <x:f>D418+K417</x:f>
        <x:v>7</x:v>
      </x:c>
    </x:row>
    <x:row r="419">
      <x:c r="A419" t="str">
        <x:v>Order</x:v>
      </x:c>
      <x:c r="B419" t="n">
        <x:f>'04_checks'!B61</x:f>
        <x:v>1060</x:v>
      </x:c>
      <x:c r="C419" t="n">
        <x:v>61</x:v>
      </x:c>
      <x:c r="D419" t="n">
        <x:f>IF('04_checks'!G61="ERROR",1,0)</x:f>
        <x:v>0</x:v>
      </x:c>
      <x:c r="E419" t="str">
        <x:v>Order:61:5</x:v>
      </x:c>
      <x:c r="F419" t="str">
        <x:v>Отрицательная цена</x:v>
      </x:c>
      <x:c r="G419" t="str">
        <x:v>High</x:v>
      </x:c>
      <x:c r="H419" t="str">
        <x:v>price</x:v>
      </x:c>
      <x:c r="I419" t="str">
        <x:v>Проверить цену в источнике</x:v>
      </x:c>
      <x:c r="J419" t="n">
        <x:f>IF(D419=1,K419,0)</x:f>
        <x:v>0</x:v>
      </x:c>
      <x:c r="K419" t="n">
        <x:f>D419+K418</x:f>
        <x:v>7</x:v>
      </x:c>
    </x:row>
    <x:row r="420">
      <x:c r="A420" t="str">
        <x:v>Order</x:v>
      </x:c>
      <x:c r="B420" t="n">
        <x:f>'04_checks'!B61</x:f>
        <x:v>1060</x:v>
      </x:c>
      <x:c r="C420" t="n">
        <x:v>61</x:v>
      </x:c>
      <x:c r="D420" t="n">
        <x:f>IF('04_checks'!H61="ERROR",1,0)</x:f>
        <x:v>0</x:v>
      </x:c>
      <x:c r="E420" t="str">
        <x:v>Order:61:6</x:v>
      </x:c>
      <x:c r="F420" t="str">
        <x:v>Дата</x:v>
      </x:c>
      <x:c r="G420" t="str">
        <x:v>Medium</x:v>
      </x:c>
      <x:c r="H420" t="str">
        <x:v>order_date</x:v>
      </x:c>
      <x:c r="I420" t="str">
        <x:v>Сверить дату со срезом и исходной записью</x:v>
      </x:c>
      <x:c r="J420" t="n">
        <x:f>IF(D420=1,K420,0)</x:f>
        <x:v>0</x:v>
      </x:c>
      <x:c r="K420" t="n">
        <x:f>D420+K419</x:f>
        <x:v>7</x:v>
      </x:c>
    </x:row>
    <x:row r="421">
      <x:c r="A421" t="str">
        <x:v>Order</x:v>
      </x:c>
      <x:c r="B421" t="n">
        <x:f>'04_checks'!B61</x:f>
        <x:v>1060</x:v>
      </x:c>
      <x:c r="C421" t="n">
        <x:v>61</x:v>
      </x:c>
      <x:c r="D421" t="n">
        <x:f>IF('04_checks'!I61="ERROR",1,0)</x:f>
        <x:v>0</x:v>
      </x:c>
      <x:c r="E421" t="str">
        <x:v>Order:61:7</x:v>
      </x:c>
      <x:c r="F421" t="str">
        <x:v>Статус</x:v>
      </x:c>
      <x:c r="G421" t="str">
        <x:v>Medium</x:v>
      </x:c>
      <x:c r="H421" t="str">
        <x:v>status</x:v>
      </x:c>
      <x:c r="I421" t="str">
        <x:v>Выбрать допустимый статус</x:v>
      </x:c>
      <x:c r="J421" t="n">
        <x:f>IF(D421=1,K421,0)</x:f>
        <x:v>0</x:v>
      </x:c>
      <x:c r="K421" t="n">
        <x:f>D421+K420</x:f>
        <x:v>7</x:v>
      </x:c>
    </x:row>
    <x:row r="422">
      <x:c r="A422" t="str">
        <x:v>Order</x:v>
      </x:c>
      <x:c r="B422" t="n">
        <x:f>'04_checks'!B62</x:f>
        <x:v>1061</x:v>
      </x:c>
      <x:c r="C422" t="n">
        <x:v>62</x:v>
      </x:c>
      <x:c r="D422" t="n">
        <x:f>IF('04_checks'!C62="ERROR",1,0)</x:f>
        <x:v>0</x:v>
      </x:c>
      <x:c r="E422" t="str">
        <x:v>Order:62:1</x:v>
      </x:c>
      <x:c r="F422" t="str">
        <x:v>Дубль</x:v>
      </x:c>
      <x:c r="G422" t="str">
        <x:v>High</x:v>
      </x:c>
      <x:c r="H422" t="str">
        <x:v>order_id</x:v>
      </x:c>
      <x:c r="I422" t="str">
        <x:v>Проверить уникальность ID в источнике; не удалять записи автоматически</x:v>
      </x:c>
      <x:c r="J422" t="n">
        <x:f>IF(D422=1,K422,0)</x:f>
        <x:v>0</x:v>
      </x:c>
      <x:c r="K422" t="n">
        <x:f>D422+K421</x:f>
        <x:v>7</x:v>
      </x:c>
    </x:row>
    <x:row r="423">
      <x:c r="A423" t="str">
        <x:v>Order</x:v>
      </x:c>
      <x:c r="B423" t="n">
        <x:f>'04_checks'!B62</x:f>
        <x:v>1061</x:v>
      </x:c>
      <x:c r="C423" t="n">
        <x:v>62</x:v>
      </x:c>
      <x:c r="D423" t="n">
        <x:f>IF('04_checks'!D62="ERROR",1,0)</x:f>
        <x:v>0</x:v>
      </x:c>
      <x:c r="E423" t="str">
        <x:v>Order:62:2</x:v>
      </x:c>
      <x:c r="F423" t="str">
        <x:v>Пустое поле</x:v>
      </x:c>
      <x:c r="G423" t="str">
        <x:v>High</x:v>
      </x:c>
      <x:c r="H423" t="str">
        <x:v>required_fields</x:v>
      </x:c>
      <x:c r="I423" t="str">
        <x:v>Дополнить обязательные поля в источнике</x:v>
      </x:c>
      <x:c r="J423" t="n">
        <x:f>IF(D423=1,K423,0)</x:f>
        <x:v>0</x:v>
      </x:c>
      <x:c r="K423" t="n">
        <x:f>D423+K422</x:f>
        <x:v>7</x:v>
      </x:c>
    </x:row>
    <x:row r="424">
      <x:c r="A424" t="str">
        <x:v>Order</x:v>
      </x:c>
      <x:c r="B424" t="n">
        <x:f>'04_checks'!B62</x:f>
        <x:v>1061</x:v>
      </x:c>
      <x:c r="C424" t="n">
        <x:v>62</x:v>
      </x:c>
      <x:c r="D424" t="n">
        <x:f>IF('04_checks'!E62="ERROR",1,0)</x:f>
        <x:v>0</x:v>
      </x:c>
      <x:c r="E424" t="str">
        <x:v>Order:62:3</x:v>
      </x:c>
      <x:c r="F424" t="str">
        <x:f>IF(COUNTIF('02_clients_raw'!$A$2:$A$67,'01_orders_raw'!C62)&gt;1,"Неоднозначная связь","Нет связи")</x:f>
        <x:v>Нет связи</x:v>
      </x:c>
      <x:c r="G424" t="str">
        <x:v>High</x:v>
      </x:c>
      <x:c r="H424" t="str">
        <x:v>client_id</x:v>
      </x:c>
      <x:c r="I424" t="str">
        <x:v>Исправить ссылку или разрешить дубли связанного ID</x:v>
      </x:c>
      <x:c r="J424" t="n">
        <x:f>IF(D424=1,K424,0)</x:f>
        <x:v>0</x:v>
      </x:c>
      <x:c r="K424" t="n">
        <x:f>D424+K423</x:f>
        <x:v>7</x:v>
      </x:c>
    </x:row>
    <x:row r="425">
      <x:c r="A425" t="str">
        <x:v>Order</x:v>
      </x:c>
      <x:c r="B425" t="n">
        <x:f>'04_checks'!B62</x:f>
        <x:v>1061</x:v>
      </x:c>
      <x:c r="C425" t="n">
        <x:v>62</x:v>
      </x:c>
      <x:c r="D425" t="n">
        <x:f>IF('04_checks'!F62="ERROR",1,0)</x:f>
        <x:v>0</x:v>
      </x:c>
      <x:c r="E425" t="str">
        <x:v>Order:62:4</x:v>
      </x:c>
      <x:c r="F425" t="str">
        <x:v>Ошибка расчета</x:v>
      </x:c>
      <x:c r="G425" t="str">
        <x:v>High</x:v>
      </x:c>
      <x:c r="H425" t="str">
        <x:v>quantity/price/order_sum</x:v>
      </x:c>
      <x:c r="I425" t="str">
        <x:v>Сверить исходные значения и правило расчёта</x:v>
      </x:c>
      <x:c r="J425" t="n">
        <x:f>IF(D425=1,K425,0)</x:f>
        <x:v>0</x:v>
      </x:c>
      <x:c r="K425" t="n">
        <x:f>D425+K424</x:f>
        <x:v>7</x:v>
      </x:c>
    </x:row>
    <x:row r="426">
      <x:c r="A426" t="str">
        <x:v>Order</x:v>
      </x:c>
      <x:c r="B426" t="n">
        <x:f>'04_checks'!B62</x:f>
        <x:v>1061</x:v>
      </x:c>
      <x:c r="C426" t="n">
        <x:v>62</x:v>
      </x:c>
      <x:c r="D426" t="n">
        <x:f>IF('04_checks'!G62="ERROR",1,0)</x:f>
        <x:v>0</x:v>
      </x:c>
      <x:c r="E426" t="str">
        <x:v>Order:62:5</x:v>
      </x:c>
      <x:c r="F426" t="str">
        <x:v>Отрицательная цена</x:v>
      </x:c>
      <x:c r="G426" t="str">
        <x:v>High</x:v>
      </x:c>
      <x:c r="H426" t="str">
        <x:v>price</x:v>
      </x:c>
      <x:c r="I426" t="str">
        <x:v>Проверить цену в источнике</x:v>
      </x:c>
      <x:c r="J426" t="n">
        <x:f>IF(D426=1,K426,0)</x:f>
        <x:v>0</x:v>
      </x:c>
      <x:c r="K426" t="n">
        <x:f>D426+K425</x:f>
        <x:v>7</x:v>
      </x:c>
    </x:row>
    <x:row r="427">
      <x:c r="A427" t="str">
        <x:v>Order</x:v>
      </x:c>
      <x:c r="B427" t="n">
        <x:f>'04_checks'!B62</x:f>
        <x:v>1061</x:v>
      </x:c>
      <x:c r="C427" t="n">
        <x:v>62</x:v>
      </x:c>
      <x:c r="D427" t="n">
        <x:f>IF('04_checks'!H62="ERROR",1,0)</x:f>
        <x:v>0</x:v>
      </x:c>
      <x:c r="E427" t="str">
        <x:v>Order:62:6</x:v>
      </x:c>
      <x:c r="F427" t="str">
        <x:v>Дата</x:v>
      </x:c>
      <x:c r="G427" t="str">
        <x:v>Medium</x:v>
      </x:c>
      <x:c r="H427" t="str">
        <x:v>order_date</x:v>
      </x:c>
      <x:c r="I427" t="str">
        <x:v>Сверить дату со срезом и исходной записью</x:v>
      </x:c>
      <x:c r="J427" t="n">
        <x:f>IF(D427=1,K427,0)</x:f>
        <x:v>0</x:v>
      </x:c>
      <x:c r="K427" t="n">
        <x:f>D427+K426</x:f>
        <x:v>7</x:v>
      </x:c>
    </x:row>
    <x:row r="428">
      <x:c r="A428" t="str">
        <x:v>Order</x:v>
      </x:c>
      <x:c r="B428" t="n">
        <x:f>'04_checks'!B62</x:f>
        <x:v>1061</x:v>
      </x:c>
      <x:c r="C428" t="n">
        <x:v>62</x:v>
      </x:c>
      <x:c r="D428" t="n">
        <x:f>IF('04_checks'!I62="ERROR",1,0)</x:f>
        <x:v>0</x:v>
      </x:c>
      <x:c r="E428" t="str">
        <x:v>Order:62:7</x:v>
      </x:c>
      <x:c r="F428" t="str">
        <x:v>Статус</x:v>
      </x:c>
      <x:c r="G428" t="str">
        <x:v>Medium</x:v>
      </x:c>
      <x:c r="H428" t="str">
        <x:v>status</x:v>
      </x:c>
      <x:c r="I428" t="str">
        <x:v>Выбрать допустимый статус</x:v>
      </x:c>
      <x:c r="J428" t="n">
        <x:f>IF(D428=1,K428,0)</x:f>
        <x:v>0</x:v>
      </x:c>
      <x:c r="K428" t="n">
        <x:f>D428+K427</x:f>
        <x:v>7</x:v>
      </x:c>
    </x:row>
    <x:row r="429">
      <x:c r="A429" t="str">
        <x:v>Order</x:v>
      </x:c>
      <x:c r="B429" t="n">
        <x:f>'04_checks'!B63</x:f>
        <x:v>1062</x:v>
      </x:c>
      <x:c r="C429" t="n">
        <x:v>63</x:v>
      </x:c>
      <x:c r="D429" t="n">
        <x:f>IF('04_checks'!C63="ERROR",1,0)</x:f>
        <x:v>0</x:v>
      </x:c>
      <x:c r="E429" t="str">
        <x:v>Order:63:1</x:v>
      </x:c>
      <x:c r="F429" t="str">
        <x:v>Дубль</x:v>
      </x:c>
      <x:c r="G429" t="str">
        <x:v>High</x:v>
      </x:c>
      <x:c r="H429" t="str">
        <x:v>order_id</x:v>
      </x:c>
      <x:c r="I429" t="str">
        <x:v>Проверить уникальность ID в источнике; не удалять записи автоматически</x:v>
      </x:c>
      <x:c r="J429" t="n">
        <x:f>IF(D429=1,K429,0)</x:f>
        <x:v>0</x:v>
      </x:c>
      <x:c r="K429" t="n">
        <x:f>D429+K428</x:f>
        <x:v>7</x:v>
      </x:c>
    </x:row>
    <x:row r="430">
      <x:c r="A430" t="str">
        <x:v>Order</x:v>
      </x:c>
      <x:c r="B430" t="n">
        <x:f>'04_checks'!B63</x:f>
        <x:v>1062</x:v>
      </x:c>
      <x:c r="C430" t="n">
        <x:v>63</x:v>
      </x:c>
      <x:c r="D430" t="n">
        <x:f>IF('04_checks'!D63="ERROR",1,0)</x:f>
        <x:v>0</x:v>
      </x:c>
      <x:c r="E430" t="str">
        <x:v>Order:63:2</x:v>
      </x:c>
      <x:c r="F430" t="str">
        <x:v>Пустое поле</x:v>
      </x:c>
      <x:c r="G430" t="str">
        <x:v>High</x:v>
      </x:c>
      <x:c r="H430" t="str">
        <x:v>required_fields</x:v>
      </x:c>
      <x:c r="I430" t="str">
        <x:v>Дополнить обязательные поля в источнике</x:v>
      </x:c>
      <x:c r="J430" t="n">
        <x:f>IF(D430=1,K430,0)</x:f>
        <x:v>0</x:v>
      </x:c>
      <x:c r="K430" t="n">
        <x:f>D430+K429</x:f>
        <x:v>7</x:v>
      </x:c>
    </x:row>
    <x:row r="431">
      <x:c r="A431" t="str">
        <x:v>Order</x:v>
      </x:c>
      <x:c r="B431" t="n">
        <x:f>'04_checks'!B63</x:f>
        <x:v>1062</x:v>
      </x:c>
      <x:c r="C431" t="n">
        <x:v>63</x:v>
      </x:c>
      <x:c r="D431" t="n">
        <x:f>IF('04_checks'!E63="ERROR",1,0)</x:f>
        <x:v>0</x:v>
      </x:c>
      <x:c r="E431" t="str">
        <x:v>Order:63:3</x:v>
      </x:c>
      <x:c r="F431" t="str">
        <x:f>IF(COUNTIF('02_clients_raw'!$A$2:$A$67,'01_orders_raw'!C63)&gt;1,"Неоднозначная связь","Нет связи")</x:f>
        <x:v>Нет связи</x:v>
      </x:c>
      <x:c r="G431" t="str">
        <x:v>High</x:v>
      </x:c>
      <x:c r="H431" t="str">
        <x:v>client_id</x:v>
      </x:c>
      <x:c r="I431" t="str">
        <x:v>Исправить ссылку или разрешить дубли связанного ID</x:v>
      </x:c>
      <x:c r="J431" t="n">
        <x:f>IF(D431=1,K431,0)</x:f>
        <x:v>0</x:v>
      </x:c>
      <x:c r="K431" t="n">
        <x:f>D431+K430</x:f>
        <x:v>7</x:v>
      </x:c>
    </x:row>
    <x:row r="432">
      <x:c r="A432" t="str">
        <x:v>Order</x:v>
      </x:c>
      <x:c r="B432" t="n">
        <x:f>'04_checks'!B63</x:f>
        <x:v>1062</x:v>
      </x:c>
      <x:c r="C432" t="n">
        <x:v>63</x:v>
      </x:c>
      <x:c r="D432" t="n">
        <x:f>IF('04_checks'!F63="ERROR",1,0)</x:f>
        <x:v>0</x:v>
      </x:c>
      <x:c r="E432" t="str">
        <x:v>Order:63:4</x:v>
      </x:c>
      <x:c r="F432" t="str">
        <x:v>Ошибка расчета</x:v>
      </x:c>
      <x:c r="G432" t="str">
        <x:v>High</x:v>
      </x:c>
      <x:c r="H432" t="str">
        <x:v>quantity/price/order_sum</x:v>
      </x:c>
      <x:c r="I432" t="str">
        <x:v>Сверить исходные значения и правило расчёта</x:v>
      </x:c>
      <x:c r="J432" t="n">
        <x:f>IF(D432=1,K432,0)</x:f>
        <x:v>0</x:v>
      </x:c>
      <x:c r="K432" t="n">
        <x:f>D432+K431</x:f>
        <x:v>7</x:v>
      </x:c>
    </x:row>
    <x:row r="433">
      <x:c r="A433" t="str">
        <x:v>Order</x:v>
      </x:c>
      <x:c r="B433" t="n">
        <x:f>'04_checks'!B63</x:f>
        <x:v>1062</x:v>
      </x:c>
      <x:c r="C433" t="n">
        <x:v>63</x:v>
      </x:c>
      <x:c r="D433" t="n">
        <x:f>IF('04_checks'!G63="ERROR",1,0)</x:f>
        <x:v>0</x:v>
      </x:c>
      <x:c r="E433" t="str">
        <x:v>Order:63:5</x:v>
      </x:c>
      <x:c r="F433" t="str">
        <x:v>Отрицательная цена</x:v>
      </x:c>
      <x:c r="G433" t="str">
        <x:v>High</x:v>
      </x:c>
      <x:c r="H433" t="str">
        <x:v>price</x:v>
      </x:c>
      <x:c r="I433" t="str">
        <x:v>Проверить цену в источнике</x:v>
      </x:c>
      <x:c r="J433" t="n">
        <x:f>IF(D433=1,K433,0)</x:f>
        <x:v>0</x:v>
      </x:c>
      <x:c r="K433" t="n">
        <x:f>D433+K432</x:f>
        <x:v>7</x:v>
      </x:c>
    </x:row>
    <x:row r="434">
      <x:c r="A434" t="str">
        <x:v>Order</x:v>
      </x:c>
      <x:c r="B434" t="n">
        <x:f>'04_checks'!B63</x:f>
        <x:v>1062</x:v>
      </x:c>
      <x:c r="C434" t="n">
        <x:v>63</x:v>
      </x:c>
      <x:c r="D434" t="n">
        <x:f>IF('04_checks'!H63="ERROR",1,0)</x:f>
        <x:v>0</x:v>
      </x:c>
      <x:c r="E434" t="str">
        <x:v>Order:63:6</x:v>
      </x:c>
      <x:c r="F434" t="str">
        <x:v>Дата</x:v>
      </x:c>
      <x:c r="G434" t="str">
        <x:v>Medium</x:v>
      </x:c>
      <x:c r="H434" t="str">
        <x:v>order_date</x:v>
      </x:c>
      <x:c r="I434" t="str">
        <x:v>Сверить дату со срезом и исходной записью</x:v>
      </x:c>
      <x:c r="J434" t="n">
        <x:f>IF(D434=1,K434,0)</x:f>
        <x:v>0</x:v>
      </x:c>
      <x:c r="K434" t="n">
        <x:f>D434+K433</x:f>
        <x:v>7</x:v>
      </x:c>
    </x:row>
    <x:row r="435">
      <x:c r="A435" t="str">
        <x:v>Order</x:v>
      </x:c>
      <x:c r="B435" t="n">
        <x:f>'04_checks'!B63</x:f>
        <x:v>1062</x:v>
      </x:c>
      <x:c r="C435" t="n">
        <x:v>63</x:v>
      </x:c>
      <x:c r="D435" t="n">
        <x:f>IF('04_checks'!I63="ERROR",1,0)</x:f>
        <x:v>0</x:v>
      </x:c>
      <x:c r="E435" t="str">
        <x:v>Order:63:7</x:v>
      </x:c>
      <x:c r="F435" t="str">
        <x:v>Статус</x:v>
      </x:c>
      <x:c r="G435" t="str">
        <x:v>Medium</x:v>
      </x:c>
      <x:c r="H435" t="str">
        <x:v>status</x:v>
      </x:c>
      <x:c r="I435" t="str">
        <x:v>Выбрать допустимый статус</x:v>
      </x:c>
      <x:c r="J435" t="n">
        <x:f>IF(D435=1,K435,0)</x:f>
        <x:v>0</x:v>
      </x:c>
      <x:c r="K435" t="n">
        <x:f>D435+K434</x:f>
        <x:v>7</x:v>
      </x:c>
    </x:row>
    <x:row r="436">
      <x:c r="A436" t="str">
        <x:v>Order</x:v>
      </x:c>
      <x:c r="B436" t="n">
        <x:f>'04_checks'!B64</x:f>
        <x:v>1063</x:v>
      </x:c>
      <x:c r="C436" t="n">
        <x:v>64</x:v>
      </x:c>
      <x:c r="D436" t="n">
        <x:f>IF('04_checks'!C64="ERROR",1,0)</x:f>
        <x:v>0</x:v>
      </x:c>
      <x:c r="E436" t="str">
        <x:v>Order:64:1</x:v>
      </x:c>
      <x:c r="F436" t="str">
        <x:v>Дубль</x:v>
      </x:c>
      <x:c r="G436" t="str">
        <x:v>High</x:v>
      </x:c>
      <x:c r="H436" t="str">
        <x:v>order_id</x:v>
      </x:c>
      <x:c r="I436" t="str">
        <x:v>Проверить уникальность ID в источнике; не удалять записи автоматически</x:v>
      </x:c>
      <x:c r="J436" t="n">
        <x:f>IF(D436=1,K436,0)</x:f>
        <x:v>0</x:v>
      </x:c>
      <x:c r="K436" t="n">
        <x:f>D436+K435</x:f>
        <x:v>7</x:v>
      </x:c>
    </x:row>
    <x:row r="437">
      <x:c r="A437" t="str">
        <x:v>Order</x:v>
      </x:c>
      <x:c r="B437" t="n">
        <x:f>'04_checks'!B64</x:f>
        <x:v>1063</x:v>
      </x:c>
      <x:c r="C437" t="n">
        <x:v>64</x:v>
      </x:c>
      <x:c r="D437" t="n">
        <x:f>IF('04_checks'!D64="ERROR",1,0)</x:f>
        <x:v>0</x:v>
      </x:c>
      <x:c r="E437" t="str">
        <x:v>Order:64:2</x:v>
      </x:c>
      <x:c r="F437" t="str">
        <x:v>Пустое поле</x:v>
      </x:c>
      <x:c r="G437" t="str">
        <x:v>High</x:v>
      </x:c>
      <x:c r="H437" t="str">
        <x:v>required_fields</x:v>
      </x:c>
      <x:c r="I437" t="str">
        <x:v>Дополнить обязательные поля в источнике</x:v>
      </x:c>
      <x:c r="J437" t="n">
        <x:f>IF(D437=1,K437,0)</x:f>
        <x:v>0</x:v>
      </x:c>
      <x:c r="K437" t="n">
        <x:f>D437+K436</x:f>
        <x:v>7</x:v>
      </x:c>
    </x:row>
    <x:row r="438">
      <x:c r="A438" t="str">
        <x:v>Order</x:v>
      </x:c>
      <x:c r="B438" t="n">
        <x:f>'04_checks'!B64</x:f>
        <x:v>1063</x:v>
      </x:c>
      <x:c r="C438" t="n">
        <x:v>64</x:v>
      </x:c>
      <x:c r="D438" t="n">
        <x:f>IF('04_checks'!E64="ERROR",1,0)</x:f>
        <x:v>0</x:v>
      </x:c>
      <x:c r="E438" t="str">
        <x:v>Order:64:3</x:v>
      </x:c>
      <x:c r="F438" t="str">
        <x:f>IF(COUNTIF('02_clients_raw'!$A$2:$A$67,'01_orders_raw'!C64)&gt;1,"Неоднозначная связь","Нет связи")</x:f>
        <x:v>Нет связи</x:v>
      </x:c>
      <x:c r="G438" t="str">
        <x:v>High</x:v>
      </x:c>
      <x:c r="H438" t="str">
        <x:v>client_id</x:v>
      </x:c>
      <x:c r="I438" t="str">
        <x:v>Исправить ссылку или разрешить дубли связанного ID</x:v>
      </x:c>
      <x:c r="J438" t="n">
        <x:f>IF(D438=1,K438,0)</x:f>
        <x:v>0</x:v>
      </x:c>
      <x:c r="K438" t="n">
        <x:f>D438+K437</x:f>
        <x:v>7</x:v>
      </x:c>
    </x:row>
    <x:row r="439">
      <x:c r="A439" t="str">
        <x:v>Order</x:v>
      </x:c>
      <x:c r="B439" t="n">
        <x:f>'04_checks'!B64</x:f>
        <x:v>1063</x:v>
      </x:c>
      <x:c r="C439" t="n">
        <x:v>64</x:v>
      </x:c>
      <x:c r="D439" t="n">
        <x:f>IF('04_checks'!F64="ERROR",1,0)</x:f>
        <x:v>0</x:v>
      </x:c>
      <x:c r="E439" t="str">
        <x:v>Order:64:4</x:v>
      </x:c>
      <x:c r="F439" t="str">
        <x:v>Ошибка расчета</x:v>
      </x:c>
      <x:c r="G439" t="str">
        <x:v>High</x:v>
      </x:c>
      <x:c r="H439" t="str">
        <x:v>quantity/price/order_sum</x:v>
      </x:c>
      <x:c r="I439" t="str">
        <x:v>Сверить исходные значения и правило расчёта</x:v>
      </x:c>
      <x:c r="J439" t="n">
        <x:f>IF(D439=1,K439,0)</x:f>
        <x:v>0</x:v>
      </x:c>
      <x:c r="K439" t="n">
        <x:f>D439+K438</x:f>
        <x:v>7</x:v>
      </x:c>
    </x:row>
    <x:row r="440">
      <x:c r="A440" t="str">
        <x:v>Order</x:v>
      </x:c>
      <x:c r="B440" t="n">
        <x:f>'04_checks'!B64</x:f>
        <x:v>1063</x:v>
      </x:c>
      <x:c r="C440" t="n">
        <x:v>64</x:v>
      </x:c>
      <x:c r="D440" t="n">
        <x:f>IF('04_checks'!G64="ERROR",1,0)</x:f>
        <x:v>0</x:v>
      </x:c>
      <x:c r="E440" t="str">
        <x:v>Order:64:5</x:v>
      </x:c>
      <x:c r="F440" t="str">
        <x:v>Отрицательная цена</x:v>
      </x:c>
      <x:c r="G440" t="str">
        <x:v>High</x:v>
      </x:c>
      <x:c r="H440" t="str">
        <x:v>price</x:v>
      </x:c>
      <x:c r="I440" t="str">
        <x:v>Проверить цену в источнике</x:v>
      </x:c>
      <x:c r="J440" t="n">
        <x:f>IF(D440=1,K440,0)</x:f>
        <x:v>0</x:v>
      </x:c>
      <x:c r="K440" t="n">
        <x:f>D440+K439</x:f>
        <x:v>7</x:v>
      </x:c>
    </x:row>
    <x:row r="441">
      <x:c r="A441" t="str">
        <x:v>Order</x:v>
      </x:c>
      <x:c r="B441" t="n">
        <x:f>'04_checks'!B64</x:f>
        <x:v>1063</x:v>
      </x:c>
      <x:c r="C441" t="n">
        <x:v>64</x:v>
      </x:c>
      <x:c r="D441" t="n">
        <x:f>IF('04_checks'!H64="ERROR",1,0)</x:f>
        <x:v>0</x:v>
      </x:c>
      <x:c r="E441" t="str">
        <x:v>Order:64:6</x:v>
      </x:c>
      <x:c r="F441" t="str">
        <x:v>Дата</x:v>
      </x:c>
      <x:c r="G441" t="str">
        <x:v>Medium</x:v>
      </x:c>
      <x:c r="H441" t="str">
        <x:v>order_date</x:v>
      </x:c>
      <x:c r="I441" t="str">
        <x:v>Сверить дату со срезом и исходной записью</x:v>
      </x:c>
      <x:c r="J441" t="n">
        <x:f>IF(D441=1,K441,0)</x:f>
        <x:v>0</x:v>
      </x:c>
      <x:c r="K441" t="n">
        <x:f>D441+K440</x:f>
        <x:v>7</x:v>
      </x:c>
    </x:row>
    <x:row r="442">
      <x:c r="A442" t="str">
        <x:v>Order</x:v>
      </x:c>
      <x:c r="B442" t="n">
        <x:f>'04_checks'!B64</x:f>
        <x:v>1063</x:v>
      </x:c>
      <x:c r="C442" t="n">
        <x:v>64</x:v>
      </x:c>
      <x:c r="D442" t="n">
        <x:f>IF('04_checks'!I64="ERROR",1,0)</x:f>
        <x:v>0</x:v>
      </x:c>
      <x:c r="E442" t="str">
        <x:v>Order:64:7</x:v>
      </x:c>
      <x:c r="F442" t="str">
        <x:v>Статус</x:v>
      </x:c>
      <x:c r="G442" t="str">
        <x:v>Medium</x:v>
      </x:c>
      <x:c r="H442" t="str">
        <x:v>status</x:v>
      </x:c>
      <x:c r="I442" t="str">
        <x:v>Выбрать допустимый статус</x:v>
      </x:c>
      <x:c r="J442" t="n">
        <x:f>IF(D442=1,K442,0)</x:f>
        <x:v>0</x:v>
      </x:c>
      <x:c r="K442" t="n">
        <x:f>D442+K441</x:f>
        <x:v>7</x:v>
      </x:c>
    </x:row>
    <x:row r="443">
      <x:c r="A443" t="str">
        <x:v>Order</x:v>
      </x:c>
      <x:c r="B443" t="n">
        <x:f>'04_checks'!B65</x:f>
        <x:v>1064</x:v>
      </x:c>
      <x:c r="C443" t="n">
        <x:v>65</x:v>
      </x:c>
      <x:c r="D443" t="n">
        <x:f>IF('04_checks'!C65="ERROR",1,0)</x:f>
        <x:v>0</x:v>
      </x:c>
      <x:c r="E443" t="str">
        <x:v>Order:65:1</x:v>
      </x:c>
      <x:c r="F443" t="str">
        <x:v>Дубль</x:v>
      </x:c>
      <x:c r="G443" t="str">
        <x:v>High</x:v>
      </x:c>
      <x:c r="H443" t="str">
        <x:v>order_id</x:v>
      </x:c>
      <x:c r="I443" t="str">
        <x:v>Проверить уникальность ID в источнике; не удалять записи автоматически</x:v>
      </x:c>
      <x:c r="J443" t="n">
        <x:f>IF(D443=1,K443,0)</x:f>
        <x:v>0</x:v>
      </x:c>
      <x:c r="K443" t="n">
        <x:f>D443+K442</x:f>
        <x:v>7</x:v>
      </x:c>
    </x:row>
    <x:row r="444">
      <x:c r="A444" t="str">
        <x:v>Order</x:v>
      </x:c>
      <x:c r="B444" t="n">
        <x:f>'04_checks'!B65</x:f>
        <x:v>1064</x:v>
      </x:c>
      <x:c r="C444" t="n">
        <x:v>65</x:v>
      </x:c>
      <x:c r="D444" t="n">
        <x:f>IF('04_checks'!D65="ERROR",1,0)</x:f>
        <x:v>0</x:v>
      </x:c>
      <x:c r="E444" t="str">
        <x:v>Order:65:2</x:v>
      </x:c>
      <x:c r="F444" t="str">
        <x:v>Пустое поле</x:v>
      </x:c>
      <x:c r="G444" t="str">
        <x:v>High</x:v>
      </x:c>
      <x:c r="H444" t="str">
        <x:v>required_fields</x:v>
      </x:c>
      <x:c r="I444" t="str">
        <x:v>Дополнить обязательные поля в источнике</x:v>
      </x:c>
      <x:c r="J444" t="n">
        <x:f>IF(D444=1,K444,0)</x:f>
        <x:v>0</x:v>
      </x:c>
      <x:c r="K444" t="n">
        <x:f>D444+K443</x:f>
        <x:v>7</x:v>
      </x:c>
    </x:row>
    <x:row r="445">
      <x:c r="A445" t="str">
        <x:v>Order</x:v>
      </x:c>
      <x:c r="B445" t="n">
        <x:f>'04_checks'!B65</x:f>
        <x:v>1064</x:v>
      </x:c>
      <x:c r="C445" t="n">
        <x:v>65</x:v>
      </x:c>
      <x:c r="D445" t="n">
        <x:f>IF('04_checks'!E65="ERROR",1,0)</x:f>
        <x:v>0</x:v>
      </x:c>
      <x:c r="E445" t="str">
        <x:v>Order:65:3</x:v>
      </x:c>
      <x:c r="F445" t="str">
        <x:f>IF(COUNTIF('02_clients_raw'!$A$2:$A$67,'01_orders_raw'!C65)&gt;1,"Неоднозначная связь","Нет связи")</x:f>
        <x:v>Нет связи</x:v>
      </x:c>
      <x:c r="G445" t="str">
        <x:v>High</x:v>
      </x:c>
      <x:c r="H445" t="str">
        <x:v>client_id</x:v>
      </x:c>
      <x:c r="I445" t="str">
        <x:v>Исправить ссылку или разрешить дубли связанного ID</x:v>
      </x:c>
      <x:c r="J445" t="n">
        <x:f>IF(D445=1,K445,0)</x:f>
        <x:v>0</x:v>
      </x:c>
      <x:c r="K445" t="n">
        <x:f>D445+K444</x:f>
        <x:v>7</x:v>
      </x:c>
    </x:row>
    <x:row r="446">
      <x:c r="A446" t="str">
        <x:v>Order</x:v>
      </x:c>
      <x:c r="B446" t="n">
        <x:f>'04_checks'!B65</x:f>
        <x:v>1064</x:v>
      </x:c>
      <x:c r="C446" t="n">
        <x:v>65</x:v>
      </x:c>
      <x:c r="D446" t="n">
        <x:f>IF('04_checks'!F65="ERROR",1,0)</x:f>
        <x:v>0</x:v>
      </x:c>
      <x:c r="E446" t="str">
        <x:v>Order:65:4</x:v>
      </x:c>
      <x:c r="F446" t="str">
        <x:v>Ошибка расчета</x:v>
      </x:c>
      <x:c r="G446" t="str">
        <x:v>High</x:v>
      </x:c>
      <x:c r="H446" t="str">
        <x:v>quantity/price/order_sum</x:v>
      </x:c>
      <x:c r="I446" t="str">
        <x:v>Сверить исходные значения и правило расчёта</x:v>
      </x:c>
      <x:c r="J446" t="n">
        <x:f>IF(D446=1,K446,0)</x:f>
        <x:v>0</x:v>
      </x:c>
      <x:c r="K446" t="n">
        <x:f>D446+K445</x:f>
        <x:v>7</x:v>
      </x:c>
    </x:row>
    <x:row r="447">
      <x:c r="A447" t="str">
        <x:v>Order</x:v>
      </x:c>
      <x:c r="B447" t="n">
        <x:f>'04_checks'!B65</x:f>
        <x:v>1064</x:v>
      </x:c>
      <x:c r="C447" t="n">
        <x:v>65</x:v>
      </x:c>
      <x:c r="D447" t="n">
        <x:f>IF('04_checks'!G65="ERROR",1,0)</x:f>
        <x:v>0</x:v>
      </x:c>
      <x:c r="E447" t="str">
        <x:v>Order:65:5</x:v>
      </x:c>
      <x:c r="F447" t="str">
        <x:v>Отрицательная цена</x:v>
      </x:c>
      <x:c r="G447" t="str">
        <x:v>High</x:v>
      </x:c>
      <x:c r="H447" t="str">
        <x:v>price</x:v>
      </x:c>
      <x:c r="I447" t="str">
        <x:v>Проверить цену в источнике</x:v>
      </x:c>
      <x:c r="J447" t="n">
        <x:f>IF(D447=1,K447,0)</x:f>
        <x:v>0</x:v>
      </x:c>
      <x:c r="K447" t="n">
        <x:f>D447+K446</x:f>
        <x:v>7</x:v>
      </x:c>
    </x:row>
    <x:row r="448">
      <x:c r="A448" t="str">
        <x:v>Order</x:v>
      </x:c>
      <x:c r="B448" t="n">
        <x:f>'04_checks'!B65</x:f>
        <x:v>1064</x:v>
      </x:c>
      <x:c r="C448" t="n">
        <x:v>65</x:v>
      </x:c>
      <x:c r="D448" t="n">
        <x:f>IF('04_checks'!H65="ERROR",1,0)</x:f>
        <x:v>0</x:v>
      </x:c>
      <x:c r="E448" t="str">
        <x:v>Order:65:6</x:v>
      </x:c>
      <x:c r="F448" t="str">
        <x:v>Дата</x:v>
      </x:c>
      <x:c r="G448" t="str">
        <x:v>Medium</x:v>
      </x:c>
      <x:c r="H448" t="str">
        <x:v>order_date</x:v>
      </x:c>
      <x:c r="I448" t="str">
        <x:v>Сверить дату со срезом и исходной записью</x:v>
      </x:c>
      <x:c r="J448" t="n">
        <x:f>IF(D448=1,K448,0)</x:f>
        <x:v>0</x:v>
      </x:c>
      <x:c r="K448" t="n">
        <x:f>D448+K447</x:f>
        <x:v>7</x:v>
      </x:c>
    </x:row>
    <x:row r="449">
      <x:c r="A449" t="str">
        <x:v>Order</x:v>
      </x:c>
      <x:c r="B449" t="n">
        <x:f>'04_checks'!B65</x:f>
        <x:v>1064</x:v>
      </x:c>
      <x:c r="C449" t="n">
        <x:v>65</x:v>
      </x:c>
      <x:c r="D449" t="n">
        <x:f>IF('04_checks'!I65="ERROR",1,0)</x:f>
        <x:v>0</x:v>
      </x:c>
      <x:c r="E449" t="str">
        <x:v>Order:65:7</x:v>
      </x:c>
      <x:c r="F449" t="str">
        <x:v>Статус</x:v>
      </x:c>
      <x:c r="G449" t="str">
        <x:v>Medium</x:v>
      </x:c>
      <x:c r="H449" t="str">
        <x:v>status</x:v>
      </x:c>
      <x:c r="I449" t="str">
        <x:v>Выбрать допустимый статус</x:v>
      </x:c>
      <x:c r="J449" t="n">
        <x:f>IF(D449=1,K449,0)</x:f>
        <x:v>0</x:v>
      </x:c>
      <x:c r="K449" t="n">
        <x:f>D449+K448</x:f>
        <x:v>7</x:v>
      </x:c>
    </x:row>
    <x:row r="450">
      <x:c r="A450" t="str">
        <x:v>Order</x:v>
      </x:c>
      <x:c r="B450" t="n">
        <x:f>'04_checks'!B66</x:f>
        <x:v>1065</x:v>
      </x:c>
      <x:c r="C450" t="n">
        <x:v>66</x:v>
      </x:c>
      <x:c r="D450" t="n">
        <x:f>IF('04_checks'!C66="ERROR",1,0)</x:f>
        <x:v>0</x:v>
      </x:c>
      <x:c r="E450" t="str">
        <x:v>Order:66:1</x:v>
      </x:c>
      <x:c r="F450" t="str">
        <x:v>Дубль</x:v>
      </x:c>
      <x:c r="G450" t="str">
        <x:v>High</x:v>
      </x:c>
      <x:c r="H450" t="str">
        <x:v>order_id</x:v>
      </x:c>
      <x:c r="I450" t="str">
        <x:v>Проверить уникальность ID в источнике; не удалять записи автоматически</x:v>
      </x:c>
      <x:c r="J450" t="n">
        <x:f>IF(D450=1,K450,0)</x:f>
        <x:v>0</x:v>
      </x:c>
      <x:c r="K450" t="n">
        <x:f>D450+K449</x:f>
        <x:v>7</x:v>
      </x:c>
    </x:row>
    <x:row r="451">
      <x:c r="A451" t="str">
        <x:v>Order</x:v>
      </x:c>
      <x:c r="B451" t="n">
        <x:f>'04_checks'!B66</x:f>
        <x:v>1065</x:v>
      </x:c>
      <x:c r="C451" t="n">
        <x:v>66</x:v>
      </x:c>
      <x:c r="D451" t="n">
        <x:f>IF('04_checks'!D66="ERROR",1,0)</x:f>
        <x:v>0</x:v>
      </x:c>
      <x:c r="E451" t="str">
        <x:v>Order:66:2</x:v>
      </x:c>
      <x:c r="F451" t="str">
        <x:v>Пустое поле</x:v>
      </x:c>
      <x:c r="G451" t="str">
        <x:v>High</x:v>
      </x:c>
      <x:c r="H451" t="str">
        <x:v>required_fields</x:v>
      </x:c>
      <x:c r="I451" t="str">
        <x:v>Дополнить обязательные поля в источнике</x:v>
      </x:c>
      <x:c r="J451" t="n">
        <x:f>IF(D451=1,K451,0)</x:f>
        <x:v>0</x:v>
      </x:c>
      <x:c r="K451" t="n">
        <x:f>D451+K450</x:f>
        <x:v>7</x:v>
      </x:c>
    </x:row>
    <x:row r="452">
      <x:c r="A452" t="str">
        <x:v>Order</x:v>
      </x:c>
      <x:c r="B452" t="n">
        <x:f>'04_checks'!B66</x:f>
        <x:v>1065</x:v>
      </x:c>
      <x:c r="C452" t="n">
        <x:v>66</x:v>
      </x:c>
      <x:c r="D452" t="n">
        <x:f>IF('04_checks'!E66="ERROR",1,0)</x:f>
        <x:v>0</x:v>
      </x:c>
      <x:c r="E452" t="str">
        <x:v>Order:66:3</x:v>
      </x:c>
      <x:c r="F452" t="str">
        <x:f>IF(COUNTIF('02_clients_raw'!$A$2:$A$67,'01_orders_raw'!C66)&gt;1,"Неоднозначная связь","Нет связи")</x:f>
        <x:v>Нет связи</x:v>
      </x:c>
      <x:c r="G452" t="str">
        <x:v>High</x:v>
      </x:c>
      <x:c r="H452" t="str">
        <x:v>client_id</x:v>
      </x:c>
      <x:c r="I452" t="str">
        <x:v>Исправить ссылку или разрешить дубли связанного ID</x:v>
      </x:c>
      <x:c r="J452" t="n">
        <x:f>IF(D452=1,K452,0)</x:f>
        <x:v>0</x:v>
      </x:c>
      <x:c r="K452" t="n">
        <x:f>D452+K451</x:f>
        <x:v>7</x:v>
      </x:c>
    </x:row>
    <x:row r="453">
      <x:c r="A453" t="str">
        <x:v>Order</x:v>
      </x:c>
      <x:c r="B453" t="n">
        <x:f>'04_checks'!B66</x:f>
        <x:v>1065</x:v>
      </x:c>
      <x:c r="C453" t="n">
        <x:v>66</x:v>
      </x:c>
      <x:c r="D453" t="n">
        <x:f>IF('04_checks'!F66="ERROR",1,0)</x:f>
        <x:v>0</x:v>
      </x:c>
      <x:c r="E453" t="str">
        <x:v>Order:66:4</x:v>
      </x:c>
      <x:c r="F453" t="str">
        <x:v>Ошибка расчета</x:v>
      </x:c>
      <x:c r="G453" t="str">
        <x:v>High</x:v>
      </x:c>
      <x:c r="H453" t="str">
        <x:v>quantity/price/order_sum</x:v>
      </x:c>
      <x:c r="I453" t="str">
        <x:v>Сверить исходные значения и правило расчёта</x:v>
      </x:c>
      <x:c r="J453" t="n">
        <x:f>IF(D453=1,K453,0)</x:f>
        <x:v>0</x:v>
      </x:c>
      <x:c r="K453" t="n">
        <x:f>D453+K452</x:f>
        <x:v>7</x:v>
      </x:c>
    </x:row>
    <x:row r="454">
      <x:c r="A454" t="str">
        <x:v>Order</x:v>
      </x:c>
      <x:c r="B454" t="n">
        <x:f>'04_checks'!B66</x:f>
        <x:v>1065</x:v>
      </x:c>
      <x:c r="C454" t="n">
        <x:v>66</x:v>
      </x:c>
      <x:c r="D454" t="n">
        <x:f>IF('04_checks'!G66="ERROR",1,0)</x:f>
        <x:v>0</x:v>
      </x:c>
      <x:c r="E454" t="str">
        <x:v>Order:66:5</x:v>
      </x:c>
      <x:c r="F454" t="str">
        <x:v>Отрицательная цена</x:v>
      </x:c>
      <x:c r="G454" t="str">
        <x:v>High</x:v>
      </x:c>
      <x:c r="H454" t="str">
        <x:v>price</x:v>
      </x:c>
      <x:c r="I454" t="str">
        <x:v>Проверить цену в источнике</x:v>
      </x:c>
      <x:c r="J454" t="n">
        <x:f>IF(D454=1,K454,0)</x:f>
        <x:v>0</x:v>
      </x:c>
      <x:c r="K454" t="n">
        <x:f>D454+K453</x:f>
        <x:v>7</x:v>
      </x:c>
    </x:row>
    <x:row r="455">
      <x:c r="A455" t="str">
        <x:v>Order</x:v>
      </x:c>
      <x:c r="B455" t="n">
        <x:f>'04_checks'!B66</x:f>
        <x:v>1065</x:v>
      </x:c>
      <x:c r="C455" t="n">
        <x:v>66</x:v>
      </x:c>
      <x:c r="D455" t="n">
        <x:f>IF('04_checks'!H66="ERROR",1,0)</x:f>
        <x:v>0</x:v>
      </x:c>
      <x:c r="E455" t="str">
        <x:v>Order:66:6</x:v>
      </x:c>
      <x:c r="F455" t="str">
        <x:v>Дата</x:v>
      </x:c>
      <x:c r="G455" t="str">
        <x:v>Medium</x:v>
      </x:c>
      <x:c r="H455" t="str">
        <x:v>order_date</x:v>
      </x:c>
      <x:c r="I455" t="str">
        <x:v>Сверить дату со срезом и исходной записью</x:v>
      </x:c>
      <x:c r="J455" t="n">
        <x:f>IF(D455=1,K455,0)</x:f>
        <x:v>0</x:v>
      </x:c>
      <x:c r="K455" t="n">
        <x:f>D455+K454</x:f>
        <x:v>7</x:v>
      </x:c>
    </x:row>
    <x:row r="456">
      <x:c r="A456" t="str">
        <x:v>Order</x:v>
      </x:c>
      <x:c r="B456" t="n">
        <x:f>'04_checks'!B66</x:f>
        <x:v>1065</x:v>
      </x:c>
      <x:c r="C456" t="n">
        <x:v>66</x:v>
      </x:c>
      <x:c r="D456" t="n">
        <x:f>IF('04_checks'!I66="ERROR",1,0)</x:f>
        <x:v>0</x:v>
      </x:c>
      <x:c r="E456" t="str">
        <x:v>Order:66:7</x:v>
      </x:c>
      <x:c r="F456" t="str">
        <x:v>Статус</x:v>
      </x:c>
      <x:c r="G456" t="str">
        <x:v>Medium</x:v>
      </x:c>
      <x:c r="H456" t="str">
        <x:v>status</x:v>
      </x:c>
      <x:c r="I456" t="str">
        <x:v>Выбрать допустимый статус</x:v>
      </x:c>
      <x:c r="J456" t="n">
        <x:f>IF(D456=1,K456,0)</x:f>
        <x:v>0</x:v>
      </x:c>
      <x:c r="K456" t="n">
        <x:f>D456+K455</x:f>
        <x:v>7</x:v>
      </x:c>
    </x:row>
    <x:row r="457">
      <x:c r="A457" t="str">
        <x:v>Order</x:v>
      </x:c>
      <x:c r="B457" t="n">
        <x:f>'04_checks'!B67</x:f>
        <x:v>1066</x:v>
      </x:c>
      <x:c r="C457" t="n">
        <x:v>67</x:v>
      </x:c>
      <x:c r="D457" t="n">
        <x:f>IF('04_checks'!C67="ERROR",1,0)</x:f>
        <x:v>0</x:v>
      </x:c>
      <x:c r="E457" t="str">
        <x:v>Order:67:1</x:v>
      </x:c>
      <x:c r="F457" t="str">
        <x:v>Дубль</x:v>
      </x:c>
      <x:c r="G457" t="str">
        <x:v>High</x:v>
      </x:c>
      <x:c r="H457" t="str">
        <x:v>order_id</x:v>
      </x:c>
      <x:c r="I457" t="str">
        <x:v>Проверить уникальность ID в источнике; не удалять записи автоматически</x:v>
      </x:c>
      <x:c r="J457" t="n">
        <x:f>IF(D457=1,K457,0)</x:f>
        <x:v>0</x:v>
      </x:c>
      <x:c r="K457" t="n">
        <x:f>D457+K456</x:f>
        <x:v>7</x:v>
      </x:c>
    </x:row>
    <x:row r="458">
      <x:c r="A458" t="str">
        <x:v>Order</x:v>
      </x:c>
      <x:c r="B458" t="n">
        <x:f>'04_checks'!B67</x:f>
        <x:v>1066</x:v>
      </x:c>
      <x:c r="C458" t="n">
        <x:v>67</x:v>
      </x:c>
      <x:c r="D458" t="n">
        <x:f>IF('04_checks'!D67="ERROR",1,0)</x:f>
        <x:v>0</x:v>
      </x:c>
      <x:c r="E458" t="str">
        <x:v>Order:67:2</x:v>
      </x:c>
      <x:c r="F458" t="str">
        <x:v>Пустое поле</x:v>
      </x:c>
      <x:c r="G458" t="str">
        <x:v>High</x:v>
      </x:c>
      <x:c r="H458" t="str">
        <x:v>required_fields</x:v>
      </x:c>
      <x:c r="I458" t="str">
        <x:v>Дополнить обязательные поля в источнике</x:v>
      </x:c>
      <x:c r="J458" t="n">
        <x:f>IF(D458=1,K458,0)</x:f>
        <x:v>0</x:v>
      </x:c>
      <x:c r="K458" t="n">
        <x:f>D458+K457</x:f>
        <x:v>7</x:v>
      </x:c>
    </x:row>
    <x:row r="459">
      <x:c r="A459" t="str">
        <x:v>Order</x:v>
      </x:c>
      <x:c r="B459" t="n">
        <x:f>'04_checks'!B67</x:f>
        <x:v>1066</x:v>
      </x:c>
      <x:c r="C459" t="n">
        <x:v>67</x:v>
      </x:c>
      <x:c r="D459" t="n">
        <x:f>IF('04_checks'!E67="ERROR",1,0)</x:f>
        <x:v>0</x:v>
      </x:c>
      <x:c r="E459" t="str">
        <x:v>Order:67:3</x:v>
      </x:c>
      <x:c r="F459" t="str">
        <x:f>IF(COUNTIF('02_clients_raw'!$A$2:$A$67,'01_orders_raw'!C67)&gt;1,"Неоднозначная связь","Нет связи")</x:f>
        <x:v>Нет связи</x:v>
      </x:c>
      <x:c r="G459" t="str">
        <x:v>High</x:v>
      </x:c>
      <x:c r="H459" t="str">
        <x:v>client_id</x:v>
      </x:c>
      <x:c r="I459" t="str">
        <x:v>Исправить ссылку или разрешить дубли связанного ID</x:v>
      </x:c>
      <x:c r="J459" t="n">
        <x:f>IF(D459=1,K459,0)</x:f>
        <x:v>0</x:v>
      </x:c>
      <x:c r="K459" t="n">
        <x:f>D459+K458</x:f>
        <x:v>7</x:v>
      </x:c>
    </x:row>
    <x:row r="460">
      <x:c r="A460" t="str">
        <x:v>Order</x:v>
      </x:c>
      <x:c r="B460" t="n">
        <x:f>'04_checks'!B67</x:f>
        <x:v>1066</x:v>
      </x:c>
      <x:c r="C460" t="n">
        <x:v>67</x:v>
      </x:c>
      <x:c r="D460" t="n">
        <x:f>IF('04_checks'!F67="ERROR",1,0)</x:f>
        <x:v>0</x:v>
      </x:c>
      <x:c r="E460" t="str">
        <x:v>Order:67:4</x:v>
      </x:c>
      <x:c r="F460" t="str">
        <x:v>Ошибка расчета</x:v>
      </x:c>
      <x:c r="G460" t="str">
        <x:v>High</x:v>
      </x:c>
      <x:c r="H460" t="str">
        <x:v>quantity/price/order_sum</x:v>
      </x:c>
      <x:c r="I460" t="str">
        <x:v>Сверить исходные значения и правило расчёта</x:v>
      </x:c>
      <x:c r="J460" t="n">
        <x:f>IF(D460=1,K460,0)</x:f>
        <x:v>0</x:v>
      </x:c>
      <x:c r="K460" t="n">
        <x:f>D460+K459</x:f>
        <x:v>7</x:v>
      </x:c>
    </x:row>
    <x:row r="461">
      <x:c r="A461" t="str">
        <x:v>Order</x:v>
      </x:c>
      <x:c r="B461" t="n">
        <x:f>'04_checks'!B67</x:f>
        <x:v>1066</x:v>
      </x:c>
      <x:c r="C461" t="n">
        <x:v>67</x:v>
      </x:c>
      <x:c r="D461" t="n">
        <x:f>IF('04_checks'!G67="ERROR",1,0)</x:f>
        <x:v>0</x:v>
      </x:c>
      <x:c r="E461" t="str">
        <x:v>Order:67:5</x:v>
      </x:c>
      <x:c r="F461" t="str">
        <x:v>Отрицательная цена</x:v>
      </x:c>
      <x:c r="G461" t="str">
        <x:v>High</x:v>
      </x:c>
      <x:c r="H461" t="str">
        <x:v>price</x:v>
      </x:c>
      <x:c r="I461" t="str">
        <x:v>Проверить цену в источнике</x:v>
      </x:c>
      <x:c r="J461" t="n">
        <x:f>IF(D461=1,K461,0)</x:f>
        <x:v>0</x:v>
      </x:c>
      <x:c r="K461" t="n">
        <x:f>D461+K460</x:f>
        <x:v>7</x:v>
      </x:c>
    </x:row>
    <x:row r="462">
      <x:c r="A462" t="str">
        <x:v>Order</x:v>
      </x:c>
      <x:c r="B462" t="n">
        <x:f>'04_checks'!B67</x:f>
        <x:v>1066</x:v>
      </x:c>
      <x:c r="C462" t="n">
        <x:v>67</x:v>
      </x:c>
      <x:c r="D462" t="n">
        <x:f>IF('04_checks'!H67="ERROR",1,0)</x:f>
        <x:v>0</x:v>
      </x:c>
      <x:c r="E462" t="str">
        <x:v>Order:67:6</x:v>
      </x:c>
      <x:c r="F462" t="str">
        <x:v>Дата</x:v>
      </x:c>
      <x:c r="G462" t="str">
        <x:v>Medium</x:v>
      </x:c>
      <x:c r="H462" t="str">
        <x:v>order_date</x:v>
      </x:c>
      <x:c r="I462" t="str">
        <x:v>Сверить дату со срезом и исходной записью</x:v>
      </x:c>
      <x:c r="J462" t="n">
        <x:f>IF(D462=1,K462,0)</x:f>
        <x:v>0</x:v>
      </x:c>
      <x:c r="K462" t="n">
        <x:f>D462+K461</x:f>
        <x:v>7</x:v>
      </x:c>
    </x:row>
    <x:row r="463">
      <x:c r="A463" t="str">
        <x:v>Order</x:v>
      </x:c>
      <x:c r="B463" t="n">
        <x:f>'04_checks'!B67</x:f>
        <x:v>1066</x:v>
      </x:c>
      <x:c r="C463" t="n">
        <x:v>67</x:v>
      </x:c>
      <x:c r="D463" t="n">
        <x:f>IF('04_checks'!I67="ERROR",1,0)</x:f>
        <x:v>0</x:v>
      </x:c>
      <x:c r="E463" t="str">
        <x:v>Order:67:7</x:v>
      </x:c>
      <x:c r="F463" t="str">
        <x:v>Статус</x:v>
      </x:c>
      <x:c r="G463" t="str">
        <x:v>Medium</x:v>
      </x:c>
      <x:c r="H463" t="str">
        <x:v>status</x:v>
      </x:c>
      <x:c r="I463" t="str">
        <x:v>Выбрать допустимый статус</x:v>
      </x:c>
      <x:c r="J463" t="n">
        <x:f>IF(D463=1,K463,0)</x:f>
        <x:v>0</x:v>
      </x:c>
      <x:c r="K463" t="n">
        <x:f>D463+K462</x:f>
        <x:v>7</x:v>
      </x:c>
    </x:row>
    <x:row r="464">
      <x:c r="A464" t="str">
        <x:v>Order</x:v>
      </x:c>
      <x:c r="B464" t="n">
        <x:f>'04_checks'!B68</x:f>
        <x:v>1067</x:v>
      </x:c>
      <x:c r="C464" t="n">
        <x:v>68</x:v>
      </x:c>
      <x:c r="D464" t="n">
        <x:f>IF('04_checks'!C68="ERROR",1,0)</x:f>
        <x:v>0</x:v>
      </x:c>
      <x:c r="E464" t="str">
        <x:v>Order:68:1</x:v>
      </x:c>
      <x:c r="F464" t="str">
        <x:v>Дубль</x:v>
      </x:c>
      <x:c r="G464" t="str">
        <x:v>High</x:v>
      </x:c>
      <x:c r="H464" t="str">
        <x:v>order_id</x:v>
      </x:c>
      <x:c r="I464" t="str">
        <x:v>Проверить уникальность ID в источнике; не удалять записи автоматически</x:v>
      </x:c>
      <x:c r="J464" t="n">
        <x:f>IF(D464=1,K464,0)</x:f>
        <x:v>0</x:v>
      </x:c>
      <x:c r="K464" t="n">
        <x:f>D464+K463</x:f>
        <x:v>7</x:v>
      </x:c>
    </x:row>
    <x:row r="465">
      <x:c r="A465" t="str">
        <x:v>Order</x:v>
      </x:c>
      <x:c r="B465" t="n">
        <x:f>'04_checks'!B68</x:f>
        <x:v>1067</x:v>
      </x:c>
      <x:c r="C465" t="n">
        <x:v>68</x:v>
      </x:c>
      <x:c r="D465" t="n">
        <x:f>IF('04_checks'!D68="ERROR",1,0)</x:f>
        <x:v>0</x:v>
      </x:c>
      <x:c r="E465" t="str">
        <x:v>Order:68:2</x:v>
      </x:c>
      <x:c r="F465" t="str">
        <x:v>Пустое поле</x:v>
      </x:c>
      <x:c r="G465" t="str">
        <x:v>High</x:v>
      </x:c>
      <x:c r="H465" t="str">
        <x:v>required_fields</x:v>
      </x:c>
      <x:c r="I465" t="str">
        <x:v>Дополнить обязательные поля в источнике</x:v>
      </x:c>
      <x:c r="J465" t="n">
        <x:f>IF(D465=1,K465,0)</x:f>
        <x:v>0</x:v>
      </x:c>
      <x:c r="K465" t="n">
        <x:f>D465+K464</x:f>
        <x:v>7</x:v>
      </x:c>
    </x:row>
    <x:row r="466">
      <x:c r="A466" t="str">
        <x:v>Order</x:v>
      </x:c>
      <x:c r="B466" t="n">
        <x:f>'04_checks'!B68</x:f>
        <x:v>1067</x:v>
      </x:c>
      <x:c r="C466" t="n">
        <x:v>68</x:v>
      </x:c>
      <x:c r="D466" t="n">
        <x:f>IF('04_checks'!E68="ERROR",1,0)</x:f>
        <x:v>1</x:v>
      </x:c>
      <x:c r="E466" t="str">
        <x:v>Order:68:3</x:v>
      </x:c>
      <x:c r="F466" t="str">
        <x:f>IF(COUNTIF('02_clients_raw'!$A$2:$A$67,'01_orders_raw'!C68)&gt;1,"Неоднозначная связь","Нет связи")</x:f>
        <x:v>Неоднозначная связь</x:v>
      </x:c>
      <x:c r="G466" t="str">
        <x:v>High</x:v>
      </x:c>
      <x:c r="H466" t="str">
        <x:v>client_id</x:v>
      </x:c>
      <x:c r="I466" t="str">
        <x:v>Исправить ссылку или разрешить дубли связанного ID</x:v>
      </x:c>
      <x:c r="J466" t="n">
        <x:f>IF(D466=1,K466,0)</x:f>
        <x:v>8</x:v>
      </x:c>
      <x:c r="K466" t="n">
        <x:f>D466+K465</x:f>
        <x:v>8</x:v>
      </x:c>
    </x:row>
    <x:row r="467">
      <x:c r="A467" t="str">
        <x:v>Order</x:v>
      </x:c>
      <x:c r="B467" t="n">
        <x:f>'04_checks'!B68</x:f>
        <x:v>1067</x:v>
      </x:c>
      <x:c r="C467" t="n">
        <x:v>68</x:v>
      </x:c>
      <x:c r="D467" t="n">
        <x:f>IF('04_checks'!F68="ERROR",1,0)</x:f>
        <x:v>0</x:v>
      </x:c>
      <x:c r="E467" t="str">
        <x:v>Order:68:4</x:v>
      </x:c>
      <x:c r="F467" t="str">
        <x:v>Ошибка расчета</x:v>
      </x:c>
      <x:c r="G467" t="str">
        <x:v>High</x:v>
      </x:c>
      <x:c r="H467" t="str">
        <x:v>quantity/price/order_sum</x:v>
      </x:c>
      <x:c r="I467" t="str">
        <x:v>Сверить исходные значения и правило расчёта</x:v>
      </x:c>
      <x:c r="J467" t="n">
        <x:f>IF(D467=1,K467,0)</x:f>
        <x:v>0</x:v>
      </x:c>
      <x:c r="K467" t="n">
        <x:f>D467+K466</x:f>
        <x:v>8</x:v>
      </x:c>
    </x:row>
    <x:row r="468">
      <x:c r="A468" t="str">
        <x:v>Order</x:v>
      </x:c>
      <x:c r="B468" t="n">
        <x:f>'04_checks'!B68</x:f>
        <x:v>1067</x:v>
      </x:c>
      <x:c r="C468" t="n">
        <x:v>68</x:v>
      </x:c>
      <x:c r="D468" t="n">
        <x:f>IF('04_checks'!G68="ERROR",1,0)</x:f>
        <x:v>0</x:v>
      </x:c>
      <x:c r="E468" t="str">
        <x:v>Order:68:5</x:v>
      </x:c>
      <x:c r="F468" t="str">
        <x:v>Отрицательная цена</x:v>
      </x:c>
      <x:c r="G468" t="str">
        <x:v>High</x:v>
      </x:c>
      <x:c r="H468" t="str">
        <x:v>price</x:v>
      </x:c>
      <x:c r="I468" t="str">
        <x:v>Проверить цену в источнике</x:v>
      </x:c>
      <x:c r="J468" t="n">
        <x:f>IF(D468=1,K468,0)</x:f>
        <x:v>0</x:v>
      </x:c>
      <x:c r="K468" t="n">
        <x:f>D468+K467</x:f>
        <x:v>8</x:v>
      </x:c>
    </x:row>
    <x:row r="469">
      <x:c r="A469" t="str">
        <x:v>Order</x:v>
      </x:c>
      <x:c r="B469" t="n">
        <x:f>'04_checks'!B68</x:f>
        <x:v>1067</x:v>
      </x:c>
      <x:c r="C469" t="n">
        <x:v>68</x:v>
      </x:c>
      <x:c r="D469" t="n">
        <x:f>IF('04_checks'!H68="ERROR",1,0)</x:f>
        <x:v>0</x:v>
      </x:c>
      <x:c r="E469" t="str">
        <x:v>Order:68:6</x:v>
      </x:c>
      <x:c r="F469" t="str">
        <x:v>Дата</x:v>
      </x:c>
      <x:c r="G469" t="str">
        <x:v>Medium</x:v>
      </x:c>
      <x:c r="H469" t="str">
        <x:v>order_date</x:v>
      </x:c>
      <x:c r="I469" t="str">
        <x:v>Сверить дату со срезом и исходной записью</x:v>
      </x:c>
      <x:c r="J469" t="n">
        <x:f>IF(D469=1,K469,0)</x:f>
        <x:v>0</x:v>
      </x:c>
      <x:c r="K469" t="n">
        <x:f>D469+K468</x:f>
        <x:v>8</x:v>
      </x:c>
    </x:row>
    <x:row r="470">
      <x:c r="A470" t="str">
        <x:v>Order</x:v>
      </x:c>
      <x:c r="B470" t="n">
        <x:f>'04_checks'!B68</x:f>
        <x:v>1067</x:v>
      </x:c>
      <x:c r="C470" t="n">
        <x:v>68</x:v>
      </x:c>
      <x:c r="D470" t="n">
        <x:f>IF('04_checks'!I68="ERROR",1,0)</x:f>
        <x:v>0</x:v>
      </x:c>
      <x:c r="E470" t="str">
        <x:v>Order:68:7</x:v>
      </x:c>
      <x:c r="F470" t="str">
        <x:v>Статус</x:v>
      </x:c>
      <x:c r="G470" t="str">
        <x:v>Medium</x:v>
      </x:c>
      <x:c r="H470" t="str">
        <x:v>status</x:v>
      </x:c>
      <x:c r="I470" t="str">
        <x:v>Выбрать допустимый статус</x:v>
      </x:c>
      <x:c r="J470" t="n">
        <x:f>IF(D470=1,K470,0)</x:f>
        <x:v>0</x:v>
      </x:c>
      <x:c r="K470" t="n">
        <x:f>D470+K469</x:f>
        <x:v>8</x:v>
      </x:c>
    </x:row>
    <x:row r="471">
      <x:c r="A471" t="str">
        <x:v>Order</x:v>
      </x:c>
      <x:c r="B471" t="n">
        <x:f>'04_checks'!B69</x:f>
        <x:v>1068</x:v>
      </x:c>
      <x:c r="C471" t="n">
        <x:v>69</x:v>
      </x:c>
      <x:c r="D471" t="n">
        <x:f>IF('04_checks'!C69="ERROR",1,0)</x:f>
        <x:v>0</x:v>
      </x:c>
      <x:c r="E471" t="str">
        <x:v>Order:69:1</x:v>
      </x:c>
      <x:c r="F471" t="str">
        <x:v>Дубль</x:v>
      </x:c>
      <x:c r="G471" t="str">
        <x:v>High</x:v>
      </x:c>
      <x:c r="H471" t="str">
        <x:v>order_id</x:v>
      </x:c>
      <x:c r="I471" t="str">
        <x:v>Проверить уникальность ID в источнике; не удалять записи автоматически</x:v>
      </x:c>
      <x:c r="J471" t="n">
        <x:f>IF(D471=1,K471,0)</x:f>
        <x:v>0</x:v>
      </x:c>
      <x:c r="K471" t="n">
        <x:f>D471+K470</x:f>
        <x:v>8</x:v>
      </x:c>
    </x:row>
    <x:row r="472">
      <x:c r="A472" t="str">
        <x:v>Order</x:v>
      </x:c>
      <x:c r="B472" t="n">
        <x:f>'04_checks'!B69</x:f>
        <x:v>1068</x:v>
      </x:c>
      <x:c r="C472" t="n">
        <x:v>69</x:v>
      </x:c>
      <x:c r="D472" t="n">
        <x:f>IF('04_checks'!D69="ERROR",1,0)</x:f>
        <x:v>0</x:v>
      </x:c>
      <x:c r="E472" t="str">
        <x:v>Order:69:2</x:v>
      </x:c>
      <x:c r="F472" t="str">
        <x:v>Пустое поле</x:v>
      </x:c>
      <x:c r="G472" t="str">
        <x:v>High</x:v>
      </x:c>
      <x:c r="H472" t="str">
        <x:v>required_fields</x:v>
      </x:c>
      <x:c r="I472" t="str">
        <x:v>Дополнить обязательные поля в источнике</x:v>
      </x:c>
      <x:c r="J472" t="n">
        <x:f>IF(D472=1,K472,0)</x:f>
        <x:v>0</x:v>
      </x:c>
      <x:c r="K472" t="n">
        <x:f>D472+K471</x:f>
        <x:v>8</x:v>
      </x:c>
    </x:row>
    <x:row r="473">
      <x:c r="A473" t="str">
        <x:v>Order</x:v>
      </x:c>
      <x:c r="B473" t="n">
        <x:f>'04_checks'!B69</x:f>
        <x:v>1068</x:v>
      </x:c>
      <x:c r="C473" t="n">
        <x:v>69</x:v>
      </x:c>
      <x:c r="D473" t="n">
        <x:f>IF('04_checks'!E69="ERROR",1,0)</x:f>
        <x:v>0</x:v>
      </x:c>
      <x:c r="E473" t="str">
        <x:v>Order:69:3</x:v>
      </x:c>
      <x:c r="F473" t="str">
        <x:f>IF(COUNTIF('02_clients_raw'!$A$2:$A$67,'01_orders_raw'!C69)&gt;1,"Неоднозначная связь","Нет связи")</x:f>
        <x:v>Нет связи</x:v>
      </x:c>
      <x:c r="G473" t="str">
        <x:v>High</x:v>
      </x:c>
      <x:c r="H473" t="str">
        <x:v>client_id</x:v>
      </x:c>
      <x:c r="I473" t="str">
        <x:v>Исправить ссылку или разрешить дубли связанного ID</x:v>
      </x:c>
      <x:c r="J473" t="n">
        <x:f>IF(D473=1,K473,0)</x:f>
        <x:v>0</x:v>
      </x:c>
      <x:c r="K473" t="n">
        <x:f>D473+K472</x:f>
        <x:v>8</x:v>
      </x:c>
    </x:row>
    <x:row r="474">
      <x:c r="A474" t="str">
        <x:v>Order</x:v>
      </x:c>
      <x:c r="B474" t="n">
        <x:f>'04_checks'!B69</x:f>
        <x:v>1068</x:v>
      </x:c>
      <x:c r="C474" t="n">
        <x:v>69</x:v>
      </x:c>
      <x:c r="D474" t="n">
        <x:f>IF('04_checks'!F69="ERROR",1,0)</x:f>
        <x:v>0</x:v>
      </x:c>
      <x:c r="E474" t="str">
        <x:v>Order:69:4</x:v>
      </x:c>
      <x:c r="F474" t="str">
        <x:v>Ошибка расчета</x:v>
      </x:c>
      <x:c r="G474" t="str">
        <x:v>High</x:v>
      </x:c>
      <x:c r="H474" t="str">
        <x:v>quantity/price/order_sum</x:v>
      </x:c>
      <x:c r="I474" t="str">
        <x:v>Сверить исходные значения и правило расчёта</x:v>
      </x:c>
      <x:c r="J474" t="n">
        <x:f>IF(D474=1,K474,0)</x:f>
        <x:v>0</x:v>
      </x:c>
      <x:c r="K474" t="n">
        <x:f>D474+K473</x:f>
        <x:v>8</x:v>
      </x:c>
    </x:row>
    <x:row r="475">
      <x:c r="A475" t="str">
        <x:v>Order</x:v>
      </x:c>
      <x:c r="B475" t="n">
        <x:f>'04_checks'!B69</x:f>
        <x:v>1068</x:v>
      </x:c>
      <x:c r="C475" t="n">
        <x:v>69</x:v>
      </x:c>
      <x:c r="D475" t="n">
        <x:f>IF('04_checks'!G69="ERROR",1,0)</x:f>
        <x:v>0</x:v>
      </x:c>
      <x:c r="E475" t="str">
        <x:v>Order:69:5</x:v>
      </x:c>
      <x:c r="F475" t="str">
        <x:v>Отрицательная цена</x:v>
      </x:c>
      <x:c r="G475" t="str">
        <x:v>High</x:v>
      </x:c>
      <x:c r="H475" t="str">
        <x:v>price</x:v>
      </x:c>
      <x:c r="I475" t="str">
        <x:v>Проверить цену в источнике</x:v>
      </x:c>
      <x:c r="J475" t="n">
        <x:f>IF(D475=1,K475,0)</x:f>
        <x:v>0</x:v>
      </x:c>
      <x:c r="K475" t="n">
        <x:f>D475+K474</x:f>
        <x:v>8</x:v>
      </x:c>
    </x:row>
    <x:row r="476">
      <x:c r="A476" t="str">
        <x:v>Order</x:v>
      </x:c>
      <x:c r="B476" t="n">
        <x:f>'04_checks'!B69</x:f>
        <x:v>1068</x:v>
      </x:c>
      <x:c r="C476" t="n">
        <x:v>69</x:v>
      </x:c>
      <x:c r="D476" t="n">
        <x:f>IF('04_checks'!H69="ERROR",1,0)</x:f>
        <x:v>0</x:v>
      </x:c>
      <x:c r="E476" t="str">
        <x:v>Order:69:6</x:v>
      </x:c>
      <x:c r="F476" t="str">
        <x:v>Дата</x:v>
      </x:c>
      <x:c r="G476" t="str">
        <x:v>Medium</x:v>
      </x:c>
      <x:c r="H476" t="str">
        <x:v>order_date</x:v>
      </x:c>
      <x:c r="I476" t="str">
        <x:v>Сверить дату со срезом и исходной записью</x:v>
      </x:c>
      <x:c r="J476" t="n">
        <x:f>IF(D476=1,K476,0)</x:f>
        <x:v>0</x:v>
      </x:c>
      <x:c r="K476" t="n">
        <x:f>D476+K475</x:f>
        <x:v>8</x:v>
      </x:c>
    </x:row>
    <x:row r="477">
      <x:c r="A477" t="str">
        <x:v>Order</x:v>
      </x:c>
      <x:c r="B477" t="n">
        <x:f>'04_checks'!B69</x:f>
        <x:v>1068</x:v>
      </x:c>
      <x:c r="C477" t="n">
        <x:v>69</x:v>
      </x:c>
      <x:c r="D477" t="n">
        <x:f>IF('04_checks'!I69="ERROR",1,0)</x:f>
        <x:v>0</x:v>
      </x:c>
      <x:c r="E477" t="str">
        <x:v>Order:69:7</x:v>
      </x:c>
      <x:c r="F477" t="str">
        <x:v>Статус</x:v>
      </x:c>
      <x:c r="G477" t="str">
        <x:v>Medium</x:v>
      </x:c>
      <x:c r="H477" t="str">
        <x:v>status</x:v>
      </x:c>
      <x:c r="I477" t="str">
        <x:v>Выбрать допустимый статус</x:v>
      </x:c>
      <x:c r="J477" t="n">
        <x:f>IF(D477=1,K477,0)</x:f>
        <x:v>0</x:v>
      </x:c>
      <x:c r="K477" t="n">
        <x:f>D477+K476</x:f>
        <x:v>8</x:v>
      </x:c>
    </x:row>
    <x:row r="478">
      <x:c r="A478" t="str">
        <x:v>Order</x:v>
      </x:c>
      <x:c r="B478" t="n">
        <x:f>'04_checks'!B70</x:f>
        <x:v>1069</x:v>
      </x:c>
      <x:c r="C478" t="n">
        <x:v>70</x:v>
      </x:c>
      <x:c r="D478" t="n">
        <x:f>IF('04_checks'!C70="ERROR",1,0)</x:f>
        <x:v>0</x:v>
      </x:c>
      <x:c r="E478" t="str">
        <x:v>Order:70:1</x:v>
      </x:c>
      <x:c r="F478" t="str">
        <x:v>Дубль</x:v>
      </x:c>
      <x:c r="G478" t="str">
        <x:v>High</x:v>
      </x:c>
      <x:c r="H478" t="str">
        <x:v>order_id</x:v>
      </x:c>
      <x:c r="I478" t="str">
        <x:v>Проверить уникальность ID в источнике; не удалять записи автоматически</x:v>
      </x:c>
      <x:c r="J478" t="n">
        <x:f>IF(D478=1,K478,0)</x:f>
        <x:v>0</x:v>
      </x:c>
      <x:c r="K478" t="n">
        <x:f>D478+K477</x:f>
        <x:v>8</x:v>
      </x:c>
    </x:row>
    <x:row r="479">
      <x:c r="A479" t="str">
        <x:v>Order</x:v>
      </x:c>
      <x:c r="B479" t="n">
        <x:f>'04_checks'!B70</x:f>
        <x:v>1069</x:v>
      </x:c>
      <x:c r="C479" t="n">
        <x:v>70</x:v>
      </x:c>
      <x:c r="D479" t="n">
        <x:f>IF('04_checks'!D70="ERROR",1,0)</x:f>
        <x:v>0</x:v>
      </x:c>
      <x:c r="E479" t="str">
        <x:v>Order:70:2</x:v>
      </x:c>
      <x:c r="F479" t="str">
        <x:v>Пустое поле</x:v>
      </x:c>
      <x:c r="G479" t="str">
        <x:v>High</x:v>
      </x:c>
      <x:c r="H479" t="str">
        <x:v>required_fields</x:v>
      </x:c>
      <x:c r="I479" t="str">
        <x:v>Дополнить обязательные поля в источнике</x:v>
      </x:c>
      <x:c r="J479" t="n">
        <x:f>IF(D479=1,K479,0)</x:f>
        <x:v>0</x:v>
      </x:c>
      <x:c r="K479" t="n">
        <x:f>D479+K478</x:f>
        <x:v>8</x:v>
      </x:c>
    </x:row>
    <x:row r="480">
      <x:c r="A480" t="str">
        <x:v>Order</x:v>
      </x:c>
      <x:c r="B480" t="n">
        <x:f>'04_checks'!B70</x:f>
        <x:v>1069</x:v>
      </x:c>
      <x:c r="C480" t="n">
        <x:v>70</x:v>
      </x:c>
      <x:c r="D480" t="n">
        <x:f>IF('04_checks'!E70="ERROR",1,0)</x:f>
        <x:v>0</x:v>
      </x:c>
      <x:c r="E480" t="str">
        <x:v>Order:70:3</x:v>
      </x:c>
      <x:c r="F480" t="str">
        <x:f>IF(COUNTIF('02_clients_raw'!$A$2:$A$67,'01_orders_raw'!C70)&gt;1,"Неоднозначная связь","Нет связи")</x:f>
        <x:v>Нет связи</x:v>
      </x:c>
      <x:c r="G480" t="str">
        <x:v>High</x:v>
      </x:c>
      <x:c r="H480" t="str">
        <x:v>client_id</x:v>
      </x:c>
      <x:c r="I480" t="str">
        <x:v>Исправить ссылку или разрешить дубли связанного ID</x:v>
      </x:c>
      <x:c r="J480" t="n">
        <x:f>IF(D480=1,K480,0)</x:f>
        <x:v>0</x:v>
      </x:c>
      <x:c r="K480" t="n">
        <x:f>D480+K479</x:f>
        <x:v>8</x:v>
      </x:c>
    </x:row>
    <x:row r="481">
      <x:c r="A481" t="str">
        <x:v>Order</x:v>
      </x:c>
      <x:c r="B481" t="n">
        <x:f>'04_checks'!B70</x:f>
        <x:v>1069</x:v>
      </x:c>
      <x:c r="C481" t="n">
        <x:v>70</x:v>
      </x:c>
      <x:c r="D481" t="n">
        <x:f>IF('04_checks'!F70="ERROR",1,0)</x:f>
        <x:v>0</x:v>
      </x:c>
      <x:c r="E481" t="str">
        <x:v>Order:70:4</x:v>
      </x:c>
      <x:c r="F481" t="str">
        <x:v>Ошибка расчета</x:v>
      </x:c>
      <x:c r="G481" t="str">
        <x:v>High</x:v>
      </x:c>
      <x:c r="H481" t="str">
        <x:v>quantity/price/order_sum</x:v>
      </x:c>
      <x:c r="I481" t="str">
        <x:v>Сверить исходные значения и правило расчёта</x:v>
      </x:c>
      <x:c r="J481" t="n">
        <x:f>IF(D481=1,K481,0)</x:f>
        <x:v>0</x:v>
      </x:c>
      <x:c r="K481" t="n">
        <x:f>D481+K480</x:f>
        <x:v>8</x:v>
      </x:c>
    </x:row>
    <x:row r="482">
      <x:c r="A482" t="str">
        <x:v>Order</x:v>
      </x:c>
      <x:c r="B482" t="n">
        <x:f>'04_checks'!B70</x:f>
        <x:v>1069</x:v>
      </x:c>
      <x:c r="C482" t="n">
        <x:v>70</x:v>
      </x:c>
      <x:c r="D482" t="n">
        <x:f>IF('04_checks'!G70="ERROR",1,0)</x:f>
        <x:v>0</x:v>
      </x:c>
      <x:c r="E482" t="str">
        <x:v>Order:70:5</x:v>
      </x:c>
      <x:c r="F482" t="str">
        <x:v>Отрицательная цена</x:v>
      </x:c>
      <x:c r="G482" t="str">
        <x:v>High</x:v>
      </x:c>
      <x:c r="H482" t="str">
        <x:v>price</x:v>
      </x:c>
      <x:c r="I482" t="str">
        <x:v>Проверить цену в источнике</x:v>
      </x:c>
      <x:c r="J482" t="n">
        <x:f>IF(D482=1,K482,0)</x:f>
        <x:v>0</x:v>
      </x:c>
      <x:c r="K482" t="n">
        <x:f>D482+K481</x:f>
        <x:v>8</x:v>
      </x:c>
    </x:row>
    <x:row r="483">
      <x:c r="A483" t="str">
        <x:v>Order</x:v>
      </x:c>
      <x:c r="B483" t="n">
        <x:f>'04_checks'!B70</x:f>
        <x:v>1069</x:v>
      </x:c>
      <x:c r="C483" t="n">
        <x:v>70</x:v>
      </x:c>
      <x:c r="D483" t="n">
        <x:f>IF('04_checks'!H70="ERROR",1,0)</x:f>
        <x:v>0</x:v>
      </x:c>
      <x:c r="E483" t="str">
        <x:v>Order:70:6</x:v>
      </x:c>
      <x:c r="F483" t="str">
        <x:v>Дата</x:v>
      </x:c>
      <x:c r="G483" t="str">
        <x:v>Medium</x:v>
      </x:c>
      <x:c r="H483" t="str">
        <x:v>order_date</x:v>
      </x:c>
      <x:c r="I483" t="str">
        <x:v>Сверить дату со срезом и исходной записью</x:v>
      </x:c>
      <x:c r="J483" t="n">
        <x:f>IF(D483=1,K483,0)</x:f>
        <x:v>0</x:v>
      </x:c>
      <x:c r="K483" t="n">
        <x:f>D483+K482</x:f>
        <x:v>8</x:v>
      </x:c>
    </x:row>
    <x:row r="484">
      <x:c r="A484" t="str">
        <x:v>Order</x:v>
      </x:c>
      <x:c r="B484" t="n">
        <x:f>'04_checks'!B70</x:f>
        <x:v>1069</x:v>
      </x:c>
      <x:c r="C484" t="n">
        <x:v>70</x:v>
      </x:c>
      <x:c r="D484" t="n">
        <x:f>IF('04_checks'!I70="ERROR",1,0)</x:f>
        <x:v>0</x:v>
      </x:c>
      <x:c r="E484" t="str">
        <x:v>Order:70:7</x:v>
      </x:c>
      <x:c r="F484" t="str">
        <x:v>Статус</x:v>
      </x:c>
      <x:c r="G484" t="str">
        <x:v>Medium</x:v>
      </x:c>
      <x:c r="H484" t="str">
        <x:v>status</x:v>
      </x:c>
      <x:c r="I484" t="str">
        <x:v>Выбрать допустимый статус</x:v>
      </x:c>
      <x:c r="J484" t="n">
        <x:f>IF(D484=1,K484,0)</x:f>
        <x:v>0</x:v>
      </x:c>
      <x:c r="K484" t="n">
        <x:f>D484+K483</x:f>
        <x:v>8</x:v>
      </x:c>
    </x:row>
    <x:row r="485">
      <x:c r="A485" t="str">
        <x:v>Order</x:v>
      </x:c>
      <x:c r="B485" t="n">
        <x:f>'04_checks'!B71</x:f>
        <x:v>1070</x:v>
      </x:c>
      <x:c r="C485" t="n">
        <x:v>71</x:v>
      </x:c>
      <x:c r="D485" t="n">
        <x:f>IF('04_checks'!C71="ERROR",1,0)</x:f>
        <x:v>0</x:v>
      </x:c>
      <x:c r="E485" t="str">
        <x:v>Order:71:1</x:v>
      </x:c>
      <x:c r="F485" t="str">
        <x:v>Дубль</x:v>
      </x:c>
      <x:c r="G485" t="str">
        <x:v>High</x:v>
      </x:c>
      <x:c r="H485" t="str">
        <x:v>order_id</x:v>
      </x:c>
      <x:c r="I485" t="str">
        <x:v>Проверить уникальность ID в источнике; не удалять записи автоматически</x:v>
      </x:c>
      <x:c r="J485" t="n">
        <x:f>IF(D485=1,K485,0)</x:f>
        <x:v>0</x:v>
      </x:c>
      <x:c r="K485" t="n">
        <x:f>D485+K484</x:f>
        <x:v>8</x:v>
      </x:c>
    </x:row>
    <x:row r="486">
      <x:c r="A486" t="str">
        <x:v>Order</x:v>
      </x:c>
      <x:c r="B486" t="n">
        <x:f>'04_checks'!B71</x:f>
        <x:v>1070</x:v>
      </x:c>
      <x:c r="C486" t="n">
        <x:v>71</x:v>
      </x:c>
      <x:c r="D486" t="n">
        <x:f>IF('04_checks'!D71="ERROR",1,0)</x:f>
        <x:v>0</x:v>
      </x:c>
      <x:c r="E486" t="str">
        <x:v>Order:71:2</x:v>
      </x:c>
      <x:c r="F486" t="str">
        <x:v>Пустое поле</x:v>
      </x:c>
      <x:c r="G486" t="str">
        <x:v>High</x:v>
      </x:c>
      <x:c r="H486" t="str">
        <x:v>required_fields</x:v>
      </x:c>
      <x:c r="I486" t="str">
        <x:v>Дополнить обязательные поля в источнике</x:v>
      </x:c>
      <x:c r="J486" t="n">
        <x:f>IF(D486=1,K486,0)</x:f>
        <x:v>0</x:v>
      </x:c>
      <x:c r="K486" t="n">
        <x:f>D486+K485</x:f>
        <x:v>8</x:v>
      </x:c>
    </x:row>
    <x:row r="487">
      <x:c r="A487" t="str">
        <x:v>Order</x:v>
      </x:c>
      <x:c r="B487" t="n">
        <x:f>'04_checks'!B71</x:f>
        <x:v>1070</x:v>
      </x:c>
      <x:c r="C487" t="n">
        <x:v>71</x:v>
      </x:c>
      <x:c r="D487" t="n">
        <x:f>IF('04_checks'!E71="ERROR",1,0)</x:f>
        <x:v>0</x:v>
      </x:c>
      <x:c r="E487" t="str">
        <x:v>Order:71:3</x:v>
      </x:c>
      <x:c r="F487" t="str">
        <x:f>IF(COUNTIF('02_clients_raw'!$A$2:$A$67,'01_orders_raw'!C71)&gt;1,"Неоднозначная связь","Нет связи")</x:f>
        <x:v>Нет связи</x:v>
      </x:c>
      <x:c r="G487" t="str">
        <x:v>High</x:v>
      </x:c>
      <x:c r="H487" t="str">
        <x:v>client_id</x:v>
      </x:c>
      <x:c r="I487" t="str">
        <x:v>Исправить ссылку или разрешить дубли связанного ID</x:v>
      </x:c>
      <x:c r="J487" t="n">
        <x:f>IF(D487=1,K487,0)</x:f>
        <x:v>0</x:v>
      </x:c>
      <x:c r="K487" t="n">
        <x:f>D487+K486</x:f>
        <x:v>8</x:v>
      </x:c>
    </x:row>
    <x:row r="488">
      <x:c r="A488" t="str">
        <x:v>Order</x:v>
      </x:c>
      <x:c r="B488" t="n">
        <x:f>'04_checks'!B71</x:f>
        <x:v>1070</x:v>
      </x:c>
      <x:c r="C488" t="n">
        <x:v>71</x:v>
      </x:c>
      <x:c r="D488" t="n">
        <x:f>IF('04_checks'!F71="ERROR",1,0)</x:f>
        <x:v>0</x:v>
      </x:c>
      <x:c r="E488" t="str">
        <x:v>Order:71:4</x:v>
      </x:c>
      <x:c r="F488" t="str">
        <x:v>Ошибка расчета</x:v>
      </x:c>
      <x:c r="G488" t="str">
        <x:v>High</x:v>
      </x:c>
      <x:c r="H488" t="str">
        <x:v>quantity/price/order_sum</x:v>
      </x:c>
      <x:c r="I488" t="str">
        <x:v>Сверить исходные значения и правило расчёта</x:v>
      </x:c>
      <x:c r="J488" t="n">
        <x:f>IF(D488=1,K488,0)</x:f>
        <x:v>0</x:v>
      </x:c>
      <x:c r="K488" t="n">
        <x:f>D488+K487</x:f>
        <x:v>8</x:v>
      </x:c>
    </x:row>
    <x:row r="489">
      <x:c r="A489" t="str">
        <x:v>Order</x:v>
      </x:c>
      <x:c r="B489" t="n">
        <x:f>'04_checks'!B71</x:f>
        <x:v>1070</x:v>
      </x:c>
      <x:c r="C489" t="n">
        <x:v>71</x:v>
      </x:c>
      <x:c r="D489" t="n">
        <x:f>IF('04_checks'!G71="ERROR",1,0)</x:f>
        <x:v>0</x:v>
      </x:c>
      <x:c r="E489" t="str">
        <x:v>Order:71:5</x:v>
      </x:c>
      <x:c r="F489" t="str">
        <x:v>Отрицательная цена</x:v>
      </x:c>
      <x:c r="G489" t="str">
        <x:v>High</x:v>
      </x:c>
      <x:c r="H489" t="str">
        <x:v>price</x:v>
      </x:c>
      <x:c r="I489" t="str">
        <x:v>Проверить цену в источнике</x:v>
      </x:c>
      <x:c r="J489" t="n">
        <x:f>IF(D489=1,K489,0)</x:f>
        <x:v>0</x:v>
      </x:c>
      <x:c r="K489" t="n">
        <x:f>D489+K488</x:f>
        <x:v>8</x:v>
      </x:c>
    </x:row>
    <x:row r="490">
      <x:c r="A490" t="str">
        <x:v>Order</x:v>
      </x:c>
      <x:c r="B490" t="n">
        <x:f>'04_checks'!B71</x:f>
        <x:v>1070</x:v>
      </x:c>
      <x:c r="C490" t="n">
        <x:v>71</x:v>
      </x:c>
      <x:c r="D490" t="n">
        <x:f>IF('04_checks'!H71="ERROR",1,0)</x:f>
        <x:v>0</x:v>
      </x:c>
      <x:c r="E490" t="str">
        <x:v>Order:71:6</x:v>
      </x:c>
      <x:c r="F490" t="str">
        <x:v>Дата</x:v>
      </x:c>
      <x:c r="G490" t="str">
        <x:v>Medium</x:v>
      </x:c>
      <x:c r="H490" t="str">
        <x:v>order_date</x:v>
      </x:c>
      <x:c r="I490" t="str">
        <x:v>Сверить дату со срезом и исходной записью</x:v>
      </x:c>
      <x:c r="J490" t="n">
        <x:f>IF(D490=1,K490,0)</x:f>
        <x:v>0</x:v>
      </x:c>
      <x:c r="K490" t="n">
        <x:f>D490+K489</x:f>
        <x:v>8</x:v>
      </x:c>
    </x:row>
    <x:row r="491">
      <x:c r="A491" t="str">
        <x:v>Order</x:v>
      </x:c>
      <x:c r="B491" t="n">
        <x:f>'04_checks'!B71</x:f>
        <x:v>1070</x:v>
      </x:c>
      <x:c r="C491" t="n">
        <x:v>71</x:v>
      </x:c>
      <x:c r="D491" t="n">
        <x:f>IF('04_checks'!I71="ERROR",1,0)</x:f>
        <x:v>0</x:v>
      </x:c>
      <x:c r="E491" t="str">
        <x:v>Order:71:7</x:v>
      </x:c>
      <x:c r="F491" t="str">
        <x:v>Статус</x:v>
      </x:c>
      <x:c r="G491" t="str">
        <x:v>Medium</x:v>
      </x:c>
      <x:c r="H491" t="str">
        <x:v>status</x:v>
      </x:c>
      <x:c r="I491" t="str">
        <x:v>Выбрать допустимый статус</x:v>
      </x:c>
      <x:c r="J491" t="n">
        <x:f>IF(D491=1,K491,0)</x:f>
        <x:v>0</x:v>
      </x:c>
      <x:c r="K491" t="n">
        <x:f>D491+K490</x:f>
        <x:v>8</x:v>
      </x:c>
    </x:row>
    <x:row r="492">
      <x:c r="A492" t="str">
        <x:v>Order</x:v>
      </x:c>
      <x:c r="B492" t="n">
        <x:f>'04_checks'!B72</x:f>
        <x:v>1071</x:v>
      </x:c>
      <x:c r="C492" t="n">
        <x:v>72</x:v>
      </x:c>
      <x:c r="D492" t="n">
        <x:f>IF('04_checks'!C72="ERROR",1,0)</x:f>
        <x:v>0</x:v>
      </x:c>
      <x:c r="E492" t="str">
        <x:v>Order:72:1</x:v>
      </x:c>
      <x:c r="F492" t="str">
        <x:v>Дубль</x:v>
      </x:c>
      <x:c r="G492" t="str">
        <x:v>High</x:v>
      </x:c>
      <x:c r="H492" t="str">
        <x:v>order_id</x:v>
      </x:c>
      <x:c r="I492" t="str">
        <x:v>Проверить уникальность ID в источнике; не удалять записи автоматически</x:v>
      </x:c>
      <x:c r="J492" t="n">
        <x:f>IF(D492=1,K492,0)</x:f>
        <x:v>0</x:v>
      </x:c>
      <x:c r="K492" t="n">
        <x:f>D492+K491</x:f>
        <x:v>8</x:v>
      </x:c>
    </x:row>
    <x:row r="493">
      <x:c r="A493" t="str">
        <x:v>Order</x:v>
      </x:c>
      <x:c r="B493" t="n">
        <x:f>'04_checks'!B72</x:f>
        <x:v>1071</x:v>
      </x:c>
      <x:c r="C493" t="n">
        <x:v>72</x:v>
      </x:c>
      <x:c r="D493" t="n">
        <x:f>IF('04_checks'!D72="ERROR",1,0)</x:f>
        <x:v>0</x:v>
      </x:c>
      <x:c r="E493" t="str">
        <x:v>Order:72:2</x:v>
      </x:c>
      <x:c r="F493" t="str">
        <x:v>Пустое поле</x:v>
      </x:c>
      <x:c r="G493" t="str">
        <x:v>High</x:v>
      </x:c>
      <x:c r="H493" t="str">
        <x:v>required_fields</x:v>
      </x:c>
      <x:c r="I493" t="str">
        <x:v>Дополнить обязательные поля в источнике</x:v>
      </x:c>
      <x:c r="J493" t="n">
        <x:f>IF(D493=1,K493,0)</x:f>
        <x:v>0</x:v>
      </x:c>
      <x:c r="K493" t="n">
        <x:f>D493+K492</x:f>
        <x:v>8</x:v>
      </x:c>
    </x:row>
    <x:row r="494">
      <x:c r="A494" t="str">
        <x:v>Order</x:v>
      </x:c>
      <x:c r="B494" t="n">
        <x:f>'04_checks'!B72</x:f>
        <x:v>1071</x:v>
      </x:c>
      <x:c r="C494" t="n">
        <x:v>72</x:v>
      </x:c>
      <x:c r="D494" t="n">
        <x:f>IF('04_checks'!E72="ERROR",1,0)</x:f>
        <x:v>0</x:v>
      </x:c>
      <x:c r="E494" t="str">
        <x:v>Order:72:3</x:v>
      </x:c>
      <x:c r="F494" t="str">
        <x:f>IF(COUNTIF('02_clients_raw'!$A$2:$A$67,'01_orders_raw'!C72)&gt;1,"Неоднозначная связь","Нет связи")</x:f>
        <x:v>Нет связи</x:v>
      </x:c>
      <x:c r="G494" t="str">
        <x:v>High</x:v>
      </x:c>
      <x:c r="H494" t="str">
        <x:v>client_id</x:v>
      </x:c>
      <x:c r="I494" t="str">
        <x:v>Исправить ссылку или разрешить дубли связанного ID</x:v>
      </x:c>
      <x:c r="J494" t="n">
        <x:f>IF(D494=1,K494,0)</x:f>
        <x:v>0</x:v>
      </x:c>
      <x:c r="K494" t="n">
        <x:f>D494+K493</x:f>
        <x:v>8</x:v>
      </x:c>
    </x:row>
    <x:row r="495">
      <x:c r="A495" t="str">
        <x:v>Order</x:v>
      </x:c>
      <x:c r="B495" t="n">
        <x:f>'04_checks'!B72</x:f>
        <x:v>1071</x:v>
      </x:c>
      <x:c r="C495" t="n">
        <x:v>72</x:v>
      </x:c>
      <x:c r="D495" t="n">
        <x:f>IF('04_checks'!F72="ERROR",1,0)</x:f>
        <x:v>0</x:v>
      </x:c>
      <x:c r="E495" t="str">
        <x:v>Order:72:4</x:v>
      </x:c>
      <x:c r="F495" t="str">
        <x:v>Ошибка расчета</x:v>
      </x:c>
      <x:c r="G495" t="str">
        <x:v>High</x:v>
      </x:c>
      <x:c r="H495" t="str">
        <x:v>quantity/price/order_sum</x:v>
      </x:c>
      <x:c r="I495" t="str">
        <x:v>Сверить исходные значения и правило расчёта</x:v>
      </x:c>
      <x:c r="J495" t="n">
        <x:f>IF(D495=1,K495,0)</x:f>
        <x:v>0</x:v>
      </x:c>
      <x:c r="K495" t="n">
        <x:f>D495+K494</x:f>
        <x:v>8</x:v>
      </x:c>
    </x:row>
    <x:row r="496">
      <x:c r="A496" t="str">
        <x:v>Order</x:v>
      </x:c>
      <x:c r="B496" t="n">
        <x:f>'04_checks'!B72</x:f>
        <x:v>1071</x:v>
      </x:c>
      <x:c r="C496" t="n">
        <x:v>72</x:v>
      </x:c>
      <x:c r="D496" t="n">
        <x:f>IF('04_checks'!G72="ERROR",1,0)</x:f>
        <x:v>0</x:v>
      </x:c>
      <x:c r="E496" t="str">
        <x:v>Order:72:5</x:v>
      </x:c>
      <x:c r="F496" t="str">
        <x:v>Отрицательная цена</x:v>
      </x:c>
      <x:c r="G496" t="str">
        <x:v>High</x:v>
      </x:c>
      <x:c r="H496" t="str">
        <x:v>price</x:v>
      </x:c>
      <x:c r="I496" t="str">
        <x:v>Проверить цену в источнике</x:v>
      </x:c>
      <x:c r="J496" t="n">
        <x:f>IF(D496=1,K496,0)</x:f>
        <x:v>0</x:v>
      </x:c>
      <x:c r="K496" t="n">
        <x:f>D496+K495</x:f>
        <x:v>8</x:v>
      </x:c>
    </x:row>
    <x:row r="497">
      <x:c r="A497" t="str">
        <x:v>Order</x:v>
      </x:c>
      <x:c r="B497" t="n">
        <x:f>'04_checks'!B72</x:f>
        <x:v>1071</x:v>
      </x:c>
      <x:c r="C497" t="n">
        <x:v>72</x:v>
      </x:c>
      <x:c r="D497" t="n">
        <x:f>IF('04_checks'!H72="ERROR",1,0)</x:f>
        <x:v>0</x:v>
      </x:c>
      <x:c r="E497" t="str">
        <x:v>Order:72:6</x:v>
      </x:c>
      <x:c r="F497" t="str">
        <x:v>Дата</x:v>
      </x:c>
      <x:c r="G497" t="str">
        <x:v>Medium</x:v>
      </x:c>
      <x:c r="H497" t="str">
        <x:v>order_date</x:v>
      </x:c>
      <x:c r="I497" t="str">
        <x:v>Сверить дату со срезом и исходной записью</x:v>
      </x:c>
      <x:c r="J497" t="n">
        <x:f>IF(D497=1,K497,0)</x:f>
        <x:v>0</x:v>
      </x:c>
      <x:c r="K497" t="n">
        <x:f>D497+K496</x:f>
        <x:v>8</x:v>
      </x:c>
    </x:row>
    <x:row r="498">
      <x:c r="A498" t="str">
        <x:v>Order</x:v>
      </x:c>
      <x:c r="B498" t="n">
        <x:f>'04_checks'!B72</x:f>
        <x:v>1071</x:v>
      </x:c>
      <x:c r="C498" t="n">
        <x:v>72</x:v>
      </x:c>
      <x:c r="D498" t="n">
        <x:f>IF('04_checks'!I72="ERROR",1,0)</x:f>
        <x:v>0</x:v>
      </x:c>
      <x:c r="E498" t="str">
        <x:v>Order:72:7</x:v>
      </x:c>
      <x:c r="F498" t="str">
        <x:v>Статус</x:v>
      </x:c>
      <x:c r="G498" t="str">
        <x:v>Medium</x:v>
      </x:c>
      <x:c r="H498" t="str">
        <x:v>status</x:v>
      </x:c>
      <x:c r="I498" t="str">
        <x:v>Выбрать допустимый статус</x:v>
      </x:c>
      <x:c r="J498" t="n">
        <x:f>IF(D498=1,K498,0)</x:f>
        <x:v>0</x:v>
      </x:c>
      <x:c r="K498" t="n">
        <x:f>D498+K497</x:f>
        <x:v>8</x:v>
      </x:c>
    </x:row>
    <x:row r="499">
      <x:c r="A499" t="str">
        <x:v>Order</x:v>
      </x:c>
      <x:c r="B499" t="n">
        <x:f>'04_checks'!B73</x:f>
        <x:v>1072</x:v>
      </x:c>
      <x:c r="C499" t="n">
        <x:v>73</x:v>
      </x:c>
      <x:c r="D499" t="n">
        <x:f>IF('04_checks'!C73="ERROR",1,0)</x:f>
        <x:v>0</x:v>
      </x:c>
      <x:c r="E499" t="str">
        <x:v>Order:73:1</x:v>
      </x:c>
      <x:c r="F499" t="str">
        <x:v>Дубль</x:v>
      </x:c>
      <x:c r="G499" t="str">
        <x:v>High</x:v>
      </x:c>
      <x:c r="H499" t="str">
        <x:v>order_id</x:v>
      </x:c>
      <x:c r="I499" t="str">
        <x:v>Проверить уникальность ID в источнике; не удалять записи автоматически</x:v>
      </x:c>
      <x:c r="J499" t="n">
        <x:f>IF(D499=1,K499,0)</x:f>
        <x:v>0</x:v>
      </x:c>
      <x:c r="K499" t="n">
        <x:f>D499+K498</x:f>
        <x:v>8</x:v>
      </x:c>
    </x:row>
    <x:row r="500">
      <x:c r="A500" t="str">
        <x:v>Order</x:v>
      </x:c>
      <x:c r="B500" t="n">
        <x:f>'04_checks'!B73</x:f>
        <x:v>1072</x:v>
      </x:c>
      <x:c r="C500" t="n">
        <x:v>73</x:v>
      </x:c>
      <x:c r="D500" t="n">
        <x:f>IF('04_checks'!D73="ERROR",1,0)</x:f>
        <x:v>0</x:v>
      </x:c>
      <x:c r="E500" t="str">
        <x:v>Order:73:2</x:v>
      </x:c>
      <x:c r="F500" t="str">
        <x:v>Пустое поле</x:v>
      </x:c>
      <x:c r="G500" t="str">
        <x:v>High</x:v>
      </x:c>
      <x:c r="H500" t="str">
        <x:v>required_fields</x:v>
      </x:c>
      <x:c r="I500" t="str">
        <x:v>Дополнить обязательные поля в источнике</x:v>
      </x:c>
      <x:c r="J500" t="n">
        <x:f>IF(D500=1,K500,0)</x:f>
        <x:v>0</x:v>
      </x:c>
      <x:c r="K500" t="n">
        <x:f>D500+K499</x:f>
        <x:v>8</x:v>
      </x:c>
    </x:row>
    <x:row r="501">
      <x:c r="A501" t="str">
        <x:v>Order</x:v>
      </x:c>
      <x:c r="B501" t="n">
        <x:f>'04_checks'!B73</x:f>
        <x:v>1072</x:v>
      </x:c>
      <x:c r="C501" t="n">
        <x:v>73</x:v>
      </x:c>
      <x:c r="D501" t="n">
        <x:f>IF('04_checks'!E73="ERROR",1,0)</x:f>
        <x:v>0</x:v>
      </x:c>
      <x:c r="E501" t="str">
        <x:v>Order:73:3</x:v>
      </x:c>
      <x:c r="F501" t="str">
        <x:f>IF(COUNTIF('02_clients_raw'!$A$2:$A$67,'01_orders_raw'!C73)&gt;1,"Неоднозначная связь","Нет связи")</x:f>
        <x:v>Нет связи</x:v>
      </x:c>
      <x:c r="G501" t="str">
        <x:v>High</x:v>
      </x:c>
      <x:c r="H501" t="str">
        <x:v>client_id</x:v>
      </x:c>
      <x:c r="I501" t="str">
        <x:v>Исправить ссылку или разрешить дубли связанного ID</x:v>
      </x:c>
      <x:c r="J501" t="n">
        <x:f>IF(D501=1,K501,0)</x:f>
        <x:v>0</x:v>
      </x:c>
      <x:c r="K501" t="n">
        <x:f>D501+K500</x:f>
        <x:v>8</x:v>
      </x:c>
    </x:row>
    <x:row r="502">
      <x:c r="A502" t="str">
        <x:v>Order</x:v>
      </x:c>
      <x:c r="B502" t="n">
        <x:f>'04_checks'!B73</x:f>
        <x:v>1072</x:v>
      </x:c>
      <x:c r="C502" t="n">
        <x:v>73</x:v>
      </x:c>
      <x:c r="D502" t="n">
        <x:f>IF('04_checks'!F73="ERROR",1,0)</x:f>
        <x:v>0</x:v>
      </x:c>
      <x:c r="E502" t="str">
        <x:v>Order:73:4</x:v>
      </x:c>
      <x:c r="F502" t="str">
        <x:v>Ошибка расчета</x:v>
      </x:c>
      <x:c r="G502" t="str">
        <x:v>High</x:v>
      </x:c>
      <x:c r="H502" t="str">
        <x:v>quantity/price/order_sum</x:v>
      </x:c>
      <x:c r="I502" t="str">
        <x:v>Сверить исходные значения и правило расчёта</x:v>
      </x:c>
      <x:c r="J502" t="n">
        <x:f>IF(D502=1,K502,0)</x:f>
        <x:v>0</x:v>
      </x:c>
      <x:c r="K502" t="n">
        <x:f>D502+K501</x:f>
        <x:v>8</x:v>
      </x:c>
    </x:row>
    <x:row r="503">
      <x:c r="A503" t="str">
        <x:v>Order</x:v>
      </x:c>
      <x:c r="B503" t="n">
        <x:f>'04_checks'!B73</x:f>
        <x:v>1072</x:v>
      </x:c>
      <x:c r="C503" t="n">
        <x:v>73</x:v>
      </x:c>
      <x:c r="D503" t="n">
        <x:f>IF('04_checks'!G73="ERROR",1,0)</x:f>
        <x:v>0</x:v>
      </x:c>
      <x:c r="E503" t="str">
        <x:v>Order:73:5</x:v>
      </x:c>
      <x:c r="F503" t="str">
        <x:v>Отрицательная цена</x:v>
      </x:c>
      <x:c r="G503" t="str">
        <x:v>High</x:v>
      </x:c>
      <x:c r="H503" t="str">
        <x:v>price</x:v>
      </x:c>
      <x:c r="I503" t="str">
        <x:v>Проверить цену в источнике</x:v>
      </x:c>
      <x:c r="J503" t="n">
        <x:f>IF(D503=1,K503,0)</x:f>
        <x:v>0</x:v>
      </x:c>
      <x:c r="K503" t="n">
        <x:f>D503+K502</x:f>
        <x:v>8</x:v>
      </x:c>
    </x:row>
    <x:row r="504">
      <x:c r="A504" t="str">
        <x:v>Order</x:v>
      </x:c>
      <x:c r="B504" t="n">
        <x:f>'04_checks'!B73</x:f>
        <x:v>1072</x:v>
      </x:c>
      <x:c r="C504" t="n">
        <x:v>73</x:v>
      </x:c>
      <x:c r="D504" t="n">
        <x:f>IF('04_checks'!H73="ERROR",1,0)</x:f>
        <x:v>0</x:v>
      </x:c>
      <x:c r="E504" t="str">
        <x:v>Order:73:6</x:v>
      </x:c>
      <x:c r="F504" t="str">
        <x:v>Дата</x:v>
      </x:c>
      <x:c r="G504" t="str">
        <x:v>Medium</x:v>
      </x:c>
      <x:c r="H504" t="str">
        <x:v>order_date</x:v>
      </x:c>
      <x:c r="I504" t="str">
        <x:v>Сверить дату со срезом и исходной записью</x:v>
      </x:c>
      <x:c r="J504" t="n">
        <x:f>IF(D504=1,K504,0)</x:f>
        <x:v>0</x:v>
      </x:c>
      <x:c r="K504" t="n">
        <x:f>D504+K503</x:f>
        <x:v>8</x:v>
      </x:c>
    </x:row>
    <x:row r="505">
      <x:c r="A505" t="str">
        <x:v>Order</x:v>
      </x:c>
      <x:c r="B505" t="n">
        <x:f>'04_checks'!B73</x:f>
        <x:v>1072</x:v>
      </x:c>
      <x:c r="C505" t="n">
        <x:v>73</x:v>
      </x:c>
      <x:c r="D505" t="n">
        <x:f>IF('04_checks'!I73="ERROR",1,0)</x:f>
        <x:v>0</x:v>
      </x:c>
      <x:c r="E505" t="str">
        <x:v>Order:73:7</x:v>
      </x:c>
      <x:c r="F505" t="str">
        <x:v>Статус</x:v>
      </x:c>
      <x:c r="G505" t="str">
        <x:v>Medium</x:v>
      </x:c>
      <x:c r="H505" t="str">
        <x:v>status</x:v>
      </x:c>
      <x:c r="I505" t="str">
        <x:v>Выбрать допустимый статус</x:v>
      </x:c>
      <x:c r="J505" t="n">
        <x:f>IF(D505=1,K505,0)</x:f>
        <x:v>0</x:v>
      </x:c>
      <x:c r="K505" t="n">
        <x:f>D505+K504</x:f>
        <x:v>8</x:v>
      </x:c>
    </x:row>
    <x:row r="506">
      <x:c r="A506" t="str">
        <x:v>Order</x:v>
      </x:c>
      <x:c r="B506" t="n">
        <x:f>'04_checks'!B74</x:f>
        <x:v>1073</x:v>
      </x:c>
      <x:c r="C506" t="n">
        <x:v>74</x:v>
      </x:c>
      <x:c r="D506" t="n">
        <x:f>IF('04_checks'!C74="ERROR",1,0)</x:f>
        <x:v>0</x:v>
      </x:c>
      <x:c r="E506" t="str">
        <x:v>Order:74:1</x:v>
      </x:c>
      <x:c r="F506" t="str">
        <x:v>Дубль</x:v>
      </x:c>
      <x:c r="G506" t="str">
        <x:v>High</x:v>
      </x:c>
      <x:c r="H506" t="str">
        <x:v>order_id</x:v>
      </x:c>
      <x:c r="I506" t="str">
        <x:v>Проверить уникальность ID в источнике; не удалять записи автоматически</x:v>
      </x:c>
      <x:c r="J506" t="n">
        <x:f>IF(D506=1,K506,0)</x:f>
        <x:v>0</x:v>
      </x:c>
      <x:c r="K506" t="n">
        <x:f>D506+K505</x:f>
        <x:v>8</x:v>
      </x:c>
    </x:row>
    <x:row r="507">
      <x:c r="A507" t="str">
        <x:v>Order</x:v>
      </x:c>
      <x:c r="B507" t="n">
        <x:f>'04_checks'!B74</x:f>
        <x:v>1073</x:v>
      </x:c>
      <x:c r="C507" t="n">
        <x:v>74</x:v>
      </x:c>
      <x:c r="D507" t="n">
        <x:f>IF('04_checks'!D74="ERROR",1,0)</x:f>
        <x:v>0</x:v>
      </x:c>
      <x:c r="E507" t="str">
        <x:v>Order:74:2</x:v>
      </x:c>
      <x:c r="F507" t="str">
        <x:v>Пустое поле</x:v>
      </x:c>
      <x:c r="G507" t="str">
        <x:v>High</x:v>
      </x:c>
      <x:c r="H507" t="str">
        <x:v>required_fields</x:v>
      </x:c>
      <x:c r="I507" t="str">
        <x:v>Дополнить обязательные поля в источнике</x:v>
      </x:c>
      <x:c r="J507" t="n">
        <x:f>IF(D507=1,K507,0)</x:f>
        <x:v>0</x:v>
      </x:c>
      <x:c r="K507" t="n">
        <x:f>D507+K506</x:f>
        <x:v>8</x:v>
      </x:c>
    </x:row>
    <x:row r="508">
      <x:c r="A508" t="str">
        <x:v>Order</x:v>
      </x:c>
      <x:c r="B508" t="n">
        <x:f>'04_checks'!B74</x:f>
        <x:v>1073</x:v>
      </x:c>
      <x:c r="C508" t="n">
        <x:v>74</x:v>
      </x:c>
      <x:c r="D508" t="n">
        <x:f>IF('04_checks'!E74="ERROR",1,0)</x:f>
        <x:v>0</x:v>
      </x:c>
      <x:c r="E508" t="str">
        <x:v>Order:74:3</x:v>
      </x:c>
      <x:c r="F508" t="str">
        <x:f>IF(COUNTIF('02_clients_raw'!$A$2:$A$67,'01_orders_raw'!C74)&gt;1,"Неоднозначная связь","Нет связи")</x:f>
        <x:v>Нет связи</x:v>
      </x:c>
      <x:c r="G508" t="str">
        <x:v>High</x:v>
      </x:c>
      <x:c r="H508" t="str">
        <x:v>client_id</x:v>
      </x:c>
      <x:c r="I508" t="str">
        <x:v>Исправить ссылку или разрешить дубли связанного ID</x:v>
      </x:c>
      <x:c r="J508" t="n">
        <x:f>IF(D508=1,K508,0)</x:f>
        <x:v>0</x:v>
      </x:c>
      <x:c r="K508" t="n">
        <x:f>D508+K507</x:f>
        <x:v>8</x:v>
      </x:c>
    </x:row>
    <x:row r="509">
      <x:c r="A509" t="str">
        <x:v>Order</x:v>
      </x:c>
      <x:c r="B509" t="n">
        <x:f>'04_checks'!B74</x:f>
        <x:v>1073</x:v>
      </x:c>
      <x:c r="C509" t="n">
        <x:v>74</x:v>
      </x:c>
      <x:c r="D509" t="n">
        <x:f>IF('04_checks'!F74="ERROR",1,0)</x:f>
        <x:v>0</x:v>
      </x:c>
      <x:c r="E509" t="str">
        <x:v>Order:74:4</x:v>
      </x:c>
      <x:c r="F509" t="str">
        <x:v>Ошибка расчета</x:v>
      </x:c>
      <x:c r="G509" t="str">
        <x:v>High</x:v>
      </x:c>
      <x:c r="H509" t="str">
        <x:v>quantity/price/order_sum</x:v>
      </x:c>
      <x:c r="I509" t="str">
        <x:v>Сверить исходные значения и правило расчёта</x:v>
      </x:c>
      <x:c r="J509" t="n">
        <x:f>IF(D509=1,K509,0)</x:f>
        <x:v>0</x:v>
      </x:c>
      <x:c r="K509" t="n">
        <x:f>D509+K508</x:f>
        <x:v>8</x:v>
      </x:c>
    </x:row>
    <x:row r="510">
      <x:c r="A510" t="str">
        <x:v>Order</x:v>
      </x:c>
      <x:c r="B510" t="n">
        <x:f>'04_checks'!B74</x:f>
        <x:v>1073</x:v>
      </x:c>
      <x:c r="C510" t="n">
        <x:v>74</x:v>
      </x:c>
      <x:c r="D510" t="n">
        <x:f>IF('04_checks'!G74="ERROR",1,0)</x:f>
        <x:v>0</x:v>
      </x:c>
      <x:c r="E510" t="str">
        <x:v>Order:74:5</x:v>
      </x:c>
      <x:c r="F510" t="str">
        <x:v>Отрицательная цена</x:v>
      </x:c>
      <x:c r="G510" t="str">
        <x:v>High</x:v>
      </x:c>
      <x:c r="H510" t="str">
        <x:v>price</x:v>
      </x:c>
      <x:c r="I510" t="str">
        <x:v>Проверить цену в источнике</x:v>
      </x:c>
      <x:c r="J510" t="n">
        <x:f>IF(D510=1,K510,0)</x:f>
        <x:v>0</x:v>
      </x:c>
      <x:c r="K510" t="n">
        <x:f>D510+K509</x:f>
        <x:v>8</x:v>
      </x:c>
    </x:row>
    <x:row r="511">
      <x:c r="A511" t="str">
        <x:v>Order</x:v>
      </x:c>
      <x:c r="B511" t="n">
        <x:f>'04_checks'!B74</x:f>
        <x:v>1073</x:v>
      </x:c>
      <x:c r="C511" t="n">
        <x:v>74</x:v>
      </x:c>
      <x:c r="D511" t="n">
        <x:f>IF('04_checks'!H74="ERROR",1,0)</x:f>
        <x:v>0</x:v>
      </x:c>
      <x:c r="E511" t="str">
        <x:v>Order:74:6</x:v>
      </x:c>
      <x:c r="F511" t="str">
        <x:v>Дата</x:v>
      </x:c>
      <x:c r="G511" t="str">
        <x:v>Medium</x:v>
      </x:c>
      <x:c r="H511" t="str">
        <x:v>order_date</x:v>
      </x:c>
      <x:c r="I511" t="str">
        <x:v>Сверить дату со срезом и исходной записью</x:v>
      </x:c>
      <x:c r="J511" t="n">
        <x:f>IF(D511=1,K511,0)</x:f>
        <x:v>0</x:v>
      </x:c>
      <x:c r="K511" t="n">
        <x:f>D511+K510</x:f>
        <x:v>8</x:v>
      </x:c>
    </x:row>
    <x:row r="512">
      <x:c r="A512" t="str">
        <x:v>Order</x:v>
      </x:c>
      <x:c r="B512" t="n">
        <x:f>'04_checks'!B74</x:f>
        <x:v>1073</x:v>
      </x:c>
      <x:c r="C512" t="n">
        <x:v>74</x:v>
      </x:c>
      <x:c r="D512" t="n">
        <x:f>IF('04_checks'!I74="ERROR",1,0)</x:f>
        <x:v>0</x:v>
      </x:c>
      <x:c r="E512" t="str">
        <x:v>Order:74:7</x:v>
      </x:c>
      <x:c r="F512" t="str">
        <x:v>Статус</x:v>
      </x:c>
      <x:c r="G512" t="str">
        <x:v>Medium</x:v>
      </x:c>
      <x:c r="H512" t="str">
        <x:v>status</x:v>
      </x:c>
      <x:c r="I512" t="str">
        <x:v>Выбрать допустимый статус</x:v>
      </x:c>
      <x:c r="J512" t="n">
        <x:f>IF(D512=1,K512,0)</x:f>
        <x:v>0</x:v>
      </x:c>
      <x:c r="K512" t="n">
        <x:f>D512+K511</x:f>
        <x:v>8</x:v>
      </x:c>
    </x:row>
    <x:row r="513">
      <x:c r="A513" t="str">
        <x:v>Order</x:v>
      </x:c>
      <x:c r="B513" t="n">
        <x:f>'04_checks'!B75</x:f>
        <x:v>1074</x:v>
      </x:c>
      <x:c r="C513" t="n">
        <x:v>75</x:v>
      </x:c>
      <x:c r="D513" t="n">
        <x:f>IF('04_checks'!C75="ERROR",1,0)</x:f>
        <x:v>0</x:v>
      </x:c>
      <x:c r="E513" t="str">
        <x:v>Order:75:1</x:v>
      </x:c>
      <x:c r="F513" t="str">
        <x:v>Дубль</x:v>
      </x:c>
      <x:c r="G513" t="str">
        <x:v>High</x:v>
      </x:c>
      <x:c r="H513" t="str">
        <x:v>order_id</x:v>
      </x:c>
      <x:c r="I513" t="str">
        <x:v>Проверить уникальность ID в источнике; не удалять записи автоматически</x:v>
      </x:c>
      <x:c r="J513" t="n">
        <x:f>IF(D513=1,K513,0)</x:f>
        <x:v>0</x:v>
      </x:c>
      <x:c r="K513" t="n">
        <x:f>D513+K512</x:f>
        <x:v>8</x:v>
      </x:c>
    </x:row>
    <x:row r="514">
      <x:c r="A514" t="str">
        <x:v>Order</x:v>
      </x:c>
      <x:c r="B514" t="n">
        <x:f>'04_checks'!B75</x:f>
        <x:v>1074</x:v>
      </x:c>
      <x:c r="C514" t="n">
        <x:v>75</x:v>
      </x:c>
      <x:c r="D514" t="n">
        <x:f>IF('04_checks'!D75="ERROR",1,0)</x:f>
        <x:v>0</x:v>
      </x:c>
      <x:c r="E514" t="str">
        <x:v>Order:75:2</x:v>
      </x:c>
      <x:c r="F514" t="str">
        <x:v>Пустое поле</x:v>
      </x:c>
      <x:c r="G514" t="str">
        <x:v>High</x:v>
      </x:c>
      <x:c r="H514" t="str">
        <x:v>required_fields</x:v>
      </x:c>
      <x:c r="I514" t="str">
        <x:v>Дополнить обязательные поля в источнике</x:v>
      </x:c>
      <x:c r="J514" t="n">
        <x:f>IF(D514=1,K514,0)</x:f>
        <x:v>0</x:v>
      </x:c>
      <x:c r="K514" t="n">
        <x:f>D514+K513</x:f>
        <x:v>8</x:v>
      </x:c>
    </x:row>
    <x:row r="515">
      <x:c r="A515" t="str">
        <x:v>Order</x:v>
      </x:c>
      <x:c r="B515" t="n">
        <x:f>'04_checks'!B75</x:f>
        <x:v>1074</x:v>
      </x:c>
      <x:c r="C515" t="n">
        <x:v>75</x:v>
      </x:c>
      <x:c r="D515" t="n">
        <x:f>IF('04_checks'!E75="ERROR",1,0)</x:f>
        <x:v>0</x:v>
      </x:c>
      <x:c r="E515" t="str">
        <x:v>Order:75:3</x:v>
      </x:c>
      <x:c r="F515" t="str">
        <x:f>IF(COUNTIF('02_clients_raw'!$A$2:$A$67,'01_orders_raw'!C75)&gt;1,"Неоднозначная связь","Нет связи")</x:f>
        <x:v>Нет связи</x:v>
      </x:c>
      <x:c r="G515" t="str">
        <x:v>High</x:v>
      </x:c>
      <x:c r="H515" t="str">
        <x:v>client_id</x:v>
      </x:c>
      <x:c r="I515" t="str">
        <x:v>Исправить ссылку или разрешить дубли связанного ID</x:v>
      </x:c>
      <x:c r="J515" t="n">
        <x:f>IF(D515=1,K515,0)</x:f>
        <x:v>0</x:v>
      </x:c>
      <x:c r="K515" t="n">
        <x:f>D515+K514</x:f>
        <x:v>8</x:v>
      </x:c>
    </x:row>
    <x:row r="516">
      <x:c r="A516" t="str">
        <x:v>Order</x:v>
      </x:c>
      <x:c r="B516" t="n">
        <x:f>'04_checks'!B75</x:f>
        <x:v>1074</x:v>
      </x:c>
      <x:c r="C516" t="n">
        <x:v>75</x:v>
      </x:c>
      <x:c r="D516" t="n">
        <x:f>IF('04_checks'!F75="ERROR",1,0)</x:f>
        <x:v>0</x:v>
      </x:c>
      <x:c r="E516" t="str">
        <x:v>Order:75:4</x:v>
      </x:c>
      <x:c r="F516" t="str">
        <x:v>Ошибка расчета</x:v>
      </x:c>
      <x:c r="G516" t="str">
        <x:v>High</x:v>
      </x:c>
      <x:c r="H516" t="str">
        <x:v>quantity/price/order_sum</x:v>
      </x:c>
      <x:c r="I516" t="str">
        <x:v>Сверить исходные значения и правило расчёта</x:v>
      </x:c>
      <x:c r="J516" t="n">
        <x:f>IF(D516=1,K516,0)</x:f>
        <x:v>0</x:v>
      </x:c>
      <x:c r="K516" t="n">
        <x:f>D516+K515</x:f>
        <x:v>8</x:v>
      </x:c>
    </x:row>
    <x:row r="517">
      <x:c r="A517" t="str">
        <x:v>Order</x:v>
      </x:c>
      <x:c r="B517" t="n">
        <x:f>'04_checks'!B75</x:f>
        <x:v>1074</x:v>
      </x:c>
      <x:c r="C517" t="n">
        <x:v>75</x:v>
      </x:c>
      <x:c r="D517" t="n">
        <x:f>IF('04_checks'!G75="ERROR",1,0)</x:f>
        <x:v>0</x:v>
      </x:c>
      <x:c r="E517" t="str">
        <x:v>Order:75:5</x:v>
      </x:c>
      <x:c r="F517" t="str">
        <x:v>Отрицательная цена</x:v>
      </x:c>
      <x:c r="G517" t="str">
        <x:v>High</x:v>
      </x:c>
      <x:c r="H517" t="str">
        <x:v>price</x:v>
      </x:c>
      <x:c r="I517" t="str">
        <x:v>Проверить цену в источнике</x:v>
      </x:c>
      <x:c r="J517" t="n">
        <x:f>IF(D517=1,K517,0)</x:f>
        <x:v>0</x:v>
      </x:c>
      <x:c r="K517" t="n">
        <x:f>D517+K516</x:f>
        <x:v>8</x:v>
      </x:c>
    </x:row>
    <x:row r="518">
      <x:c r="A518" t="str">
        <x:v>Order</x:v>
      </x:c>
      <x:c r="B518" t="n">
        <x:f>'04_checks'!B75</x:f>
        <x:v>1074</x:v>
      </x:c>
      <x:c r="C518" t="n">
        <x:v>75</x:v>
      </x:c>
      <x:c r="D518" t="n">
        <x:f>IF('04_checks'!H75="ERROR",1,0)</x:f>
        <x:v>1</x:v>
      </x:c>
      <x:c r="E518" t="str">
        <x:v>Order:75:6</x:v>
      </x:c>
      <x:c r="F518" t="str">
        <x:v>Дата</x:v>
      </x:c>
      <x:c r="G518" t="str">
        <x:v>Medium</x:v>
      </x:c>
      <x:c r="H518" t="str">
        <x:v>order_date</x:v>
      </x:c>
      <x:c r="I518" t="str">
        <x:v>Сверить дату со срезом и исходной записью</x:v>
      </x:c>
      <x:c r="J518" t="n">
        <x:f>IF(D518=1,K518,0)</x:f>
        <x:v>9</x:v>
      </x:c>
      <x:c r="K518" t="n">
        <x:f>D518+K517</x:f>
        <x:v>9</x:v>
      </x:c>
    </x:row>
    <x:row r="519">
      <x:c r="A519" t="str">
        <x:v>Order</x:v>
      </x:c>
      <x:c r="B519" t="n">
        <x:f>'04_checks'!B75</x:f>
        <x:v>1074</x:v>
      </x:c>
      <x:c r="C519" t="n">
        <x:v>75</x:v>
      </x:c>
      <x:c r="D519" t="n">
        <x:f>IF('04_checks'!I75="ERROR",1,0)</x:f>
        <x:v>0</x:v>
      </x:c>
      <x:c r="E519" t="str">
        <x:v>Order:75:7</x:v>
      </x:c>
      <x:c r="F519" t="str">
        <x:v>Статус</x:v>
      </x:c>
      <x:c r="G519" t="str">
        <x:v>Medium</x:v>
      </x:c>
      <x:c r="H519" t="str">
        <x:v>status</x:v>
      </x:c>
      <x:c r="I519" t="str">
        <x:v>Выбрать допустимый статус</x:v>
      </x:c>
      <x:c r="J519" t="n">
        <x:f>IF(D519=1,K519,0)</x:f>
        <x:v>0</x:v>
      </x:c>
      <x:c r="K519" t="n">
        <x:f>D519+K518</x:f>
        <x:v>9</x:v>
      </x:c>
    </x:row>
    <x:row r="520">
      <x:c r="A520" t="str">
        <x:v>Order</x:v>
      </x:c>
      <x:c r="B520" t="n">
        <x:f>'04_checks'!B76</x:f>
        <x:v>1075</x:v>
      </x:c>
      <x:c r="C520" t="n">
        <x:v>76</x:v>
      </x:c>
      <x:c r="D520" t="n">
        <x:f>IF('04_checks'!C76="ERROR",1,0)</x:f>
        <x:v>0</x:v>
      </x:c>
      <x:c r="E520" t="str">
        <x:v>Order:76:1</x:v>
      </x:c>
      <x:c r="F520" t="str">
        <x:v>Дубль</x:v>
      </x:c>
      <x:c r="G520" t="str">
        <x:v>High</x:v>
      </x:c>
      <x:c r="H520" t="str">
        <x:v>order_id</x:v>
      </x:c>
      <x:c r="I520" t="str">
        <x:v>Проверить уникальность ID в источнике; не удалять записи автоматически</x:v>
      </x:c>
      <x:c r="J520" t="n">
        <x:f>IF(D520=1,K520,0)</x:f>
        <x:v>0</x:v>
      </x:c>
      <x:c r="K520" t="n">
        <x:f>D520+K519</x:f>
        <x:v>9</x:v>
      </x:c>
    </x:row>
    <x:row r="521">
      <x:c r="A521" t="str">
        <x:v>Order</x:v>
      </x:c>
      <x:c r="B521" t="n">
        <x:f>'04_checks'!B76</x:f>
        <x:v>1075</x:v>
      </x:c>
      <x:c r="C521" t="n">
        <x:v>76</x:v>
      </x:c>
      <x:c r="D521" t="n">
        <x:f>IF('04_checks'!D76="ERROR",1,0)</x:f>
        <x:v>0</x:v>
      </x:c>
      <x:c r="E521" t="str">
        <x:v>Order:76:2</x:v>
      </x:c>
      <x:c r="F521" t="str">
        <x:v>Пустое поле</x:v>
      </x:c>
      <x:c r="G521" t="str">
        <x:v>High</x:v>
      </x:c>
      <x:c r="H521" t="str">
        <x:v>required_fields</x:v>
      </x:c>
      <x:c r="I521" t="str">
        <x:v>Дополнить обязательные поля в источнике</x:v>
      </x:c>
      <x:c r="J521" t="n">
        <x:f>IF(D521=1,K521,0)</x:f>
        <x:v>0</x:v>
      </x:c>
      <x:c r="K521" t="n">
        <x:f>D521+K520</x:f>
        <x:v>9</x:v>
      </x:c>
    </x:row>
    <x:row r="522">
      <x:c r="A522" t="str">
        <x:v>Order</x:v>
      </x:c>
      <x:c r="B522" t="n">
        <x:f>'04_checks'!B76</x:f>
        <x:v>1075</x:v>
      </x:c>
      <x:c r="C522" t="n">
        <x:v>76</x:v>
      </x:c>
      <x:c r="D522" t="n">
        <x:f>IF('04_checks'!E76="ERROR",1,0)</x:f>
        <x:v>0</x:v>
      </x:c>
      <x:c r="E522" t="str">
        <x:v>Order:76:3</x:v>
      </x:c>
      <x:c r="F522" t="str">
        <x:f>IF(COUNTIF('02_clients_raw'!$A$2:$A$67,'01_orders_raw'!C76)&gt;1,"Неоднозначная связь","Нет связи")</x:f>
        <x:v>Нет связи</x:v>
      </x:c>
      <x:c r="G522" t="str">
        <x:v>High</x:v>
      </x:c>
      <x:c r="H522" t="str">
        <x:v>client_id</x:v>
      </x:c>
      <x:c r="I522" t="str">
        <x:v>Исправить ссылку или разрешить дубли связанного ID</x:v>
      </x:c>
      <x:c r="J522" t="n">
        <x:f>IF(D522=1,K522,0)</x:f>
        <x:v>0</x:v>
      </x:c>
      <x:c r="K522" t="n">
        <x:f>D522+K521</x:f>
        <x:v>9</x:v>
      </x:c>
    </x:row>
    <x:row r="523">
      <x:c r="A523" t="str">
        <x:v>Order</x:v>
      </x:c>
      <x:c r="B523" t="n">
        <x:f>'04_checks'!B76</x:f>
        <x:v>1075</x:v>
      </x:c>
      <x:c r="C523" t="n">
        <x:v>76</x:v>
      </x:c>
      <x:c r="D523" t="n">
        <x:f>IF('04_checks'!F76="ERROR",1,0)</x:f>
        <x:v>0</x:v>
      </x:c>
      <x:c r="E523" t="str">
        <x:v>Order:76:4</x:v>
      </x:c>
      <x:c r="F523" t="str">
        <x:v>Ошибка расчета</x:v>
      </x:c>
      <x:c r="G523" t="str">
        <x:v>High</x:v>
      </x:c>
      <x:c r="H523" t="str">
        <x:v>quantity/price/order_sum</x:v>
      </x:c>
      <x:c r="I523" t="str">
        <x:v>Сверить исходные значения и правило расчёта</x:v>
      </x:c>
      <x:c r="J523" t="n">
        <x:f>IF(D523=1,K523,0)</x:f>
        <x:v>0</x:v>
      </x:c>
      <x:c r="K523" t="n">
        <x:f>D523+K522</x:f>
        <x:v>9</x:v>
      </x:c>
    </x:row>
    <x:row r="524">
      <x:c r="A524" t="str">
        <x:v>Order</x:v>
      </x:c>
      <x:c r="B524" t="n">
        <x:f>'04_checks'!B76</x:f>
        <x:v>1075</x:v>
      </x:c>
      <x:c r="C524" t="n">
        <x:v>76</x:v>
      </x:c>
      <x:c r="D524" t="n">
        <x:f>IF('04_checks'!G76="ERROR",1,0)</x:f>
        <x:v>0</x:v>
      </x:c>
      <x:c r="E524" t="str">
        <x:v>Order:76:5</x:v>
      </x:c>
      <x:c r="F524" t="str">
        <x:v>Отрицательная цена</x:v>
      </x:c>
      <x:c r="G524" t="str">
        <x:v>High</x:v>
      </x:c>
      <x:c r="H524" t="str">
        <x:v>price</x:v>
      </x:c>
      <x:c r="I524" t="str">
        <x:v>Проверить цену в источнике</x:v>
      </x:c>
      <x:c r="J524" t="n">
        <x:f>IF(D524=1,K524,0)</x:f>
        <x:v>0</x:v>
      </x:c>
      <x:c r="K524" t="n">
        <x:f>D524+K523</x:f>
        <x:v>9</x:v>
      </x:c>
    </x:row>
    <x:row r="525">
      <x:c r="A525" t="str">
        <x:v>Order</x:v>
      </x:c>
      <x:c r="B525" t="n">
        <x:f>'04_checks'!B76</x:f>
        <x:v>1075</x:v>
      </x:c>
      <x:c r="C525" t="n">
        <x:v>76</x:v>
      </x:c>
      <x:c r="D525" t="n">
        <x:f>IF('04_checks'!H76="ERROR",1,0)</x:f>
        <x:v>0</x:v>
      </x:c>
      <x:c r="E525" t="str">
        <x:v>Order:76:6</x:v>
      </x:c>
      <x:c r="F525" t="str">
        <x:v>Дата</x:v>
      </x:c>
      <x:c r="G525" t="str">
        <x:v>Medium</x:v>
      </x:c>
      <x:c r="H525" t="str">
        <x:v>order_date</x:v>
      </x:c>
      <x:c r="I525" t="str">
        <x:v>Сверить дату со срезом и исходной записью</x:v>
      </x:c>
      <x:c r="J525" t="n">
        <x:f>IF(D525=1,K525,0)</x:f>
        <x:v>0</x:v>
      </x:c>
      <x:c r="K525" t="n">
        <x:f>D525+K524</x:f>
        <x:v>9</x:v>
      </x:c>
    </x:row>
    <x:row r="526">
      <x:c r="A526" t="str">
        <x:v>Order</x:v>
      </x:c>
      <x:c r="B526" t="n">
        <x:f>'04_checks'!B76</x:f>
        <x:v>1075</x:v>
      </x:c>
      <x:c r="C526" t="n">
        <x:v>76</x:v>
      </x:c>
      <x:c r="D526" t="n">
        <x:f>IF('04_checks'!I76="ERROR",1,0)</x:f>
        <x:v>0</x:v>
      </x:c>
      <x:c r="E526" t="str">
        <x:v>Order:76:7</x:v>
      </x:c>
      <x:c r="F526" t="str">
        <x:v>Статус</x:v>
      </x:c>
      <x:c r="G526" t="str">
        <x:v>Medium</x:v>
      </x:c>
      <x:c r="H526" t="str">
        <x:v>status</x:v>
      </x:c>
      <x:c r="I526" t="str">
        <x:v>Выбрать допустимый статус</x:v>
      </x:c>
      <x:c r="J526" t="n">
        <x:f>IF(D526=1,K526,0)</x:f>
        <x:v>0</x:v>
      </x:c>
      <x:c r="K526" t="n">
        <x:f>D526+K525</x:f>
        <x:v>9</x:v>
      </x:c>
    </x:row>
    <x:row r="527">
      <x:c r="A527" t="str">
        <x:v>Order</x:v>
      </x:c>
      <x:c r="B527" t="n">
        <x:f>'04_checks'!B77</x:f>
        <x:v>1076</x:v>
      </x:c>
      <x:c r="C527" t="n">
        <x:v>77</x:v>
      </x:c>
      <x:c r="D527" t="n">
        <x:f>IF('04_checks'!C77="ERROR",1,0)</x:f>
        <x:v>0</x:v>
      </x:c>
      <x:c r="E527" t="str">
        <x:v>Order:77:1</x:v>
      </x:c>
      <x:c r="F527" t="str">
        <x:v>Дубль</x:v>
      </x:c>
      <x:c r="G527" t="str">
        <x:v>High</x:v>
      </x:c>
      <x:c r="H527" t="str">
        <x:v>order_id</x:v>
      </x:c>
      <x:c r="I527" t="str">
        <x:v>Проверить уникальность ID в источнике; не удалять записи автоматически</x:v>
      </x:c>
      <x:c r="J527" t="n">
        <x:f>IF(D527=1,K527,0)</x:f>
        <x:v>0</x:v>
      </x:c>
      <x:c r="K527" t="n">
        <x:f>D527+K526</x:f>
        <x:v>9</x:v>
      </x:c>
    </x:row>
    <x:row r="528">
      <x:c r="A528" t="str">
        <x:v>Order</x:v>
      </x:c>
      <x:c r="B528" t="n">
        <x:f>'04_checks'!B77</x:f>
        <x:v>1076</x:v>
      </x:c>
      <x:c r="C528" t="n">
        <x:v>77</x:v>
      </x:c>
      <x:c r="D528" t="n">
        <x:f>IF('04_checks'!D77="ERROR",1,0)</x:f>
        <x:v>0</x:v>
      </x:c>
      <x:c r="E528" t="str">
        <x:v>Order:77:2</x:v>
      </x:c>
      <x:c r="F528" t="str">
        <x:v>Пустое поле</x:v>
      </x:c>
      <x:c r="G528" t="str">
        <x:v>High</x:v>
      </x:c>
      <x:c r="H528" t="str">
        <x:v>required_fields</x:v>
      </x:c>
      <x:c r="I528" t="str">
        <x:v>Дополнить обязательные поля в источнике</x:v>
      </x:c>
      <x:c r="J528" t="n">
        <x:f>IF(D528=1,K528,0)</x:f>
        <x:v>0</x:v>
      </x:c>
      <x:c r="K528" t="n">
        <x:f>D528+K527</x:f>
        <x:v>9</x:v>
      </x:c>
    </x:row>
    <x:row r="529">
      <x:c r="A529" t="str">
        <x:v>Order</x:v>
      </x:c>
      <x:c r="B529" t="n">
        <x:f>'04_checks'!B77</x:f>
        <x:v>1076</x:v>
      </x:c>
      <x:c r="C529" t="n">
        <x:v>77</x:v>
      </x:c>
      <x:c r="D529" t="n">
        <x:f>IF('04_checks'!E77="ERROR",1,0)</x:f>
        <x:v>0</x:v>
      </x:c>
      <x:c r="E529" t="str">
        <x:v>Order:77:3</x:v>
      </x:c>
      <x:c r="F529" t="str">
        <x:f>IF(COUNTIF('02_clients_raw'!$A$2:$A$67,'01_orders_raw'!C77)&gt;1,"Неоднозначная связь","Нет связи")</x:f>
        <x:v>Нет связи</x:v>
      </x:c>
      <x:c r="G529" t="str">
        <x:v>High</x:v>
      </x:c>
      <x:c r="H529" t="str">
        <x:v>client_id</x:v>
      </x:c>
      <x:c r="I529" t="str">
        <x:v>Исправить ссылку или разрешить дубли связанного ID</x:v>
      </x:c>
      <x:c r="J529" t="n">
        <x:f>IF(D529=1,K529,0)</x:f>
        <x:v>0</x:v>
      </x:c>
      <x:c r="K529" t="n">
        <x:f>D529+K528</x:f>
        <x:v>9</x:v>
      </x:c>
    </x:row>
    <x:row r="530">
      <x:c r="A530" t="str">
        <x:v>Order</x:v>
      </x:c>
      <x:c r="B530" t="n">
        <x:f>'04_checks'!B77</x:f>
        <x:v>1076</x:v>
      </x:c>
      <x:c r="C530" t="n">
        <x:v>77</x:v>
      </x:c>
      <x:c r="D530" t="n">
        <x:f>IF('04_checks'!F77="ERROR",1,0)</x:f>
        <x:v>0</x:v>
      </x:c>
      <x:c r="E530" t="str">
        <x:v>Order:77:4</x:v>
      </x:c>
      <x:c r="F530" t="str">
        <x:v>Ошибка расчета</x:v>
      </x:c>
      <x:c r="G530" t="str">
        <x:v>High</x:v>
      </x:c>
      <x:c r="H530" t="str">
        <x:v>quantity/price/order_sum</x:v>
      </x:c>
      <x:c r="I530" t="str">
        <x:v>Сверить исходные значения и правило расчёта</x:v>
      </x:c>
      <x:c r="J530" t="n">
        <x:f>IF(D530=1,K530,0)</x:f>
        <x:v>0</x:v>
      </x:c>
      <x:c r="K530" t="n">
        <x:f>D530+K529</x:f>
        <x:v>9</x:v>
      </x:c>
    </x:row>
    <x:row r="531">
      <x:c r="A531" t="str">
        <x:v>Order</x:v>
      </x:c>
      <x:c r="B531" t="n">
        <x:f>'04_checks'!B77</x:f>
        <x:v>1076</x:v>
      </x:c>
      <x:c r="C531" t="n">
        <x:v>77</x:v>
      </x:c>
      <x:c r="D531" t="n">
        <x:f>IF('04_checks'!G77="ERROR",1,0)</x:f>
        <x:v>0</x:v>
      </x:c>
      <x:c r="E531" t="str">
        <x:v>Order:77:5</x:v>
      </x:c>
      <x:c r="F531" t="str">
        <x:v>Отрицательная цена</x:v>
      </x:c>
      <x:c r="G531" t="str">
        <x:v>High</x:v>
      </x:c>
      <x:c r="H531" t="str">
        <x:v>price</x:v>
      </x:c>
      <x:c r="I531" t="str">
        <x:v>Проверить цену в источнике</x:v>
      </x:c>
      <x:c r="J531" t="n">
        <x:f>IF(D531=1,K531,0)</x:f>
        <x:v>0</x:v>
      </x:c>
      <x:c r="K531" t="n">
        <x:f>D531+K530</x:f>
        <x:v>9</x:v>
      </x:c>
    </x:row>
    <x:row r="532">
      <x:c r="A532" t="str">
        <x:v>Order</x:v>
      </x:c>
      <x:c r="B532" t="n">
        <x:f>'04_checks'!B77</x:f>
        <x:v>1076</x:v>
      </x:c>
      <x:c r="C532" t="n">
        <x:v>77</x:v>
      </x:c>
      <x:c r="D532" t="n">
        <x:f>IF('04_checks'!H77="ERROR",1,0)</x:f>
        <x:v>0</x:v>
      </x:c>
      <x:c r="E532" t="str">
        <x:v>Order:77:6</x:v>
      </x:c>
      <x:c r="F532" t="str">
        <x:v>Дата</x:v>
      </x:c>
      <x:c r="G532" t="str">
        <x:v>Medium</x:v>
      </x:c>
      <x:c r="H532" t="str">
        <x:v>order_date</x:v>
      </x:c>
      <x:c r="I532" t="str">
        <x:v>Сверить дату со срезом и исходной записью</x:v>
      </x:c>
      <x:c r="J532" t="n">
        <x:f>IF(D532=1,K532,0)</x:f>
        <x:v>0</x:v>
      </x:c>
      <x:c r="K532" t="n">
        <x:f>D532+K531</x:f>
        <x:v>9</x:v>
      </x:c>
    </x:row>
    <x:row r="533">
      <x:c r="A533" t="str">
        <x:v>Order</x:v>
      </x:c>
      <x:c r="B533" t="n">
        <x:f>'04_checks'!B77</x:f>
        <x:v>1076</x:v>
      </x:c>
      <x:c r="C533" t="n">
        <x:v>77</x:v>
      </x:c>
      <x:c r="D533" t="n">
        <x:f>IF('04_checks'!I77="ERROR",1,0)</x:f>
        <x:v>0</x:v>
      </x:c>
      <x:c r="E533" t="str">
        <x:v>Order:77:7</x:v>
      </x:c>
      <x:c r="F533" t="str">
        <x:v>Статус</x:v>
      </x:c>
      <x:c r="G533" t="str">
        <x:v>Medium</x:v>
      </x:c>
      <x:c r="H533" t="str">
        <x:v>status</x:v>
      </x:c>
      <x:c r="I533" t="str">
        <x:v>Выбрать допустимый статус</x:v>
      </x:c>
      <x:c r="J533" t="n">
        <x:f>IF(D533=1,K533,0)</x:f>
        <x:v>0</x:v>
      </x:c>
      <x:c r="K533" t="n">
        <x:f>D533+K532</x:f>
        <x:v>9</x:v>
      </x:c>
    </x:row>
    <x:row r="534">
      <x:c r="A534" t="str">
        <x:v>Order</x:v>
      </x:c>
      <x:c r="B534" t="n">
        <x:f>'04_checks'!B78</x:f>
        <x:v>1077</x:v>
      </x:c>
      <x:c r="C534" t="n">
        <x:v>78</x:v>
      </x:c>
      <x:c r="D534" t="n">
        <x:f>IF('04_checks'!C78="ERROR",1,0)</x:f>
        <x:v>0</x:v>
      </x:c>
      <x:c r="E534" t="str">
        <x:v>Order:78:1</x:v>
      </x:c>
      <x:c r="F534" t="str">
        <x:v>Дубль</x:v>
      </x:c>
      <x:c r="G534" t="str">
        <x:v>High</x:v>
      </x:c>
      <x:c r="H534" t="str">
        <x:v>order_id</x:v>
      </x:c>
      <x:c r="I534" t="str">
        <x:v>Проверить уникальность ID в источнике; не удалять записи автоматически</x:v>
      </x:c>
      <x:c r="J534" t="n">
        <x:f>IF(D534=1,K534,0)</x:f>
        <x:v>0</x:v>
      </x:c>
      <x:c r="K534" t="n">
        <x:f>D534+K533</x:f>
        <x:v>9</x:v>
      </x:c>
    </x:row>
    <x:row r="535">
      <x:c r="A535" t="str">
        <x:v>Order</x:v>
      </x:c>
      <x:c r="B535" t="n">
        <x:f>'04_checks'!B78</x:f>
        <x:v>1077</x:v>
      </x:c>
      <x:c r="C535" t="n">
        <x:v>78</x:v>
      </x:c>
      <x:c r="D535" t="n">
        <x:f>IF('04_checks'!D78="ERROR",1,0)</x:f>
        <x:v>0</x:v>
      </x:c>
      <x:c r="E535" t="str">
        <x:v>Order:78:2</x:v>
      </x:c>
      <x:c r="F535" t="str">
        <x:v>Пустое поле</x:v>
      </x:c>
      <x:c r="G535" t="str">
        <x:v>High</x:v>
      </x:c>
      <x:c r="H535" t="str">
        <x:v>required_fields</x:v>
      </x:c>
      <x:c r="I535" t="str">
        <x:v>Дополнить обязательные поля в источнике</x:v>
      </x:c>
      <x:c r="J535" t="n">
        <x:f>IF(D535=1,K535,0)</x:f>
        <x:v>0</x:v>
      </x:c>
      <x:c r="K535" t="n">
        <x:f>D535+K534</x:f>
        <x:v>9</x:v>
      </x:c>
    </x:row>
    <x:row r="536">
      <x:c r="A536" t="str">
        <x:v>Order</x:v>
      </x:c>
      <x:c r="B536" t="n">
        <x:f>'04_checks'!B78</x:f>
        <x:v>1077</x:v>
      </x:c>
      <x:c r="C536" t="n">
        <x:v>78</x:v>
      </x:c>
      <x:c r="D536" t="n">
        <x:f>IF('04_checks'!E78="ERROR",1,0)</x:f>
        <x:v>0</x:v>
      </x:c>
      <x:c r="E536" t="str">
        <x:v>Order:78:3</x:v>
      </x:c>
      <x:c r="F536" t="str">
        <x:f>IF(COUNTIF('02_clients_raw'!$A$2:$A$67,'01_orders_raw'!C78)&gt;1,"Неоднозначная связь","Нет связи")</x:f>
        <x:v>Нет связи</x:v>
      </x:c>
      <x:c r="G536" t="str">
        <x:v>High</x:v>
      </x:c>
      <x:c r="H536" t="str">
        <x:v>client_id</x:v>
      </x:c>
      <x:c r="I536" t="str">
        <x:v>Исправить ссылку или разрешить дубли связанного ID</x:v>
      </x:c>
      <x:c r="J536" t="n">
        <x:f>IF(D536=1,K536,0)</x:f>
        <x:v>0</x:v>
      </x:c>
      <x:c r="K536" t="n">
        <x:f>D536+K535</x:f>
        <x:v>9</x:v>
      </x:c>
    </x:row>
    <x:row r="537">
      <x:c r="A537" t="str">
        <x:v>Order</x:v>
      </x:c>
      <x:c r="B537" t="n">
        <x:f>'04_checks'!B78</x:f>
        <x:v>1077</x:v>
      </x:c>
      <x:c r="C537" t="n">
        <x:v>78</x:v>
      </x:c>
      <x:c r="D537" t="n">
        <x:f>IF('04_checks'!F78="ERROR",1,0)</x:f>
        <x:v>0</x:v>
      </x:c>
      <x:c r="E537" t="str">
        <x:v>Order:78:4</x:v>
      </x:c>
      <x:c r="F537" t="str">
        <x:v>Ошибка расчета</x:v>
      </x:c>
      <x:c r="G537" t="str">
        <x:v>High</x:v>
      </x:c>
      <x:c r="H537" t="str">
        <x:v>quantity/price/order_sum</x:v>
      </x:c>
      <x:c r="I537" t="str">
        <x:v>Сверить исходные значения и правило расчёта</x:v>
      </x:c>
      <x:c r="J537" t="n">
        <x:f>IF(D537=1,K537,0)</x:f>
        <x:v>0</x:v>
      </x:c>
      <x:c r="K537" t="n">
        <x:f>D537+K536</x:f>
        <x:v>9</x:v>
      </x:c>
    </x:row>
    <x:row r="538">
      <x:c r="A538" t="str">
        <x:v>Order</x:v>
      </x:c>
      <x:c r="B538" t="n">
        <x:f>'04_checks'!B78</x:f>
        <x:v>1077</x:v>
      </x:c>
      <x:c r="C538" t="n">
        <x:v>78</x:v>
      </x:c>
      <x:c r="D538" t="n">
        <x:f>IF('04_checks'!G78="ERROR",1,0)</x:f>
        <x:v>0</x:v>
      </x:c>
      <x:c r="E538" t="str">
        <x:v>Order:78:5</x:v>
      </x:c>
      <x:c r="F538" t="str">
        <x:v>Отрицательная цена</x:v>
      </x:c>
      <x:c r="G538" t="str">
        <x:v>High</x:v>
      </x:c>
      <x:c r="H538" t="str">
        <x:v>price</x:v>
      </x:c>
      <x:c r="I538" t="str">
        <x:v>Проверить цену в источнике</x:v>
      </x:c>
      <x:c r="J538" t="n">
        <x:f>IF(D538=1,K538,0)</x:f>
        <x:v>0</x:v>
      </x:c>
      <x:c r="K538" t="n">
        <x:f>D538+K537</x:f>
        <x:v>9</x:v>
      </x:c>
    </x:row>
    <x:row r="539">
      <x:c r="A539" t="str">
        <x:v>Order</x:v>
      </x:c>
      <x:c r="B539" t="n">
        <x:f>'04_checks'!B78</x:f>
        <x:v>1077</x:v>
      </x:c>
      <x:c r="C539" t="n">
        <x:v>78</x:v>
      </x:c>
      <x:c r="D539" t="n">
        <x:f>IF('04_checks'!H78="ERROR",1,0)</x:f>
        <x:v>0</x:v>
      </x:c>
      <x:c r="E539" t="str">
        <x:v>Order:78:6</x:v>
      </x:c>
      <x:c r="F539" t="str">
        <x:v>Дата</x:v>
      </x:c>
      <x:c r="G539" t="str">
        <x:v>Medium</x:v>
      </x:c>
      <x:c r="H539" t="str">
        <x:v>order_date</x:v>
      </x:c>
      <x:c r="I539" t="str">
        <x:v>Сверить дату со срезом и исходной записью</x:v>
      </x:c>
      <x:c r="J539" t="n">
        <x:f>IF(D539=1,K539,0)</x:f>
        <x:v>0</x:v>
      </x:c>
      <x:c r="K539" t="n">
        <x:f>D539+K538</x:f>
        <x:v>9</x:v>
      </x:c>
    </x:row>
    <x:row r="540">
      <x:c r="A540" t="str">
        <x:v>Order</x:v>
      </x:c>
      <x:c r="B540" t="n">
        <x:f>'04_checks'!B78</x:f>
        <x:v>1077</x:v>
      </x:c>
      <x:c r="C540" t="n">
        <x:v>78</x:v>
      </x:c>
      <x:c r="D540" t="n">
        <x:f>IF('04_checks'!I78="ERROR",1,0)</x:f>
        <x:v>0</x:v>
      </x:c>
      <x:c r="E540" t="str">
        <x:v>Order:78:7</x:v>
      </x:c>
      <x:c r="F540" t="str">
        <x:v>Статус</x:v>
      </x:c>
      <x:c r="G540" t="str">
        <x:v>Medium</x:v>
      </x:c>
      <x:c r="H540" t="str">
        <x:v>status</x:v>
      </x:c>
      <x:c r="I540" t="str">
        <x:v>Выбрать допустимый статус</x:v>
      </x:c>
      <x:c r="J540" t="n">
        <x:f>IF(D540=1,K540,0)</x:f>
        <x:v>0</x:v>
      </x:c>
      <x:c r="K540" t="n">
        <x:f>D540+K539</x:f>
        <x:v>9</x:v>
      </x:c>
    </x:row>
    <x:row r="541">
      <x:c r="A541" t="str">
        <x:v>Order</x:v>
      </x:c>
      <x:c r="B541" t="n">
        <x:f>'04_checks'!B79</x:f>
        <x:v>1078</x:v>
      </x:c>
      <x:c r="C541" t="n">
        <x:v>79</x:v>
      </x:c>
      <x:c r="D541" t="n">
        <x:f>IF('04_checks'!C79="ERROR",1,0)</x:f>
        <x:v>0</x:v>
      </x:c>
      <x:c r="E541" t="str">
        <x:v>Order:79:1</x:v>
      </x:c>
      <x:c r="F541" t="str">
        <x:v>Дубль</x:v>
      </x:c>
      <x:c r="G541" t="str">
        <x:v>High</x:v>
      </x:c>
      <x:c r="H541" t="str">
        <x:v>order_id</x:v>
      </x:c>
      <x:c r="I541" t="str">
        <x:v>Проверить уникальность ID в источнике; не удалять записи автоматически</x:v>
      </x:c>
      <x:c r="J541" t="n">
        <x:f>IF(D541=1,K541,0)</x:f>
        <x:v>0</x:v>
      </x:c>
      <x:c r="K541" t="n">
        <x:f>D541+K540</x:f>
        <x:v>9</x:v>
      </x:c>
    </x:row>
    <x:row r="542">
      <x:c r="A542" t="str">
        <x:v>Order</x:v>
      </x:c>
      <x:c r="B542" t="n">
        <x:f>'04_checks'!B79</x:f>
        <x:v>1078</x:v>
      </x:c>
      <x:c r="C542" t="n">
        <x:v>79</x:v>
      </x:c>
      <x:c r="D542" t="n">
        <x:f>IF('04_checks'!D79="ERROR",1,0)</x:f>
        <x:v>0</x:v>
      </x:c>
      <x:c r="E542" t="str">
        <x:v>Order:79:2</x:v>
      </x:c>
      <x:c r="F542" t="str">
        <x:v>Пустое поле</x:v>
      </x:c>
      <x:c r="G542" t="str">
        <x:v>High</x:v>
      </x:c>
      <x:c r="H542" t="str">
        <x:v>required_fields</x:v>
      </x:c>
      <x:c r="I542" t="str">
        <x:v>Дополнить обязательные поля в источнике</x:v>
      </x:c>
      <x:c r="J542" t="n">
        <x:f>IF(D542=1,K542,0)</x:f>
        <x:v>0</x:v>
      </x:c>
      <x:c r="K542" t="n">
        <x:f>D542+K541</x:f>
        <x:v>9</x:v>
      </x:c>
    </x:row>
    <x:row r="543">
      <x:c r="A543" t="str">
        <x:v>Order</x:v>
      </x:c>
      <x:c r="B543" t="n">
        <x:f>'04_checks'!B79</x:f>
        <x:v>1078</x:v>
      </x:c>
      <x:c r="C543" t="n">
        <x:v>79</x:v>
      </x:c>
      <x:c r="D543" t="n">
        <x:f>IF('04_checks'!E79="ERROR",1,0)</x:f>
        <x:v>0</x:v>
      </x:c>
      <x:c r="E543" t="str">
        <x:v>Order:79:3</x:v>
      </x:c>
      <x:c r="F543" t="str">
        <x:f>IF(COUNTIF('02_clients_raw'!$A$2:$A$67,'01_orders_raw'!C79)&gt;1,"Неоднозначная связь","Нет связи")</x:f>
        <x:v>Нет связи</x:v>
      </x:c>
      <x:c r="G543" t="str">
        <x:v>High</x:v>
      </x:c>
      <x:c r="H543" t="str">
        <x:v>client_id</x:v>
      </x:c>
      <x:c r="I543" t="str">
        <x:v>Исправить ссылку или разрешить дубли связанного ID</x:v>
      </x:c>
      <x:c r="J543" t="n">
        <x:f>IF(D543=1,K543,0)</x:f>
        <x:v>0</x:v>
      </x:c>
      <x:c r="K543" t="n">
        <x:f>D543+K542</x:f>
        <x:v>9</x:v>
      </x:c>
    </x:row>
    <x:row r="544">
      <x:c r="A544" t="str">
        <x:v>Order</x:v>
      </x:c>
      <x:c r="B544" t="n">
        <x:f>'04_checks'!B79</x:f>
        <x:v>1078</x:v>
      </x:c>
      <x:c r="C544" t="n">
        <x:v>79</x:v>
      </x:c>
      <x:c r="D544" t="n">
        <x:f>IF('04_checks'!F79="ERROR",1,0)</x:f>
        <x:v>0</x:v>
      </x:c>
      <x:c r="E544" t="str">
        <x:v>Order:79:4</x:v>
      </x:c>
      <x:c r="F544" t="str">
        <x:v>Ошибка расчета</x:v>
      </x:c>
      <x:c r="G544" t="str">
        <x:v>High</x:v>
      </x:c>
      <x:c r="H544" t="str">
        <x:v>quantity/price/order_sum</x:v>
      </x:c>
      <x:c r="I544" t="str">
        <x:v>Сверить исходные значения и правило расчёта</x:v>
      </x:c>
      <x:c r="J544" t="n">
        <x:f>IF(D544=1,K544,0)</x:f>
        <x:v>0</x:v>
      </x:c>
      <x:c r="K544" t="n">
        <x:f>D544+K543</x:f>
        <x:v>9</x:v>
      </x:c>
    </x:row>
    <x:row r="545">
      <x:c r="A545" t="str">
        <x:v>Order</x:v>
      </x:c>
      <x:c r="B545" t="n">
        <x:f>'04_checks'!B79</x:f>
        <x:v>1078</x:v>
      </x:c>
      <x:c r="C545" t="n">
        <x:v>79</x:v>
      </x:c>
      <x:c r="D545" t="n">
        <x:f>IF('04_checks'!G79="ERROR",1,0)</x:f>
        <x:v>0</x:v>
      </x:c>
      <x:c r="E545" t="str">
        <x:v>Order:79:5</x:v>
      </x:c>
      <x:c r="F545" t="str">
        <x:v>Отрицательная цена</x:v>
      </x:c>
      <x:c r="G545" t="str">
        <x:v>High</x:v>
      </x:c>
      <x:c r="H545" t="str">
        <x:v>price</x:v>
      </x:c>
      <x:c r="I545" t="str">
        <x:v>Проверить цену в источнике</x:v>
      </x:c>
      <x:c r="J545" t="n">
        <x:f>IF(D545=1,K545,0)</x:f>
        <x:v>0</x:v>
      </x:c>
      <x:c r="K545" t="n">
        <x:f>D545+K544</x:f>
        <x:v>9</x:v>
      </x:c>
    </x:row>
    <x:row r="546">
      <x:c r="A546" t="str">
        <x:v>Order</x:v>
      </x:c>
      <x:c r="B546" t="n">
        <x:f>'04_checks'!B79</x:f>
        <x:v>1078</x:v>
      </x:c>
      <x:c r="C546" t="n">
        <x:v>79</x:v>
      </x:c>
      <x:c r="D546" t="n">
        <x:f>IF('04_checks'!H79="ERROR",1,0)</x:f>
        <x:v>0</x:v>
      </x:c>
      <x:c r="E546" t="str">
        <x:v>Order:79:6</x:v>
      </x:c>
      <x:c r="F546" t="str">
        <x:v>Дата</x:v>
      </x:c>
      <x:c r="G546" t="str">
        <x:v>Medium</x:v>
      </x:c>
      <x:c r="H546" t="str">
        <x:v>order_date</x:v>
      </x:c>
      <x:c r="I546" t="str">
        <x:v>Сверить дату со срезом и исходной записью</x:v>
      </x:c>
      <x:c r="J546" t="n">
        <x:f>IF(D546=1,K546,0)</x:f>
        <x:v>0</x:v>
      </x:c>
      <x:c r="K546" t="n">
        <x:f>D546+K545</x:f>
        <x:v>9</x:v>
      </x:c>
    </x:row>
    <x:row r="547">
      <x:c r="A547" t="str">
        <x:v>Order</x:v>
      </x:c>
      <x:c r="B547" t="n">
        <x:f>'04_checks'!B79</x:f>
        <x:v>1078</x:v>
      </x:c>
      <x:c r="C547" t="n">
        <x:v>79</x:v>
      </x:c>
      <x:c r="D547" t="n">
        <x:f>IF('04_checks'!I79="ERROR",1,0)</x:f>
        <x:v>0</x:v>
      </x:c>
      <x:c r="E547" t="str">
        <x:v>Order:79:7</x:v>
      </x:c>
      <x:c r="F547" t="str">
        <x:v>Статус</x:v>
      </x:c>
      <x:c r="G547" t="str">
        <x:v>Medium</x:v>
      </x:c>
      <x:c r="H547" t="str">
        <x:v>status</x:v>
      </x:c>
      <x:c r="I547" t="str">
        <x:v>Выбрать допустимый статус</x:v>
      </x:c>
      <x:c r="J547" t="n">
        <x:f>IF(D547=1,K547,0)</x:f>
        <x:v>0</x:v>
      </x:c>
      <x:c r="K547" t="n">
        <x:f>D547+K546</x:f>
        <x:v>9</x:v>
      </x:c>
    </x:row>
    <x:row r="548">
      <x:c r="A548" t="str">
        <x:v>Order</x:v>
      </x:c>
      <x:c r="B548" t="n">
        <x:f>'04_checks'!B80</x:f>
        <x:v>1079</x:v>
      </x:c>
      <x:c r="C548" t="n">
        <x:v>80</x:v>
      </x:c>
      <x:c r="D548" t="n">
        <x:f>IF('04_checks'!C80="ERROR",1,0)</x:f>
        <x:v>0</x:v>
      </x:c>
      <x:c r="E548" t="str">
        <x:v>Order:80:1</x:v>
      </x:c>
      <x:c r="F548" t="str">
        <x:v>Дубль</x:v>
      </x:c>
      <x:c r="G548" t="str">
        <x:v>High</x:v>
      </x:c>
      <x:c r="H548" t="str">
        <x:v>order_id</x:v>
      </x:c>
      <x:c r="I548" t="str">
        <x:v>Проверить уникальность ID в источнике; не удалять записи автоматически</x:v>
      </x:c>
      <x:c r="J548" t="n">
        <x:f>IF(D548=1,K548,0)</x:f>
        <x:v>0</x:v>
      </x:c>
      <x:c r="K548" t="n">
        <x:f>D548+K547</x:f>
        <x:v>9</x:v>
      </x:c>
    </x:row>
    <x:row r="549">
      <x:c r="A549" t="str">
        <x:v>Order</x:v>
      </x:c>
      <x:c r="B549" t="n">
        <x:f>'04_checks'!B80</x:f>
        <x:v>1079</x:v>
      </x:c>
      <x:c r="C549" t="n">
        <x:v>80</x:v>
      </x:c>
      <x:c r="D549" t="n">
        <x:f>IF('04_checks'!D80="ERROR",1,0)</x:f>
        <x:v>0</x:v>
      </x:c>
      <x:c r="E549" t="str">
        <x:v>Order:80:2</x:v>
      </x:c>
      <x:c r="F549" t="str">
        <x:v>Пустое поле</x:v>
      </x:c>
      <x:c r="G549" t="str">
        <x:v>High</x:v>
      </x:c>
      <x:c r="H549" t="str">
        <x:v>required_fields</x:v>
      </x:c>
      <x:c r="I549" t="str">
        <x:v>Дополнить обязательные поля в источнике</x:v>
      </x:c>
      <x:c r="J549" t="n">
        <x:f>IF(D549=1,K549,0)</x:f>
        <x:v>0</x:v>
      </x:c>
      <x:c r="K549" t="n">
        <x:f>D549+K548</x:f>
        <x:v>9</x:v>
      </x:c>
    </x:row>
    <x:row r="550">
      <x:c r="A550" t="str">
        <x:v>Order</x:v>
      </x:c>
      <x:c r="B550" t="n">
        <x:f>'04_checks'!B80</x:f>
        <x:v>1079</x:v>
      </x:c>
      <x:c r="C550" t="n">
        <x:v>80</x:v>
      </x:c>
      <x:c r="D550" t="n">
        <x:f>IF('04_checks'!E80="ERROR",1,0)</x:f>
        <x:v>0</x:v>
      </x:c>
      <x:c r="E550" t="str">
        <x:v>Order:80:3</x:v>
      </x:c>
      <x:c r="F550" t="str">
        <x:f>IF(COUNTIF('02_clients_raw'!$A$2:$A$67,'01_orders_raw'!C80)&gt;1,"Неоднозначная связь","Нет связи")</x:f>
        <x:v>Нет связи</x:v>
      </x:c>
      <x:c r="G550" t="str">
        <x:v>High</x:v>
      </x:c>
      <x:c r="H550" t="str">
        <x:v>client_id</x:v>
      </x:c>
      <x:c r="I550" t="str">
        <x:v>Исправить ссылку или разрешить дубли связанного ID</x:v>
      </x:c>
      <x:c r="J550" t="n">
        <x:f>IF(D550=1,K550,0)</x:f>
        <x:v>0</x:v>
      </x:c>
      <x:c r="K550" t="n">
        <x:f>D550+K549</x:f>
        <x:v>9</x:v>
      </x:c>
    </x:row>
    <x:row r="551">
      <x:c r="A551" t="str">
        <x:v>Order</x:v>
      </x:c>
      <x:c r="B551" t="n">
        <x:f>'04_checks'!B80</x:f>
        <x:v>1079</x:v>
      </x:c>
      <x:c r="C551" t="n">
        <x:v>80</x:v>
      </x:c>
      <x:c r="D551" t="n">
        <x:f>IF('04_checks'!F80="ERROR",1,0)</x:f>
        <x:v>0</x:v>
      </x:c>
      <x:c r="E551" t="str">
        <x:v>Order:80:4</x:v>
      </x:c>
      <x:c r="F551" t="str">
        <x:v>Ошибка расчета</x:v>
      </x:c>
      <x:c r="G551" t="str">
        <x:v>High</x:v>
      </x:c>
      <x:c r="H551" t="str">
        <x:v>quantity/price/order_sum</x:v>
      </x:c>
      <x:c r="I551" t="str">
        <x:v>Сверить исходные значения и правило расчёта</x:v>
      </x:c>
      <x:c r="J551" t="n">
        <x:f>IF(D551=1,K551,0)</x:f>
        <x:v>0</x:v>
      </x:c>
      <x:c r="K551" t="n">
        <x:f>D551+K550</x:f>
        <x:v>9</x:v>
      </x:c>
    </x:row>
    <x:row r="552">
      <x:c r="A552" t="str">
        <x:v>Order</x:v>
      </x:c>
      <x:c r="B552" t="n">
        <x:f>'04_checks'!B80</x:f>
        <x:v>1079</x:v>
      </x:c>
      <x:c r="C552" t="n">
        <x:v>80</x:v>
      </x:c>
      <x:c r="D552" t="n">
        <x:f>IF('04_checks'!G80="ERROR",1,0)</x:f>
        <x:v>0</x:v>
      </x:c>
      <x:c r="E552" t="str">
        <x:v>Order:80:5</x:v>
      </x:c>
      <x:c r="F552" t="str">
        <x:v>Отрицательная цена</x:v>
      </x:c>
      <x:c r="G552" t="str">
        <x:v>High</x:v>
      </x:c>
      <x:c r="H552" t="str">
        <x:v>price</x:v>
      </x:c>
      <x:c r="I552" t="str">
        <x:v>Проверить цену в источнике</x:v>
      </x:c>
      <x:c r="J552" t="n">
        <x:f>IF(D552=1,K552,0)</x:f>
        <x:v>0</x:v>
      </x:c>
      <x:c r="K552" t="n">
        <x:f>D552+K551</x:f>
        <x:v>9</x:v>
      </x:c>
    </x:row>
    <x:row r="553">
      <x:c r="A553" t="str">
        <x:v>Order</x:v>
      </x:c>
      <x:c r="B553" t="n">
        <x:f>'04_checks'!B80</x:f>
        <x:v>1079</x:v>
      </x:c>
      <x:c r="C553" t="n">
        <x:v>80</x:v>
      </x:c>
      <x:c r="D553" t="n">
        <x:f>IF('04_checks'!H80="ERROR",1,0)</x:f>
        <x:v>0</x:v>
      </x:c>
      <x:c r="E553" t="str">
        <x:v>Order:80:6</x:v>
      </x:c>
      <x:c r="F553" t="str">
        <x:v>Дата</x:v>
      </x:c>
      <x:c r="G553" t="str">
        <x:v>Medium</x:v>
      </x:c>
      <x:c r="H553" t="str">
        <x:v>order_date</x:v>
      </x:c>
      <x:c r="I553" t="str">
        <x:v>Сверить дату со срезом и исходной записью</x:v>
      </x:c>
      <x:c r="J553" t="n">
        <x:f>IF(D553=1,K553,0)</x:f>
        <x:v>0</x:v>
      </x:c>
      <x:c r="K553" t="n">
        <x:f>D553+K552</x:f>
        <x:v>9</x:v>
      </x:c>
    </x:row>
    <x:row r="554">
      <x:c r="A554" t="str">
        <x:v>Order</x:v>
      </x:c>
      <x:c r="B554" t="n">
        <x:f>'04_checks'!B80</x:f>
        <x:v>1079</x:v>
      </x:c>
      <x:c r="C554" t="n">
        <x:v>80</x:v>
      </x:c>
      <x:c r="D554" t="n">
        <x:f>IF('04_checks'!I80="ERROR",1,0)</x:f>
        <x:v>0</x:v>
      </x:c>
      <x:c r="E554" t="str">
        <x:v>Order:80:7</x:v>
      </x:c>
      <x:c r="F554" t="str">
        <x:v>Статус</x:v>
      </x:c>
      <x:c r="G554" t="str">
        <x:v>Medium</x:v>
      </x:c>
      <x:c r="H554" t="str">
        <x:v>status</x:v>
      </x:c>
      <x:c r="I554" t="str">
        <x:v>Выбрать допустимый статус</x:v>
      </x:c>
      <x:c r="J554" t="n">
        <x:f>IF(D554=1,K554,0)</x:f>
        <x:v>0</x:v>
      </x:c>
      <x:c r="K554" t="n">
        <x:f>D554+K553</x:f>
        <x:v>9</x:v>
      </x:c>
    </x:row>
    <x:row r="555">
      <x:c r="A555" t="str">
        <x:v>Order</x:v>
      </x:c>
      <x:c r="B555" t="n">
        <x:f>'04_checks'!B81</x:f>
        <x:v>1080</x:v>
      </x:c>
      <x:c r="C555" t="n">
        <x:v>81</x:v>
      </x:c>
      <x:c r="D555" t="n">
        <x:f>IF('04_checks'!C81="ERROR",1,0)</x:f>
        <x:v>0</x:v>
      </x:c>
      <x:c r="E555" t="str">
        <x:v>Order:81:1</x:v>
      </x:c>
      <x:c r="F555" t="str">
        <x:v>Дубль</x:v>
      </x:c>
      <x:c r="G555" t="str">
        <x:v>High</x:v>
      </x:c>
      <x:c r="H555" t="str">
        <x:v>order_id</x:v>
      </x:c>
      <x:c r="I555" t="str">
        <x:v>Проверить уникальность ID в источнике; не удалять записи автоматически</x:v>
      </x:c>
      <x:c r="J555" t="n">
        <x:f>IF(D555=1,K555,0)</x:f>
        <x:v>0</x:v>
      </x:c>
      <x:c r="K555" t="n">
        <x:f>D555+K554</x:f>
        <x:v>9</x:v>
      </x:c>
    </x:row>
    <x:row r="556">
      <x:c r="A556" t="str">
        <x:v>Order</x:v>
      </x:c>
      <x:c r="B556" t="n">
        <x:f>'04_checks'!B81</x:f>
        <x:v>1080</x:v>
      </x:c>
      <x:c r="C556" t="n">
        <x:v>81</x:v>
      </x:c>
      <x:c r="D556" t="n">
        <x:f>IF('04_checks'!D81="ERROR",1,0)</x:f>
        <x:v>0</x:v>
      </x:c>
      <x:c r="E556" t="str">
        <x:v>Order:81:2</x:v>
      </x:c>
      <x:c r="F556" t="str">
        <x:v>Пустое поле</x:v>
      </x:c>
      <x:c r="G556" t="str">
        <x:v>High</x:v>
      </x:c>
      <x:c r="H556" t="str">
        <x:v>required_fields</x:v>
      </x:c>
      <x:c r="I556" t="str">
        <x:v>Дополнить обязательные поля в источнике</x:v>
      </x:c>
      <x:c r="J556" t="n">
        <x:f>IF(D556=1,K556,0)</x:f>
        <x:v>0</x:v>
      </x:c>
      <x:c r="K556" t="n">
        <x:f>D556+K555</x:f>
        <x:v>9</x:v>
      </x:c>
    </x:row>
    <x:row r="557">
      <x:c r="A557" t="str">
        <x:v>Order</x:v>
      </x:c>
      <x:c r="B557" t="n">
        <x:f>'04_checks'!B81</x:f>
        <x:v>1080</x:v>
      </x:c>
      <x:c r="C557" t="n">
        <x:v>81</x:v>
      </x:c>
      <x:c r="D557" t="n">
        <x:f>IF('04_checks'!E81="ERROR",1,0)</x:f>
        <x:v>0</x:v>
      </x:c>
      <x:c r="E557" t="str">
        <x:v>Order:81:3</x:v>
      </x:c>
      <x:c r="F557" t="str">
        <x:f>IF(COUNTIF('02_clients_raw'!$A$2:$A$67,'01_orders_raw'!C81)&gt;1,"Неоднозначная связь","Нет связи")</x:f>
        <x:v>Нет связи</x:v>
      </x:c>
      <x:c r="G557" t="str">
        <x:v>High</x:v>
      </x:c>
      <x:c r="H557" t="str">
        <x:v>client_id</x:v>
      </x:c>
      <x:c r="I557" t="str">
        <x:v>Исправить ссылку или разрешить дубли связанного ID</x:v>
      </x:c>
      <x:c r="J557" t="n">
        <x:f>IF(D557=1,K557,0)</x:f>
        <x:v>0</x:v>
      </x:c>
      <x:c r="K557" t="n">
        <x:f>D557+K556</x:f>
        <x:v>9</x:v>
      </x:c>
    </x:row>
    <x:row r="558">
      <x:c r="A558" t="str">
        <x:v>Order</x:v>
      </x:c>
      <x:c r="B558" t="n">
        <x:f>'04_checks'!B81</x:f>
        <x:v>1080</x:v>
      </x:c>
      <x:c r="C558" t="n">
        <x:v>81</x:v>
      </x:c>
      <x:c r="D558" t="n">
        <x:f>IF('04_checks'!F81="ERROR",1,0)</x:f>
        <x:v>0</x:v>
      </x:c>
      <x:c r="E558" t="str">
        <x:v>Order:81:4</x:v>
      </x:c>
      <x:c r="F558" t="str">
        <x:v>Ошибка расчета</x:v>
      </x:c>
      <x:c r="G558" t="str">
        <x:v>High</x:v>
      </x:c>
      <x:c r="H558" t="str">
        <x:v>quantity/price/order_sum</x:v>
      </x:c>
      <x:c r="I558" t="str">
        <x:v>Сверить исходные значения и правило расчёта</x:v>
      </x:c>
      <x:c r="J558" t="n">
        <x:f>IF(D558=1,K558,0)</x:f>
        <x:v>0</x:v>
      </x:c>
      <x:c r="K558" t="n">
        <x:f>D558+K557</x:f>
        <x:v>9</x:v>
      </x:c>
    </x:row>
    <x:row r="559">
      <x:c r="A559" t="str">
        <x:v>Order</x:v>
      </x:c>
      <x:c r="B559" t="n">
        <x:f>'04_checks'!B81</x:f>
        <x:v>1080</x:v>
      </x:c>
      <x:c r="C559" t="n">
        <x:v>81</x:v>
      </x:c>
      <x:c r="D559" t="n">
        <x:f>IF('04_checks'!G81="ERROR",1,0)</x:f>
        <x:v>0</x:v>
      </x:c>
      <x:c r="E559" t="str">
        <x:v>Order:81:5</x:v>
      </x:c>
      <x:c r="F559" t="str">
        <x:v>Отрицательная цена</x:v>
      </x:c>
      <x:c r="G559" t="str">
        <x:v>High</x:v>
      </x:c>
      <x:c r="H559" t="str">
        <x:v>price</x:v>
      </x:c>
      <x:c r="I559" t="str">
        <x:v>Проверить цену в источнике</x:v>
      </x:c>
      <x:c r="J559" t="n">
        <x:f>IF(D559=1,K559,0)</x:f>
        <x:v>0</x:v>
      </x:c>
      <x:c r="K559" t="n">
        <x:f>D559+K558</x:f>
        <x:v>9</x:v>
      </x:c>
    </x:row>
    <x:row r="560">
      <x:c r="A560" t="str">
        <x:v>Order</x:v>
      </x:c>
      <x:c r="B560" t="n">
        <x:f>'04_checks'!B81</x:f>
        <x:v>1080</x:v>
      </x:c>
      <x:c r="C560" t="n">
        <x:v>81</x:v>
      </x:c>
      <x:c r="D560" t="n">
        <x:f>IF('04_checks'!H81="ERROR",1,0)</x:f>
        <x:v>0</x:v>
      </x:c>
      <x:c r="E560" t="str">
        <x:v>Order:81:6</x:v>
      </x:c>
      <x:c r="F560" t="str">
        <x:v>Дата</x:v>
      </x:c>
      <x:c r="G560" t="str">
        <x:v>Medium</x:v>
      </x:c>
      <x:c r="H560" t="str">
        <x:v>order_date</x:v>
      </x:c>
      <x:c r="I560" t="str">
        <x:v>Сверить дату со срезом и исходной записью</x:v>
      </x:c>
      <x:c r="J560" t="n">
        <x:f>IF(D560=1,K560,0)</x:f>
        <x:v>0</x:v>
      </x:c>
      <x:c r="K560" t="n">
        <x:f>D560+K559</x:f>
        <x:v>9</x:v>
      </x:c>
    </x:row>
    <x:row r="561">
      <x:c r="A561" t="str">
        <x:v>Order</x:v>
      </x:c>
      <x:c r="B561" t="n">
        <x:f>'04_checks'!B81</x:f>
        <x:v>1080</x:v>
      </x:c>
      <x:c r="C561" t="n">
        <x:v>81</x:v>
      </x:c>
      <x:c r="D561" t="n">
        <x:f>IF('04_checks'!I81="ERROR",1,0)</x:f>
        <x:v>0</x:v>
      </x:c>
      <x:c r="E561" t="str">
        <x:v>Order:81:7</x:v>
      </x:c>
      <x:c r="F561" t="str">
        <x:v>Статус</x:v>
      </x:c>
      <x:c r="G561" t="str">
        <x:v>Medium</x:v>
      </x:c>
      <x:c r="H561" t="str">
        <x:v>status</x:v>
      </x:c>
      <x:c r="I561" t="str">
        <x:v>Выбрать допустимый статус</x:v>
      </x:c>
      <x:c r="J561" t="n">
        <x:f>IF(D561=1,K561,0)</x:f>
        <x:v>0</x:v>
      </x:c>
      <x:c r="K561" t="n">
        <x:f>D561+K560</x:f>
        <x:v>9</x:v>
      </x:c>
    </x:row>
    <x:row r="562">
      <x:c r="A562" t="str">
        <x:v>Order</x:v>
      </x:c>
      <x:c r="B562" t="n">
        <x:f>'04_checks'!B82</x:f>
        <x:v>1081</x:v>
      </x:c>
      <x:c r="C562" t="n">
        <x:v>82</x:v>
      </x:c>
      <x:c r="D562" t="n">
        <x:f>IF('04_checks'!C82="ERROR",1,0)</x:f>
        <x:v>0</x:v>
      </x:c>
      <x:c r="E562" t="str">
        <x:v>Order:82:1</x:v>
      </x:c>
      <x:c r="F562" t="str">
        <x:v>Дубль</x:v>
      </x:c>
      <x:c r="G562" t="str">
        <x:v>High</x:v>
      </x:c>
      <x:c r="H562" t="str">
        <x:v>order_id</x:v>
      </x:c>
      <x:c r="I562" t="str">
        <x:v>Проверить уникальность ID в источнике; не удалять записи автоматически</x:v>
      </x:c>
      <x:c r="J562" t="n">
        <x:f>IF(D562=1,K562,0)</x:f>
        <x:v>0</x:v>
      </x:c>
      <x:c r="K562" t="n">
        <x:f>D562+K561</x:f>
        <x:v>9</x:v>
      </x:c>
    </x:row>
    <x:row r="563">
      <x:c r="A563" t="str">
        <x:v>Order</x:v>
      </x:c>
      <x:c r="B563" t="n">
        <x:f>'04_checks'!B82</x:f>
        <x:v>1081</x:v>
      </x:c>
      <x:c r="C563" t="n">
        <x:v>82</x:v>
      </x:c>
      <x:c r="D563" t="n">
        <x:f>IF('04_checks'!D82="ERROR",1,0)</x:f>
        <x:v>0</x:v>
      </x:c>
      <x:c r="E563" t="str">
        <x:v>Order:82:2</x:v>
      </x:c>
      <x:c r="F563" t="str">
        <x:v>Пустое поле</x:v>
      </x:c>
      <x:c r="G563" t="str">
        <x:v>High</x:v>
      </x:c>
      <x:c r="H563" t="str">
        <x:v>required_fields</x:v>
      </x:c>
      <x:c r="I563" t="str">
        <x:v>Дополнить обязательные поля в источнике</x:v>
      </x:c>
      <x:c r="J563" t="n">
        <x:f>IF(D563=1,K563,0)</x:f>
        <x:v>0</x:v>
      </x:c>
      <x:c r="K563" t="n">
        <x:f>D563+K562</x:f>
        <x:v>9</x:v>
      </x:c>
    </x:row>
    <x:row r="564">
      <x:c r="A564" t="str">
        <x:v>Order</x:v>
      </x:c>
      <x:c r="B564" t="n">
        <x:f>'04_checks'!B82</x:f>
        <x:v>1081</x:v>
      </x:c>
      <x:c r="C564" t="n">
        <x:v>82</x:v>
      </x:c>
      <x:c r="D564" t="n">
        <x:f>IF('04_checks'!E82="ERROR",1,0)</x:f>
        <x:v>0</x:v>
      </x:c>
      <x:c r="E564" t="str">
        <x:v>Order:82:3</x:v>
      </x:c>
      <x:c r="F564" t="str">
        <x:f>IF(COUNTIF('02_clients_raw'!$A$2:$A$67,'01_orders_raw'!C82)&gt;1,"Неоднозначная связь","Нет связи")</x:f>
        <x:v>Нет связи</x:v>
      </x:c>
      <x:c r="G564" t="str">
        <x:v>High</x:v>
      </x:c>
      <x:c r="H564" t="str">
        <x:v>client_id</x:v>
      </x:c>
      <x:c r="I564" t="str">
        <x:v>Исправить ссылку или разрешить дубли связанного ID</x:v>
      </x:c>
      <x:c r="J564" t="n">
        <x:f>IF(D564=1,K564,0)</x:f>
        <x:v>0</x:v>
      </x:c>
      <x:c r="K564" t="n">
        <x:f>D564+K563</x:f>
        <x:v>9</x:v>
      </x:c>
    </x:row>
    <x:row r="565">
      <x:c r="A565" t="str">
        <x:v>Order</x:v>
      </x:c>
      <x:c r="B565" t="n">
        <x:f>'04_checks'!B82</x:f>
        <x:v>1081</x:v>
      </x:c>
      <x:c r="C565" t="n">
        <x:v>82</x:v>
      </x:c>
      <x:c r="D565" t="n">
        <x:f>IF('04_checks'!F82="ERROR",1,0)</x:f>
        <x:v>0</x:v>
      </x:c>
      <x:c r="E565" t="str">
        <x:v>Order:82:4</x:v>
      </x:c>
      <x:c r="F565" t="str">
        <x:v>Ошибка расчета</x:v>
      </x:c>
      <x:c r="G565" t="str">
        <x:v>High</x:v>
      </x:c>
      <x:c r="H565" t="str">
        <x:v>quantity/price/order_sum</x:v>
      </x:c>
      <x:c r="I565" t="str">
        <x:v>Сверить исходные значения и правило расчёта</x:v>
      </x:c>
      <x:c r="J565" t="n">
        <x:f>IF(D565=1,K565,0)</x:f>
        <x:v>0</x:v>
      </x:c>
      <x:c r="K565" t="n">
        <x:f>D565+K564</x:f>
        <x:v>9</x:v>
      </x:c>
    </x:row>
    <x:row r="566">
      <x:c r="A566" t="str">
        <x:v>Order</x:v>
      </x:c>
      <x:c r="B566" t="n">
        <x:f>'04_checks'!B82</x:f>
        <x:v>1081</x:v>
      </x:c>
      <x:c r="C566" t="n">
        <x:v>82</x:v>
      </x:c>
      <x:c r="D566" t="n">
        <x:f>IF('04_checks'!G82="ERROR",1,0)</x:f>
        <x:v>0</x:v>
      </x:c>
      <x:c r="E566" t="str">
        <x:v>Order:82:5</x:v>
      </x:c>
      <x:c r="F566" t="str">
        <x:v>Отрицательная цена</x:v>
      </x:c>
      <x:c r="G566" t="str">
        <x:v>High</x:v>
      </x:c>
      <x:c r="H566" t="str">
        <x:v>price</x:v>
      </x:c>
      <x:c r="I566" t="str">
        <x:v>Проверить цену в источнике</x:v>
      </x:c>
      <x:c r="J566" t="n">
        <x:f>IF(D566=1,K566,0)</x:f>
        <x:v>0</x:v>
      </x:c>
      <x:c r="K566" t="n">
        <x:f>D566+K565</x:f>
        <x:v>9</x:v>
      </x:c>
    </x:row>
    <x:row r="567">
      <x:c r="A567" t="str">
        <x:v>Order</x:v>
      </x:c>
      <x:c r="B567" t="n">
        <x:f>'04_checks'!B82</x:f>
        <x:v>1081</x:v>
      </x:c>
      <x:c r="C567" t="n">
        <x:v>82</x:v>
      </x:c>
      <x:c r="D567" t="n">
        <x:f>IF('04_checks'!H82="ERROR",1,0)</x:f>
        <x:v>0</x:v>
      </x:c>
      <x:c r="E567" t="str">
        <x:v>Order:82:6</x:v>
      </x:c>
      <x:c r="F567" t="str">
        <x:v>Дата</x:v>
      </x:c>
      <x:c r="G567" t="str">
        <x:v>Medium</x:v>
      </x:c>
      <x:c r="H567" t="str">
        <x:v>order_date</x:v>
      </x:c>
      <x:c r="I567" t="str">
        <x:v>Сверить дату со срезом и исходной записью</x:v>
      </x:c>
      <x:c r="J567" t="n">
        <x:f>IF(D567=1,K567,0)</x:f>
        <x:v>0</x:v>
      </x:c>
      <x:c r="K567" t="n">
        <x:f>D567+K566</x:f>
        <x:v>9</x:v>
      </x:c>
    </x:row>
    <x:row r="568">
      <x:c r="A568" t="str">
        <x:v>Order</x:v>
      </x:c>
      <x:c r="B568" t="n">
        <x:f>'04_checks'!B82</x:f>
        <x:v>1081</x:v>
      </x:c>
      <x:c r="C568" t="n">
        <x:v>82</x:v>
      </x:c>
      <x:c r="D568" t="n">
        <x:f>IF('04_checks'!I82="ERROR",1,0)</x:f>
        <x:v>0</x:v>
      </x:c>
      <x:c r="E568" t="str">
        <x:v>Order:82:7</x:v>
      </x:c>
      <x:c r="F568" t="str">
        <x:v>Статус</x:v>
      </x:c>
      <x:c r="G568" t="str">
        <x:v>Medium</x:v>
      </x:c>
      <x:c r="H568" t="str">
        <x:v>status</x:v>
      </x:c>
      <x:c r="I568" t="str">
        <x:v>Выбрать допустимый статус</x:v>
      </x:c>
      <x:c r="J568" t="n">
        <x:f>IF(D568=1,K568,0)</x:f>
        <x:v>0</x:v>
      </x:c>
      <x:c r="K568" t="n">
        <x:f>D568+K567</x:f>
        <x:v>9</x:v>
      </x:c>
    </x:row>
    <x:row r="569">
      <x:c r="A569" t="str">
        <x:v>Order</x:v>
      </x:c>
      <x:c r="B569" t="n">
        <x:f>'04_checks'!B83</x:f>
        <x:v>1082</x:v>
      </x:c>
      <x:c r="C569" t="n">
        <x:v>83</x:v>
      </x:c>
      <x:c r="D569" t="n">
        <x:f>IF('04_checks'!C83="ERROR",1,0)</x:f>
        <x:v>0</x:v>
      </x:c>
      <x:c r="E569" t="str">
        <x:v>Order:83:1</x:v>
      </x:c>
      <x:c r="F569" t="str">
        <x:v>Дубль</x:v>
      </x:c>
      <x:c r="G569" t="str">
        <x:v>High</x:v>
      </x:c>
      <x:c r="H569" t="str">
        <x:v>order_id</x:v>
      </x:c>
      <x:c r="I569" t="str">
        <x:v>Проверить уникальность ID в источнике; не удалять записи автоматически</x:v>
      </x:c>
      <x:c r="J569" t="n">
        <x:f>IF(D569=1,K569,0)</x:f>
        <x:v>0</x:v>
      </x:c>
      <x:c r="K569" t="n">
        <x:f>D569+K568</x:f>
        <x:v>9</x:v>
      </x:c>
    </x:row>
    <x:row r="570">
      <x:c r="A570" t="str">
        <x:v>Order</x:v>
      </x:c>
      <x:c r="B570" t="n">
        <x:f>'04_checks'!B83</x:f>
        <x:v>1082</x:v>
      </x:c>
      <x:c r="C570" t="n">
        <x:v>83</x:v>
      </x:c>
      <x:c r="D570" t="n">
        <x:f>IF('04_checks'!D83="ERROR",1,0)</x:f>
        <x:v>0</x:v>
      </x:c>
      <x:c r="E570" t="str">
        <x:v>Order:83:2</x:v>
      </x:c>
      <x:c r="F570" t="str">
        <x:v>Пустое поле</x:v>
      </x:c>
      <x:c r="G570" t="str">
        <x:v>High</x:v>
      </x:c>
      <x:c r="H570" t="str">
        <x:v>required_fields</x:v>
      </x:c>
      <x:c r="I570" t="str">
        <x:v>Дополнить обязательные поля в источнике</x:v>
      </x:c>
      <x:c r="J570" t="n">
        <x:f>IF(D570=1,K570,0)</x:f>
        <x:v>0</x:v>
      </x:c>
      <x:c r="K570" t="n">
        <x:f>D570+K569</x:f>
        <x:v>9</x:v>
      </x:c>
    </x:row>
    <x:row r="571">
      <x:c r="A571" t="str">
        <x:v>Order</x:v>
      </x:c>
      <x:c r="B571" t="n">
        <x:f>'04_checks'!B83</x:f>
        <x:v>1082</x:v>
      </x:c>
      <x:c r="C571" t="n">
        <x:v>83</x:v>
      </x:c>
      <x:c r="D571" t="n">
        <x:f>IF('04_checks'!E83="ERROR",1,0)</x:f>
        <x:v>0</x:v>
      </x:c>
      <x:c r="E571" t="str">
        <x:v>Order:83:3</x:v>
      </x:c>
      <x:c r="F571" t="str">
        <x:f>IF(COUNTIF('02_clients_raw'!$A$2:$A$67,'01_orders_raw'!C83)&gt;1,"Неоднозначная связь","Нет связи")</x:f>
        <x:v>Нет связи</x:v>
      </x:c>
      <x:c r="G571" t="str">
        <x:v>High</x:v>
      </x:c>
      <x:c r="H571" t="str">
        <x:v>client_id</x:v>
      </x:c>
      <x:c r="I571" t="str">
        <x:v>Исправить ссылку или разрешить дубли связанного ID</x:v>
      </x:c>
      <x:c r="J571" t="n">
        <x:f>IF(D571=1,K571,0)</x:f>
        <x:v>0</x:v>
      </x:c>
      <x:c r="K571" t="n">
        <x:f>D571+K570</x:f>
        <x:v>9</x:v>
      </x:c>
    </x:row>
    <x:row r="572">
      <x:c r="A572" t="str">
        <x:v>Order</x:v>
      </x:c>
      <x:c r="B572" t="n">
        <x:f>'04_checks'!B83</x:f>
        <x:v>1082</x:v>
      </x:c>
      <x:c r="C572" t="n">
        <x:v>83</x:v>
      </x:c>
      <x:c r="D572" t="n">
        <x:f>IF('04_checks'!F83="ERROR",1,0)</x:f>
        <x:v>0</x:v>
      </x:c>
      <x:c r="E572" t="str">
        <x:v>Order:83:4</x:v>
      </x:c>
      <x:c r="F572" t="str">
        <x:v>Ошибка расчета</x:v>
      </x:c>
      <x:c r="G572" t="str">
        <x:v>High</x:v>
      </x:c>
      <x:c r="H572" t="str">
        <x:v>quantity/price/order_sum</x:v>
      </x:c>
      <x:c r="I572" t="str">
        <x:v>Сверить исходные значения и правило расчёта</x:v>
      </x:c>
      <x:c r="J572" t="n">
        <x:f>IF(D572=1,K572,0)</x:f>
        <x:v>0</x:v>
      </x:c>
      <x:c r="K572" t="n">
        <x:f>D572+K571</x:f>
        <x:v>9</x:v>
      </x:c>
    </x:row>
    <x:row r="573">
      <x:c r="A573" t="str">
        <x:v>Order</x:v>
      </x:c>
      <x:c r="B573" t="n">
        <x:f>'04_checks'!B83</x:f>
        <x:v>1082</x:v>
      </x:c>
      <x:c r="C573" t="n">
        <x:v>83</x:v>
      </x:c>
      <x:c r="D573" t="n">
        <x:f>IF('04_checks'!G83="ERROR",1,0)</x:f>
        <x:v>0</x:v>
      </x:c>
      <x:c r="E573" t="str">
        <x:v>Order:83:5</x:v>
      </x:c>
      <x:c r="F573" t="str">
        <x:v>Отрицательная цена</x:v>
      </x:c>
      <x:c r="G573" t="str">
        <x:v>High</x:v>
      </x:c>
      <x:c r="H573" t="str">
        <x:v>price</x:v>
      </x:c>
      <x:c r="I573" t="str">
        <x:v>Проверить цену в источнике</x:v>
      </x:c>
      <x:c r="J573" t="n">
        <x:f>IF(D573=1,K573,0)</x:f>
        <x:v>0</x:v>
      </x:c>
      <x:c r="K573" t="n">
        <x:f>D573+K572</x:f>
        <x:v>9</x:v>
      </x:c>
    </x:row>
    <x:row r="574">
      <x:c r="A574" t="str">
        <x:v>Order</x:v>
      </x:c>
      <x:c r="B574" t="n">
        <x:f>'04_checks'!B83</x:f>
        <x:v>1082</x:v>
      </x:c>
      <x:c r="C574" t="n">
        <x:v>83</x:v>
      </x:c>
      <x:c r="D574" t="n">
        <x:f>IF('04_checks'!H83="ERROR",1,0)</x:f>
        <x:v>0</x:v>
      </x:c>
      <x:c r="E574" t="str">
        <x:v>Order:83:6</x:v>
      </x:c>
      <x:c r="F574" t="str">
        <x:v>Дата</x:v>
      </x:c>
      <x:c r="G574" t="str">
        <x:v>Medium</x:v>
      </x:c>
      <x:c r="H574" t="str">
        <x:v>order_date</x:v>
      </x:c>
      <x:c r="I574" t="str">
        <x:v>Сверить дату со срезом и исходной записью</x:v>
      </x:c>
      <x:c r="J574" t="n">
        <x:f>IF(D574=1,K574,0)</x:f>
        <x:v>0</x:v>
      </x:c>
      <x:c r="K574" t="n">
        <x:f>D574+K573</x:f>
        <x:v>9</x:v>
      </x:c>
    </x:row>
    <x:row r="575">
      <x:c r="A575" t="str">
        <x:v>Order</x:v>
      </x:c>
      <x:c r="B575" t="n">
        <x:f>'04_checks'!B83</x:f>
        <x:v>1082</x:v>
      </x:c>
      <x:c r="C575" t="n">
        <x:v>83</x:v>
      </x:c>
      <x:c r="D575" t="n">
        <x:f>IF('04_checks'!I83="ERROR",1,0)</x:f>
        <x:v>0</x:v>
      </x:c>
      <x:c r="E575" t="str">
        <x:v>Order:83:7</x:v>
      </x:c>
      <x:c r="F575" t="str">
        <x:v>Статус</x:v>
      </x:c>
      <x:c r="G575" t="str">
        <x:v>Medium</x:v>
      </x:c>
      <x:c r="H575" t="str">
        <x:v>status</x:v>
      </x:c>
      <x:c r="I575" t="str">
        <x:v>Выбрать допустимый статус</x:v>
      </x:c>
      <x:c r="J575" t="n">
        <x:f>IF(D575=1,K575,0)</x:f>
        <x:v>0</x:v>
      </x:c>
      <x:c r="K575" t="n">
        <x:f>D575+K574</x:f>
        <x:v>9</x:v>
      </x:c>
    </x:row>
    <x:row r="576">
      <x:c r="A576" t="str">
        <x:v>Order</x:v>
      </x:c>
      <x:c r="B576" t="n">
        <x:f>'04_checks'!B84</x:f>
        <x:v>1083</x:v>
      </x:c>
      <x:c r="C576" t="n">
        <x:v>84</x:v>
      </x:c>
      <x:c r="D576" t="n">
        <x:f>IF('04_checks'!C84="ERROR",1,0)</x:f>
        <x:v>0</x:v>
      </x:c>
      <x:c r="E576" t="str">
        <x:v>Order:84:1</x:v>
      </x:c>
      <x:c r="F576" t="str">
        <x:v>Дубль</x:v>
      </x:c>
      <x:c r="G576" t="str">
        <x:v>High</x:v>
      </x:c>
      <x:c r="H576" t="str">
        <x:v>order_id</x:v>
      </x:c>
      <x:c r="I576" t="str">
        <x:v>Проверить уникальность ID в источнике; не удалять записи автоматически</x:v>
      </x:c>
      <x:c r="J576" t="n">
        <x:f>IF(D576=1,K576,0)</x:f>
        <x:v>0</x:v>
      </x:c>
      <x:c r="K576" t="n">
        <x:f>D576+K575</x:f>
        <x:v>9</x:v>
      </x:c>
    </x:row>
    <x:row r="577">
      <x:c r="A577" t="str">
        <x:v>Order</x:v>
      </x:c>
      <x:c r="B577" t="n">
        <x:f>'04_checks'!B84</x:f>
        <x:v>1083</x:v>
      </x:c>
      <x:c r="C577" t="n">
        <x:v>84</x:v>
      </x:c>
      <x:c r="D577" t="n">
        <x:f>IF('04_checks'!D84="ERROR",1,0)</x:f>
        <x:v>0</x:v>
      </x:c>
      <x:c r="E577" t="str">
        <x:v>Order:84:2</x:v>
      </x:c>
      <x:c r="F577" t="str">
        <x:v>Пустое поле</x:v>
      </x:c>
      <x:c r="G577" t="str">
        <x:v>High</x:v>
      </x:c>
      <x:c r="H577" t="str">
        <x:v>required_fields</x:v>
      </x:c>
      <x:c r="I577" t="str">
        <x:v>Дополнить обязательные поля в источнике</x:v>
      </x:c>
      <x:c r="J577" t="n">
        <x:f>IF(D577=1,K577,0)</x:f>
        <x:v>0</x:v>
      </x:c>
      <x:c r="K577" t="n">
        <x:f>D577+K576</x:f>
        <x:v>9</x:v>
      </x:c>
    </x:row>
    <x:row r="578">
      <x:c r="A578" t="str">
        <x:v>Order</x:v>
      </x:c>
      <x:c r="B578" t="n">
        <x:f>'04_checks'!B84</x:f>
        <x:v>1083</x:v>
      </x:c>
      <x:c r="C578" t="n">
        <x:v>84</x:v>
      </x:c>
      <x:c r="D578" t="n">
        <x:f>IF('04_checks'!E84="ERROR",1,0)</x:f>
        <x:v>0</x:v>
      </x:c>
      <x:c r="E578" t="str">
        <x:v>Order:84:3</x:v>
      </x:c>
      <x:c r="F578" t="str">
        <x:f>IF(COUNTIF('02_clients_raw'!$A$2:$A$67,'01_orders_raw'!C84)&gt;1,"Неоднозначная связь","Нет связи")</x:f>
        <x:v>Нет связи</x:v>
      </x:c>
      <x:c r="G578" t="str">
        <x:v>High</x:v>
      </x:c>
      <x:c r="H578" t="str">
        <x:v>client_id</x:v>
      </x:c>
      <x:c r="I578" t="str">
        <x:v>Исправить ссылку или разрешить дубли связанного ID</x:v>
      </x:c>
      <x:c r="J578" t="n">
        <x:f>IF(D578=1,K578,0)</x:f>
        <x:v>0</x:v>
      </x:c>
      <x:c r="K578" t="n">
        <x:f>D578+K577</x:f>
        <x:v>9</x:v>
      </x:c>
    </x:row>
    <x:row r="579">
      <x:c r="A579" t="str">
        <x:v>Order</x:v>
      </x:c>
      <x:c r="B579" t="n">
        <x:f>'04_checks'!B84</x:f>
        <x:v>1083</x:v>
      </x:c>
      <x:c r="C579" t="n">
        <x:v>84</x:v>
      </x:c>
      <x:c r="D579" t="n">
        <x:f>IF('04_checks'!F84="ERROR",1,0)</x:f>
        <x:v>0</x:v>
      </x:c>
      <x:c r="E579" t="str">
        <x:v>Order:84:4</x:v>
      </x:c>
      <x:c r="F579" t="str">
        <x:v>Ошибка расчета</x:v>
      </x:c>
      <x:c r="G579" t="str">
        <x:v>High</x:v>
      </x:c>
      <x:c r="H579" t="str">
        <x:v>quantity/price/order_sum</x:v>
      </x:c>
      <x:c r="I579" t="str">
        <x:v>Сверить исходные значения и правило расчёта</x:v>
      </x:c>
      <x:c r="J579" t="n">
        <x:f>IF(D579=1,K579,0)</x:f>
        <x:v>0</x:v>
      </x:c>
      <x:c r="K579" t="n">
        <x:f>D579+K578</x:f>
        <x:v>9</x:v>
      </x:c>
    </x:row>
    <x:row r="580">
      <x:c r="A580" t="str">
        <x:v>Order</x:v>
      </x:c>
      <x:c r="B580" t="n">
        <x:f>'04_checks'!B84</x:f>
        <x:v>1083</x:v>
      </x:c>
      <x:c r="C580" t="n">
        <x:v>84</x:v>
      </x:c>
      <x:c r="D580" t="n">
        <x:f>IF('04_checks'!G84="ERROR",1,0)</x:f>
        <x:v>0</x:v>
      </x:c>
      <x:c r="E580" t="str">
        <x:v>Order:84:5</x:v>
      </x:c>
      <x:c r="F580" t="str">
        <x:v>Отрицательная цена</x:v>
      </x:c>
      <x:c r="G580" t="str">
        <x:v>High</x:v>
      </x:c>
      <x:c r="H580" t="str">
        <x:v>price</x:v>
      </x:c>
      <x:c r="I580" t="str">
        <x:v>Проверить цену в источнике</x:v>
      </x:c>
      <x:c r="J580" t="n">
        <x:f>IF(D580=1,K580,0)</x:f>
        <x:v>0</x:v>
      </x:c>
      <x:c r="K580" t="n">
        <x:f>D580+K579</x:f>
        <x:v>9</x:v>
      </x:c>
    </x:row>
    <x:row r="581">
      <x:c r="A581" t="str">
        <x:v>Order</x:v>
      </x:c>
      <x:c r="B581" t="n">
        <x:f>'04_checks'!B84</x:f>
        <x:v>1083</x:v>
      </x:c>
      <x:c r="C581" t="n">
        <x:v>84</x:v>
      </x:c>
      <x:c r="D581" t="n">
        <x:f>IF('04_checks'!H84="ERROR",1,0)</x:f>
        <x:v>0</x:v>
      </x:c>
      <x:c r="E581" t="str">
        <x:v>Order:84:6</x:v>
      </x:c>
      <x:c r="F581" t="str">
        <x:v>Дата</x:v>
      </x:c>
      <x:c r="G581" t="str">
        <x:v>Medium</x:v>
      </x:c>
      <x:c r="H581" t="str">
        <x:v>order_date</x:v>
      </x:c>
      <x:c r="I581" t="str">
        <x:v>Сверить дату со срезом и исходной записью</x:v>
      </x:c>
      <x:c r="J581" t="n">
        <x:f>IF(D581=1,K581,0)</x:f>
        <x:v>0</x:v>
      </x:c>
      <x:c r="K581" t="n">
        <x:f>D581+K580</x:f>
        <x:v>9</x:v>
      </x:c>
    </x:row>
    <x:row r="582">
      <x:c r="A582" t="str">
        <x:v>Order</x:v>
      </x:c>
      <x:c r="B582" t="n">
        <x:f>'04_checks'!B84</x:f>
        <x:v>1083</x:v>
      </x:c>
      <x:c r="C582" t="n">
        <x:v>84</x:v>
      </x:c>
      <x:c r="D582" t="n">
        <x:f>IF('04_checks'!I84="ERROR",1,0)</x:f>
        <x:v>0</x:v>
      </x:c>
      <x:c r="E582" t="str">
        <x:v>Order:84:7</x:v>
      </x:c>
      <x:c r="F582" t="str">
        <x:v>Статус</x:v>
      </x:c>
      <x:c r="G582" t="str">
        <x:v>Medium</x:v>
      </x:c>
      <x:c r="H582" t="str">
        <x:v>status</x:v>
      </x:c>
      <x:c r="I582" t="str">
        <x:v>Выбрать допустимый статус</x:v>
      </x:c>
      <x:c r="J582" t="n">
        <x:f>IF(D582=1,K582,0)</x:f>
        <x:v>0</x:v>
      </x:c>
      <x:c r="K582" t="n">
        <x:f>D582+K581</x:f>
        <x:v>9</x:v>
      </x:c>
    </x:row>
    <x:row r="583">
      <x:c r="A583" t="str">
        <x:v>Order</x:v>
      </x:c>
      <x:c r="B583" t="n">
        <x:f>'04_checks'!B85</x:f>
        <x:v>1084</x:v>
      </x:c>
      <x:c r="C583" t="n">
        <x:v>85</x:v>
      </x:c>
      <x:c r="D583" t="n">
        <x:f>IF('04_checks'!C85="ERROR",1,0)</x:f>
        <x:v>0</x:v>
      </x:c>
      <x:c r="E583" t="str">
        <x:v>Order:85:1</x:v>
      </x:c>
      <x:c r="F583" t="str">
        <x:v>Дубль</x:v>
      </x:c>
      <x:c r="G583" t="str">
        <x:v>High</x:v>
      </x:c>
      <x:c r="H583" t="str">
        <x:v>order_id</x:v>
      </x:c>
      <x:c r="I583" t="str">
        <x:v>Проверить уникальность ID в источнике; не удалять записи автоматически</x:v>
      </x:c>
      <x:c r="J583" t="n">
        <x:f>IF(D583=1,K583,0)</x:f>
        <x:v>0</x:v>
      </x:c>
      <x:c r="K583" t="n">
        <x:f>D583+K582</x:f>
        <x:v>9</x:v>
      </x:c>
    </x:row>
    <x:row r="584">
      <x:c r="A584" t="str">
        <x:v>Order</x:v>
      </x:c>
      <x:c r="B584" t="n">
        <x:f>'04_checks'!B85</x:f>
        <x:v>1084</x:v>
      </x:c>
      <x:c r="C584" t="n">
        <x:v>85</x:v>
      </x:c>
      <x:c r="D584" t="n">
        <x:f>IF('04_checks'!D85="ERROR",1,0)</x:f>
        <x:v>0</x:v>
      </x:c>
      <x:c r="E584" t="str">
        <x:v>Order:85:2</x:v>
      </x:c>
      <x:c r="F584" t="str">
        <x:v>Пустое поле</x:v>
      </x:c>
      <x:c r="G584" t="str">
        <x:v>High</x:v>
      </x:c>
      <x:c r="H584" t="str">
        <x:v>required_fields</x:v>
      </x:c>
      <x:c r="I584" t="str">
        <x:v>Дополнить обязательные поля в источнике</x:v>
      </x:c>
      <x:c r="J584" t="n">
        <x:f>IF(D584=1,K584,0)</x:f>
        <x:v>0</x:v>
      </x:c>
      <x:c r="K584" t="n">
        <x:f>D584+K583</x:f>
        <x:v>9</x:v>
      </x:c>
    </x:row>
    <x:row r="585">
      <x:c r="A585" t="str">
        <x:v>Order</x:v>
      </x:c>
      <x:c r="B585" t="n">
        <x:f>'04_checks'!B85</x:f>
        <x:v>1084</x:v>
      </x:c>
      <x:c r="C585" t="n">
        <x:v>85</x:v>
      </x:c>
      <x:c r="D585" t="n">
        <x:f>IF('04_checks'!E85="ERROR",1,0)</x:f>
        <x:v>0</x:v>
      </x:c>
      <x:c r="E585" t="str">
        <x:v>Order:85:3</x:v>
      </x:c>
      <x:c r="F585" t="str">
        <x:f>IF(COUNTIF('02_clients_raw'!$A$2:$A$67,'01_orders_raw'!C85)&gt;1,"Неоднозначная связь","Нет связи")</x:f>
        <x:v>Нет связи</x:v>
      </x:c>
      <x:c r="G585" t="str">
        <x:v>High</x:v>
      </x:c>
      <x:c r="H585" t="str">
        <x:v>client_id</x:v>
      </x:c>
      <x:c r="I585" t="str">
        <x:v>Исправить ссылку или разрешить дубли связанного ID</x:v>
      </x:c>
      <x:c r="J585" t="n">
        <x:f>IF(D585=1,K585,0)</x:f>
        <x:v>0</x:v>
      </x:c>
      <x:c r="K585" t="n">
        <x:f>D585+K584</x:f>
        <x:v>9</x:v>
      </x:c>
    </x:row>
    <x:row r="586">
      <x:c r="A586" t="str">
        <x:v>Order</x:v>
      </x:c>
      <x:c r="B586" t="n">
        <x:f>'04_checks'!B85</x:f>
        <x:v>1084</x:v>
      </x:c>
      <x:c r="C586" t="n">
        <x:v>85</x:v>
      </x:c>
      <x:c r="D586" t="n">
        <x:f>IF('04_checks'!F85="ERROR",1,0)</x:f>
        <x:v>0</x:v>
      </x:c>
      <x:c r="E586" t="str">
        <x:v>Order:85:4</x:v>
      </x:c>
      <x:c r="F586" t="str">
        <x:v>Ошибка расчета</x:v>
      </x:c>
      <x:c r="G586" t="str">
        <x:v>High</x:v>
      </x:c>
      <x:c r="H586" t="str">
        <x:v>quantity/price/order_sum</x:v>
      </x:c>
      <x:c r="I586" t="str">
        <x:v>Сверить исходные значения и правило расчёта</x:v>
      </x:c>
      <x:c r="J586" t="n">
        <x:f>IF(D586=1,K586,0)</x:f>
        <x:v>0</x:v>
      </x:c>
      <x:c r="K586" t="n">
        <x:f>D586+K585</x:f>
        <x:v>9</x:v>
      </x:c>
    </x:row>
    <x:row r="587">
      <x:c r="A587" t="str">
        <x:v>Order</x:v>
      </x:c>
      <x:c r="B587" t="n">
        <x:f>'04_checks'!B85</x:f>
        <x:v>1084</x:v>
      </x:c>
      <x:c r="C587" t="n">
        <x:v>85</x:v>
      </x:c>
      <x:c r="D587" t="n">
        <x:f>IF('04_checks'!G85="ERROR",1,0)</x:f>
        <x:v>0</x:v>
      </x:c>
      <x:c r="E587" t="str">
        <x:v>Order:85:5</x:v>
      </x:c>
      <x:c r="F587" t="str">
        <x:v>Отрицательная цена</x:v>
      </x:c>
      <x:c r="G587" t="str">
        <x:v>High</x:v>
      </x:c>
      <x:c r="H587" t="str">
        <x:v>price</x:v>
      </x:c>
      <x:c r="I587" t="str">
        <x:v>Проверить цену в источнике</x:v>
      </x:c>
      <x:c r="J587" t="n">
        <x:f>IF(D587=1,K587,0)</x:f>
        <x:v>0</x:v>
      </x:c>
      <x:c r="K587" t="n">
        <x:f>D587+K586</x:f>
        <x:v>9</x:v>
      </x:c>
    </x:row>
    <x:row r="588">
      <x:c r="A588" t="str">
        <x:v>Order</x:v>
      </x:c>
      <x:c r="B588" t="n">
        <x:f>'04_checks'!B85</x:f>
        <x:v>1084</x:v>
      </x:c>
      <x:c r="C588" t="n">
        <x:v>85</x:v>
      </x:c>
      <x:c r="D588" t="n">
        <x:f>IF('04_checks'!H85="ERROR",1,0)</x:f>
        <x:v>0</x:v>
      </x:c>
      <x:c r="E588" t="str">
        <x:v>Order:85:6</x:v>
      </x:c>
      <x:c r="F588" t="str">
        <x:v>Дата</x:v>
      </x:c>
      <x:c r="G588" t="str">
        <x:v>Medium</x:v>
      </x:c>
      <x:c r="H588" t="str">
        <x:v>order_date</x:v>
      </x:c>
      <x:c r="I588" t="str">
        <x:v>Сверить дату со срезом и исходной записью</x:v>
      </x:c>
      <x:c r="J588" t="n">
        <x:f>IF(D588=1,K588,0)</x:f>
        <x:v>0</x:v>
      </x:c>
      <x:c r="K588" t="n">
        <x:f>D588+K587</x:f>
        <x:v>9</x:v>
      </x:c>
    </x:row>
    <x:row r="589">
      <x:c r="A589" t="str">
        <x:v>Order</x:v>
      </x:c>
      <x:c r="B589" t="n">
        <x:f>'04_checks'!B85</x:f>
        <x:v>1084</x:v>
      </x:c>
      <x:c r="C589" t="n">
        <x:v>85</x:v>
      </x:c>
      <x:c r="D589" t="n">
        <x:f>IF('04_checks'!I85="ERROR",1,0)</x:f>
        <x:v>0</x:v>
      </x:c>
      <x:c r="E589" t="str">
        <x:v>Order:85:7</x:v>
      </x:c>
      <x:c r="F589" t="str">
        <x:v>Статус</x:v>
      </x:c>
      <x:c r="G589" t="str">
        <x:v>Medium</x:v>
      </x:c>
      <x:c r="H589" t="str">
        <x:v>status</x:v>
      </x:c>
      <x:c r="I589" t="str">
        <x:v>Выбрать допустимый статус</x:v>
      </x:c>
      <x:c r="J589" t="n">
        <x:f>IF(D589=1,K589,0)</x:f>
        <x:v>0</x:v>
      </x:c>
      <x:c r="K589" t="n">
        <x:f>D589+K588</x:f>
        <x:v>9</x:v>
      </x:c>
    </x:row>
    <x:row r="590">
      <x:c r="A590" t="str">
        <x:v>Order</x:v>
      </x:c>
      <x:c r="B590" t="n">
        <x:f>'04_checks'!B86</x:f>
        <x:v>1085</x:v>
      </x:c>
      <x:c r="C590" t="n">
        <x:v>86</x:v>
      </x:c>
      <x:c r="D590" t="n">
        <x:f>IF('04_checks'!C86="ERROR",1,0)</x:f>
        <x:v>0</x:v>
      </x:c>
      <x:c r="E590" t="str">
        <x:v>Order:86:1</x:v>
      </x:c>
      <x:c r="F590" t="str">
        <x:v>Дубль</x:v>
      </x:c>
      <x:c r="G590" t="str">
        <x:v>High</x:v>
      </x:c>
      <x:c r="H590" t="str">
        <x:v>order_id</x:v>
      </x:c>
      <x:c r="I590" t="str">
        <x:v>Проверить уникальность ID в источнике; не удалять записи автоматически</x:v>
      </x:c>
      <x:c r="J590" t="n">
        <x:f>IF(D590=1,K590,0)</x:f>
        <x:v>0</x:v>
      </x:c>
      <x:c r="K590" t="n">
        <x:f>D590+K589</x:f>
        <x:v>9</x:v>
      </x:c>
    </x:row>
    <x:row r="591">
      <x:c r="A591" t="str">
        <x:v>Order</x:v>
      </x:c>
      <x:c r="B591" t="n">
        <x:f>'04_checks'!B86</x:f>
        <x:v>1085</x:v>
      </x:c>
      <x:c r="C591" t="n">
        <x:v>86</x:v>
      </x:c>
      <x:c r="D591" t="n">
        <x:f>IF('04_checks'!D86="ERROR",1,0)</x:f>
        <x:v>0</x:v>
      </x:c>
      <x:c r="E591" t="str">
        <x:v>Order:86:2</x:v>
      </x:c>
      <x:c r="F591" t="str">
        <x:v>Пустое поле</x:v>
      </x:c>
      <x:c r="G591" t="str">
        <x:v>High</x:v>
      </x:c>
      <x:c r="H591" t="str">
        <x:v>required_fields</x:v>
      </x:c>
      <x:c r="I591" t="str">
        <x:v>Дополнить обязательные поля в источнике</x:v>
      </x:c>
      <x:c r="J591" t="n">
        <x:f>IF(D591=1,K591,0)</x:f>
        <x:v>0</x:v>
      </x:c>
      <x:c r="K591" t="n">
        <x:f>D591+K590</x:f>
        <x:v>9</x:v>
      </x:c>
    </x:row>
    <x:row r="592">
      <x:c r="A592" t="str">
        <x:v>Order</x:v>
      </x:c>
      <x:c r="B592" t="n">
        <x:f>'04_checks'!B86</x:f>
        <x:v>1085</x:v>
      </x:c>
      <x:c r="C592" t="n">
        <x:v>86</x:v>
      </x:c>
      <x:c r="D592" t="n">
        <x:f>IF('04_checks'!E86="ERROR",1,0)</x:f>
        <x:v>0</x:v>
      </x:c>
      <x:c r="E592" t="str">
        <x:v>Order:86:3</x:v>
      </x:c>
      <x:c r="F592" t="str">
        <x:f>IF(COUNTIF('02_clients_raw'!$A$2:$A$67,'01_orders_raw'!C86)&gt;1,"Неоднозначная связь","Нет связи")</x:f>
        <x:v>Нет связи</x:v>
      </x:c>
      <x:c r="G592" t="str">
        <x:v>High</x:v>
      </x:c>
      <x:c r="H592" t="str">
        <x:v>client_id</x:v>
      </x:c>
      <x:c r="I592" t="str">
        <x:v>Исправить ссылку или разрешить дубли связанного ID</x:v>
      </x:c>
      <x:c r="J592" t="n">
        <x:f>IF(D592=1,K592,0)</x:f>
        <x:v>0</x:v>
      </x:c>
      <x:c r="K592" t="n">
        <x:f>D592+K591</x:f>
        <x:v>9</x:v>
      </x:c>
    </x:row>
    <x:row r="593">
      <x:c r="A593" t="str">
        <x:v>Order</x:v>
      </x:c>
      <x:c r="B593" t="n">
        <x:f>'04_checks'!B86</x:f>
        <x:v>1085</x:v>
      </x:c>
      <x:c r="C593" t="n">
        <x:v>86</x:v>
      </x:c>
      <x:c r="D593" t="n">
        <x:f>IF('04_checks'!F86="ERROR",1,0)</x:f>
        <x:v>0</x:v>
      </x:c>
      <x:c r="E593" t="str">
        <x:v>Order:86:4</x:v>
      </x:c>
      <x:c r="F593" t="str">
        <x:v>Ошибка расчета</x:v>
      </x:c>
      <x:c r="G593" t="str">
        <x:v>High</x:v>
      </x:c>
      <x:c r="H593" t="str">
        <x:v>quantity/price/order_sum</x:v>
      </x:c>
      <x:c r="I593" t="str">
        <x:v>Сверить исходные значения и правило расчёта</x:v>
      </x:c>
      <x:c r="J593" t="n">
        <x:f>IF(D593=1,K593,0)</x:f>
        <x:v>0</x:v>
      </x:c>
      <x:c r="K593" t="n">
        <x:f>D593+K592</x:f>
        <x:v>9</x:v>
      </x:c>
    </x:row>
    <x:row r="594">
      <x:c r="A594" t="str">
        <x:v>Order</x:v>
      </x:c>
      <x:c r="B594" t="n">
        <x:f>'04_checks'!B86</x:f>
        <x:v>1085</x:v>
      </x:c>
      <x:c r="C594" t="n">
        <x:v>86</x:v>
      </x:c>
      <x:c r="D594" t="n">
        <x:f>IF('04_checks'!G86="ERROR",1,0)</x:f>
        <x:v>0</x:v>
      </x:c>
      <x:c r="E594" t="str">
        <x:v>Order:86:5</x:v>
      </x:c>
      <x:c r="F594" t="str">
        <x:v>Отрицательная цена</x:v>
      </x:c>
      <x:c r="G594" t="str">
        <x:v>High</x:v>
      </x:c>
      <x:c r="H594" t="str">
        <x:v>price</x:v>
      </x:c>
      <x:c r="I594" t="str">
        <x:v>Проверить цену в источнике</x:v>
      </x:c>
      <x:c r="J594" t="n">
        <x:f>IF(D594=1,K594,0)</x:f>
        <x:v>0</x:v>
      </x:c>
      <x:c r="K594" t="n">
        <x:f>D594+K593</x:f>
        <x:v>9</x:v>
      </x:c>
    </x:row>
    <x:row r="595">
      <x:c r="A595" t="str">
        <x:v>Order</x:v>
      </x:c>
      <x:c r="B595" t="n">
        <x:f>'04_checks'!B86</x:f>
        <x:v>1085</x:v>
      </x:c>
      <x:c r="C595" t="n">
        <x:v>86</x:v>
      </x:c>
      <x:c r="D595" t="n">
        <x:f>IF('04_checks'!H86="ERROR",1,0)</x:f>
        <x:v>0</x:v>
      </x:c>
      <x:c r="E595" t="str">
        <x:v>Order:86:6</x:v>
      </x:c>
      <x:c r="F595" t="str">
        <x:v>Дата</x:v>
      </x:c>
      <x:c r="G595" t="str">
        <x:v>Medium</x:v>
      </x:c>
      <x:c r="H595" t="str">
        <x:v>order_date</x:v>
      </x:c>
      <x:c r="I595" t="str">
        <x:v>Сверить дату со срезом и исходной записью</x:v>
      </x:c>
      <x:c r="J595" t="n">
        <x:f>IF(D595=1,K595,0)</x:f>
        <x:v>0</x:v>
      </x:c>
      <x:c r="K595" t="n">
        <x:f>D595+K594</x:f>
        <x:v>9</x:v>
      </x:c>
    </x:row>
    <x:row r="596">
      <x:c r="A596" t="str">
        <x:v>Order</x:v>
      </x:c>
      <x:c r="B596" t="n">
        <x:f>'04_checks'!B86</x:f>
        <x:v>1085</x:v>
      </x:c>
      <x:c r="C596" t="n">
        <x:v>86</x:v>
      </x:c>
      <x:c r="D596" t="n">
        <x:f>IF('04_checks'!I86="ERROR",1,0)</x:f>
        <x:v>0</x:v>
      </x:c>
      <x:c r="E596" t="str">
        <x:v>Order:86:7</x:v>
      </x:c>
      <x:c r="F596" t="str">
        <x:v>Статус</x:v>
      </x:c>
      <x:c r="G596" t="str">
        <x:v>Medium</x:v>
      </x:c>
      <x:c r="H596" t="str">
        <x:v>status</x:v>
      </x:c>
      <x:c r="I596" t="str">
        <x:v>Выбрать допустимый статус</x:v>
      </x:c>
      <x:c r="J596" t="n">
        <x:f>IF(D596=1,K596,0)</x:f>
        <x:v>0</x:v>
      </x:c>
      <x:c r="K596" t="n">
        <x:f>D596+K595</x:f>
        <x:v>9</x:v>
      </x:c>
    </x:row>
    <x:row r="597">
      <x:c r="A597" t="str">
        <x:v>Order</x:v>
      </x:c>
      <x:c r="B597" t="n">
        <x:f>'04_checks'!B87</x:f>
        <x:v>1086</x:v>
      </x:c>
      <x:c r="C597" t="n">
        <x:v>87</x:v>
      </x:c>
      <x:c r="D597" t="n">
        <x:f>IF('04_checks'!C87="ERROR",1,0)</x:f>
        <x:v>0</x:v>
      </x:c>
      <x:c r="E597" t="str">
        <x:v>Order:87:1</x:v>
      </x:c>
      <x:c r="F597" t="str">
        <x:v>Дубль</x:v>
      </x:c>
      <x:c r="G597" t="str">
        <x:v>High</x:v>
      </x:c>
      <x:c r="H597" t="str">
        <x:v>order_id</x:v>
      </x:c>
      <x:c r="I597" t="str">
        <x:v>Проверить уникальность ID в источнике; не удалять записи автоматически</x:v>
      </x:c>
      <x:c r="J597" t="n">
        <x:f>IF(D597=1,K597,0)</x:f>
        <x:v>0</x:v>
      </x:c>
      <x:c r="K597" t="n">
        <x:f>D597+K596</x:f>
        <x:v>9</x:v>
      </x:c>
    </x:row>
    <x:row r="598">
      <x:c r="A598" t="str">
        <x:v>Order</x:v>
      </x:c>
      <x:c r="B598" t="n">
        <x:f>'04_checks'!B87</x:f>
        <x:v>1086</x:v>
      </x:c>
      <x:c r="C598" t="n">
        <x:v>87</x:v>
      </x:c>
      <x:c r="D598" t="n">
        <x:f>IF('04_checks'!D87="ERROR",1,0)</x:f>
        <x:v>0</x:v>
      </x:c>
      <x:c r="E598" t="str">
        <x:v>Order:87:2</x:v>
      </x:c>
      <x:c r="F598" t="str">
        <x:v>Пустое поле</x:v>
      </x:c>
      <x:c r="G598" t="str">
        <x:v>High</x:v>
      </x:c>
      <x:c r="H598" t="str">
        <x:v>required_fields</x:v>
      </x:c>
      <x:c r="I598" t="str">
        <x:v>Дополнить обязательные поля в источнике</x:v>
      </x:c>
      <x:c r="J598" t="n">
        <x:f>IF(D598=1,K598,0)</x:f>
        <x:v>0</x:v>
      </x:c>
      <x:c r="K598" t="n">
        <x:f>D598+K597</x:f>
        <x:v>9</x:v>
      </x:c>
    </x:row>
    <x:row r="599">
      <x:c r="A599" t="str">
        <x:v>Order</x:v>
      </x:c>
      <x:c r="B599" t="n">
        <x:f>'04_checks'!B87</x:f>
        <x:v>1086</x:v>
      </x:c>
      <x:c r="C599" t="n">
        <x:v>87</x:v>
      </x:c>
      <x:c r="D599" t="n">
        <x:f>IF('04_checks'!E87="ERROR",1,0)</x:f>
        <x:v>0</x:v>
      </x:c>
      <x:c r="E599" t="str">
        <x:v>Order:87:3</x:v>
      </x:c>
      <x:c r="F599" t="str">
        <x:f>IF(COUNTIF('02_clients_raw'!$A$2:$A$67,'01_orders_raw'!C87)&gt;1,"Неоднозначная связь","Нет связи")</x:f>
        <x:v>Нет связи</x:v>
      </x:c>
      <x:c r="G599" t="str">
        <x:v>High</x:v>
      </x:c>
      <x:c r="H599" t="str">
        <x:v>client_id</x:v>
      </x:c>
      <x:c r="I599" t="str">
        <x:v>Исправить ссылку или разрешить дубли связанного ID</x:v>
      </x:c>
      <x:c r="J599" t="n">
        <x:f>IF(D599=1,K599,0)</x:f>
        <x:v>0</x:v>
      </x:c>
      <x:c r="K599" t="n">
        <x:f>D599+K598</x:f>
        <x:v>9</x:v>
      </x:c>
    </x:row>
    <x:row r="600">
      <x:c r="A600" t="str">
        <x:v>Order</x:v>
      </x:c>
      <x:c r="B600" t="n">
        <x:f>'04_checks'!B87</x:f>
        <x:v>1086</x:v>
      </x:c>
      <x:c r="C600" t="n">
        <x:v>87</x:v>
      </x:c>
      <x:c r="D600" t="n">
        <x:f>IF('04_checks'!F87="ERROR",1,0)</x:f>
        <x:v>0</x:v>
      </x:c>
      <x:c r="E600" t="str">
        <x:v>Order:87:4</x:v>
      </x:c>
      <x:c r="F600" t="str">
        <x:v>Ошибка расчета</x:v>
      </x:c>
      <x:c r="G600" t="str">
        <x:v>High</x:v>
      </x:c>
      <x:c r="H600" t="str">
        <x:v>quantity/price/order_sum</x:v>
      </x:c>
      <x:c r="I600" t="str">
        <x:v>Сверить исходные значения и правило расчёта</x:v>
      </x:c>
      <x:c r="J600" t="n">
        <x:f>IF(D600=1,K600,0)</x:f>
        <x:v>0</x:v>
      </x:c>
      <x:c r="K600" t="n">
        <x:f>D600+K599</x:f>
        <x:v>9</x:v>
      </x:c>
    </x:row>
    <x:row r="601">
      <x:c r="A601" t="str">
        <x:v>Order</x:v>
      </x:c>
      <x:c r="B601" t="n">
        <x:f>'04_checks'!B87</x:f>
        <x:v>1086</x:v>
      </x:c>
      <x:c r="C601" t="n">
        <x:v>87</x:v>
      </x:c>
      <x:c r="D601" t="n">
        <x:f>IF('04_checks'!G87="ERROR",1,0)</x:f>
        <x:v>0</x:v>
      </x:c>
      <x:c r="E601" t="str">
        <x:v>Order:87:5</x:v>
      </x:c>
      <x:c r="F601" t="str">
        <x:v>Отрицательная цена</x:v>
      </x:c>
      <x:c r="G601" t="str">
        <x:v>High</x:v>
      </x:c>
      <x:c r="H601" t="str">
        <x:v>price</x:v>
      </x:c>
      <x:c r="I601" t="str">
        <x:v>Проверить цену в источнике</x:v>
      </x:c>
      <x:c r="J601" t="n">
        <x:f>IF(D601=1,K601,0)</x:f>
        <x:v>0</x:v>
      </x:c>
      <x:c r="K601" t="n">
        <x:f>D601+K600</x:f>
        <x:v>9</x:v>
      </x:c>
    </x:row>
    <x:row r="602">
      <x:c r="A602" t="str">
        <x:v>Order</x:v>
      </x:c>
      <x:c r="B602" t="n">
        <x:f>'04_checks'!B87</x:f>
        <x:v>1086</x:v>
      </x:c>
      <x:c r="C602" t="n">
        <x:v>87</x:v>
      </x:c>
      <x:c r="D602" t="n">
        <x:f>IF('04_checks'!H87="ERROR",1,0)</x:f>
        <x:v>0</x:v>
      </x:c>
      <x:c r="E602" t="str">
        <x:v>Order:87:6</x:v>
      </x:c>
      <x:c r="F602" t="str">
        <x:v>Дата</x:v>
      </x:c>
      <x:c r="G602" t="str">
        <x:v>Medium</x:v>
      </x:c>
      <x:c r="H602" t="str">
        <x:v>order_date</x:v>
      </x:c>
      <x:c r="I602" t="str">
        <x:v>Сверить дату со срезом и исходной записью</x:v>
      </x:c>
      <x:c r="J602" t="n">
        <x:f>IF(D602=1,K602,0)</x:f>
        <x:v>0</x:v>
      </x:c>
      <x:c r="K602" t="n">
        <x:f>D602+K601</x:f>
        <x:v>9</x:v>
      </x:c>
    </x:row>
    <x:row r="603">
      <x:c r="A603" t="str">
        <x:v>Order</x:v>
      </x:c>
      <x:c r="B603" t="n">
        <x:f>'04_checks'!B87</x:f>
        <x:v>1086</x:v>
      </x:c>
      <x:c r="C603" t="n">
        <x:v>87</x:v>
      </x:c>
      <x:c r="D603" t="n">
        <x:f>IF('04_checks'!I87="ERROR",1,0)</x:f>
        <x:v>0</x:v>
      </x:c>
      <x:c r="E603" t="str">
        <x:v>Order:87:7</x:v>
      </x:c>
      <x:c r="F603" t="str">
        <x:v>Статус</x:v>
      </x:c>
      <x:c r="G603" t="str">
        <x:v>Medium</x:v>
      </x:c>
      <x:c r="H603" t="str">
        <x:v>status</x:v>
      </x:c>
      <x:c r="I603" t="str">
        <x:v>Выбрать допустимый статус</x:v>
      </x:c>
      <x:c r="J603" t="n">
        <x:f>IF(D603=1,K603,0)</x:f>
        <x:v>0</x:v>
      </x:c>
      <x:c r="K603" t="n">
        <x:f>D603+K602</x:f>
        <x:v>9</x:v>
      </x:c>
    </x:row>
    <x:row r="604">
      <x:c r="A604" t="str">
        <x:v>Order</x:v>
      </x:c>
      <x:c r="B604" t="n">
        <x:f>'04_checks'!B88</x:f>
        <x:v>1087</x:v>
      </x:c>
      <x:c r="C604" t="n">
        <x:v>88</x:v>
      </x:c>
      <x:c r="D604" t="n">
        <x:f>IF('04_checks'!C88="ERROR",1,0)</x:f>
        <x:v>0</x:v>
      </x:c>
      <x:c r="E604" t="str">
        <x:v>Order:88:1</x:v>
      </x:c>
      <x:c r="F604" t="str">
        <x:v>Дубль</x:v>
      </x:c>
      <x:c r="G604" t="str">
        <x:v>High</x:v>
      </x:c>
      <x:c r="H604" t="str">
        <x:v>order_id</x:v>
      </x:c>
      <x:c r="I604" t="str">
        <x:v>Проверить уникальность ID в источнике; не удалять записи автоматически</x:v>
      </x:c>
      <x:c r="J604" t="n">
        <x:f>IF(D604=1,K604,0)</x:f>
        <x:v>0</x:v>
      </x:c>
      <x:c r="K604" t="n">
        <x:f>D604+K603</x:f>
        <x:v>9</x:v>
      </x:c>
    </x:row>
    <x:row r="605">
      <x:c r="A605" t="str">
        <x:v>Order</x:v>
      </x:c>
      <x:c r="B605" t="n">
        <x:f>'04_checks'!B88</x:f>
        <x:v>1087</x:v>
      </x:c>
      <x:c r="C605" t="n">
        <x:v>88</x:v>
      </x:c>
      <x:c r="D605" t="n">
        <x:f>IF('04_checks'!D88="ERROR",1,0)</x:f>
        <x:v>0</x:v>
      </x:c>
      <x:c r="E605" t="str">
        <x:v>Order:88:2</x:v>
      </x:c>
      <x:c r="F605" t="str">
        <x:v>Пустое поле</x:v>
      </x:c>
      <x:c r="G605" t="str">
        <x:v>High</x:v>
      </x:c>
      <x:c r="H605" t="str">
        <x:v>required_fields</x:v>
      </x:c>
      <x:c r="I605" t="str">
        <x:v>Дополнить обязательные поля в источнике</x:v>
      </x:c>
      <x:c r="J605" t="n">
        <x:f>IF(D605=1,K605,0)</x:f>
        <x:v>0</x:v>
      </x:c>
      <x:c r="K605" t="n">
        <x:f>D605+K604</x:f>
        <x:v>9</x:v>
      </x:c>
    </x:row>
    <x:row r="606">
      <x:c r="A606" t="str">
        <x:v>Order</x:v>
      </x:c>
      <x:c r="B606" t="n">
        <x:f>'04_checks'!B88</x:f>
        <x:v>1087</x:v>
      </x:c>
      <x:c r="C606" t="n">
        <x:v>88</x:v>
      </x:c>
      <x:c r="D606" t="n">
        <x:f>IF('04_checks'!E88="ERROR",1,0)</x:f>
        <x:v>0</x:v>
      </x:c>
      <x:c r="E606" t="str">
        <x:v>Order:88:3</x:v>
      </x:c>
      <x:c r="F606" t="str">
        <x:f>IF(COUNTIF('02_clients_raw'!$A$2:$A$67,'01_orders_raw'!C88)&gt;1,"Неоднозначная связь","Нет связи")</x:f>
        <x:v>Нет связи</x:v>
      </x:c>
      <x:c r="G606" t="str">
        <x:v>High</x:v>
      </x:c>
      <x:c r="H606" t="str">
        <x:v>client_id</x:v>
      </x:c>
      <x:c r="I606" t="str">
        <x:v>Исправить ссылку или разрешить дубли связанного ID</x:v>
      </x:c>
      <x:c r="J606" t="n">
        <x:f>IF(D606=1,K606,0)</x:f>
        <x:v>0</x:v>
      </x:c>
      <x:c r="K606" t="n">
        <x:f>D606+K605</x:f>
        <x:v>9</x:v>
      </x:c>
    </x:row>
    <x:row r="607">
      <x:c r="A607" t="str">
        <x:v>Order</x:v>
      </x:c>
      <x:c r="B607" t="n">
        <x:f>'04_checks'!B88</x:f>
        <x:v>1087</x:v>
      </x:c>
      <x:c r="C607" t="n">
        <x:v>88</x:v>
      </x:c>
      <x:c r="D607" t="n">
        <x:f>IF('04_checks'!F88="ERROR",1,0)</x:f>
        <x:v>0</x:v>
      </x:c>
      <x:c r="E607" t="str">
        <x:v>Order:88:4</x:v>
      </x:c>
      <x:c r="F607" t="str">
        <x:v>Ошибка расчета</x:v>
      </x:c>
      <x:c r="G607" t="str">
        <x:v>High</x:v>
      </x:c>
      <x:c r="H607" t="str">
        <x:v>quantity/price/order_sum</x:v>
      </x:c>
      <x:c r="I607" t="str">
        <x:v>Сверить исходные значения и правило расчёта</x:v>
      </x:c>
      <x:c r="J607" t="n">
        <x:f>IF(D607=1,K607,0)</x:f>
        <x:v>0</x:v>
      </x:c>
      <x:c r="K607" t="n">
        <x:f>D607+K606</x:f>
        <x:v>9</x:v>
      </x:c>
    </x:row>
    <x:row r="608">
      <x:c r="A608" t="str">
        <x:v>Order</x:v>
      </x:c>
      <x:c r="B608" t="n">
        <x:f>'04_checks'!B88</x:f>
        <x:v>1087</x:v>
      </x:c>
      <x:c r="C608" t="n">
        <x:v>88</x:v>
      </x:c>
      <x:c r="D608" t="n">
        <x:f>IF('04_checks'!G88="ERROR",1,0)</x:f>
        <x:v>0</x:v>
      </x:c>
      <x:c r="E608" t="str">
        <x:v>Order:88:5</x:v>
      </x:c>
      <x:c r="F608" t="str">
        <x:v>Отрицательная цена</x:v>
      </x:c>
      <x:c r="G608" t="str">
        <x:v>High</x:v>
      </x:c>
      <x:c r="H608" t="str">
        <x:v>price</x:v>
      </x:c>
      <x:c r="I608" t="str">
        <x:v>Проверить цену в источнике</x:v>
      </x:c>
      <x:c r="J608" t="n">
        <x:f>IF(D608=1,K608,0)</x:f>
        <x:v>0</x:v>
      </x:c>
      <x:c r="K608" t="n">
        <x:f>D608+K607</x:f>
        <x:v>9</x:v>
      </x:c>
    </x:row>
    <x:row r="609">
      <x:c r="A609" t="str">
        <x:v>Order</x:v>
      </x:c>
      <x:c r="B609" t="n">
        <x:f>'04_checks'!B88</x:f>
        <x:v>1087</x:v>
      </x:c>
      <x:c r="C609" t="n">
        <x:v>88</x:v>
      </x:c>
      <x:c r="D609" t="n">
        <x:f>IF('04_checks'!H88="ERROR",1,0)</x:f>
        <x:v>0</x:v>
      </x:c>
      <x:c r="E609" t="str">
        <x:v>Order:88:6</x:v>
      </x:c>
      <x:c r="F609" t="str">
        <x:v>Дата</x:v>
      </x:c>
      <x:c r="G609" t="str">
        <x:v>Medium</x:v>
      </x:c>
      <x:c r="H609" t="str">
        <x:v>order_date</x:v>
      </x:c>
      <x:c r="I609" t="str">
        <x:v>Сверить дату со срезом и исходной записью</x:v>
      </x:c>
      <x:c r="J609" t="n">
        <x:f>IF(D609=1,K609,0)</x:f>
        <x:v>0</x:v>
      </x:c>
      <x:c r="K609" t="n">
        <x:f>D609+K608</x:f>
        <x:v>9</x:v>
      </x:c>
    </x:row>
    <x:row r="610">
      <x:c r="A610" t="str">
        <x:v>Order</x:v>
      </x:c>
      <x:c r="B610" t="n">
        <x:f>'04_checks'!B88</x:f>
        <x:v>1087</x:v>
      </x:c>
      <x:c r="C610" t="n">
        <x:v>88</x:v>
      </x:c>
      <x:c r="D610" t="n">
        <x:f>IF('04_checks'!I88="ERROR",1,0)</x:f>
        <x:v>0</x:v>
      </x:c>
      <x:c r="E610" t="str">
        <x:v>Order:88:7</x:v>
      </x:c>
      <x:c r="F610" t="str">
        <x:v>Статус</x:v>
      </x:c>
      <x:c r="G610" t="str">
        <x:v>Medium</x:v>
      </x:c>
      <x:c r="H610" t="str">
        <x:v>status</x:v>
      </x:c>
      <x:c r="I610" t="str">
        <x:v>Выбрать допустимый статус</x:v>
      </x:c>
      <x:c r="J610" t="n">
        <x:f>IF(D610=1,K610,0)</x:f>
        <x:v>0</x:v>
      </x:c>
      <x:c r="K610" t="n">
        <x:f>D610+K609</x:f>
        <x:v>9</x:v>
      </x:c>
    </x:row>
    <x:row r="611">
      <x:c r="A611" t="str">
        <x:v>Order</x:v>
      </x:c>
      <x:c r="B611" t="n">
        <x:f>'04_checks'!B89</x:f>
        <x:v>1088</x:v>
      </x:c>
      <x:c r="C611" t="n">
        <x:v>89</x:v>
      </x:c>
      <x:c r="D611" t="n">
        <x:f>IF('04_checks'!C89="ERROR",1,0)</x:f>
        <x:v>0</x:v>
      </x:c>
      <x:c r="E611" t="str">
        <x:v>Order:89:1</x:v>
      </x:c>
      <x:c r="F611" t="str">
        <x:v>Дубль</x:v>
      </x:c>
      <x:c r="G611" t="str">
        <x:v>High</x:v>
      </x:c>
      <x:c r="H611" t="str">
        <x:v>order_id</x:v>
      </x:c>
      <x:c r="I611" t="str">
        <x:v>Проверить уникальность ID в источнике; не удалять записи автоматически</x:v>
      </x:c>
      <x:c r="J611" t="n">
        <x:f>IF(D611=1,K611,0)</x:f>
        <x:v>0</x:v>
      </x:c>
      <x:c r="K611" t="n">
        <x:f>D611+K610</x:f>
        <x:v>9</x:v>
      </x:c>
    </x:row>
    <x:row r="612">
      <x:c r="A612" t="str">
        <x:v>Order</x:v>
      </x:c>
      <x:c r="B612" t="n">
        <x:f>'04_checks'!B89</x:f>
        <x:v>1088</x:v>
      </x:c>
      <x:c r="C612" t="n">
        <x:v>89</x:v>
      </x:c>
      <x:c r="D612" t="n">
        <x:f>IF('04_checks'!D89="ERROR",1,0)</x:f>
        <x:v>0</x:v>
      </x:c>
      <x:c r="E612" t="str">
        <x:v>Order:89:2</x:v>
      </x:c>
      <x:c r="F612" t="str">
        <x:v>Пустое поле</x:v>
      </x:c>
      <x:c r="G612" t="str">
        <x:v>High</x:v>
      </x:c>
      <x:c r="H612" t="str">
        <x:v>required_fields</x:v>
      </x:c>
      <x:c r="I612" t="str">
        <x:v>Дополнить обязательные поля в источнике</x:v>
      </x:c>
      <x:c r="J612" t="n">
        <x:f>IF(D612=1,K612,0)</x:f>
        <x:v>0</x:v>
      </x:c>
      <x:c r="K612" t="n">
        <x:f>D612+K611</x:f>
        <x:v>9</x:v>
      </x:c>
    </x:row>
    <x:row r="613">
      <x:c r="A613" t="str">
        <x:v>Order</x:v>
      </x:c>
      <x:c r="B613" t="n">
        <x:f>'04_checks'!B89</x:f>
        <x:v>1088</x:v>
      </x:c>
      <x:c r="C613" t="n">
        <x:v>89</x:v>
      </x:c>
      <x:c r="D613" t="n">
        <x:f>IF('04_checks'!E89="ERROR",1,0)</x:f>
        <x:v>0</x:v>
      </x:c>
      <x:c r="E613" t="str">
        <x:v>Order:89:3</x:v>
      </x:c>
      <x:c r="F613" t="str">
        <x:f>IF(COUNTIF('02_clients_raw'!$A$2:$A$67,'01_orders_raw'!C89)&gt;1,"Неоднозначная связь","Нет связи")</x:f>
        <x:v>Нет связи</x:v>
      </x:c>
      <x:c r="G613" t="str">
        <x:v>High</x:v>
      </x:c>
      <x:c r="H613" t="str">
        <x:v>client_id</x:v>
      </x:c>
      <x:c r="I613" t="str">
        <x:v>Исправить ссылку или разрешить дубли связанного ID</x:v>
      </x:c>
      <x:c r="J613" t="n">
        <x:f>IF(D613=1,K613,0)</x:f>
        <x:v>0</x:v>
      </x:c>
      <x:c r="K613" t="n">
        <x:f>D613+K612</x:f>
        <x:v>9</x:v>
      </x:c>
    </x:row>
    <x:row r="614">
      <x:c r="A614" t="str">
        <x:v>Order</x:v>
      </x:c>
      <x:c r="B614" t="n">
        <x:f>'04_checks'!B89</x:f>
        <x:v>1088</x:v>
      </x:c>
      <x:c r="C614" t="n">
        <x:v>89</x:v>
      </x:c>
      <x:c r="D614" t="n">
        <x:f>IF('04_checks'!F89="ERROR",1,0)</x:f>
        <x:v>0</x:v>
      </x:c>
      <x:c r="E614" t="str">
        <x:v>Order:89:4</x:v>
      </x:c>
      <x:c r="F614" t="str">
        <x:v>Ошибка расчета</x:v>
      </x:c>
      <x:c r="G614" t="str">
        <x:v>High</x:v>
      </x:c>
      <x:c r="H614" t="str">
        <x:v>quantity/price/order_sum</x:v>
      </x:c>
      <x:c r="I614" t="str">
        <x:v>Сверить исходные значения и правило расчёта</x:v>
      </x:c>
      <x:c r="J614" t="n">
        <x:f>IF(D614=1,K614,0)</x:f>
        <x:v>0</x:v>
      </x:c>
      <x:c r="K614" t="n">
        <x:f>D614+K613</x:f>
        <x:v>9</x:v>
      </x:c>
    </x:row>
    <x:row r="615">
      <x:c r="A615" t="str">
        <x:v>Order</x:v>
      </x:c>
      <x:c r="B615" t="n">
        <x:f>'04_checks'!B89</x:f>
        <x:v>1088</x:v>
      </x:c>
      <x:c r="C615" t="n">
        <x:v>89</x:v>
      </x:c>
      <x:c r="D615" t="n">
        <x:f>IF('04_checks'!G89="ERROR",1,0)</x:f>
        <x:v>0</x:v>
      </x:c>
      <x:c r="E615" t="str">
        <x:v>Order:89:5</x:v>
      </x:c>
      <x:c r="F615" t="str">
        <x:v>Отрицательная цена</x:v>
      </x:c>
      <x:c r="G615" t="str">
        <x:v>High</x:v>
      </x:c>
      <x:c r="H615" t="str">
        <x:v>price</x:v>
      </x:c>
      <x:c r="I615" t="str">
        <x:v>Проверить цену в источнике</x:v>
      </x:c>
      <x:c r="J615" t="n">
        <x:f>IF(D615=1,K615,0)</x:f>
        <x:v>0</x:v>
      </x:c>
      <x:c r="K615" t="n">
        <x:f>D615+K614</x:f>
        <x:v>9</x:v>
      </x:c>
    </x:row>
    <x:row r="616">
      <x:c r="A616" t="str">
        <x:v>Order</x:v>
      </x:c>
      <x:c r="B616" t="n">
        <x:f>'04_checks'!B89</x:f>
        <x:v>1088</x:v>
      </x:c>
      <x:c r="C616" t="n">
        <x:v>89</x:v>
      </x:c>
      <x:c r="D616" t="n">
        <x:f>IF('04_checks'!H89="ERROR",1,0)</x:f>
        <x:v>0</x:v>
      </x:c>
      <x:c r="E616" t="str">
        <x:v>Order:89:6</x:v>
      </x:c>
      <x:c r="F616" t="str">
        <x:v>Дата</x:v>
      </x:c>
      <x:c r="G616" t="str">
        <x:v>Medium</x:v>
      </x:c>
      <x:c r="H616" t="str">
        <x:v>order_date</x:v>
      </x:c>
      <x:c r="I616" t="str">
        <x:v>Сверить дату со срезом и исходной записью</x:v>
      </x:c>
      <x:c r="J616" t="n">
        <x:f>IF(D616=1,K616,0)</x:f>
        <x:v>0</x:v>
      </x:c>
      <x:c r="K616" t="n">
        <x:f>D616+K615</x:f>
        <x:v>9</x:v>
      </x:c>
    </x:row>
    <x:row r="617">
      <x:c r="A617" t="str">
        <x:v>Order</x:v>
      </x:c>
      <x:c r="B617" t="n">
        <x:f>'04_checks'!B89</x:f>
        <x:v>1088</x:v>
      </x:c>
      <x:c r="C617" t="n">
        <x:v>89</x:v>
      </x:c>
      <x:c r="D617" t="n">
        <x:f>IF('04_checks'!I89="ERROR",1,0)</x:f>
        <x:v>0</x:v>
      </x:c>
      <x:c r="E617" t="str">
        <x:v>Order:89:7</x:v>
      </x:c>
      <x:c r="F617" t="str">
        <x:v>Статус</x:v>
      </x:c>
      <x:c r="G617" t="str">
        <x:v>Medium</x:v>
      </x:c>
      <x:c r="H617" t="str">
        <x:v>status</x:v>
      </x:c>
      <x:c r="I617" t="str">
        <x:v>Выбрать допустимый статус</x:v>
      </x:c>
      <x:c r="J617" t="n">
        <x:f>IF(D617=1,K617,0)</x:f>
        <x:v>0</x:v>
      </x:c>
      <x:c r="K617" t="n">
        <x:f>D617+K616</x:f>
        <x:v>9</x:v>
      </x:c>
    </x:row>
    <x:row r="618">
      <x:c r="A618" t="str">
        <x:v>Order</x:v>
      </x:c>
      <x:c r="B618" t="n">
        <x:f>'04_checks'!B90</x:f>
        <x:v>1089</x:v>
      </x:c>
      <x:c r="C618" t="n">
        <x:v>90</x:v>
      </x:c>
      <x:c r="D618" t="n">
        <x:f>IF('04_checks'!C90="ERROR",1,0)</x:f>
        <x:v>0</x:v>
      </x:c>
      <x:c r="E618" t="str">
        <x:v>Order:90:1</x:v>
      </x:c>
      <x:c r="F618" t="str">
        <x:v>Дубль</x:v>
      </x:c>
      <x:c r="G618" t="str">
        <x:v>High</x:v>
      </x:c>
      <x:c r="H618" t="str">
        <x:v>order_id</x:v>
      </x:c>
      <x:c r="I618" t="str">
        <x:v>Проверить уникальность ID в источнике; не удалять записи автоматически</x:v>
      </x:c>
      <x:c r="J618" t="n">
        <x:f>IF(D618=1,K618,0)</x:f>
        <x:v>0</x:v>
      </x:c>
      <x:c r="K618" t="n">
        <x:f>D618+K617</x:f>
        <x:v>9</x:v>
      </x:c>
    </x:row>
    <x:row r="619">
      <x:c r="A619" t="str">
        <x:v>Order</x:v>
      </x:c>
      <x:c r="B619" t="n">
        <x:f>'04_checks'!B90</x:f>
        <x:v>1089</x:v>
      </x:c>
      <x:c r="C619" t="n">
        <x:v>90</x:v>
      </x:c>
      <x:c r="D619" t="n">
        <x:f>IF('04_checks'!D90="ERROR",1,0)</x:f>
        <x:v>0</x:v>
      </x:c>
      <x:c r="E619" t="str">
        <x:v>Order:90:2</x:v>
      </x:c>
      <x:c r="F619" t="str">
        <x:v>Пустое поле</x:v>
      </x:c>
      <x:c r="G619" t="str">
        <x:v>High</x:v>
      </x:c>
      <x:c r="H619" t="str">
        <x:v>required_fields</x:v>
      </x:c>
      <x:c r="I619" t="str">
        <x:v>Дополнить обязательные поля в источнике</x:v>
      </x:c>
      <x:c r="J619" t="n">
        <x:f>IF(D619=1,K619,0)</x:f>
        <x:v>0</x:v>
      </x:c>
      <x:c r="K619" t="n">
        <x:f>D619+K618</x:f>
        <x:v>9</x:v>
      </x:c>
    </x:row>
    <x:row r="620">
      <x:c r="A620" t="str">
        <x:v>Order</x:v>
      </x:c>
      <x:c r="B620" t="n">
        <x:f>'04_checks'!B90</x:f>
        <x:v>1089</x:v>
      </x:c>
      <x:c r="C620" t="n">
        <x:v>90</x:v>
      </x:c>
      <x:c r="D620" t="n">
        <x:f>IF('04_checks'!E90="ERROR",1,0)</x:f>
        <x:v>0</x:v>
      </x:c>
      <x:c r="E620" t="str">
        <x:v>Order:90:3</x:v>
      </x:c>
      <x:c r="F620" t="str">
        <x:f>IF(COUNTIF('02_clients_raw'!$A$2:$A$67,'01_orders_raw'!C90)&gt;1,"Неоднозначная связь","Нет связи")</x:f>
        <x:v>Нет связи</x:v>
      </x:c>
      <x:c r="G620" t="str">
        <x:v>High</x:v>
      </x:c>
      <x:c r="H620" t="str">
        <x:v>client_id</x:v>
      </x:c>
      <x:c r="I620" t="str">
        <x:v>Исправить ссылку или разрешить дубли связанного ID</x:v>
      </x:c>
      <x:c r="J620" t="n">
        <x:f>IF(D620=1,K620,0)</x:f>
        <x:v>0</x:v>
      </x:c>
      <x:c r="K620" t="n">
        <x:f>D620+K619</x:f>
        <x:v>9</x:v>
      </x:c>
    </x:row>
    <x:row r="621">
      <x:c r="A621" t="str">
        <x:v>Order</x:v>
      </x:c>
      <x:c r="B621" t="n">
        <x:f>'04_checks'!B90</x:f>
        <x:v>1089</x:v>
      </x:c>
      <x:c r="C621" t="n">
        <x:v>90</x:v>
      </x:c>
      <x:c r="D621" t="n">
        <x:f>IF('04_checks'!F90="ERROR",1,0)</x:f>
        <x:v>0</x:v>
      </x:c>
      <x:c r="E621" t="str">
        <x:v>Order:90:4</x:v>
      </x:c>
      <x:c r="F621" t="str">
        <x:v>Ошибка расчета</x:v>
      </x:c>
      <x:c r="G621" t="str">
        <x:v>High</x:v>
      </x:c>
      <x:c r="H621" t="str">
        <x:v>quantity/price/order_sum</x:v>
      </x:c>
      <x:c r="I621" t="str">
        <x:v>Сверить исходные значения и правило расчёта</x:v>
      </x:c>
      <x:c r="J621" t="n">
        <x:f>IF(D621=1,K621,0)</x:f>
        <x:v>0</x:v>
      </x:c>
      <x:c r="K621" t="n">
        <x:f>D621+K620</x:f>
        <x:v>9</x:v>
      </x:c>
    </x:row>
    <x:row r="622">
      <x:c r="A622" t="str">
        <x:v>Order</x:v>
      </x:c>
      <x:c r="B622" t="n">
        <x:f>'04_checks'!B90</x:f>
        <x:v>1089</x:v>
      </x:c>
      <x:c r="C622" t="n">
        <x:v>90</x:v>
      </x:c>
      <x:c r="D622" t="n">
        <x:f>IF('04_checks'!G90="ERROR",1,0)</x:f>
        <x:v>0</x:v>
      </x:c>
      <x:c r="E622" t="str">
        <x:v>Order:90:5</x:v>
      </x:c>
      <x:c r="F622" t="str">
        <x:v>Отрицательная цена</x:v>
      </x:c>
      <x:c r="G622" t="str">
        <x:v>High</x:v>
      </x:c>
      <x:c r="H622" t="str">
        <x:v>price</x:v>
      </x:c>
      <x:c r="I622" t="str">
        <x:v>Проверить цену в источнике</x:v>
      </x:c>
      <x:c r="J622" t="n">
        <x:f>IF(D622=1,K622,0)</x:f>
        <x:v>0</x:v>
      </x:c>
      <x:c r="K622" t="n">
        <x:f>D622+K621</x:f>
        <x:v>9</x:v>
      </x:c>
    </x:row>
    <x:row r="623">
      <x:c r="A623" t="str">
        <x:v>Order</x:v>
      </x:c>
      <x:c r="B623" t="n">
        <x:f>'04_checks'!B90</x:f>
        <x:v>1089</x:v>
      </x:c>
      <x:c r="C623" t="n">
        <x:v>90</x:v>
      </x:c>
      <x:c r="D623" t="n">
        <x:f>IF('04_checks'!H90="ERROR",1,0)</x:f>
        <x:v>0</x:v>
      </x:c>
      <x:c r="E623" t="str">
        <x:v>Order:90:6</x:v>
      </x:c>
      <x:c r="F623" t="str">
        <x:v>Дата</x:v>
      </x:c>
      <x:c r="G623" t="str">
        <x:v>Medium</x:v>
      </x:c>
      <x:c r="H623" t="str">
        <x:v>order_date</x:v>
      </x:c>
      <x:c r="I623" t="str">
        <x:v>Сверить дату со срезом и исходной записью</x:v>
      </x:c>
      <x:c r="J623" t="n">
        <x:f>IF(D623=1,K623,0)</x:f>
        <x:v>0</x:v>
      </x:c>
      <x:c r="K623" t="n">
        <x:f>D623+K622</x:f>
        <x:v>9</x:v>
      </x:c>
    </x:row>
    <x:row r="624">
      <x:c r="A624" t="str">
        <x:v>Order</x:v>
      </x:c>
      <x:c r="B624" t="n">
        <x:f>'04_checks'!B90</x:f>
        <x:v>1089</x:v>
      </x:c>
      <x:c r="C624" t="n">
        <x:v>90</x:v>
      </x:c>
      <x:c r="D624" t="n">
        <x:f>IF('04_checks'!I90="ERROR",1,0)</x:f>
        <x:v>0</x:v>
      </x:c>
      <x:c r="E624" t="str">
        <x:v>Order:90:7</x:v>
      </x:c>
      <x:c r="F624" t="str">
        <x:v>Статус</x:v>
      </x:c>
      <x:c r="G624" t="str">
        <x:v>Medium</x:v>
      </x:c>
      <x:c r="H624" t="str">
        <x:v>status</x:v>
      </x:c>
      <x:c r="I624" t="str">
        <x:v>Выбрать допустимый статус</x:v>
      </x:c>
      <x:c r="J624" t="n">
        <x:f>IF(D624=1,K624,0)</x:f>
        <x:v>0</x:v>
      </x:c>
      <x:c r="K624" t="n">
        <x:f>D624+K623</x:f>
        <x:v>9</x:v>
      </x:c>
    </x:row>
    <x:row r="625">
      <x:c r="A625" t="str">
        <x:v>Order</x:v>
      </x:c>
      <x:c r="B625" t="n">
        <x:f>'04_checks'!B91</x:f>
        <x:v>1090</x:v>
      </x:c>
      <x:c r="C625" t="n">
        <x:v>91</x:v>
      </x:c>
      <x:c r="D625" t="n">
        <x:f>IF('04_checks'!C91="ERROR",1,0)</x:f>
        <x:v>0</x:v>
      </x:c>
      <x:c r="E625" t="str">
        <x:v>Order:91:1</x:v>
      </x:c>
      <x:c r="F625" t="str">
        <x:v>Дубль</x:v>
      </x:c>
      <x:c r="G625" t="str">
        <x:v>High</x:v>
      </x:c>
      <x:c r="H625" t="str">
        <x:v>order_id</x:v>
      </x:c>
      <x:c r="I625" t="str">
        <x:v>Проверить уникальность ID в источнике; не удалять записи автоматически</x:v>
      </x:c>
      <x:c r="J625" t="n">
        <x:f>IF(D625=1,K625,0)</x:f>
        <x:v>0</x:v>
      </x:c>
      <x:c r="K625" t="n">
        <x:f>D625+K624</x:f>
        <x:v>9</x:v>
      </x:c>
    </x:row>
    <x:row r="626">
      <x:c r="A626" t="str">
        <x:v>Order</x:v>
      </x:c>
      <x:c r="B626" t="n">
        <x:f>'04_checks'!B91</x:f>
        <x:v>1090</x:v>
      </x:c>
      <x:c r="C626" t="n">
        <x:v>91</x:v>
      </x:c>
      <x:c r="D626" t="n">
        <x:f>IF('04_checks'!D91="ERROR",1,0)</x:f>
        <x:v>0</x:v>
      </x:c>
      <x:c r="E626" t="str">
        <x:v>Order:91:2</x:v>
      </x:c>
      <x:c r="F626" t="str">
        <x:v>Пустое поле</x:v>
      </x:c>
      <x:c r="G626" t="str">
        <x:v>High</x:v>
      </x:c>
      <x:c r="H626" t="str">
        <x:v>required_fields</x:v>
      </x:c>
      <x:c r="I626" t="str">
        <x:v>Дополнить обязательные поля в источнике</x:v>
      </x:c>
      <x:c r="J626" t="n">
        <x:f>IF(D626=1,K626,0)</x:f>
        <x:v>0</x:v>
      </x:c>
      <x:c r="K626" t="n">
        <x:f>D626+K625</x:f>
        <x:v>9</x:v>
      </x:c>
    </x:row>
    <x:row r="627">
      <x:c r="A627" t="str">
        <x:v>Order</x:v>
      </x:c>
      <x:c r="B627" t="n">
        <x:f>'04_checks'!B91</x:f>
        <x:v>1090</x:v>
      </x:c>
      <x:c r="C627" t="n">
        <x:v>91</x:v>
      </x:c>
      <x:c r="D627" t="n">
        <x:f>IF('04_checks'!E91="ERROR",1,0)</x:f>
        <x:v>0</x:v>
      </x:c>
      <x:c r="E627" t="str">
        <x:v>Order:91:3</x:v>
      </x:c>
      <x:c r="F627" t="str">
        <x:f>IF(COUNTIF('02_clients_raw'!$A$2:$A$67,'01_orders_raw'!C91)&gt;1,"Неоднозначная связь","Нет связи")</x:f>
        <x:v>Нет связи</x:v>
      </x:c>
      <x:c r="G627" t="str">
        <x:v>High</x:v>
      </x:c>
      <x:c r="H627" t="str">
        <x:v>client_id</x:v>
      </x:c>
      <x:c r="I627" t="str">
        <x:v>Исправить ссылку или разрешить дубли связанного ID</x:v>
      </x:c>
      <x:c r="J627" t="n">
        <x:f>IF(D627=1,K627,0)</x:f>
        <x:v>0</x:v>
      </x:c>
      <x:c r="K627" t="n">
        <x:f>D627+K626</x:f>
        <x:v>9</x:v>
      </x:c>
    </x:row>
    <x:row r="628">
      <x:c r="A628" t="str">
        <x:v>Order</x:v>
      </x:c>
      <x:c r="B628" t="n">
        <x:f>'04_checks'!B91</x:f>
        <x:v>1090</x:v>
      </x:c>
      <x:c r="C628" t="n">
        <x:v>91</x:v>
      </x:c>
      <x:c r="D628" t="n">
        <x:f>IF('04_checks'!F91="ERROR",1,0)</x:f>
        <x:v>0</x:v>
      </x:c>
      <x:c r="E628" t="str">
        <x:v>Order:91:4</x:v>
      </x:c>
      <x:c r="F628" t="str">
        <x:v>Ошибка расчета</x:v>
      </x:c>
      <x:c r="G628" t="str">
        <x:v>High</x:v>
      </x:c>
      <x:c r="H628" t="str">
        <x:v>quantity/price/order_sum</x:v>
      </x:c>
      <x:c r="I628" t="str">
        <x:v>Сверить исходные значения и правило расчёта</x:v>
      </x:c>
      <x:c r="J628" t="n">
        <x:f>IF(D628=1,K628,0)</x:f>
        <x:v>0</x:v>
      </x:c>
      <x:c r="K628" t="n">
        <x:f>D628+K627</x:f>
        <x:v>9</x:v>
      </x:c>
    </x:row>
    <x:row r="629">
      <x:c r="A629" t="str">
        <x:v>Order</x:v>
      </x:c>
      <x:c r="B629" t="n">
        <x:f>'04_checks'!B91</x:f>
        <x:v>1090</x:v>
      </x:c>
      <x:c r="C629" t="n">
        <x:v>91</x:v>
      </x:c>
      <x:c r="D629" t="n">
        <x:f>IF('04_checks'!G91="ERROR",1,0)</x:f>
        <x:v>0</x:v>
      </x:c>
      <x:c r="E629" t="str">
        <x:v>Order:91:5</x:v>
      </x:c>
      <x:c r="F629" t="str">
        <x:v>Отрицательная цена</x:v>
      </x:c>
      <x:c r="G629" t="str">
        <x:v>High</x:v>
      </x:c>
      <x:c r="H629" t="str">
        <x:v>price</x:v>
      </x:c>
      <x:c r="I629" t="str">
        <x:v>Проверить цену в источнике</x:v>
      </x:c>
      <x:c r="J629" t="n">
        <x:f>IF(D629=1,K629,0)</x:f>
        <x:v>0</x:v>
      </x:c>
      <x:c r="K629" t="n">
        <x:f>D629+K628</x:f>
        <x:v>9</x:v>
      </x:c>
    </x:row>
    <x:row r="630">
      <x:c r="A630" t="str">
        <x:v>Order</x:v>
      </x:c>
      <x:c r="B630" t="n">
        <x:f>'04_checks'!B91</x:f>
        <x:v>1090</x:v>
      </x:c>
      <x:c r="C630" t="n">
        <x:v>91</x:v>
      </x:c>
      <x:c r="D630" t="n">
        <x:f>IF('04_checks'!H91="ERROR",1,0)</x:f>
        <x:v>0</x:v>
      </x:c>
      <x:c r="E630" t="str">
        <x:v>Order:91:6</x:v>
      </x:c>
      <x:c r="F630" t="str">
        <x:v>Дата</x:v>
      </x:c>
      <x:c r="G630" t="str">
        <x:v>Medium</x:v>
      </x:c>
      <x:c r="H630" t="str">
        <x:v>order_date</x:v>
      </x:c>
      <x:c r="I630" t="str">
        <x:v>Сверить дату со срезом и исходной записью</x:v>
      </x:c>
      <x:c r="J630" t="n">
        <x:f>IF(D630=1,K630,0)</x:f>
        <x:v>0</x:v>
      </x:c>
      <x:c r="K630" t="n">
        <x:f>D630+K629</x:f>
        <x:v>9</x:v>
      </x:c>
    </x:row>
    <x:row r="631">
      <x:c r="A631" t="str">
        <x:v>Order</x:v>
      </x:c>
      <x:c r="B631" t="n">
        <x:f>'04_checks'!B91</x:f>
        <x:v>1090</x:v>
      </x:c>
      <x:c r="C631" t="n">
        <x:v>91</x:v>
      </x:c>
      <x:c r="D631" t="n">
        <x:f>IF('04_checks'!I91="ERROR",1,0)</x:f>
        <x:v>0</x:v>
      </x:c>
      <x:c r="E631" t="str">
        <x:v>Order:91:7</x:v>
      </x:c>
      <x:c r="F631" t="str">
        <x:v>Статус</x:v>
      </x:c>
      <x:c r="G631" t="str">
        <x:v>Medium</x:v>
      </x:c>
      <x:c r="H631" t="str">
        <x:v>status</x:v>
      </x:c>
      <x:c r="I631" t="str">
        <x:v>Выбрать допустимый статус</x:v>
      </x:c>
      <x:c r="J631" t="n">
        <x:f>IF(D631=1,K631,0)</x:f>
        <x:v>0</x:v>
      </x:c>
      <x:c r="K631" t="n">
        <x:f>D631+K630</x:f>
        <x:v>9</x:v>
      </x:c>
    </x:row>
    <x:row r="632">
      <x:c r="A632" t="str">
        <x:v>Order</x:v>
      </x:c>
      <x:c r="B632" t="n">
        <x:f>'04_checks'!B92</x:f>
        <x:v>1091</x:v>
      </x:c>
      <x:c r="C632" t="n">
        <x:v>92</x:v>
      </x:c>
      <x:c r="D632" t="n">
        <x:f>IF('04_checks'!C92="ERROR",1,0)</x:f>
        <x:v>0</x:v>
      </x:c>
      <x:c r="E632" t="str">
        <x:v>Order:92:1</x:v>
      </x:c>
      <x:c r="F632" t="str">
        <x:v>Дубль</x:v>
      </x:c>
      <x:c r="G632" t="str">
        <x:v>High</x:v>
      </x:c>
      <x:c r="H632" t="str">
        <x:v>order_id</x:v>
      </x:c>
      <x:c r="I632" t="str">
        <x:v>Проверить уникальность ID в источнике; не удалять записи автоматически</x:v>
      </x:c>
      <x:c r="J632" t="n">
        <x:f>IF(D632=1,K632,0)</x:f>
        <x:v>0</x:v>
      </x:c>
      <x:c r="K632" t="n">
        <x:f>D632+K631</x:f>
        <x:v>9</x:v>
      </x:c>
    </x:row>
    <x:row r="633">
      <x:c r="A633" t="str">
        <x:v>Order</x:v>
      </x:c>
      <x:c r="B633" t="n">
        <x:f>'04_checks'!B92</x:f>
        <x:v>1091</x:v>
      </x:c>
      <x:c r="C633" t="n">
        <x:v>92</x:v>
      </x:c>
      <x:c r="D633" t="n">
        <x:f>IF('04_checks'!D92="ERROR",1,0)</x:f>
        <x:v>0</x:v>
      </x:c>
      <x:c r="E633" t="str">
        <x:v>Order:92:2</x:v>
      </x:c>
      <x:c r="F633" t="str">
        <x:v>Пустое поле</x:v>
      </x:c>
      <x:c r="G633" t="str">
        <x:v>High</x:v>
      </x:c>
      <x:c r="H633" t="str">
        <x:v>required_fields</x:v>
      </x:c>
      <x:c r="I633" t="str">
        <x:v>Дополнить обязательные поля в источнике</x:v>
      </x:c>
      <x:c r="J633" t="n">
        <x:f>IF(D633=1,K633,0)</x:f>
        <x:v>0</x:v>
      </x:c>
      <x:c r="K633" t="n">
        <x:f>D633+K632</x:f>
        <x:v>9</x:v>
      </x:c>
    </x:row>
    <x:row r="634">
      <x:c r="A634" t="str">
        <x:v>Order</x:v>
      </x:c>
      <x:c r="B634" t="n">
        <x:f>'04_checks'!B92</x:f>
        <x:v>1091</x:v>
      </x:c>
      <x:c r="C634" t="n">
        <x:v>92</x:v>
      </x:c>
      <x:c r="D634" t="n">
        <x:f>IF('04_checks'!E92="ERROR",1,0)</x:f>
        <x:v>0</x:v>
      </x:c>
      <x:c r="E634" t="str">
        <x:v>Order:92:3</x:v>
      </x:c>
      <x:c r="F634" t="str">
        <x:f>IF(COUNTIF('02_clients_raw'!$A$2:$A$67,'01_orders_raw'!C92)&gt;1,"Неоднозначная связь","Нет связи")</x:f>
        <x:v>Нет связи</x:v>
      </x:c>
      <x:c r="G634" t="str">
        <x:v>High</x:v>
      </x:c>
      <x:c r="H634" t="str">
        <x:v>client_id</x:v>
      </x:c>
      <x:c r="I634" t="str">
        <x:v>Исправить ссылку или разрешить дубли связанного ID</x:v>
      </x:c>
      <x:c r="J634" t="n">
        <x:f>IF(D634=1,K634,0)</x:f>
        <x:v>0</x:v>
      </x:c>
      <x:c r="K634" t="n">
        <x:f>D634+K633</x:f>
        <x:v>9</x:v>
      </x:c>
    </x:row>
    <x:row r="635">
      <x:c r="A635" t="str">
        <x:v>Order</x:v>
      </x:c>
      <x:c r="B635" t="n">
        <x:f>'04_checks'!B92</x:f>
        <x:v>1091</x:v>
      </x:c>
      <x:c r="C635" t="n">
        <x:v>92</x:v>
      </x:c>
      <x:c r="D635" t="n">
        <x:f>IF('04_checks'!F92="ERROR",1,0)</x:f>
        <x:v>0</x:v>
      </x:c>
      <x:c r="E635" t="str">
        <x:v>Order:92:4</x:v>
      </x:c>
      <x:c r="F635" t="str">
        <x:v>Ошибка расчета</x:v>
      </x:c>
      <x:c r="G635" t="str">
        <x:v>High</x:v>
      </x:c>
      <x:c r="H635" t="str">
        <x:v>quantity/price/order_sum</x:v>
      </x:c>
      <x:c r="I635" t="str">
        <x:v>Сверить исходные значения и правило расчёта</x:v>
      </x:c>
      <x:c r="J635" t="n">
        <x:f>IF(D635=1,K635,0)</x:f>
        <x:v>0</x:v>
      </x:c>
      <x:c r="K635" t="n">
        <x:f>D635+K634</x:f>
        <x:v>9</x:v>
      </x:c>
    </x:row>
    <x:row r="636">
      <x:c r="A636" t="str">
        <x:v>Order</x:v>
      </x:c>
      <x:c r="B636" t="n">
        <x:f>'04_checks'!B92</x:f>
        <x:v>1091</x:v>
      </x:c>
      <x:c r="C636" t="n">
        <x:v>92</x:v>
      </x:c>
      <x:c r="D636" t="n">
        <x:f>IF('04_checks'!G92="ERROR",1,0)</x:f>
        <x:v>0</x:v>
      </x:c>
      <x:c r="E636" t="str">
        <x:v>Order:92:5</x:v>
      </x:c>
      <x:c r="F636" t="str">
        <x:v>Отрицательная цена</x:v>
      </x:c>
      <x:c r="G636" t="str">
        <x:v>High</x:v>
      </x:c>
      <x:c r="H636" t="str">
        <x:v>price</x:v>
      </x:c>
      <x:c r="I636" t="str">
        <x:v>Проверить цену в источнике</x:v>
      </x:c>
      <x:c r="J636" t="n">
        <x:f>IF(D636=1,K636,0)</x:f>
        <x:v>0</x:v>
      </x:c>
      <x:c r="K636" t="n">
        <x:f>D636+K635</x:f>
        <x:v>9</x:v>
      </x:c>
    </x:row>
    <x:row r="637">
      <x:c r="A637" t="str">
        <x:v>Order</x:v>
      </x:c>
      <x:c r="B637" t="n">
        <x:f>'04_checks'!B92</x:f>
        <x:v>1091</x:v>
      </x:c>
      <x:c r="C637" t="n">
        <x:v>92</x:v>
      </x:c>
      <x:c r="D637" t="n">
        <x:f>IF('04_checks'!H92="ERROR",1,0)</x:f>
        <x:v>0</x:v>
      </x:c>
      <x:c r="E637" t="str">
        <x:v>Order:92:6</x:v>
      </x:c>
      <x:c r="F637" t="str">
        <x:v>Дата</x:v>
      </x:c>
      <x:c r="G637" t="str">
        <x:v>Medium</x:v>
      </x:c>
      <x:c r="H637" t="str">
        <x:v>order_date</x:v>
      </x:c>
      <x:c r="I637" t="str">
        <x:v>Сверить дату со срезом и исходной записью</x:v>
      </x:c>
      <x:c r="J637" t="n">
        <x:f>IF(D637=1,K637,0)</x:f>
        <x:v>0</x:v>
      </x:c>
      <x:c r="K637" t="n">
        <x:f>D637+K636</x:f>
        <x:v>9</x:v>
      </x:c>
    </x:row>
    <x:row r="638">
      <x:c r="A638" t="str">
        <x:v>Order</x:v>
      </x:c>
      <x:c r="B638" t="n">
        <x:f>'04_checks'!B92</x:f>
        <x:v>1091</x:v>
      </x:c>
      <x:c r="C638" t="n">
        <x:v>92</x:v>
      </x:c>
      <x:c r="D638" t="n">
        <x:f>IF('04_checks'!I92="ERROR",1,0)</x:f>
        <x:v>0</x:v>
      </x:c>
      <x:c r="E638" t="str">
        <x:v>Order:92:7</x:v>
      </x:c>
      <x:c r="F638" t="str">
        <x:v>Статус</x:v>
      </x:c>
      <x:c r="G638" t="str">
        <x:v>Medium</x:v>
      </x:c>
      <x:c r="H638" t="str">
        <x:v>status</x:v>
      </x:c>
      <x:c r="I638" t="str">
        <x:v>Выбрать допустимый статус</x:v>
      </x:c>
      <x:c r="J638" t="n">
        <x:f>IF(D638=1,K638,0)</x:f>
        <x:v>0</x:v>
      </x:c>
      <x:c r="K638" t="n">
        <x:f>D638+K637</x:f>
        <x:v>9</x:v>
      </x:c>
    </x:row>
    <x:row r="639">
      <x:c r="A639" t="str">
        <x:v>Order</x:v>
      </x:c>
      <x:c r="B639" t="n">
        <x:f>'04_checks'!B93</x:f>
        <x:v>1092</x:v>
      </x:c>
      <x:c r="C639" t="n">
        <x:v>93</x:v>
      </x:c>
      <x:c r="D639" t="n">
        <x:f>IF('04_checks'!C93="ERROR",1,0)</x:f>
        <x:v>0</x:v>
      </x:c>
      <x:c r="E639" t="str">
        <x:v>Order:93:1</x:v>
      </x:c>
      <x:c r="F639" t="str">
        <x:v>Дубль</x:v>
      </x:c>
      <x:c r="G639" t="str">
        <x:v>High</x:v>
      </x:c>
      <x:c r="H639" t="str">
        <x:v>order_id</x:v>
      </x:c>
      <x:c r="I639" t="str">
        <x:v>Проверить уникальность ID в источнике; не удалять записи автоматически</x:v>
      </x:c>
      <x:c r="J639" t="n">
        <x:f>IF(D639=1,K639,0)</x:f>
        <x:v>0</x:v>
      </x:c>
      <x:c r="K639" t="n">
        <x:f>D639+K638</x:f>
        <x:v>9</x:v>
      </x:c>
    </x:row>
    <x:row r="640">
      <x:c r="A640" t="str">
        <x:v>Order</x:v>
      </x:c>
      <x:c r="B640" t="n">
        <x:f>'04_checks'!B93</x:f>
        <x:v>1092</x:v>
      </x:c>
      <x:c r="C640" t="n">
        <x:v>93</x:v>
      </x:c>
      <x:c r="D640" t="n">
        <x:f>IF('04_checks'!D93="ERROR",1,0)</x:f>
        <x:v>0</x:v>
      </x:c>
      <x:c r="E640" t="str">
        <x:v>Order:93:2</x:v>
      </x:c>
      <x:c r="F640" t="str">
        <x:v>Пустое поле</x:v>
      </x:c>
      <x:c r="G640" t="str">
        <x:v>High</x:v>
      </x:c>
      <x:c r="H640" t="str">
        <x:v>required_fields</x:v>
      </x:c>
      <x:c r="I640" t="str">
        <x:v>Дополнить обязательные поля в источнике</x:v>
      </x:c>
      <x:c r="J640" t="n">
        <x:f>IF(D640=1,K640,0)</x:f>
        <x:v>0</x:v>
      </x:c>
      <x:c r="K640" t="n">
        <x:f>D640+K639</x:f>
        <x:v>9</x:v>
      </x:c>
    </x:row>
    <x:row r="641">
      <x:c r="A641" t="str">
        <x:v>Order</x:v>
      </x:c>
      <x:c r="B641" t="n">
        <x:f>'04_checks'!B93</x:f>
        <x:v>1092</x:v>
      </x:c>
      <x:c r="C641" t="n">
        <x:v>93</x:v>
      </x:c>
      <x:c r="D641" t="n">
        <x:f>IF('04_checks'!E93="ERROR",1,0)</x:f>
        <x:v>0</x:v>
      </x:c>
      <x:c r="E641" t="str">
        <x:v>Order:93:3</x:v>
      </x:c>
      <x:c r="F641" t="str">
        <x:f>IF(COUNTIF('02_clients_raw'!$A$2:$A$67,'01_orders_raw'!C93)&gt;1,"Неоднозначная связь","Нет связи")</x:f>
        <x:v>Нет связи</x:v>
      </x:c>
      <x:c r="G641" t="str">
        <x:v>High</x:v>
      </x:c>
      <x:c r="H641" t="str">
        <x:v>client_id</x:v>
      </x:c>
      <x:c r="I641" t="str">
        <x:v>Исправить ссылку или разрешить дубли связанного ID</x:v>
      </x:c>
      <x:c r="J641" t="n">
        <x:f>IF(D641=1,K641,0)</x:f>
        <x:v>0</x:v>
      </x:c>
      <x:c r="K641" t="n">
        <x:f>D641+K640</x:f>
        <x:v>9</x:v>
      </x:c>
    </x:row>
    <x:row r="642">
      <x:c r="A642" t="str">
        <x:v>Order</x:v>
      </x:c>
      <x:c r="B642" t="n">
        <x:f>'04_checks'!B93</x:f>
        <x:v>1092</x:v>
      </x:c>
      <x:c r="C642" t="n">
        <x:v>93</x:v>
      </x:c>
      <x:c r="D642" t="n">
        <x:f>IF('04_checks'!F93="ERROR",1,0)</x:f>
        <x:v>0</x:v>
      </x:c>
      <x:c r="E642" t="str">
        <x:v>Order:93:4</x:v>
      </x:c>
      <x:c r="F642" t="str">
        <x:v>Ошибка расчета</x:v>
      </x:c>
      <x:c r="G642" t="str">
        <x:v>High</x:v>
      </x:c>
      <x:c r="H642" t="str">
        <x:v>quantity/price/order_sum</x:v>
      </x:c>
      <x:c r="I642" t="str">
        <x:v>Сверить исходные значения и правило расчёта</x:v>
      </x:c>
      <x:c r="J642" t="n">
        <x:f>IF(D642=1,K642,0)</x:f>
        <x:v>0</x:v>
      </x:c>
      <x:c r="K642" t="n">
        <x:f>D642+K641</x:f>
        <x:v>9</x:v>
      </x:c>
    </x:row>
    <x:row r="643">
      <x:c r="A643" t="str">
        <x:v>Order</x:v>
      </x:c>
      <x:c r="B643" t="n">
        <x:f>'04_checks'!B93</x:f>
        <x:v>1092</x:v>
      </x:c>
      <x:c r="C643" t="n">
        <x:v>93</x:v>
      </x:c>
      <x:c r="D643" t="n">
        <x:f>IF('04_checks'!G93="ERROR",1,0)</x:f>
        <x:v>0</x:v>
      </x:c>
      <x:c r="E643" t="str">
        <x:v>Order:93:5</x:v>
      </x:c>
      <x:c r="F643" t="str">
        <x:v>Отрицательная цена</x:v>
      </x:c>
      <x:c r="G643" t="str">
        <x:v>High</x:v>
      </x:c>
      <x:c r="H643" t="str">
        <x:v>price</x:v>
      </x:c>
      <x:c r="I643" t="str">
        <x:v>Проверить цену в источнике</x:v>
      </x:c>
      <x:c r="J643" t="n">
        <x:f>IF(D643=1,K643,0)</x:f>
        <x:v>0</x:v>
      </x:c>
      <x:c r="K643" t="n">
        <x:f>D643+K642</x:f>
        <x:v>9</x:v>
      </x:c>
    </x:row>
    <x:row r="644">
      <x:c r="A644" t="str">
        <x:v>Order</x:v>
      </x:c>
      <x:c r="B644" t="n">
        <x:f>'04_checks'!B93</x:f>
        <x:v>1092</x:v>
      </x:c>
      <x:c r="C644" t="n">
        <x:v>93</x:v>
      </x:c>
      <x:c r="D644" t="n">
        <x:f>IF('04_checks'!H93="ERROR",1,0)</x:f>
        <x:v>0</x:v>
      </x:c>
      <x:c r="E644" t="str">
        <x:v>Order:93:6</x:v>
      </x:c>
      <x:c r="F644" t="str">
        <x:v>Дата</x:v>
      </x:c>
      <x:c r="G644" t="str">
        <x:v>Medium</x:v>
      </x:c>
      <x:c r="H644" t="str">
        <x:v>order_date</x:v>
      </x:c>
      <x:c r="I644" t="str">
        <x:v>Сверить дату со срезом и исходной записью</x:v>
      </x:c>
      <x:c r="J644" t="n">
        <x:f>IF(D644=1,K644,0)</x:f>
        <x:v>0</x:v>
      </x:c>
      <x:c r="K644" t="n">
        <x:f>D644+K643</x:f>
        <x:v>9</x:v>
      </x:c>
    </x:row>
    <x:row r="645">
      <x:c r="A645" t="str">
        <x:v>Order</x:v>
      </x:c>
      <x:c r="B645" t="n">
        <x:f>'04_checks'!B93</x:f>
        <x:v>1092</x:v>
      </x:c>
      <x:c r="C645" t="n">
        <x:v>93</x:v>
      </x:c>
      <x:c r="D645" t="n">
        <x:f>IF('04_checks'!I93="ERROR",1,0)</x:f>
        <x:v>1</x:v>
      </x:c>
      <x:c r="E645" t="str">
        <x:v>Order:93:7</x:v>
      </x:c>
      <x:c r="F645" t="str">
        <x:v>Статус</x:v>
      </x:c>
      <x:c r="G645" t="str">
        <x:v>Medium</x:v>
      </x:c>
      <x:c r="H645" t="str">
        <x:v>status</x:v>
      </x:c>
      <x:c r="I645" t="str">
        <x:v>Выбрать допустимый статус</x:v>
      </x:c>
      <x:c r="J645" t="n">
        <x:f>IF(D645=1,K645,0)</x:f>
        <x:v>10</x:v>
      </x:c>
      <x:c r="K645" t="n">
        <x:f>D645+K644</x:f>
        <x:v>10</x:v>
      </x:c>
    </x:row>
    <x:row r="646">
      <x:c r="A646" t="str">
        <x:v>Order</x:v>
      </x:c>
      <x:c r="B646" t="n">
        <x:f>'04_checks'!B94</x:f>
        <x:v>1093</x:v>
      </x:c>
      <x:c r="C646" t="n">
        <x:v>94</x:v>
      </x:c>
      <x:c r="D646" t="n">
        <x:f>IF('04_checks'!C94="ERROR",1,0)</x:f>
        <x:v>0</x:v>
      </x:c>
      <x:c r="E646" t="str">
        <x:v>Order:94:1</x:v>
      </x:c>
      <x:c r="F646" t="str">
        <x:v>Дубль</x:v>
      </x:c>
      <x:c r="G646" t="str">
        <x:v>High</x:v>
      </x:c>
      <x:c r="H646" t="str">
        <x:v>order_id</x:v>
      </x:c>
      <x:c r="I646" t="str">
        <x:v>Проверить уникальность ID в источнике; не удалять записи автоматически</x:v>
      </x:c>
      <x:c r="J646" t="n">
        <x:f>IF(D646=1,K646,0)</x:f>
        <x:v>0</x:v>
      </x:c>
      <x:c r="K646" t="n">
        <x:f>D646+K645</x:f>
        <x:v>10</x:v>
      </x:c>
    </x:row>
    <x:row r="647">
      <x:c r="A647" t="str">
        <x:v>Order</x:v>
      </x:c>
      <x:c r="B647" t="n">
        <x:f>'04_checks'!B94</x:f>
        <x:v>1093</x:v>
      </x:c>
      <x:c r="C647" t="n">
        <x:v>94</x:v>
      </x:c>
      <x:c r="D647" t="n">
        <x:f>IF('04_checks'!D94="ERROR",1,0)</x:f>
        <x:v>0</x:v>
      </x:c>
      <x:c r="E647" t="str">
        <x:v>Order:94:2</x:v>
      </x:c>
      <x:c r="F647" t="str">
        <x:v>Пустое поле</x:v>
      </x:c>
      <x:c r="G647" t="str">
        <x:v>High</x:v>
      </x:c>
      <x:c r="H647" t="str">
        <x:v>required_fields</x:v>
      </x:c>
      <x:c r="I647" t="str">
        <x:v>Дополнить обязательные поля в источнике</x:v>
      </x:c>
      <x:c r="J647" t="n">
        <x:f>IF(D647=1,K647,0)</x:f>
        <x:v>0</x:v>
      </x:c>
      <x:c r="K647" t="n">
        <x:f>D647+K646</x:f>
        <x:v>10</x:v>
      </x:c>
    </x:row>
    <x:row r="648">
      <x:c r="A648" t="str">
        <x:v>Order</x:v>
      </x:c>
      <x:c r="B648" t="n">
        <x:f>'04_checks'!B94</x:f>
        <x:v>1093</x:v>
      </x:c>
      <x:c r="C648" t="n">
        <x:v>94</x:v>
      </x:c>
      <x:c r="D648" t="n">
        <x:f>IF('04_checks'!E94="ERROR",1,0)</x:f>
        <x:v>0</x:v>
      </x:c>
      <x:c r="E648" t="str">
        <x:v>Order:94:3</x:v>
      </x:c>
      <x:c r="F648" t="str">
        <x:f>IF(COUNTIF('02_clients_raw'!$A$2:$A$67,'01_orders_raw'!C94)&gt;1,"Неоднозначная связь","Нет связи")</x:f>
        <x:v>Нет связи</x:v>
      </x:c>
      <x:c r="G648" t="str">
        <x:v>High</x:v>
      </x:c>
      <x:c r="H648" t="str">
        <x:v>client_id</x:v>
      </x:c>
      <x:c r="I648" t="str">
        <x:v>Исправить ссылку или разрешить дубли связанного ID</x:v>
      </x:c>
      <x:c r="J648" t="n">
        <x:f>IF(D648=1,K648,0)</x:f>
        <x:v>0</x:v>
      </x:c>
      <x:c r="K648" t="n">
        <x:f>D648+K647</x:f>
        <x:v>10</x:v>
      </x:c>
    </x:row>
    <x:row r="649">
      <x:c r="A649" t="str">
        <x:v>Order</x:v>
      </x:c>
      <x:c r="B649" t="n">
        <x:f>'04_checks'!B94</x:f>
        <x:v>1093</x:v>
      </x:c>
      <x:c r="C649" t="n">
        <x:v>94</x:v>
      </x:c>
      <x:c r="D649" t="n">
        <x:f>IF('04_checks'!F94="ERROR",1,0)</x:f>
        <x:v>0</x:v>
      </x:c>
      <x:c r="E649" t="str">
        <x:v>Order:94:4</x:v>
      </x:c>
      <x:c r="F649" t="str">
        <x:v>Ошибка расчета</x:v>
      </x:c>
      <x:c r="G649" t="str">
        <x:v>High</x:v>
      </x:c>
      <x:c r="H649" t="str">
        <x:v>quantity/price/order_sum</x:v>
      </x:c>
      <x:c r="I649" t="str">
        <x:v>Сверить исходные значения и правило расчёта</x:v>
      </x:c>
      <x:c r="J649" t="n">
        <x:f>IF(D649=1,K649,0)</x:f>
        <x:v>0</x:v>
      </x:c>
      <x:c r="K649" t="n">
        <x:f>D649+K648</x:f>
        <x:v>10</x:v>
      </x:c>
    </x:row>
    <x:row r="650">
      <x:c r="A650" t="str">
        <x:v>Order</x:v>
      </x:c>
      <x:c r="B650" t="n">
        <x:f>'04_checks'!B94</x:f>
        <x:v>1093</x:v>
      </x:c>
      <x:c r="C650" t="n">
        <x:v>94</x:v>
      </x:c>
      <x:c r="D650" t="n">
        <x:f>IF('04_checks'!G94="ERROR",1,0)</x:f>
        <x:v>0</x:v>
      </x:c>
      <x:c r="E650" t="str">
        <x:v>Order:94:5</x:v>
      </x:c>
      <x:c r="F650" t="str">
        <x:v>Отрицательная цена</x:v>
      </x:c>
      <x:c r="G650" t="str">
        <x:v>High</x:v>
      </x:c>
      <x:c r="H650" t="str">
        <x:v>price</x:v>
      </x:c>
      <x:c r="I650" t="str">
        <x:v>Проверить цену в источнике</x:v>
      </x:c>
      <x:c r="J650" t="n">
        <x:f>IF(D650=1,K650,0)</x:f>
        <x:v>0</x:v>
      </x:c>
      <x:c r="K650" t="n">
        <x:f>D650+K649</x:f>
        <x:v>10</x:v>
      </x:c>
    </x:row>
    <x:row r="651">
      <x:c r="A651" t="str">
        <x:v>Order</x:v>
      </x:c>
      <x:c r="B651" t="n">
        <x:f>'04_checks'!B94</x:f>
        <x:v>1093</x:v>
      </x:c>
      <x:c r="C651" t="n">
        <x:v>94</x:v>
      </x:c>
      <x:c r="D651" t="n">
        <x:f>IF('04_checks'!H94="ERROR",1,0)</x:f>
        <x:v>0</x:v>
      </x:c>
      <x:c r="E651" t="str">
        <x:v>Order:94:6</x:v>
      </x:c>
      <x:c r="F651" t="str">
        <x:v>Дата</x:v>
      </x:c>
      <x:c r="G651" t="str">
        <x:v>Medium</x:v>
      </x:c>
      <x:c r="H651" t="str">
        <x:v>order_date</x:v>
      </x:c>
      <x:c r="I651" t="str">
        <x:v>Сверить дату со срезом и исходной записью</x:v>
      </x:c>
      <x:c r="J651" t="n">
        <x:f>IF(D651=1,K651,0)</x:f>
        <x:v>0</x:v>
      </x:c>
      <x:c r="K651" t="n">
        <x:f>D651+K650</x:f>
        <x:v>10</x:v>
      </x:c>
    </x:row>
    <x:row r="652">
      <x:c r="A652" t="str">
        <x:v>Order</x:v>
      </x:c>
      <x:c r="B652" t="n">
        <x:f>'04_checks'!B94</x:f>
        <x:v>1093</x:v>
      </x:c>
      <x:c r="C652" t="n">
        <x:v>94</x:v>
      </x:c>
      <x:c r="D652" t="n">
        <x:f>IF('04_checks'!I94="ERROR",1,0)</x:f>
        <x:v>0</x:v>
      </x:c>
      <x:c r="E652" t="str">
        <x:v>Order:94:7</x:v>
      </x:c>
      <x:c r="F652" t="str">
        <x:v>Статус</x:v>
      </x:c>
      <x:c r="G652" t="str">
        <x:v>Medium</x:v>
      </x:c>
      <x:c r="H652" t="str">
        <x:v>status</x:v>
      </x:c>
      <x:c r="I652" t="str">
        <x:v>Выбрать допустимый статус</x:v>
      </x:c>
      <x:c r="J652" t="n">
        <x:f>IF(D652=1,K652,0)</x:f>
        <x:v>0</x:v>
      </x:c>
      <x:c r="K652" t="n">
        <x:f>D652+K651</x:f>
        <x:v>10</x:v>
      </x:c>
    </x:row>
    <x:row r="653">
      <x:c r="A653" t="str">
        <x:v>Order</x:v>
      </x:c>
      <x:c r="B653" t="n">
        <x:f>'04_checks'!B95</x:f>
        <x:v>1094</x:v>
      </x:c>
      <x:c r="C653" t="n">
        <x:v>95</x:v>
      </x:c>
      <x:c r="D653" t="n">
        <x:f>IF('04_checks'!C95="ERROR",1,0)</x:f>
        <x:v>0</x:v>
      </x:c>
      <x:c r="E653" t="str">
        <x:v>Order:95:1</x:v>
      </x:c>
      <x:c r="F653" t="str">
        <x:v>Дубль</x:v>
      </x:c>
      <x:c r="G653" t="str">
        <x:v>High</x:v>
      </x:c>
      <x:c r="H653" t="str">
        <x:v>order_id</x:v>
      </x:c>
      <x:c r="I653" t="str">
        <x:v>Проверить уникальность ID в источнике; не удалять записи автоматически</x:v>
      </x:c>
      <x:c r="J653" t="n">
        <x:f>IF(D653=1,K653,0)</x:f>
        <x:v>0</x:v>
      </x:c>
      <x:c r="K653" t="n">
        <x:f>D653+K652</x:f>
        <x:v>10</x:v>
      </x:c>
    </x:row>
    <x:row r="654">
      <x:c r="A654" t="str">
        <x:v>Order</x:v>
      </x:c>
      <x:c r="B654" t="n">
        <x:f>'04_checks'!B95</x:f>
        <x:v>1094</x:v>
      </x:c>
      <x:c r="C654" t="n">
        <x:v>95</x:v>
      </x:c>
      <x:c r="D654" t="n">
        <x:f>IF('04_checks'!D95="ERROR",1,0)</x:f>
        <x:v>0</x:v>
      </x:c>
      <x:c r="E654" t="str">
        <x:v>Order:95:2</x:v>
      </x:c>
      <x:c r="F654" t="str">
        <x:v>Пустое поле</x:v>
      </x:c>
      <x:c r="G654" t="str">
        <x:v>High</x:v>
      </x:c>
      <x:c r="H654" t="str">
        <x:v>required_fields</x:v>
      </x:c>
      <x:c r="I654" t="str">
        <x:v>Дополнить обязательные поля в источнике</x:v>
      </x:c>
      <x:c r="J654" t="n">
        <x:f>IF(D654=1,K654,0)</x:f>
        <x:v>0</x:v>
      </x:c>
      <x:c r="K654" t="n">
        <x:f>D654+K653</x:f>
        <x:v>10</x:v>
      </x:c>
    </x:row>
    <x:row r="655">
      <x:c r="A655" t="str">
        <x:v>Order</x:v>
      </x:c>
      <x:c r="B655" t="n">
        <x:f>'04_checks'!B95</x:f>
        <x:v>1094</x:v>
      </x:c>
      <x:c r="C655" t="n">
        <x:v>95</x:v>
      </x:c>
      <x:c r="D655" t="n">
        <x:f>IF('04_checks'!E95="ERROR",1,0)</x:f>
        <x:v>0</x:v>
      </x:c>
      <x:c r="E655" t="str">
        <x:v>Order:95:3</x:v>
      </x:c>
      <x:c r="F655" t="str">
        <x:f>IF(COUNTIF('02_clients_raw'!$A$2:$A$67,'01_orders_raw'!C95)&gt;1,"Неоднозначная связь","Нет связи")</x:f>
        <x:v>Нет связи</x:v>
      </x:c>
      <x:c r="G655" t="str">
        <x:v>High</x:v>
      </x:c>
      <x:c r="H655" t="str">
        <x:v>client_id</x:v>
      </x:c>
      <x:c r="I655" t="str">
        <x:v>Исправить ссылку или разрешить дубли связанного ID</x:v>
      </x:c>
      <x:c r="J655" t="n">
        <x:f>IF(D655=1,K655,0)</x:f>
        <x:v>0</x:v>
      </x:c>
      <x:c r="K655" t="n">
        <x:f>D655+K654</x:f>
        <x:v>10</x:v>
      </x:c>
    </x:row>
    <x:row r="656">
      <x:c r="A656" t="str">
        <x:v>Order</x:v>
      </x:c>
      <x:c r="B656" t="n">
        <x:f>'04_checks'!B95</x:f>
        <x:v>1094</x:v>
      </x:c>
      <x:c r="C656" t="n">
        <x:v>95</x:v>
      </x:c>
      <x:c r="D656" t="n">
        <x:f>IF('04_checks'!F95="ERROR",1,0)</x:f>
        <x:v>0</x:v>
      </x:c>
      <x:c r="E656" t="str">
        <x:v>Order:95:4</x:v>
      </x:c>
      <x:c r="F656" t="str">
        <x:v>Ошибка расчета</x:v>
      </x:c>
      <x:c r="G656" t="str">
        <x:v>High</x:v>
      </x:c>
      <x:c r="H656" t="str">
        <x:v>quantity/price/order_sum</x:v>
      </x:c>
      <x:c r="I656" t="str">
        <x:v>Сверить исходные значения и правило расчёта</x:v>
      </x:c>
      <x:c r="J656" t="n">
        <x:f>IF(D656=1,K656,0)</x:f>
        <x:v>0</x:v>
      </x:c>
      <x:c r="K656" t="n">
        <x:f>D656+K655</x:f>
        <x:v>10</x:v>
      </x:c>
    </x:row>
    <x:row r="657">
      <x:c r="A657" t="str">
        <x:v>Order</x:v>
      </x:c>
      <x:c r="B657" t="n">
        <x:f>'04_checks'!B95</x:f>
        <x:v>1094</x:v>
      </x:c>
      <x:c r="C657" t="n">
        <x:v>95</x:v>
      </x:c>
      <x:c r="D657" t="n">
        <x:f>IF('04_checks'!G95="ERROR",1,0)</x:f>
        <x:v>0</x:v>
      </x:c>
      <x:c r="E657" t="str">
        <x:v>Order:95:5</x:v>
      </x:c>
      <x:c r="F657" t="str">
        <x:v>Отрицательная цена</x:v>
      </x:c>
      <x:c r="G657" t="str">
        <x:v>High</x:v>
      </x:c>
      <x:c r="H657" t="str">
        <x:v>price</x:v>
      </x:c>
      <x:c r="I657" t="str">
        <x:v>Проверить цену в источнике</x:v>
      </x:c>
      <x:c r="J657" t="n">
        <x:f>IF(D657=1,K657,0)</x:f>
        <x:v>0</x:v>
      </x:c>
      <x:c r="K657" t="n">
        <x:f>D657+K656</x:f>
        <x:v>10</x:v>
      </x:c>
    </x:row>
    <x:row r="658">
      <x:c r="A658" t="str">
        <x:v>Order</x:v>
      </x:c>
      <x:c r="B658" t="n">
        <x:f>'04_checks'!B95</x:f>
        <x:v>1094</x:v>
      </x:c>
      <x:c r="C658" t="n">
        <x:v>95</x:v>
      </x:c>
      <x:c r="D658" t="n">
        <x:f>IF('04_checks'!H95="ERROR",1,0)</x:f>
        <x:v>0</x:v>
      </x:c>
      <x:c r="E658" t="str">
        <x:v>Order:95:6</x:v>
      </x:c>
      <x:c r="F658" t="str">
        <x:v>Дата</x:v>
      </x:c>
      <x:c r="G658" t="str">
        <x:v>Medium</x:v>
      </x:c>
      <x:c r="H658" t="str">
        <x:v>order_date</x:v>
      </x:c>
      <x:c r="I658" t="str">
        <x:v>Сверить дату со срезом и исходной записью</x:v>
      </x:c>
      <x:c r="J658" t="n">
        <x:f>IF(D658=1,K658,0)</x:f>
        <x:v>0</x:v>
      </x:c>
      <x:c r="K658" t="n">
        <x:f>D658+K657</x:f>
        <x:v>10</x:v>
      </x:c>
    </x:row>
    <x:row r="659">
      <x:c r="A659" t="str">
        <x:v>Order</x:v>
      </x:c>
      <x:c r="B659" t="n">
        <x:f>'04_checks'!B95</x:f>
        <x:v>1094</x:v>
      </x:c>
      <x:c r="C659" t="n">
        <x:v>95</x:v>
      </x:c>
      <x:c r="D659" t="n">
        <x:f>IF('04_checks'!I95="ERROR",1,0)</x:f>
        <x:v>0</x:v>
      </x:c>
      <x:c r="E659" t="str">
        <x:v>Order:95:7</x:v>
      </x:c>
      <x:c r="F659" t="str">
        <x:v>Статус</x:v>
      </x:c>
      <x:c r="G659" t="str">
        <x:v>Medium</x:v>
      </x:c>
      <x:c r="H659" t="str">
        <x:v>status</x:v>
      </x:c>
      <x:c r="I659" t="str">
        <x:v>Выбрать допустимый статус</x:v>
      </x:c>
      <x:c r="J659" t="n">
        <x:f>IF(D659=1,K659,0)</x:f>
        <x:v>0</x:v>
      </x:c>
      <x:c r="K659" t="n">
        <x:f>D659+K658</x:f>
        <x:v>10</x:v>
      </x:c>
    </x:row>
    <x:row r="660">
      <x:c r="A660" t="str">
        <x:v>Order</x:v>
      </x:c>
      <x:c r="B660" t="n">
        <x:f>'04_checks'!B96</x:f>
        <x:v>1095</x:v>
      </x:c>
      <x:c r="C660" t="n">
        <x:v>96</x:v>
      </x:c>
      <x:c r="D660" t="n">
        <x:f>IF('04_checks'!C96="ERROR",1,0)</x:f>
        <x:v>0</x:v>
      </x:c>
      <x:c r="E660" t="str">
        <x:v>Order:96:1</x:v>
      </x:c>
      <x:c r="F660" t="str">
        <x:v>Дубль</x:v>
      </x:c>
      <x:c r="G660" t="str">
        <x:v>High</x:v>
      </x:c>
      <x:c r="H660" t="str">
        <x:v>order_id</x:v>
      </x:c>
      <x:c r="I660" t="str">
        <x:v>Проверить уникальность ID в источнике; не удалять записи автоматически</x:v>
      </x:c>
      <x:c r="J660" t="n">
        <x:f>IF(D660=1,K660,0)</x:f>
        <x:v>0</x:v>
      </x:c>
      <x:c r="K660" t="n">
        <x:f>D660+K659</x:f>
        <x:v>10</x:v>
      </x:c>
    </x:row>
    <x:row r="661">
      <x:c r="A661" t="str">
        <x:v>Order</x:v>
      </x:c>
      <x:c r="B661" t="n">
        <x:f>'04_checks'!B96</x:f>
        <x:v>1095</x:v>
      </x:c>
      <x:c r="C661" t="n">
        <x:v>96</x:v>
      </x:c>
      <x:c r="D661" t="n">
        <x:f>IF('04_checks'!D96="ERROR",1,0)</x:f>
        <x:v>0</x:v>
      </x:c>
      <x:c r="E661" t="str">
        <x:v>Order:96:2</x:v>
      </x:c>
      <x:c r="F661" t="str">
        <x:v>Пустое поле</x:v>
      </x:c>
      <x:c r="G661" t="str">
        <x:v>High</x:v>
      </x:c>
      <x:c r="H661" t="str">
        <x:v>required_fields</x:v>
      </x:c>
      <x:c r="I661" t="str">
        <x:v>Дополнить обязательные поля в источнике</x:v>
      </x:c>
      <x:c r="J661" t="n">
        <x:f>IF(D661=1,K661,0)</x:f>
        <x:v>0</x:v>
      </x:c>
      <x:c r="K661" t="n">
        <x:f>D661+K660</x:f>
        <x:v>10</x:v>
      </x:c>
    </x:row>
    <x:row r="662">
      <x:c r="A662" t="str">
        <x:v>Order</x:v>
      </x:c>
      <x:c r="B662" t="n">
        <x:f>'04_checks'!B96</x:f>
        <x:v>1095</x:v>
      </x:c>
      <x:c r="C662" t="n">
        <x:v>96</x:v>
      </x:c>
      <x:c r="D662" t="n">
        <x:f>IF('04_checks'!E96="ERROR",1,0)</x:f>
        <x:v>0</x:v>
      </x:c>
      <x:c r="E662" t="str">
        <x:v>Order:96:3</x:v>
      </x:c>
      <x:c r="F662" t="str">
        <x:f>IF(COUNTIF('02_clients_raw'!$A$2:$A$67,'01_orders_raw'!C96)&gt;1,"Неоднозначная связь","Нет связи")</x:f>
        <x:v>Нет связи</x:v>
      </x:c>
      <x:c r="G662" t="str">
        <x:v>High</x:v>
      </x:c>
      <x:c r="H662" t="str">
        <x:v>client_id</x:v>
      </x:c>
      <x:c r="I662" t="str">
        <x:v>Исправить ссылку или разрешить дубли связанного ID</x:v>
      </x:c>
      <x:c r="J662" t="n">
        <x:f>IF(D662=1,K662,0)</x:f>
        <x:v>0</x:v>
      </x:c>
      <x:c r="K662" t="n">
        <x:f>D662+K661</x:f>
        <x:v>10</x:v>
      </x:c>
    </x:row>
    <x:row r="663">
      <x:c r="A663" t="str">
        <x:v>Order</x:v>
      </x:c>
      <x:c r="B663" t="n">
        <x:f>'04_checks'!B96</x:f>
        <x:v>1095</x:v>
      </x:c>
      <x:c r="C663" t="n">
        <x:v>96</x:v>
      </x:c>
      <x:c r="D663" t="n">
        <x:f>IF('04_checks'!F96="ERROR",1,0)</x:f>
        <x:v>0</x:v>
      </x:c>
      <x:c r="E663" t="str">
        <x:v>Order:96:4</x:v>
      </x:c>
      <x:c r="F663" t="str">
        <x:v>Ошибка расчета</x:v>
      </x:c>
      <x:c r="G663" t="str">
        <x:v>High</x:v>
      </x:c>
      <x:c r="H663" t="str">
        <x:v>quantity/price/order_sum</x:v>
      </x:c>
      <x:c r="I663" t="str">
        <x:v>Сверить исходные значения и правило расчёта</x:v>
      </x:c>
      <x:c r="J663" t="n">
        <x:f>IF(D663=1,K663,0)</x:f>
        <x:v>0</x:v>
      </x:c>
      <x:c r="K663" t="n">
        <x:f>D663+K662</x:f>
        <x:v>10</x:v>
      </x:c>
    </x:row>
    <x:row r="664">
      <x:c r="A664" t="str">
        <x:v>Order</x:v>
      </x:c>
      <x:c r="B664" t="n">
        <x:f>'04_checks'!B96</x:f>
        <x:v>1095</x:v>
      </x:c>
      <x:c r="C664" t="n">
        <x:v>96</x:v>
      </x:c>
      <x:c r="D664" t="n">
        <x:f>IF('04_checks'!G96="ERROR",1,0)</x:f>
        <x:v>0</x:v>
      </x:c>
      <x:c r="E664" t="str">
        <x:v>Order:96:5</x:v>
      </x:c>
      <x:c r="F664" t="str">
        <x:v>Отрицательная цена</x:v>
      </x:c>
      <x:c r="G664" t="str">
        <x:v>High</x:v>
      </x:c>
      <x:c r="H664" t="str">
        <x:v>price</x:v>
      </x:c>
      <x:c r="I664" t="str">
        <x:v>Проверить цену в источнике</x:v>
      </x:c>
      <x:c r="J664" t="n">
        <x:f>IF(D664=1,K664,0)</x:f>
        <x:v>0</x:v>
      </x:c>
      <x:c r="K664" t="n">
        <x:f>D664+K663</x:f>
        <x:v>10</x:v>
      </x:c>
    </x:row>
    <x:row r="665">
      <x:c r="A665" t="str">
        <x:v>Order</x:v>
      </x:c>
      <x:c r="B665" t="n">
        <x:f>'04_checks'!B96</x:f>
        <x:v>1095</x:v>
      </x:c>
      <x:c r="C665" t="n">
        <x:v>96</x:v>
      </x:c>
      <x:c r="D665" t="n">
        <x:f>IF('04_checks'!H96="ERROR",1,0)</x:f>
        <x:v>0</x:v>
      </x:c>
      <x:c r="E665" t="str">
        <x:v>Order:96:6</x:v>
      </x:c>
      <x:c r="F665" t="str">
        <x:v>Дата</x:v>
      </x:c>
      <x:c r="G665" t="str">
        <x:v>Medium</x:v>
      </x:c>
      <x:c r="H665" t="str">
        <x:v>order_date</x:v>
      </x:c>
      <x:c r="I665" t="str">
        <x:v>Сверить дату со срезом и исходной записью</x:v>
      </x:c>
      <x:c r="J665" t="n">
        <x:f>IF(D665=1,K665,0)</x:f>
        <x:v>0</x:v>
      </x:c>
      <x:c r="K665" t="n">
        <x:f>D665+K664</x:f>
        <x:v>10</x:v>
      </x:c>
    </x:row>
    <x:row r="666">
      <x:c r="A666" t="str">
        <x:v>Order</x:v>
      </x:c>
      <x:c r="B666" t="n">
        <x:f>'04_checks'!B96</x:f>
        <x:v>1095</x:v>
      </x:c>
      <x:c r="C666" t="n">
        <x:v>96</x:v>
      </x:c>
      <x:c r="D666" t="n">
        <x:f>IF('04_checks'!I96="ERROR",1,0)</x:f>
        <x:v>0</x:v>
      </x:c>
      <x:c r="E666" t="str">
        <x:v>Order:96:7</x:v>
      </x:c>
      <x:c r="F666" t="str">
        <x:v>Статус</x:v>
      </x:c>
      <x:c r="G666" t="str">
        <x:v>Medium</x:v>
      </x:c>
      <x:c r="H666" t="str">
        <x:v>status</x:v>
      </x:c>
      <x:c r="I666" t="str">
        <x:v>Выбрать допустимый статус</x:v>
      </x:c>
      <x:c r="J666" t="n">
        <x:f>IF(D666=1,K666,0)</x:f>
        <x:v>0</x:v>
      </x:c>
      <x:c r="K666" t="n">
        <x:f>D666+K665</x:f>
        <x:v>10</x:v>
      </x:c>
    </x:row>
    <x:row r="667">
      <x:c r="A667" t="str">
        <x:v>Order</x:v>
      </x:c>
      <x:c r="B667" t="n">
        <x:f>'04_checks'!B97</x:f>
        <x:v>1096</x:v>
      </x:c>
      <x:c r="C667" t="n">
        <x:v>97</x:v>
      </x:c>
      <x:c r="D667" t="n">
        <x:f>IF('04_checks'!C97="ERROR",1,0)</x:f>
        <x:v>0</x:v>
      </x:c>
      <x:c r="E667" t="str">
        <x:v>Order:97:1</x:v>
      </x:c>
      <x:c r="F667" t="str">
        <x:v>Дубль</x:v>
      </x:c>
      <x:c r="G667" t="str">
        <x:v>High</x:v>
      </x:c>
      <x:c r="H667" t="str">
        <x:v>order_id</x:v>
      </x:c>
      <x:c r="I667" t="str">
        <x:v>Проверить уникальность ID в источнике; не удалять записи автоматически</x:v>
      </x:c>
      <x:c r="J667" t="n">
        <x:f>IF(D667=1,K667,0)</x:f>
        <x:v>0</x:v>
      </x:c>
      <x:c r="K667" t="n">
        <x:f>D667+K666</x:f>
        <x:v>10</x:v>
      </x:c>
    </x:row>
    <x:row r="668">
      <x:c r="A668" t="str">
        <x:v>Order</x:v>
      </x:c>
      <x:c r="B668" t="n">
        <x:f>'04_checks'!B97</x:f>
        <x:v>1096</x:v>
      </x:c>
      <x:c r="C668" t="n">
        <x:v>97</x:v>
      </x:c>
      <x:c r="D668" t="n">
        <x:f>IF('04_checks'!D97="ERROR",1,0)</x:f>
        <x:v>0</x:v>
      </x:c>
      <x:c r="E668" t="str">
        <x:v>Order:97:2</x:v>
      </x:c>
      <x:c r="F668" t="str">
        <x:v>Пустое поле</x:v>
      </x:c>
      <x:c r="G668" t="str">
        <x:v>High</x:v>
      </x:c>
      <x:c r="H668" t="str">
        <x:v>required_fields</x:v>
      </x:c>
      <x:c r="I668" t="str">
        <x:v>Дополнить обязательные поля в источнике</x:v>
      </x:c>
      <x:c r="J668" t="n">
        <x:f>IF(D668=1,K668,0)</x:f>
        <x:v>0</x:v>
      </x:c>
      <x:c r="K668" t="n">
        <x:f>D668+K667</x:f>
        <x:v>10</x:v>
      </x:c>
    </x:row>
    <x:row r="669">
      <x:c r="A669" t="str">
        <x:v>Order</x:v>
      </x:c>
      <x:c r="B669" t="n">
        <x:f>'04_checks'!B97</x:f>
        <x:v>1096</x:v>
      </x:c>
      <x:c r="C669" t="n">
        <x:v>97</x:v>
      </x:c>
      <x:c r="D669" t="n">
        <x:f>IF('04_checks'!E97="ERROR",1,0)</x:f>
        <x:v>0</x:v>
      </x:c>
      <x:c r="E669" t="str">
        <x:v>Order:97:3</x:v>
      </x:c>
      <x:c r="F669" t="str">
        <x:f>IF(COUNTIF('02_clients_raw'!$A$2:$A$67,'01_orders_raw'!C97)&gt;1,"Неоднозначная связь","Нет связи")</x:f>
        <x:v>Нет связи</x:v>
      </x:c>
      <x:c r="G669" t="str">
        <x:v>High</x:v>
      </x:c>
      <x:c r="H669" t="str">
        <x:v>client_id</x:v>
      </x:c>
      <x:c r="I669" t="str">
        <x:v>Исправить ссылку или разрешить дубли связанного ID</x:v>
      </x:c>
      <x:c r="J669" t="n">
        <x:f>IF(D669=1,K669,0)</x:f>
        <x:v>0</x:v>
      </x:c>
      <x:c r="K669" t="n">
        <x:f>D669+K668</x:f>
        <x:v>10</x:v>
      </x:c>
    </x:row>
    <x:row r="670">
      <x:c r="A670" t="str">
        <x:v>Order</x:v>
      </x:c>
      <x:c r="B670" t="n">
        <x:f>'04_checks'!B97</x:f>
        <x:v>1096</x:v>
      </x:c>
      <x:c r="C670" t="n">
        <x:v>97</x:v>
      </x:c>
      <x:c r="D670" t="n">
        <x:f>IF('04_checks'!F97="ERROR",1,0)</x:f>
        <x:v>0</x:v>
      </x:c>
      <x:c r="E670" t="str">
        <x:v>Order:97:4</x:v>
      </x:c>
      <x:c r="F670" t="str">
        <x:v>Ошибка расчета</x:v>
      </x:c>
      <x:c r="G670" t="str">
        <x:v>High</x:v>
      </x:c>
      <x:c r="H670" t="str">
        <x:v>quantity/price/order_sum</x:v>
      </x:c>
      <x:c r="I670" t="str">
        <x:v>Сверить исходные значения и правило расчёта</x:v>
      </x:c>
      <x:c r="J670" t="n">
        <x:f>IF(D670=1,K670,0)</x:f>
        <x:v>0</x:v>
      </x:c>
      <x:c r="K670" t="n">
        <x:f>D670+K669</x:f>
        <x:v>10</x:v>
      </x:c>
    </x:row>
    <x:row r="671">
      <x:c r="A671" t="str">
        <x:v>Order</x:v>
      </x:c>
      <x:c r="B671" t="n">
        <x:f>'04_checks'!B97</x:f>
        <x:v>1096</x:v>
      </x:c>
      <x:c r="C671" t="n">
        <x:v>97</x:v>
      </x:c>
      <x:c r="D671" t="n">
        <x:f>IF('04_checks'!G97="ERROR",1,0)</x:f>
        <x:v>0</x:v>
      </x:c>
      <x:c r="E671" t="str">
        <x:v>Order:97:5</x:v>
      </x:c>
      <x:c r="F671" t="str">
        <x:v>Отрицательная цена</x:v>
      </x:c>
      <x:c r="G671" t="str">
        <x:v>High</x:v>
      </x:c>
      <x:c r="H671" t="str">
        <x:v>price</x:v>
      </x:c>
      <x:c r="I671" t="str">
        <x:v>Проверить цену в источнике</x:v>
      </x:c>
      <x:c r="J671" t="n">
        <x:f>IF(D671=1,K671,0)</x:f>
        <x:v>0</x:v>
      </x:c>
      <x:c r="K671" t="n">
        <x:f>D671+K670</x:f>
        <x:v>10</x:v>
      </x:c>
    </x:row>
    <x:row r="672">
      <x:c r="A672" t="str">
        <x:v>Order</x:v>
      </x:c>
      <x:c r="B672" t="n">
        <x:f>'04_checks'!B97</x:f>
        <x:v>1096</x:v>
      </x:c>
      <x:c r="C672" t="n">
        <x:v>97</x:v>
      </x:c>
      <x:c r="D672" t="n">
        <x:f>IF('04_checks'!H97="ERROR",1,0)</x:f>
        <x:v>0</x:v>
      </x:c>
      <x:c r="E672" t="str">
        <x:v>Order:97:6</x:v>
      </x:c>
      <x:c r="F672" t="str">
        <x:v>Дата</x:v>
      </x:c>
      <x:c r="G672" t="str">
        <x:v>Medium</x:v>
      </x:c>
      <x:c r="H672" t="str">
        <x:v>order_date</x:v>
      </x:c>
      <x:c r="I672" t="str">
        <x:v>Сверить дату со срезом и исходной записью</x:v>
      </x:c>
      <x:c r="J672" t="n">
        <x:f>IF(D672=1,K672,0)</x:f>
        <x:v>0</x:v>
      </x:c>
      <x:c r="K672" t="n">
        <x:f>D672+K671</x:f>
        <x:v>10</x:v>
      </x:c>
    </x:row>
    <x:row r="673">
      <x:c r="A673" t="str">
        <x:v>Order</x:v>
      </x:c>
      <x:c r="B673" t="n">
        <x:f>'04_checks'!B97</x:f>
        <x:v>1096</x:v>
      </x:c>
      <x:c r="C673" t="n">
        <x:v>97</x:v>
      </x:c>
      <x:c r="D673" t="n">
        <x:f>IF('04_checks'!I97="ERROR",1,0)</x:f>
        <x:v>0</x:v>
      </x:c>
      <x:c r="E673" t="str">
        <x:v>Order:97:7</x:v>
      </x:c>
      <x:c r="F673" t="str">
        <x:v>Статус</x:v>
      </x:c>
      <x:c r="G673" t="str">
        <x:v>Medium</x:v>
      </x:c>
      <x:c r="H673" t="str">
        <x:v>status</x:v>
      </x:c>
      <x:c r="I673" t="str">
        <x:v>Выбрать допустимый статус</x:v>
      </x:c>
      <x:c r="J673" t="n">
        <x:f>IF(D673=1,K673,0)</x:f>
        <x:v>0</x:v>
      </x:c>
      <x:c r="K673" t="n">
        <x:f>D673+K672</x:f>
        <x:v>10</x:v>
      </x:c>
    </x:row>
    <x:row r="674">
      <x:c r="A674" t="str">
        <x:v>Order</x:v>
      </x:c>
      <x:c r="B674" t="n">
        <x:f>'04_checks'!B98</x:f>
        <x:v>1097</x:v>
      </x:c>
      <x:c r="C674" t="n">
        <x:v>98</x:v>
      </x:c>
      <x:c r="D674" t="n">
        <x:f>IF('04_checks'!C98="ERROR",1,0)</x:f>
        <x:v>0</x:v>
      </x:c>
      <x:c r="E674" t="str">
        <x:v>Order:98:1</x:v>
      </x:c>
      <x:c r="F674" t="str">
        <x:v>Дубль</x:v>
      </x:c>
      <x:c r="G674" t="str">
        <x:v>High</x:v>
      </x:c>
      <x:c r="H674" t="str">
        <x:v>order_id</x:v>
      </x:c>
      <x:c r="I674" t="str">
        <x:v>Проверить уникальность ID в источнике; не удалять записи автоматически</x:v>
      </x:c>
      <x:c r="J674" t="n">
        <x:f>IF(D674=1,K674,0)</x:f>
        <x:v>0</x:v>
      </x:c>
      <x:c r="K674" t="n">
        <x:f>D674+K673</x:f>
        <x:v>10</x:v>
      </x:c>
    </x:row>
    <x:row r="675">
      <x:c r="A675" t="str">
        <x:v>Order</x:v>
      </x:c>
      <x:c r="B675" t="n">
        <x:f>'04_checks'!B98</x:f>
        <x:v>1097</x:v>
      </x:c>
      <x:c r="C675" t="n">
        <x:v>98</x:v>
      </x:c>
      <x:c r="D675" t="n">
        <x:f>IF('04_checks'!D98="ERROR",1,0)</x:f>
        <x:v>0</x:v>
      </x:c>
      <x:c r="E675" t="str">
        <x:v>Order:98:2</x:v>
      </x:c>
      <x:c r="F675" t="str">
        <x:v>Пустое поле</x:v>
      </x:c>
      <x:c r="G675" t="str">
        <x:v>High</x:v>
      </x:c>
      <x:c r="H675" t="str">
        <x:v>required_fields</x:v>
      </x:c>
      <x:c r="I675" t="str">
        <x:v>Дополнить обязательные поля в источнике</x:v>
      </x:c>
      <x:c r="J675" t="n">
        <x:f>IF(D675=1,K675,0)</x:f>
        <x:v>0</x:v>
      </x:c>
      <x:c r="K675" t="n">
        <x:f>D675+K674</x:f>
        <x:v>10</x:v>
      </x:c>
    </x:row>
    <x:row r="676">
      <x:c r="A676" t="str">
        <x:v>Order</x:v>
      </x:c>
      <x:c r="B676" t="n">
        <x:f>'04_checks'!B98</x:f>
        <x:v>1097</x:v>
      </x:c>
      <x:c r="C676" t="n">
        <x:v>98</x:v>
      </x:c>
      <x:c r="D676" t="n">
        <x:f>IF('04_checks'!E98="ERROR",1,0)</x:f>
        <x:v>0</x:v>
      </x:c>
      <x:c r="E676" t="str">
        <x:v>Order:98:3</x:v>
      </x:c>
      <x:c r="F676" t="str">
        <x:f>IF(COUNTIF('02_clients_raw'!$A$2:$A$67,'01_orders_raw'!C98)&gt;1,"Неоднозначная связь","Нет связи")</x:f>
        <x:v>Нет связи</x:v>
      </x:c>
      <x:c r="G676" t="str">
        <x:v>High</x:v>
      </x:c>
      <x:c r="H676" t="str">
        <x:v>client_id</x:v>
      </x:c>
      <x:c r="I676" t="str">
        <x:v>Исправить ссылку или разрешить дубли связанного ID</x:v>
      </x:c>
      <x:c r="J676" t="n">
        <x:f>IF(D676=1,K676,0)</x:f>
        <x:v>0</x:v>
      </x:c>
      <x:c r="K676" t="n">
        <x:f>D676+K675</x:f>
        <x:v>10</x:v>
      </x:c>
    </x:row>
    <x:row r="677">
      <x:c r="A677" t="str">
        <x:v>Order</x:v>
      </x:c>
      <x:c r="B677" t="n">
        <x:f>'04_checks'!B98</x:f>
        <x:v>1097</x:v>
      </x:c>
      <x:c r="C677" t="n">
        <x:v>98</x:v>
      </x:c>
      <x:c r="D677" t="n">
        <x:f>IF('04_checks'!F98="ERROR",1,0)</x:f>
        <x:v>0</x:v>
      </x:c>
      <x:c r="E677" t="str">
        <x:v>Order:98:4</x:v>
      </x:c>
      <x:c r="F677" t="str">
        <x:v>Ошибка расчета</x:v>
      </x:c>
      <x:c r="G677" t="str">
        <x:v>High</x:v>
      </x:c>
      <x:c r="H677" t="str">
        <x:v>quantity/price/order_sum</x:v>
      </x:c>
      <x:c r="I677" t="str">
        <x:v>Сверить исходные значения и правило расчёта</x:v>
      </x:c>
      <x:c r="J677" t="n">
        <x:f>IF(D677=1,K677,0)</x:f>
        <x:v>0</x:v>
      </x:c>
      <x:c r="K677" t="n">
        <x:f>D677+K676</x:f>
        <x:v>10</x:v>
      </x:c>
    </x:row>
    <x:row r="678">
      <x:c r="A678" t="str">
        <x:v>Order</x:v>
      </x:c>
      <x:c r="B678" t="n">
        <x:f>'04_checks'!B98</x:f>
        <x:v>1097</x:v>
      </x:c>
      <x:c r="C678" t="n">
        <x:v>98</x:v>
      </x:c>
      <x:c r="D678" t="n">
        <x:f>IF('04_checks'!G98="ERROR",1,0)</x:f>
        <x:v>0</x:v>
      </x:c>
      <x:c r="E678" t="str">
        <x:v>Order:98:5</x:v>
      </x:c>
      <x:c r="F678" t="str">
        <x:v>Отрицательная цена</x:v>
      </x:c>
      <x:c r="G678" t="str">
        <x:v>High</x:v>
      </x:c>
      <x:c r="H678" t="str">
        <x:v>price</x:v>
      </x:c>
      <x:c r="I678" t="str">
        <x:v>Проверить цену в источнике</x:v>
      </x:c>
      <x:c r="J678" t="n">
        <x:f>IF(D678=1,K678,0)</x:f>
        <x:v>0</x:v>
      </x:c>
      <x:c r="K678" t="n">
        <x:f>D678+K677</x:f>
        <x:v>10</x:v>
      </x:c>
    </x:row>
    <x:row r="679">
      <x:c r="A679" t="str">
        <x:v>Order</x:v>
      </x:c>
      <x:c r="B679" t="n">
        <x:f>'04_checks'!B98</x:f>
        <x:v>1097</x:v>
      </x:c>
      <x:c r="C679" t="n">
        <x:v>98</x:v>
      </x:c>
      <x:c r="D679" t="n">
        <x:f>IF('04_checks'!H98="ERROR",1,0)</x:f>
        <x:v>0</x:v>
      </x:c>
      <x:c r="E679" t="str">
        <x:v>Order:98:6</x:v>
      </x:c>
      <x:c r="F679" t="str">
        <x:v>Дата</x:v>
      </x:c>
      <x:c r="G679" t="str">
        <x:v>Medium</x:v>
      </x:c>
      <x:c r="H679" t="str">
        <x:v>order_date</x:v>
      </x:c>
      <x:c r="I679" t="str">
        <x:v>Сверить дату со срезом и исходной записью</x:v>
      </x:c>
      <x:c r="J679" t="n">
        <x:f>IF(D679=1,K679,0)</x:f>
        <x:v>0</x:v>
      </x:c>
      <x:c r="K679" t="n">
        <x:f>D679+K678</x:f>
        <x:v>10</x:v>
      </x:c>
    </x:row>
    <x:row r="680">
      <x:c r="A680" t="str">
        <x:v>Order</x:v>
      </x:c>
      <x:c r="B680" t="n">
        <x:f>'04_checks'!B98</x:f>
        <x:v>1097</x:v>
      </x:c>
      <x:c r="C680" t="n">
        <x:v>98</x:v>
      </x:c>
      <x:c r="D680" t="n">
        <x:f>IF('04_checks'!I98="ERROR",1,0)</x:f>
        <x:v>0</x:v>
      </x:c>
      <x:c r="E680" t="str">
        <x:v>Order:98:7</x:v>
      </x:c>
      <x:c r="F680" t="str">
        <x:v>Статус</x:v>
      </x:c>
      <x:c r="G680" t="str">
        <x:v>Medium</x:v>
      </x:c>
      <x:c r="H680" t="str">
        <x:v>status</x:v>
      </x:c>
      <x:c r="I680" t="str">
        <x:v>Выбрать допустимый статус</x:v>
      </x:c>
      <x:c r="J680" t="n">
        <x:f>IF(D680=1,K680,0)</x:f>
        <x:v>0</x:v>
      </x:c>
      <x:c r="K680" t="n">
        <x:f>D680+K679</x:f>
        <x:v>10</x:v>
      </x:c>
    </x:row>
    <x:row r="681">
      <x:c r="A681" t="str">
        <x:v>Order</x:v>
      </x:c>
      <x:c r="B681" t="n">
        <x:f>'04_checks'!B99</x:f>
        <x:v>1098</x:v>
      </x:c>
      <x:c r="C681" t="n">
        <x:v>99</x:v>
      </x:c>
      <x:c r="D681" t="n">
        <x:f>IF('04_checks'!C99="ERROR",1,0)</x:f>
        <x:v>0</x:v>
      </x:c>
      <x:c r="E681" t="str">
        <x:v>Order:99:1</x:v>
      </x:c>
      <x:c r="F681" t="str">
        <x:v>Дубль</x:v>
      </x:c>
      <x:c r="G681" t="str">
        <x:v>High</x:v>
      </x:c>
      <x:c r="H681" t="str">
        <x:v>order_id</x:v>
      </x:c>
      <x:c r="I681" t="str">
        <x:v>Проверить уникальность ID в источнике; не удалять записи автоматически</x:v>
      </x:c>
      <x:c r="J681" t="n">
        <x:f>IF(D681=1,K681,0)</x:f>
        <x:v>0</x:v>
      </x:c>
      <x:c r="K681" t="n">
        <x:f>D681+K680</x:f>
        <x:v>10</x:v>
      </x:c>
    </x:row>
    <x:row r="682">
      <x:c r="A682" t="str">
        <x:v>Order</x:v>
      </x:c>
      <x:c r="B682" t="n">
        <x:f>'04_checks'!B99</x:f>
        <x:v>1098</x:v>
      </x:c>
      <x:c r="C682" t="n">
        <x:v>99</x:v>
      </x:c>
      <x:c r="D682" t="n">
        <x:f>IF('04_checks'!D99="ERROR",1,0)</x:f>
        <x:v>0</x:v>
      </x:c>
      <x:c r="E682" t="str">
        <x:v>Order:99:2</x:v>
      </x:c>
      <x:c r="F682" t="str">
        <x:v>Пустое поле</x:v>
      </x:c>
      <x:c r="G682" t="str">
        <x:v>High</x:v>
      </x:c>
      <x:c r="H682" t="str">
        <x:v>required_fields</x:v>
      </x:c>
      <x:c r="I682" t="str">
        <x:v>Дополнить обязательные поля в источнике</x:v>
      </x:c>
      <x:c r="J682" t="n">
        <x:f>IF(D682=1,K682,0)</x:f>
        <x:v>0</x:v>
      </x:c>
      <x:c r="K682" t="n">
        <x:f>D682+K681</x:f>
        <x:v>10</x:v>
      </x:c>
    </x:row>
    <x:row r="683">
      <x:c r="A683" t="str">
        <x:v>Order</x:v>
      </x:c>
      <x:c r="B683" t="n">
        <x:f>'04_checks'!B99</x:f>
        <x:v>1098</x:v>
      </x:c>
      <x:c r="C683" t="n">
        <x:v>99</x:v>
      </x:c>
      <x:c r="D683" t="n">
        <x:f>IF('04_checks'!E99="ERROR",1,0)</x:f>
        <x:v>0</x:v>
      </x:c>
      <x:c r="E683" t="str">
        <x:v>Order:99:3</x:v>
      </x:c>
      <x:c r="F683" t="str">
        <x:f>IF(COUNTIF('02_clients_raw'!$A$2:$A$67,'01_orders_raw'!C99)&gt;1,"Неоднозначная связь","Нет связи")</x:f>
        <x:v>Нет связи</x:v>
      </x:c>
      <x:c r="G683" t="str">
        <x:v>High</x:v>
      </x:c>
      <x:c r="H683" t="str">
        <x:v>client_id</x:v>
      </x:c>
      <x:c r="I683" t="str">
        <x:v>Исправить ссылку или разрешить дубли связанного ID</x:v>
      </x:c>
      <x:c r="J683" t="n">
        <x:f>IF(D683=1,K683,0)</x:f>
        <x:v>0</x:v>
      </x:c>
      <x:c r="K683" t="n">
        <x:f>D683+K682</x:f>
        <x:v>10</x:v>
      </x:c>
    </x:row>
    <x:row r="684">
      <x:c r="A684" t="str">
        <x:v>Order</x:v>
      </x:c>
      <x:c r="B684" t="n">
        <x:f>'04_checks'!B99</x:f>
        <x:v>1098</x:v>
      </x:c>
      <x:c r="C684" t="n">
        <x:v>99</x:v>
      </x:c>
      <x:c r="D684" t="n">
        <x:f>IF('04_checks'!F99="ERROR",1,0)</x:f>
        <x:v>0</x:v>
      </x:c>
      <x:c r="E684" t="str">
        <x:v>Order:99:4</x:v>
      </x:c>
      <x:c r="F684" t="str">
        <x:v>Ошибка расчета</x:v>
      </x:c>
      <x:c r="G684" t="str">
        <x:v>High</x:v>
      </x:c>
      <x:c r="H684" t="str">
        <x:v>quantity/price/order_sum</x:v>
      </x:c>
      <x:c r="I684" t="str">
        <x:v>Сверить исходные значения и правило расчёта</x:v>
      </x:c>
      <x:c r="J684" t="n">
        <x:f>IF(D684=1,K684,0)</x:f>
        <x:v>0</x:v>
      </x:c>
      <x:c r="K684" t="n">
        <x:f>D684+K683</x:f>
        <x:v>10</x:v>
      </x:c>
    </x:row>
    <x:row r="685">
      <x:c r="A685" t="str">
        <x:v>Order</x:v>
      </x:c>
      <x:c r="B685" t="n">
        <x:f>'04_checks'!B99</x:f>
        <x:v>1098</x:v>
      </x:c>
      <x:c r="C685" t="n">
        <x:v>99</x:v>
      </x:c>
      <x:c r="D685" t="n">
        <x:f>IF('04_checks'!G99="ERROR",1,0)</x:f>
        <x:v>0</x:v>
      </x:c>
      <x:c r="E685" t="str">
        <x:v>Order:99:5</x:v>
      </x:c>
      <x:c r="F685" t="str">
        <x:v>Отрицательная цена</x:v>
      </x:c>
      <x:c r="G685" t="str">
        <x:v>High</x:v>
      </x:c>
      <x:c r="H685" t="str">
        <x:v>price</x:v>
      </x:c>
      <x:c r="I685" t="str">
        <x:v>Проверить цену в источнике</x:v>
      </x:c>
      <x:c r="J685" t="n">
        <x:f>IF(D685=1,K685,0)</x:f>
        <x:v>0</x:v>
      </x:c>
      <x:c r="K685" t="n">
        <x:f>D685+K684</x:f>
        <x:v>10</x:v>
      </x:c>
    </x:row>
    <x:row r="686">
      <x:c r="A686" t="str">
        <x:v>Order</x:v>
      </x:c>
      <x:c r="B686" t="n">
        <x:f>'04_checks'!B99</x:f>
        <x:v>1098</x:v>
      </x:c>
      <x:c r="C686" t="n">
        <x:v>99</x:v>
      </x:c>
      <x:c r="D686" t="n">
        <x:f>IF('04_checks'!H99="ERROR",1,0)</x:f>
        <x:v>0</x:v>
      </x:c>
      <x:c r="E686" t="str">
        <x:v>Order:99:6</x:v>
      </x:c>
      <x:c r="F686" t="str">
        <x:v>Дата</x:v>
      </x:c>
      <x:c r="G686" t="str">
        <x:v>Medium</x:v>
      </x:c>
      <x:c r="H686" t="str">
        <x:v>order_date</x:v>
      </x:c>
      <x:c r="I686" t="str">
        <x:v>Сверить дату со срезом и исходной записью</x:v>
      </x:c>
      <x:c r="J686" t="n">
        <x:f>IF(D686=1,K686,0)</x:f>
        <x:v>0</x:v>
      </x:c>
      <x:c r="K686" t="n">
        <x:f>D686+K685</x:f>
        <x:v>10</x:v>
      </x:c>
    </x:row>
    <x:row r="687">
      <x:c r="A687" t="str">
        <x:v>Order</x:v>
      </x:c>
      <x:c r="B687" t="n">
        <x:f>'04_checks'!B99</x:f>
        <x:v>1098</x:v>
      </x:c>
      <x:c r="C687" t="n">
        <x:v>99</x:v>
      </x:c>
      <x:c r="D687" t="n">
        <x:f>IF('04_checks'!I99="ERROR",1,0)</x:f>
        <x:v>0</x:v>
      </x:c>
      <x:c r="E687" t="str">
        <x:v>Order:99:7</x:v>
      </x:c>
      <x:c r="F687" t="str">
        <x:v>Статус</x:v>
      </x:c>
      <x:c r="G687" t="str">
        <x:v>Medium</x:v>
      </x:c>
      <x:c r="H687" t="str">
        <x:v>status</x:v>
      </x:c>
      <x:c r="I687" t="str">
        <x:v>Выбрать допустимый статус</x:v>
      </x:c>
      <x:c r="J687" t="n">
        <x:f>IF(D687=1,K687,0)</x:f>
        <x:v>0</x:v>
      </x:c>
      <x:c r="K687" t="n">
        <x:f>D687+K686</x:f>
        <x:v>10</x:v>
      </x:c>
    </x:row>
    <x:row r="688">
      <x:c r="A688" t="str">
        <x:v>Order</x:v>
      </x:c>
      <x:c r="B688" t="n">
        <x:f>'04_checks'!B100</x:f>
        <x:v>1099</x:v>
      </x:c>
      <x:c r="C688" t="n">
        <x:v>100</x:v>
      </x:c>
      <x:c r="D688" t="n">
        <x:f>IF('04_checks'!C100="ERROR",1,0)</x:f>
        <x:v>0</x:v>
      </x:c>
      <x:c r="E688" t="str">
        <x:v>Order:100:1</x:v>
      </x:c>
      <x:c r="F688" t="str">
        <x:v>Дубль</x:v>
      </x:c>
      <x:c r="G688" t="str">
        <x:v>High</x:v>
      </x:c>
      <x:c r="H688" t="str">
        <x:v>order_id</x:v>
      </x:c>
      <x:c r="I688" t="str">
        <x:v>Проверить уникальность ID в источнике; не удалять записи автоматически</x:v>
      </x:c>
      <x:c r="J688" t="n">
        <x:f>IF(D688=1,K688,0)</x:f>
        <x:v>0</x:v>
      </x:c>
      <x:c r="K688" t="n">
        <x:f>D688+K687</x:f>
        <x:v>10</x:v>
      </x:c>
    </x:row>
    <x:row r="689">
      <x:c r="A689" t="str">
        <x:v>Order</x:v>
      </x:c>
      <x:c r="B689" t="n">
        <x:f>'04_checks'!B100</x:f>
        <x:v>1099</x:v>
      </x:c>
      <x:c r="C689" t="n">
        <x:v>100</x:v>
      </x:c>
      <x:c r="D689" t="n">
        <x:f>IF('04_checks'!D100="ERROR",1,0)</x:f>
        <x:v>0</x:v>
      </x:c>
      <x:c r="E689" t="str">
        <x:v>Order:100:2</x:v>
      </x:c>
      <x:c r="F689" t="str">
        <x:v>Пустое поле</x:v>
      </x:c>
      <x:c r="G689" t="str">
        <x:v>High</x:v>
      </x:c>
      <x:c r="H689" t="str">
        <x:v>required_fields</x:v>
      </x:c>
      <x:c r="I689" t="str">
        <x:v>Дополнить обязательные поля в источнике</x:v>
      </x:c>
      <x:c r="J689" t="n">
        <x:f>IF(D689=1,K689,0)</x:f>
        <x:v>0</x:v>
      </x:c>
      <x:c r="K689" t="n">
        <x:f>D689+K688</x:f>
        <x:v>10</x:v>
      </x:c>
    </x:row>
    <x:row r="690">
      <x:c r="A690" t="str">
        <x:v>Order</x:v>
      </x:c>
      <x:c r="B690" t="n">
        <x:f>'04_checks'!B100</x:f>
        <x:v>1099</x:v>
      </x:c>
      <x:c r="C690" t="n">
        <x:v>100</x:v>
      </x:c>
      <x:c r="D690" t="n">
        <x:f>IF('04_checks'!E100="ERROR",1,0)</x:f>
        <x:v>0</x:v>
      </x:c>
      <x:c r="E690" t="str">
        <x:v>Order:100:3</x:v>
      </x:c>
      <x:c r="F690" t="str">
        <x:f>IF(COUNTIF('02_clients_raw'!$A$2:$A$67,'01_orders_raw'!C100)&gt;1,"Неоднозначная связь","Нет связи")</x:f>
        <x:v>Нет связи</x:v>
      </x:c>
      <x:c r="G690" t="str">
        <x:v>High</x:v>
      </x:c>
      <x:c r="H690" t="str">
        <x:v>client_id</x:v>
      </x:c>
      <x:c r="I690" t="str">
        <x:v>Исправить ссылку или разрешить дубли связанного ID</x:v>
      </x:c>
      <x:c r="J690" t="n">
        <x:f>IF(D690=1,K690,0)</x:f>
        <x:v>0</x:v>
      </x:c>
      <x:c r="K690" t="n">
        <x:f>D690+K689</x:f>
        <x:v>10</x:v>
      </x:c>
    </x:row>
    <x:row r="691">
      <x:c r="A691" t="str">
        <x:v>Order</x:v>
      </x:c>
      <x:c r="B691" t="n">
        <x:f>'04_checks'!B100</x:f>
        <x:v>1099</x:v>
      </x:c>
      <x:c r="C691" t="n">
        <x:v>100</x:v>
      </x:c>
      <x:c r="D691" t="n">
        <x:f>IF('04_checks'!F100="ERROR",1,0)</x:f>
        <x:v>0</x:v>
      </x:c>
      <x:c r="E691" t="str">
        <x:v>Order:100:4</x:v>
      </x:c>
      <x:c r="F691" t="str">
        <x:v>Ошибка расчета</x:v>
      </x:c>
      <x:c r="G691" t="str">
        <x:v>High</x:v>
      </x:c>
      <x:c r="H691" t="str">
        <x:v>quantity/price/order_sum</x:v>
      </x:c>
      <x:c r="I691" t="str">
        <x:v>Сверить исходные значения и правило расчёта</x:v>
      </x:c>
      <x:c r="J691" t="n">
        <x:f>IF(D691=1,K691,0)</x:f>
        <x:v>0</x:v>
      </x:c>
      <x:c r="K691" t="n">
        <x:f>D691+K690</x:f>
        <x:v>10</x:v>
      </x:c>
    </x:row>
    <x:row r="692">
      <x:c r="A692" t="str">
        <x:v>Order</x:v>
      </x:c>
      <x:c r="B692" t="n">
        <x:f>'04_checks'!B100</x:f>
        <x:v>1099</x:v>
      </x:c>
      <x:c r="C692" t="n">
        <x:v>100</x:v>
      </x:c>
      <x:c r="D692" t="n">
        <x:f>IF('04_checks'!G100="ERROR",1,0)</x:f>
        <x:v>0</x:v>
      </x:c>
      <x:c r="E692" t="str">
        <x:v>Order:100:5</x:v>
      </x:c>
      <x:c r="F692" t="str">
        <x:v>Отрицательная цена</x:v>
      </x:c>
      <x:c r="G692" t="str">
        <x:v>High</x:v>
      </x:c>
      <x:c r="H692" t="str">
        <x:v>price</x:v>
      </x:c>
      <x:c r="I692" t="str">
        <x:v>Проверить цену в источнике</x:v>
      </x:c>
      <x:c r="J692" t="n">
        <x:f>IF(D692=1,K692,0)</x:f>
        <x:v>0</x:v>
      </x:c>
      <x:c r="K692" t="n">
        <x:f>D692+K691</x:f>
        <x:v>10</x:v>
      </x:c>
    </x:row>
    <x:row r="693">
      <x:c r="A693" t="str">
        <x:v>Order</x:v>
      </x:c>
      <x:c r="B693" t="n">
        <x:f>'04_checks'!B100</x:f>
        <x:v>1099</x:v>
      </x:c>
      <x:c r="C693" t="n">
        <x:v>100</x:v>
      </x:c>
      <x:c r="D693" t="n">
        <x:f>IF('04_checks'!H100="ERROR",1,0)</x:f>
        <x:v>0</x:v>
      </x:c>
      <x:c r="E693" t="str">
        <x:v>Order:100:6</x:v>
      </x:c>
      <x:c r="F693" t="str">
        <x:v>Дата</x:v>
      </x:c>
      <x:c r="G693" t="str">
        <x:v>Medium</x:v>
      </x:c>
      <x:c r="H693" t="str">
        <x:v>order_date</x:v>
      </x:c>
      <x:c r="I693" t="str">
        <x:v>Сверить дату со срезом и исходной записью</x:v>
      </x:c>
      <x:c r="J693" t="n">
        <x:f>IF(D693=1,K693,0)</x:f>
        <x:v>0</x:v>
      </x:c>
      <x:c r="K693" t="n">
        <x:f>D693+K692</x:f>
        <x:v>10</x:v>
      </x:c>
    </x:row>
    <x:row r="694">
      <x:c r="A694" t="str">
        <x:v>Order</x:v>
      </x:c>
      <x:c r="B694" t="n">
        <x:f>'04_checks'!B100</x:f>
        <x:v>1099</x:v>
      </x:c>
      <x:c r="C694" t="n">
        <x:v>100</x:v>
      </x:c>
      <x:c r="D694" t="n">
        <x:f>IF('04_checks'!I100="ERROR",1,0)</x:f>
        <x:v>0</x:v>
      </x:c>
      <x:c r="E694" t="str">
        <x:v>Order:100:7</x:v>
      </x:c>
      <x:c r="F694" t="str">
        <x:v>Статус</x:v>
      </x:c>
      <x:c r="G694" t="str">
        <x:v>Medium</x:v>
      </x:c>
      <x:c r="H694" t="str">
        <x:v>status</x:v>
      </x:c>
      <x:c r="I694" t="str">
        <x:v>Выбрать допустимый статус</x:v>
      </x:c>
      <x:c r="J694" t="n">
        <x:f>IF(D694=1,K694,0)</x:f>
        <x:v>0</x:v>
      </x:c>
      <x:c r="K694" t="n">
        <x:f>D694+K693</x:f>
        <x:v>10</x:v>
      </x:c>
    </x:row>
    <x:row r="695">
      <x:c r="A695" t="str">
        <x:v>Order</x:v>
      </x:c>
      <x:c r="B695" t="n">
        <x:f>'04_checks'!B101</x:f>
        <x:v>1100</x:v>
      </x:c>
      <x:c r="C695" t="n">
        <x:v>101</x:v>
      </x:c>
      <x:c r="D695" t="n">
        <x:f>IF('04_checks'!C101="ERROR",1,0)</x:f>
        <x:v>0</x:v>
      </x:c>
      <x:c r="E695" t="str">
        <x:v>Order:101:1</x:v>
      </x:c>
      <x:c r="F695" t="str">
        <x:v>Дубль</x:v>
      </x:c>
      <x:c r="G695" t="str">
        <x:v>High</x:v>
      </x:c>
      <x:c r="H695" t="str">
        <x:v>order_id</x:v>
      </x:c>
      <x:c r="I695" t="str">
        <x:v>Проверить уникальность ID в источнике; не удалять записи автоматически</x:v>
      </x:c>
      <x:c r="J695" t="n">
        <x:f>IF(D695=1,K695,0)</x:f>
        <x:v>0</x:v>
      </x:c>
      <x:c r="K695" t="n">
        <x:f>D695+K694</x:f>
        <x:v>10</x:v>
      </x:c>
    </x:row>
    <x:row r="696">
      <x:c r="A696" t="str">
        <x:v>Order</x:v>
      </x:c>
      <x:c r="B696" t="n">
        <x:f>'04_checks'!B101</x:f>
        <x:v>1100</x:v>
      </x:c>
      <x:c r="C696" t="n">
        <x:v>101</x:v>
      </x:c>
      <x:c r="D696" t="n">
        <x:f>IF('04_checks'!D101="ERROR",1,0)</x:f>
        <x:v>0</x:v>
      </x:c>
      <x:c r="E696" t="str">
        <x:v>Order:101:2</x:v>
      </x:c>
      <x:c r="F696" t="str">
        <x:v>Пустое поле</x:v>
      </x:c>
      <x:c r="G696" t="str">
        <x:v>High</x:v>
      </x:c>
      <x:c r="H696" t="str">
        <x:v>required_fields</x:v>
      </x:c>
      <x:c r="I696" t="str">
        <x:v>Дополнить обязательные поля в источнике</x:v>
      </x:c>
      <x:c r="J696" t="n">
        <x:f>IF(D696=1,K696,0)</x:f>
        <x:v>0</x:v>
      </x:c>
      <x:c r="K696" t="n">
        <x:f>D696+K695</x:f>
        <x:v>10</x:v>
      </x:c>
    </x:row>
    <x:row r="697">
      <x:c r="A697" t="str">
        <x:v>Order</x:v>
      </x:c>
      <x:c r="B697" t="n">
        <x:f>'04_checks'!B101</x:f>
        <x:v>1100</x:v>
      </x:c>
      <x:c r="C697" t="n">
        <x:v>101</x:v>
      </x:c>
      <x:c r="D697" t="n">
        <x:f>IF('04_checks'!E101="ERROR",1,0)</x:f>
        <x:v>0</x:v>
      </x:c>
      <x:c r="E697" t="str">
        <x:v>Order:101:3</x:v>
      </x:c>
      <x:c r="F697" t="str">
        <x:f>IF(COUNTIF('02_clients_raw'!$A$2:$A$67,'01_orders_raw'!C101)&gt;1,"Неоднозначная связь","Нет связи")</x:f>
        <x:v>Нет связи</x:v>
      </x:c>
      <x:c r="G697" t="str">
        <x:v>High</x:v>
      </x:c>
      <x:c r="H697" t="str">
        <x:v>client_id</x:v>
      </x:c>
      <x:c r="I697" t="str">
        <x:v>Исправить ссылку или разрешить дубли связанного ID</x:v>
      </x:c>
      <x:c r="J697" t="n">
        <x:f>IF(D697=1,K697,0)</x:f>
        <x:v>0</x:v>
      </x:c>
      <x:c r="K697" t="n">
        <x:f>D697+K696</x:f>
        <x:v>10</x:v>
      </x:c>
    </x:row>
    <x:row r="698">
      <x:c r="A698" t="str">
        <x:v>Order</x:v>
      </x:c>
      <x:c r="B698" t="n">
        <x:f>'04_checks'!B101</x:f>
        <x:v>1100</x:v>
      </x:c>
      <x:c r="C698" t="n">
        <x:v>101</x:v>
      </x:c>
      <x:c r="D698" t="n">
        <x:f>IF('04_checks'!F101="ERROR",1,0)</x:f>
        <x:v>0</x:v>
      </x:c>
      <x:c r="E698" t="str">
        <x:v>Order:101:4</x:v>
      </x:c>
      <x:c r="F698" t="str">
        <x:v>Ошибка расчета</x:v>
      </x:c>
      <x:c r="G698" t="str">
        <x:v>High</x:v>
      </x:c>
      <x:c r="H698" t="str">
        <x:v>quantity/price/order_sum</x:v>
      </x:c>
      <x:c r="I698" t="str">
        <x:v>Сверить исходные значения и правило расчёта</x:v>
      </x:c>
      <x:c r="J698" t="n">
        <x:f>IF(D698=1,K698,0)</x:f>
        <x:v>0</x:v>
      </x:c>
      <x:c r="K698" t="n">
        <x:f>D698+K697</x:f>
        <x:v>10</x:v>
      </x:c>
    </x:row>
    <x:row r="699">
      <x:c r="A699" t="str">
        <x:v>Order</x:v>
      </x:c>
      <x:c r="B699" t="n">
        <x:f>'04_checks'!B101</x:f>
        <x:v>1100</x:v>
      </x:c>
      <x:c r="C699" t="n">
        <x:v>101</x:v>
      </x:c>
      <x:c r="D699" t="n">
        <x:f>IF('04_checks'!G101="ERROR",1,0)</x:f>
        <x:v>0</x:v>
      </x:c>
      <x:c r="E699" t="str">
        <x:v>Order:101:5</x:v>
      </x:c>
      <x:c r="F699" t="str">
        <x:v>Отрицательная цена</x:v>
      </x:c>
      <x:c r="G699" t="str">
        <x:v>High</x:v>
      </x:c>
      <x:c r="H699" t="str">
        <x:v>price</x:v>
      </x:c>
      <x:c r="I699" t="str">
        <x:v>Проверить цену в источнике</x:v>
      </x:c>
      <x:c r="J699" t="n">
        <x:f>IF(D699=1,K699,0)</x:f>
        <x:v>0</x:v>
      </x:c>
      <x:c r="K699" t="n">
        <x:f>D699+K698</x:f>
        <x:v>10</x:v>
      </x:c>
    </x:row>
    <x:row r="700">
      <x:c r="A700" t="str">
        <x:v>Order</x:v>
      </x:c>
      <x:c r="B700" t="n">
        <x:f>'04_checks'!B101</x:f>
        <x:v>1100</x:v>
      </x:c>
      <x:c r="C700" t="n">
        <x:v>101</x:v>
      </x:c>
      <x:c r="D700" t="n">
        <x:f>IF('04_checks'!H101="ERROR",1,0)</x:f>
        <x:v>0</x:v>
      </x:c>
      <x:c r="E700" t="str">
        <x:v>Order:101:6</x:v>
      </x:c>
      <x:c r="F700" t="str">
        <x:v>Дата</x:v>
      </x:c>
      <x:c r="G700" t="str">
        <x:v>Medium</x:v>
      </x:c>
      <x:c r="H700" t="str">
        <x:v>order_date</x:v>
      </x:c>
      <x:c r="I700" t="str">
        <x:v>Сверить дату со срезом и исходной записью</x:v>
      </x:c>
      <x:c r="J700" t="n">
        <x:f>IF(D700=1,K700,0)</x:f>
        <x:v>0</x:v>
      </x:c>
      <x:c r="K700" t="n">
        <x:f>D700+K699</x:f>
        <x:v>10</x:v>
      </x:c>
    </x:row>
    <x:row r="701">
      <x:c r="A701" t="str">
        <x:v>Order</x:v>
      </x:c>
      <x:c r="B701" t="n">
        <x:f>'04_checks'!B101</x:f>
        <x:v>1100</x:v>
      </x:c>
      <x:c r="C701" t="n">
        <x:v>101</x:v>
      </x:c>
      <x:c r="D701" t="n">
        <x:f>IF('04_checks'!I101="ERROR",1,0)</x:f>
        <x:v>0</x:v>
      </x:c>
      <x:c r="E701" t="str">
        <x:v>Order:101:7</x:v>
      </x:c>
      <x:c r="F701" t="str">
        <x:v>Статус</x:v>
      </x:c>
      <x:c r="G701" t="str">
        <x:v>Medium</x:v>
      </x:c>
      <x:c r="H701" t="str">
        <x:v>status</x:v>
      </x:c>
      <x:c r="I701" t="str">
        <x:v>Выбрать допустимый статус</x:v>
      </x:c>
      <x:c r="J701" t="n">
        <x:f>IF(D701=1,K701,0)</x:f>
        <x:v>0</x:v>
      </x:c>
      <x:c r="K701" t="n">
        <x:f>D701+K700</x:f>
        <x:v>10</x:v>
      </x:c>
    </x:row>
    <x:row r="702">
      <x:c r="A702" t="str">
        <x:v>Order</x:v>
      </x:c>
      <x:c r="B702" t="n">
        <x:f>'04_checks'!B102</x:f>
        <x:v>1101</x:v>
      </x:c>
      <x:c r="C702" t="n">
        <x:v>102</x:v>
      </x:c>
      <x:c r="D702" t="n">
        <x:f>IF('04_checks'!C102="ERROR",1,0)</x:f>
        <x:v>0</x:v>
      </x:c>
      <x:c r="E702" t="str">
        <x:v>Order:102:1</x:v>
      </x:c>
      <x:c r="F702" t="str">
        <x:v>Дубль</x:v>
      </x:c>
      <x:c r="G702" t="str">
        <x:v>High</x:v>
      </x:c>
      <x:c r="H702" t="str">
        <x:v>order_id</x:v>
      </x:c>
      <x:c r="I702" t="str">
        <x:v>Проверить уникальность ID в источнике; не удалять записи автоматически</x:v>
      </x:c>
      <x:c r="J702" t="n">
        <x:f>IF(D702=1,K702,0)</x:f>
        <x:v>0</x:v>
      </x:c>
      <x:c r="K702" t="n">
        <x:f>D702+K701</x:f>
        <x:v>10</x:v>
      </x:c>
    </x:row>
    <x:row r="703">
      <x:c r="A703" t="str">
        <x:v>Order</x:v>
      </x:c>
      <x:c r="B703" t="n">
        <x:f>'04_checks'!B102</x:f>
        <x:v>1101</x:v>
      </x:c>
      <x:c r="C703" t="n">
        <x:v>102</x:v>
      </x:c>
      <x:c r="D703" t="n">
        <x:f>IF('04_checks'!D102="ERROR",1,0)</x:f>
        <x:v>0</x:v>
      </x:c>
      <x:c r="E703" t="str">
        <x:v>Order:102:2</x:v>
      </x:c>
      <x:c r="F703" t="str">
        <x:v>Пустое поле</x:v>
      </x:c>
      <x:c r="G703" t="str">
        <x:v>High</x:v>
      </x:c>
      <x:c r="H703" t="str">
        <x:v>required_fields</x:v>
      </x:c>
      <x:c r="I703" t="str">
        <x:v>Дополнить обязательные поля в источнике</x:v>
      </x:c>
      <x:c r="J703" t="n">
        <x:f>IF(D703=1,K703,0)</x:f>
        <x:v>0</x:v>
      </x:c>
      <x:c r="K703" t="n">
        <x:f>D703+K702</x:f>
        <x:v>10</x:v>
      </x:c>
    </x:row>
    <x:row r="704">
      <x:c r="A704" t="str">
        <x:v>Order</x:v>
      </x:c>
      <x:c r="B704" t="n">
        <x:f>'04_checks'!B102</x:f>
        <x:v>1101</x:v>
      </x:c>
      <x:c r="C704" t="n">
        <x:v>102</x:v>
      </x:c>
      <x:c r="D704" t="n">
        <x:f>IF('04_checks'!E102="ERROR",1,0)</x:f>
        <x:v>0</x:v>
      </x:c>
      <x:c r="E704" t="str">
        <x:v>Order:102:3</x:v>
      </x:c>
      <x:c r="F704" t="str">
        <x:f>IF(COUNTIF('02_clients_raw'!$A$2:$A$67,'01_orders_raw'!C102)&gt;1,"Неоднозначная связь","Нет связи")</x:f>
        <x:v>Нет связи</x:v>
      </x:c>
      <x:c r="G704" t="str">
        <x:v>High</x:v>
      </x:c>
      <x:c r="H704" t="str">
        <x:v>client_id</x:v>
      </x:c>
      <x:c r="I704" t="str">
        <x:v>Исправить ссылку или разрешить дубли связанного ID</x:v>
      </x:c>
      <x:c r="J704" t="n">
        <x:f>IF(D704=1,K704,0)</x:f>
        <x:v>0</x:v>
      </x:c>
      <x:c r="K704" t="n">
        <x:f>D704+K703</x:f>
        <x:v>10</x:v>
      </x:c>
    </x:row>
    <x:row r="705">
      <x:c r="A705" t="str">
        <x:v>Order</x:v>
      </x:c>
      <x:c r="B705" t="n">
        <x:f>'04_checks'!B102</x:f>
        <x:v>1101</x:v>
      </x:c>
      <x:c r="C705" t="n">
        <x:v>102</x:v>
      </x:c>
      <x:c r="D705" t="n">
        <x:f>IF('04_checks'!F102="ERROR",1,0)</x:f>
        <x:v>0</x:v>
      </x:c>
      <x:c r="E705" t="str">
        <x:v>Order:102:4</x:v>
      </x:c>
      <x:c r="F705" t="str">
        <x:v>Ошибка расчета</x:v>
      </x:c>
      <x:c r="G705" t="str">
        <x:v>High</x:v>
      </x:c>
      <x:c r="H705" t="str">
        <x:v>quantity/price/order_sum</x:v>
      </x:c>
      <x:c r="I705" t="str">
        <x:v>Сверить исходные значения и правило расчёта</x:v>
      </x:c>
      <x:c r="J705" t="n">
        <x:f>IF(D705=1,K705,0)</x:f>
        <x:v>0</x:v>
      </x:c>
      <x:c r="K705" t="n">
        <x:f>D705+K704</x:f>
        <x:v>10</x:v>
      </x:c>
    </x:row>
    <x:row r="706">
      <x:c r="A706" t="str">
        <x:v>Order</x:v>
      </x:c>
      <x:c r="B706" t="n">
        <x:f>'04_checks'!B102</x:f>
        <x:v>1101</x:v>
      </x:c>
      <x:c r="C706" t="n">
        <x:v>102</x:v>
      </x:c>
      <x:c r="D706" t="n">
        <x:f>IF('04_checks'!G102="ERROR",1,0)</x:f>
        <x:v>0</x:v>
      </x:c>
      <x:c r="E706" t="str">
        <x:v>Order:102:5</x:v>
      </x:c>
      <x:c r="F706" t="str">
        <x:v>Отрицательная цена</x:v>
      </x:c>
      <x:c r="G706" t="str">
        <x:v>High</x:v>
      </x:c>
      <x:c r="H706" t="str">
        <x:v>price</x:v>
      </x:c>
      <x:c r="I706" t="str">
        <x:v>Проверить цену в источнике</x:v>
      </x:c>
      <x:c r="J706" t="n">
        <x:f>IF(D706=1,K706,0)</x:f>
        <x:v>0</x:v>
      </x:c>
      <x:c r="K706" t="n">
        <x:f>D706+K705</x:f>
        <x:v>10</x:v>
      </x:c>
    </x:row>
    <x:row r="707">
      <x:c r="A707" t="str">
        <x:v>Order</x:v>
      </x:c>
      <x:c r="B707" t="n">
        <x:f>'04_checks'!B102</x:f>
        <x:v>1101</x:v>
      </x:c>
      <x:c r="C707" t="n">
        <x:v>102</x:v>
      </x:c>
      <x:c r="D707" t="n">
        <x:f>IF('04_checks'!H102="ERROR",1,0)</x:f>
        <x:v>0</x:v>
      </x:c>
      <x:c r="E707" t="str">
        <x:v>Order:102:6</x:v>
      </x:c>
      <x:c r="F707" t="str">
        <x:v>Дата</x:v>
      </x:c>
      <x:c r="G707" t="str">
        <x:v>Medium</x:v>
      </x:c>
      <x:c r="H707" t="str">
        <x:v>order_date</x:v>
      </x:c>
      <x:c r="I707" t="str">
        <x:v>Сверить дату со срезом и исходной записью</x:v>
      </x:c>
      <x:c r="J707" t="n">
        <x:f>IF(D707=1,K707,0)</x:f>
        <x:v>0</x:v>
      </x:c>
      <x:c r="K707" t="n">
        <x:f>D707+K706</x:f>
        <x:v>10</x:v>
      </x:c>
    </x:row>
    <x:row r="708">
      <x:c r="A708" t="str">
        <x:v>Order</x:v>
      </x:c>
      <x:c r="B708" t="n">
        <x:f>'04_checks'!B102</x:f>
        <x:v>1101</x:v>
      </x:c>
      <x:c r="C708" t="n">
        <x:v>102</x:v>
      </x:c>
      <x:c r="D708" t="n">
        <x:f>IF('04_checks'!I102="ERROR",1,0)</x:f>
        <x:v>0</x:v>
      </x:c>
      <x:c r="E708" t="str">
        <x:v>Order:102:7</x:v>
      </x:c>
      <x:c r="F708" t="str">
        <x:v>Статус</x:v>
      </x:c>
      <x:c r="G708" t="str">
        <x:v>Medium</x:v>
      </x:c>
      <x:c r="H708" t="str">
        <x:v>status</x:v>
      </x:c>
      <x:c r="I708" t="str">
        <x:v>Выбрать допустимый статус</x:v>
      </x:c>
      <x:c r="J708" t="n">
        <x:f>IF(D708=1,K708,0)</x:f>
        <x:v>0</x:v>
      </x:c>
      <x:c r="K708" t="n">
        <x:f>D708+K707</x:f>
        <x:v>10</x:v>
      </x:c>
    </x:row>
    <x:row r="709">
      <x:c r="A709" t="str">
        <x:v>Order</x:v>
      </x:c>
      <x:c r="B709" t="n">
        <x:f>'04_checks'!B103</x:f>
        <x:v>1102</x:v>
      </x:c>
      <x:c r="C709" t="n">
        <x:v>103</x:v>
      </x:c>
      <x:c r="D709" t="n">
        <x:f>IF('04_checks'!C103="ERROR",1,0)</x:f>
        <x:v>0</x:v>
      </x:c>
      <x:c r="E709" t="str">
        <x:v>Order:103:1</x:v>
      </x:c>
      <x:c r="F709" t="str">
        <x:v>Дубль</x:v>
      </x:c>
      <x:c r="G709" t="str">
        <x:v>High</x:v>
      </x:c>
      <x:c r="H709" t="str">
        <x:v>order_id</x:v>
      </x:c>
      <x:c r="I709" t="str">
        <x:v>Проверить уникальность ID в источнике; не удалять записи автоматически</x:v>
      </x:c>
      <x:c r="J709" t="n">
        <x:f>IF(D709=1,K709,0)</x:f>
        <x:v>0</x:v>
      </x:c>
      <x:c r="K709" t="n">
        <x:f>D709+K708</x:f>
        <x:v>10</x:v>
      </x:c>
    </x:row>
    <x:row r="710">
      <x:c r="A710" t="str">
        <x:v>Order</x:v>
      </x:c>
      <x:c r="B710" t="n">
        <x:f>'04_checks'!B103</x:f>
        <x:v>1102</x:v>
      </x:c>
      <x:c r="C710" t="n">
        <x:v>103</x:v>
      </x:c>
      <x:c r="D710" t="n">
        <x:f>IF('04_checks'!D103="ERROR",1,0)</x:f>
        <x:v>0</x:v>
      </x:c>
      <x:c r="E710" t="str">
        <x:v>Order:103:2</x:v>
      </x:c>
      <x:c r="F710" t="str">
        <x:v>Пустое поле</x:v>
      </x:c>
      <x:c r="G710" t="str">
        <x:v>High</x:v>
      </x:c>
      <x:c r="H710" t="str">
        <x:v>required_fields</x:v>
      </x:c>
      <x:c r="I710" t="str">
        <x:v>Дополнить обязательные поля в источнике</x:v>
      </x:c>
      <x:c r="J710" t="n">
        <x:f>IF(D710=1,K710,0)</x:f>
        <x:v>0</x:v>
      </x:c>
      <x:c r="K710" t="n">
        <x:f>D710+K709</x:f>
        <x:v>10</x:v>
      </x:c>
    </x:row>
    <x:row r="711">
      <x:c r="A711" t="str">
        <x:v>Order</x:v>
      </x:c>
      <x:c r="B711" t="n">
        <x:f>'04_checks'!B103</x:f>
        <x:v>1102</x:v>
      </x:c>
      <x:c r="C711" t="n">
        <x:v>103</x:v>
      </x:c>
      <x:c r="D711" t="n">
        <x:f>IF('04_checks'!E103="ERROR",1,0)</x:f>
        <x:v>0</x:v>
      </x:c>
      <x:c r="E711" t="str">
        <x:v>Order:103:3</x:v>
      </x:c>
      <x:c r="F711" t="str">
        <x:f>IF(COUNTIF('02_clients_raw'!$A$2:$A$67,'01_orders_raw'!C103)&gt;1,"Неоднозначная связь","Нет связи")</x:f>
        <x:v>Нет связи</x:v>
      </x:c>
      <x:c r="G711" t="str">
        <x:v>High</x:v>
      </x:c>
      <x:c r="H711" t="str">
        <x:v>client_id</x:v>
      </x:c>
      <x:c r="I711" t="str">
        <x:v>Исправить ссылку или разрешить дубли связанного ID</x:v>
      </x:c>
      <x:c r="J711" t="n">
        <x:f>IF(D711=1,K711,0)</x:f>
        <x:v>0</x:v>
      </x:c>
      <x:c r="K711" t="n">
        <x:f>D711+K710</x:f>
        <x:v>10</x:v>
      </x:c>
    </x:row>
    <x:row r="712">
      <x:c r="A712" t="str">
        <x:v>Order</x:v>
      </x:c>
      <x:c r="B712" t="n">
        <x:f>'04_checks'!B103</x:f>
        <x:v>1102</x:v>
      </x:c>
      <x:c r="C712" t="n">
        <x:v>103</x:v>
      </x:c>
      <x:c r="D712" t="n">
        <x:f>IF('04_checks'!F103="ERROR",1,0)</x:f>
        <x:v>0</x:v>
      </x:c>
      <x:c r="E712" t="str">
        <x:v>Order:103:4</x:v>
      </x:c>
      <x:c r="F712" t="str">
        <x:v>Ошибка расчета</x:v>
      </x:c>
      <x:c r="G712" t="str">
        <x:v>High</x:v>
      </x:c>
      <x:c r="H712" t="str">
        <x:v>quantity/price/order_sum</x:v>
      </x:c>
      <x:c r="I712" t="str">
        <x:v>Сверить исходные значения и правило расчёта</x:v>
      </x:c>
      <x:c r="J712" t="n">
        <x:f>IF(D712=1,K712,0)</x:f>
        <x:v>0</x:v>
      </x:c>
      <x:c r="K712" t="n">
        <x:f>D712+K711</x:f>
        <x:v>10</x:v>
      </x:c>
    </x:row>
    <x:row r="713">
      <x:c r="A713" t="str">
        <x:v>Order</x:v>
      </x:c>
      <x:c r="B713" t="n">
        <x:f>'04_checks'!B103</x:f>
        <x:v>1102</x:v>
      </x:c>
      <x:c r="C713" t="n">
        <x:v>103</x:v>
      </x:c>
      <x:c r="D713" t="n">
        <x:f>IF('04_checks'!G103="ERROR",1,0)</x:f>
        <x:v>0</x:v>
      </x:c>
      <x:c r="E713" t="str">
        <x:v>Order:103:5</x:v>
      </x:c>
      <x:c r="F713" t="str">
        <x:v>Отрицательная цена</x:v>
      </x:c>
      <x:c r="G713" t="str">
        <x:v>High</x:v>
      </x:c>
      <x:c r="H713" t="str">
        <x:v>price</x:v>
      </x:c>
      <x:c r="I713" t="str">
        <x:v>Проверить цену в источнике</x:v>
      </x:c>
      <x:c r="J713" t="n">
        <x:f>IF(D713=1,K713,0)</x:f>
        <x:v>0</x:v>
      </x:c>
      <x:c r="K713" t="n">
        <x:f>D713+K712</x:f>
        <x:v>10</x:v>
      </x:c>
    </x:row>
    <x:row r="714">
      <x:c r="A714" t="str">
        <x:v>Order</x:v>
      </x:c>
      <x:c r="B714" t="n">
        <x:f>'04_checks'!B103</x:f>
        <x:v>1102</x:v>
      </x:c>
      <x:c r="C714" t="n">
        <x:v>103</x:v>
      </x:c>
      <x:c r="D714" t="n">
        <x:f>IF('04_checks'!H103="ERROR",1,0)</x:f>
        <x:v>0</x:v>
      </x:c>
      <x:c r="E714" t="str">
        <x:v>Order:103:6</x:v>
      </x:c>
      <x:c r="F714" t="str">
        <x:v>Дата</x:v>
      </x:c>
      <x:c r="G714" t="str">
        <x:v>Medium</x:v>
      </x:c>
      <x:c r="H714" t="str">
        <x:v>order_date</x:v>
      </x:c>
      <x:c r="I714" t="str">
        <x:v>Сверить дату со срезом и исходной записью</x:v>
      </x:c>
      <x:c r="J714" t="n">
        <x:f>IF(D714=1,K714,0)</x:f>
        <x:v>0</x:v>
      </x:c>
      <x:c r="K714" t="n">
        <x:f>D714+K713</x:f>
        <x:v>10</x:v>
      </x:c>
    </x:row>
    <x:row r="715">
      <x:c r="A715" t="str">
        <x:v>Order</x:v>
      </x:c>
      <x:c r="B715" t="n">
        <x:f>'04_checks'!B103</x:f>
        <x:v>1102</x:v>
      </x:c>
      <x:c r="C715" t="n">
        <x:v>103</x:v>
      </x:c>
      <x:c r="D715" t="n">
        <x:f>IF('04_checks'!I103="ERROR",1,0)</x:f>
        <x:v>0</x:v>
      </x:c>
      <x:c r="E715" t="str">
        <x:v>Order:103:7</x:v>
      </x:c>
      <x:c r="F715" t="str">
        <x:v>Статус</x:v>
      </x:c>
      <x:c r="G715" t="str">
        <x:v>Medium</x:v>
      </x:c>
      <x:c r="H715" t="str">
        <x:v>status</x:v>
      </x:c>
      <x:c r="I715" t="str">
        <x:v>Выбрать допустимый статус</x:v>
      </x:c>
      <x:c r="J715" t="n">
        <x:f>IF(D715=1,K715,0)</x:f>
        <x:v>0</x:v>
      </x:c>
      <x:c r="K715" t="n">
        <x:f>D715+K714</x:f>
        <x:v>10</x:v>
      </x:c>
    </x:row>
    <x:row r="716">
      <x:c r="A716" t="str">
        <x:v>Order</x:v>
      </x:c>
      <x:c r="B716" t="n">
        <x:f>'04_checks'!B104</x:f>
        <x:v>1103</x:v>
      </x:c>
      <x:c r="C716" t="n">
        <x:v>104</x:v>
      </x:c>
      <x:c r="D716" t="n">
        <x:f>IF('04_checks'!C104="ERROR",1,0)</x:f>
        <x:v>0</x:v>
      </x:c>
      <x:c r="E716" t="str">
        <x:v>Order:104:1</x:v>
      </x:c>
      <x:c r="F716" t="str">
        <x:v>Дубль</x:v>
      </x:c>
      <x:c r="G716" t="str">
        <x:v>High</x:v>
      </x:c>
      <x:c r="H716" t="str">
        <x:v>order_id</x:v>
      </x:c>
      <x:c r="I716" t="str">
        <x:v>Проверить уникальность ID в источнике; не удалять записи автоматически</x:v>
      </x:c>
      <x:c r="J716" t="n">
        <x:f>IF(D716=1,K716,0)</x:f>
        <x:v>0</x:v>
      </x:c>
      <x:c r="K716" t="n">
        <x:f>D716+K715</x:f>
        <x:v>10</x:v>
      </x:c>
    </x:row>
    <x:row r="717">
      <x:c r="A717" t="str">
        <x:v>Order</x:v>
      </x:c>
      <x:c r="B717" t="n">
        <x:f>'04_checks'!B104</x:f>
        <x:v>1103</x:v>
      </x:c>
      <x:c r="C717" t="n">
        <x:v>104</x:v>
      </x:c>
      <x:c r="D717" t="n">
        <x:f>IF('04_checks'!D104="ERROR",1,0)</x:f>
        <x:v>0</x:v>
      </x:c>
      <x:c r="E717" t="str">
        <x:v>Order:104:2</x:v>
      </x:c>
      <x:c r="F717" t="str">
        <x:v>Пустое поле</x:v>
      </x:c>
      <x:c r="G717" t="str">
        <x:v>High</x:v>
      </x:c>
      <x:c r="H717" t="str">
        <x:v>required_fields</x:v>
      </x:c>
      <x:c r="I717" t="str">
        <x:v>Дополнить обязательные поля в источнике</x:v>
      </x:c>
      <x:c r="J717" t="n">
        <x:f>IF(D717=1,K717,0)</x:f>
        <x:v>0</x:v>
      </x:c>
      <x:c r="K717" t="n">
        <x:f>D717+K716</x:f>
        <x:v>10</x:v>
      </x:c>
    </x:row>
    <x:row r="718">
      <x:c r="A718" t="str">
        <x:v>Order</x:v>
      </x:c>
      <x:c r="B718" t="n">
        <x:f>'04_checks'!B104</x:f>
        <x:v>1103</x:v>
      </x:c>
      <x:c r="C718" t="n">
        <x:v>104</x:v>
      </x:c>
      <x:c r="D718" t="n">
        <x:f>IF('04_checks'!E104="ERROR",1,0)</x:f>
        <x:v>0</x:v>
      </x:c>
      <x:c r="E718" t="str">
        <x:v>Order:104:3</x:v>
      </x:c>
      <x:c r="F718" t="str">
        <x:f>IF(COUNTIF('02_clients_raw'!$A$2:$A$67,'01_orders_raw'!C104)&gt;1,"Неоднозначная связь","Нет связи")</x:f>
        <x:v>Нет связи</x:v>
      </x:c>
      <x:c r="G718" t="str">
        <x:v>High</x:v>
      </x:c>
      <x:c r="H718" t="str">
        <x:v>client_id</x:v>
      </x:c>
      <x:c r="I718" t="str">
        <x:v>Исправить ссылку или разрешить дубли связанного ID</x:v>
      </x:c>
      <x:c r="J718" t="n">
        <x:f>IF(D718=1,K718,0)</x:f>
        <x:v>0</x:v>
      </x:c>
      <x:c r="K718" t="n">
        <x:f>D718+K717</x:f>
        <x:v>10</x:v>
      </x:c>
    </x:row>
    <x:row r="719">
      <x:c r="A719" t="str">
        <x:v>Order</x:v>
      </x:c>
      <x:c r="B719" t="n">
        <x:f>'04_checks'!B104</x:f>
        <x:v>1103</x:v>
      </x:c>
      <x:c r="C719" t="n">
        <x:v>104</x:v>
      </x:c>
      <x:c r="D719" t="n">
        <x:f>IF('04_checks'!F104="ERROR",1,0)</x:f>
        <x:v>0</x:v>
      </x:c>
      <x:c r="E719" t="str">
        <x:v>Order:104:4</x:v>
      </x:c>
      <x:c r="F719" t="str">
        <x:v>Ошибка расчета</x:v>
      </x:c>
      <x:c r="G719" t="str">
        <x:v>High</x:v>
      </x:c>
      <x:c r="H719" t="str">
        <x:v>quantity/price/order_sum</x:v>
      </x:c>
      <x:c r="I719" t="str">
        <x:v>Сверить исходные значения и правило расчёта</x:v>
      </x:c>
      <x:c r="J719" t="n">
        <x:f>IF(D719=1,K719,0)</x:f>
        <x:v>0</x:v>
      </x:c>
      <x:c r="K719" t="n">
        <x:f>D719+K718</x:f>
        <x:v>10</x:v>
      </x:c>
    </x:row>
    <x:row r="720">
      <x:c r="A720" t="str">
        <x:v>Order</x:v>
      </x:c>
      <x:c r="B720" t="n">
        <x:f>'04_checks'!B104</x:f>
        <x:v>1103</x:v>
      </x:c>
      <x:c r="C720" t="n">
        <x:v>104</x:v>
      </x:c>
      <x:c r="D720" t="n">
        <x:f>IF('04_checks'!G104="ERROR",1,0)</x:f>
        <x:v>0</x:v>
      </x:c>
      <x:c r="E720" t="str">
        <x:v>Order:104:5</x:v>
      </x:c>
      <x:c r="F720" t="str">
        <x:v>Отрицательная цена</x:v>
      </x:c>
      <x:c r="G720" t="str">
        <x:v>High</x:v>
      </x:c>
      <x:c r="H720" t="str">
        <x:v>price</x:v>
      </x:c>
      <x:c r="I720" t="str">
        <x:v>Проверить цену в источнике</x:v>
      </x:c>
      <x:c r="J720" t="n">
        <x:f>IF(D720=1,K720,0)</x:f>
        <x:v>0</x:v>
      </x:c>
      <x:c r="K720" t="n">
        <x:f>D720+K719</x:f>
        <x:v>10</x:v>
      </x:c>
    </x:row>
    <x:row r="721">
      <x:c r="A721" t="str">
        <x:v>Order</x:v>
      </x:c>
      <x:c r="B721" t="n">
        <x:f>'04_checks'!B104</x:f>
        <x:v>1103</x:v>
      </x:c>
      <x:c r="C721" t="n">
        <x:v>104</x:v>
      </x:c>
      <x:c r="D721" t="n">
        <x:f>IF('04_checks'!H104="ERROR",1,0)</x:f>
        <x:v>0</x:v>
      </x:c>
      <x:c r="E721" t="str">
        <x:v>Order:104:6</x:v>
      </x:c>
      <x:c r="F721" t="str">
        <x:v>Дата</x:v>
      </x:c>
      <x:c r="G721" t="str">
        <x:v>Medium</x:v>
      </x:c>
      <x:c r="H721" t="str">
        <x:v>order_date</x:v>
      </x:c>
      <x:c r="I721" t="str">
        <x:v>Сверить дату со срезом и исходной записью</x:v>
      </x:c>
      <x:c r="J721" t="n">
        <x:f>IF(D721=1,K721,0)</x:f>
        <x:v>0</x:v>
      </x:c>
      <x:c r="K721" t="n">
        <x:f>D721+K720</x:f>
        <x:v>10</x:v>
      </x:c>
    </x:row>
    <x:row r="722">
      <x:c r="A722" t="str">
        <x:v>Order</x:v>
      </x:c>
      <x:c r="B722" t="n">
        <x:f>'04_checks'!B104</x:f>
        <x:v>1103</x:v>
      </x:c>
      <x:c r="C722" t="n">
        <x:v>104</x:v>
      </x:c>
      <x:c r="D722" t="n">
        <x:f>IF('04_checks'!I104="ERROR",1,0)</x:f>
        <x:v>0</x:v>
      </x:c>
      <x:c r="E722" t="str">
        <x:v>Order:104:7</x:v>
      </x:c>
      <x:c r="F722" t="str">
        <x:v>Статус</x:v>
      </x:c>
      <x:c r="G722" t="str">
        <x:v>Medium</x:v>
      </x:c>
      <x:c r="H722" t="str">
        <x:v>status</x:v>
      </x:c>
      <x:c r="I722" t="str">
        <x:v>Выбрать допустимый статус</x:v>
      </x:c>
      <x:c r="J722" t="n">
        <x:f>IF(D722=1,K722,0)</x:f>
        <x:v>0</x:v>
      </x:c>
      <x:c r="K722" t="n">
        <x:f>D722+K721</x:f>
        <x:v>10</x:v>
      </x:c>
    </x:row>
    <x:row r="723">
      <x:c r="A723" t="str">
        <x:v>Order</x:v>
      </x:c>
      <x:c r="B723" t="n">
        <x:f>'04_checks'!B105</x:f>
        <x:v>1104</x:v>
      </x:c>
      <x:c r="C723" t="n">
        <x:v>105</x:v>
      </x:c>
      <x:c r="D723" t="n">
        <x:f>IF('04_checks'!C105="ERROR",1,0)</x:f>
        <x:v>0</x:v>
      </x:c>
      <x:c r="E723" t="str">
        <x:v>Order:105:1</x:v>
      </x:c>
      <x:c r="F723" t="str">
        <x:v>Дубль</x:v>
      </x:c>
      <x:c r="G723" t="str">
        <x:v>High</x:v>
      </x:c>
      <x:c r="H723" t="str">
        <x:v>order_id</x:v>
      </x:c>
      <x:c r="I723" t="str">
        <x:v>Проверить уникальность ID в источнике; не удалять записи автоматически</x:v>
      </x:c>
      <x:c r="J723" t="n">
        <x:f>IF(D723=1,K723,0)</x:f>
        <x:v>0</x:v>
      </x:c>
      <x:c r="K723" t="n">
        <x:f>D723+K722</x:f>
        <x:v>10</x:v>
      </x:c>
    </x:row>
    <x:row r="724">
      <x:c r="A724" t="str">
        <x:v>Order</x:v>
      </x:c>
      <x:c r="B724" t="n">
        <x:f>'04_checks'!B105</x:f>
        <x:v>1104</x:v>
      </x:c>
      <x:c r="C724" t="n">
        <x:v>105</x:v>
      </x:c>
      <x:c r="D724" t="n">
        <x:f>IF('04_checks'!D105="ERROR",1,0)</x:f>
        <x:v>0</x:v>
      </x:c>
      <x:c r="E724" t="str">
        <x:v>Order:105:2</x:v>
      </x:c>
      <x:c r="F724" t="str">
        <x:v>Пустое поле</x:v>
      </x:c>
      <x:c r="G724" t="str">
        <x:v>High</x:v>
      </x:c>
      <x:c r="H724" t="str">
        <x:v>required_fields</x:v>
      </x:c>
      <x:c r="I724" t="str">
        <x:v>Дополнить обязательные поля в источнике</x:v>
      </x:c>
      <x:c r="J724" t="n">
        <x:f>IF(D724=1,K724,0)</x:f>
        <x:v>0</x:v>
      </x:c>
      <x:c r="K724" t="n">
        <x:f>D724+K723</x:f>
        <x:v>10</x:v>
      </x:c>
    </x:row>
    <x:row r="725">
      <x:c r="A725" t="str">
        <x:v>Order</x:v>
      </x:c>
      <x:c r="B725" t="n">
        <x:f>'04_checks'!B105</x:f>
        <x:v>1104</x:v>
      </x:c>
      <x:c r="C725" t="n">
        <x:v>105</x:v>
      </x:c>
      <x:c r="D725" t="n">
        <x:f>IF('04_checks'!E105="ERROR",1,0)</x:f>
        <x:v>0</x:v>
      </x:c>
      <x:c r="E725" t="str">
        <x:v>Order:105:3</x:v>
      </x:c>
      <x:c r="F725" t="str">
        <x:f>IF(COUNTIF('02_clients_raw'!$A$2:$A$67,'01_orders_raw'!C105)&gt;1,"Неоднозначная связь","Нет связи")</x:f>
        <x:v>Нет связи</x:v>
      </x:c>
      <x:c r="G725" t="str">
        <x:v>High</x:v>
      </x:c>
      <x:c r="H725" t="str">
        <x:v>client_id</x:v>
      </x:c>
      <x:c r="I725" t="str">
        <x:v>Исправить ссылку или разрешить дубли связанного ID</x:v>
      </x:c>
      <x:c r="J725" t="n">
        <x:f>IF(D725=1,K725,0)</x:f>
        <x:v>0</x:v>
      </x:c>
      <x:c r="K725" t="n">
        <x:f>D725+K724</x:f>
        <x:v>10</x:v>
      </x:c>
    </x:row>
    <x:row r="726">
      <x:c r="A726" t="str">
        <x:v>Order</x:v>
      </x:c>
      <x:c r="B726" t="n">
        <x:f>'04_checks'!B105</x:f>
        <x:v>1104</x:v>
      </x:c>
      <x:c r="C726" t="n">
        <x:v>105</x:v>
      </x:c>
      <x:c r="D726" t="n">
        <x:f>IF('04_checks'!F105="ERROR",1,0)</x:f>
        <x:v>0</x:v>
      </x:c>
      <x:c r="E726" t="str">
        <x:v>Order:105:4</x:v>
      </x:c>
      <x:c r="F726" t="str">
        <x:v>Ошибка расчета</x:v>
      </x:c>
      <x:c r="G726" t="str">
        <x:v>High</x:v>
      </x:c>
      <x:c r="H726" t="str">
        <x:v>quantity/price/order_sum</x:v>
      </x:c>
      <x:c r="I726" t="str">
        <x:v>Сверить исходные значения и правило расчёта</x:v>
      </x:c>
      <x:c r="J726" t="n">
        <x:f>IF(D726=1,K726,0)</x:f>
        <x:v>0</x:v>
      </x:c>
      <x:c r="K726" t="n">
        <x:f>D726+K725</x:f>
        <x:v>10</x:v>
      </x:c>
    </x:row>
    <x:row r="727">
      <x:c r="A727" t="str">
        <x:v>Order</x:v>
      </x:c>
      <x:c r="B727" t="n">
        <x:f>'04_checks'!B105</x:f>
        <x:v>1104</x:v>
      </x:c>
      <x:c r="C727" t="n">
        <x:v>105</x:v>
      </x:c>
      <x:c r="D727" t="n">
        <x:f>IF('04_checks'!G105="ERROR",1,0)</x:f>
        <x:v>0</x:v>
      </x:c>
      <x:c r="E727" t="str">
        <x:v>Order:105:5</x:v>
      </x:c>
      <x:c r="F727" t="str">
        <x:v>Отрицательная цена</x:v>
      </x:c>
      <x:c r="G727" t="str">
        <x:v>High</x:v>
      </x:c>
      <x:c r="H727" t="str">
        <x:v>price</x:v>
      </x:c>
      <x:c r="I727" t="str">
        <x:v>Проверить цену в источнике</x:v>
      </x:c>
      <x:c r="J727" t="n">
        <x:f>IF(D727=1,K727,0)</x:f>
        <x:v>0</x:v>
      </x:c>
      <x:c r="K727" t="n">
        <x:f>D727+K726</x:f>
        <x:v>10</x:v>
      </x:c>
    </x:row>
    <x:row r="728">
      <x:c r="A728" t="str">
        <x:v>Order</x:v>
      </x:c>
      <x:c r="B728" t="n">
        <x:f>'04_checks'!B105</x:f>
        <x:v>1104</x:v>
      </x:c>
      <x:c r="C728" t="n">
        <x:v>105</x:v>
      </x:c>
      <x:c r="D728" t="n">
        <x:f>IF('04_checks'!H105="ERROR",1,0)</x:f>
        <x:v>0</x:v>
      </x:c>
      <x:c r="E728" t="str">
        <x:v>Order:105:6</x:v>
      </x:c>
      <x:c r="F728" t="str">
        <x:v>Дата</x:v>
      </x:c>
      <x:c r="G728" t="str">
        <x:v>Medium</x:v>
      </x:c>
      <x:c r="H728" t="str">
        <x:v>order_date</x:v>
      </x:c>
      <x:c r="I728" t="str">
        <x:v>Сверить дату со срезом и исходной записью</x:v>
      </x:c>
      <x:c r="J728" t="n">
        <x:f>IF(D728=1,K728,0)</x:f>
        <x:v>0</x:v>
      </x:c>
      <x:c r="K728" t="n">
        <x:f>D728+K727</x:f>
        <x:v>10</x:v>
      </x:c>
    </x:row>
    <x:row r="729">
      <x:c r="A729" t="str">
        <x:v>Order</x:v>
      </x:c>
      <x:c r="B729" t="n">
        <x:f>'04_checks'!B105</x:f>
        <x:v>1104</x:v>
      </x:c>
      <x:c r="C729" t="n">
        <x:v>105</x:v>
      </x:c>
      <x:c r="D729" t="n">
        <x:f>IF('04_checks'!I105="ERROR",1,0)</x:f>
        <x:v>0</x:v>
      </x:c>
      <x:c r="E729" t="str">
        <x:v>Order:105:7</x:v>
      </x:c>
      <x:c r="F729" t="str">
        <x:v>Статус</x:v>
      </x:c>
      <x:c r="G729" t="str">
        <x:v>Medium</x:v>
      </x:c>
      <x:c r="H729" t="str">
        <x:v>status</x:v>
      </x:c>
      <x:c r="I729" t="str">
        <x:v>Выбрать допустимый статус</x:v>
      </x:c>
      <x:c r="J729" t="n">
        <x:f>IF(D729=1,K729,0)</x:f>
        <x:v>0</x:v>
      </x:c>
      <x:c r="K729" t="n">
        <x:f>D729+K728</x:f>
        <x:v>10</x:v>
      </x:c>
    </x:row>
    <x:row r="730">
      <x:c r="A730" t="str">
        <x:v>Order</x:v>
      </x:c>
      <x:c r="B730" t="n">
        <x:f>'04_checks'!B106</x:f>
        <x:v>1105</x:v>
      </x:c>
      <x:c r="C730" t="n">
        <x:v>106</x:v>
      </x:c>
      <x:c r="D730" t="n">
        <x:f>IF('04_checks'!C106="ERROR",1,0)</x:f>
        <x:v>0</x:v>
      </x:c>
      <x:c r="E730" t="str">
        <x:v>Order:106:1</x:v>
      </x:c>
      <x:c r="F730" t="str">
        <x:v>Дубль</x:v>
      </x:c>
      <x:c r="G730" t="str">
        <x:v>High</x:v>
      </x:c>
      <x:c r="H730" t="str">
        <x:v>order_id</x:v>
      </x:c>
      <x:c r="I730" t="str">
        <x:v>Проверить уникальность ID в источнике; не удалять записи автоматически</x:v>
      </x:c>
      <x:c r="J730" t="n">
        <x:f>IF(D730=1,K730,0)</x:f>
        <x:v>0</x:v>
      </x:c>
      <x:c r="K730" t="n">
        <x:f>D730+K729</x:f>
        <x:v>10</x:v>
      </x:c>
    </x:row>
    <x:row r="731">
      <x:c r="A731" t="str">
        <x:v>Order</x:v>
      </x:c>
      <x:c r="B731" t="n">
        <x:f>'04_checks'!B106</x:f>
        <x:v>1105</x:v>
      </x:c>
      <x:c r="C731" t="n">
        <x:v>106</x:v>
      </x:c>
      <x:c r="D731" t="n">
        <x:f>IF('04_checks'!D106="ERROR",1,0)</x:f>
        <x:v>0</x:v>
      </x:c>
      <x:c r="E731" t="str">
        <x:v>Order:106:2</x:v>
      </x:c>
      <x:c r="F731" t="str">
        <x:v>Пустое поле</x:v>
      </x:c>
      <x:c r="G731" t="str">
        <x:v>High</x:v>
      </x:c>
      <x:c r="H731" t="str">
        <x:v>required_fields</x:v>
      </x:c>
      <x:c r="I731" t="str">
        <x:v>Дополнить обязательные поля в источнике</x:v>
      </x:c>
      <x:c r="J731" t="n">
        <x:f>IF(D731=1,K731,0)</x:f>
        <x:v>0</x:v>
      </x:c>
      <x:c r="K731" t="n">
        <x:f>D731+K730</x:f>
        <x:v>10</x:v>
      </x:c>
    </x:row>
    <x:row r="732">
      <x:c r="A732" t="str">
        <x:v>Order</x:v>
      </x:c>
      <x:c r="B732" t="n">
        <x:f>'04_checks'!B106</x:f>
        <x:v>1105</x:v>
      </x:c>
      <x:c r="C732" t="n">
        <x:v>106</x:v>
      </x:c>
      <x:c r="D732" t="n">
        <x:f>IF('04_checks'!E106="ERROR",1,0)</x:f>
        <x:v>0</x:v>
      </x:c>
      <x:c r="E732" t="str">
        <x:v>Order:106:3</x:v>
      </x:c>
      <x:c r="F732" t="str">
        <x:f>IF(COUNTIF('02_clients_raw'!$A$2:$A$67,'01_orders_raw'!C106)&gt;1,"Неоднозначная связь","Нет связи")</x:f>
        <x:v>Нет связи</x:v>
      </x:c>
      <x:c r="G732" t="str">
        <x:v>High</x:v>
      </x:c>
      <x:c r="H732" t="str">
        <x:v>client_id</x:v>
      </x:c>
      <x:c r="I732" t="str">
        <x:v>Исправить ссылку или разрешить дубли связанного ID</x:v>
      </x:c>
      <x:c r="J732" t="n">
        <x:f>IF(D732=1,K732,0)</x:f>
        <x:v>0</x:v>
      </x:c>
      <x:c r="K732" t="n">
        <x:f>D732+K731</x:f>
        <x:v>10</x:v>
      </x:c>
    </x:row>
    <x:row r="733">
      <x:c r="A733" t="str">
        <x:v>Order</x:v>
      </x:c>
      <x:c r="B733" t="n">
        <x:f>'04_checks'!B106</x:f>
        <x:v>1105</x:v>
      </x:c>
      <x:c r="C733" t="n">
        <x:v>106</x:v>
      </x:c>
      <x:c r="D733" t="n">
        <x:f>IF('04_checks'!F106="ERROR",1,0)</x:f>
        <x:v>0</x:v>
      </x:c>
      <x:c r="E733" t="str">
        <x:v>Order:106:4</x:v>
      </x:c>
      <x:c r="F733" t="str">
        <x:v>Ошибка расчета</x:v>
      </x:c>
      <x:c r="G733" t="str">
        <x:v>High</x:v>
      </x:c>
      <x:c r="H733" t="str">
        <x:v>quantity/price/order_sum</x:v>
      </x:c>
      <x:c r="I733" t="str">
        <x:v>Сверить исходные значения и правило расчёта</x:v>
      </x:c>
      <x:c r="J733" t="n">
        <x:f>IF(D733=1,K733,0)</x:f>
        <x:v>0</x:v>
      </x:c>
      <x:c r="K733" t="n">
        <x:f>D733+K732</x:f>
        <x:v>10</x:v>
      </x:c>
    </x:row>
    <x:row r="734">
      <x:c r="A734" t="str">
        <x:v>Order</x:v>
      </x:c>
      <x:c r="B734" t="n">
        <x:f>'04_checks'!B106</x:f>
        <x:v>1105</x:v>
      </x:c>
      <x:c r="C734" t="n">
        <x:v>106</x:v>
      </x:c>
      <x:c r="D734" t="n">
        <x:f>IF('04_checks'!G106="ERROR",1,0)</x:f>
        <x:v>0</x:v>
      </x:c>
      <x:c r="E734" t="str">
        <x:v>Order:106:5</x:v>
      </x:c>
      <x:c r="F734" t="str">
        <x:v>Отрицательная цена</x:v>
      </x:c>
      <x:c r="G734" t="str">
        <x:v>High</x:v>
      </x:c>
      <x:c r="H734" t="str">
        <x:v>price</x:v>
      </x:c>
      <x:c r="I734" t="str">
        <x:v>Проверить цену в источнике</x:v>
      </x:c>
      <x:c r="J734" t="n">
        <x:f>IF(D734=1,K734,0)</x:f>
        <x:v>0</x:v>
      </x:c>
      <x:c r="K734" t="n">
        <x:f>D734+K733</x:f>
        <x:v>10</x:v>
      </x:c>
    </x:row>
    <x:row r="735">
      <x:c r="A735" t="str">
        <x:v>Order</x:v>
      </x:c>
      <x:c r="B735" t="n">
        <x:f>'04_checks'!B106</x:f>
        <x:v>1105</x:v>
      </x:c>
      <x:c r="C735" t="n">
        <x:v>106</x:v>
      </x:c>
      <x:c r="D735" t="n">
        <x:f>IF('04_checks'!H106="ERROR",1,0)</x:f>
        <x:v>0</x:v>
      </x:c>
      <x:c r="E735" t="str">
        <x:v>Order:106:6</x:v>
      </x:c>
      <x:c r="F735" t="str">
        <x:v>Дата</x:v>
      </x:c>
      <x:c r="G735" t="str">
        <x:v>Medium</x:v>
      </x:c>
      <x:c r="H735" t="str">
        <x:v>order_date</x:v>
      </x:c>
      <x:c r="I735" t="str">
        <x:v>Сверить дату со срезом и исходной записью</x:v>
      </x:c>
      <x:c r="J735" t="n">
        <x:f>IF(D735=1,K735,0)</x:f>
        <x:v>0</x:v>
      </x:c>
      <x:c r="K735" t="n">
        <x:f>D735+K734</x:f>
        <x:v>10</x:v>
      </x:c>
    </x:row>
    <x:row r="736">
      <x:c r="A736" t="str">
        <x:v>Order</x:v>
      </x:c>
      <x:c r="B736" t="n">
        <x:f>'04_checks'!B106</x:f>
        <x:v>1105</x:v>
      </x:c>
      <x:c r="C736" t="n">
        <x:v>106</x:v>
      </x:c>
      <x:c r="D736" t="n">
        <x:f>IF('04_checks'!I106="ERROR",1,0)</x:f>
        <x:v>0</x:v>
      </x:c>
      <x:c r="E736" t="str">
        <x:v>Order:106:7</x:v>
      </x:c>
      <x:c r="F736" t="str">
        <x:v>Статус</x:v>
      </x:c>
      <x:c r="G736" t="str">
        <x:v>Medium</x:v>
      </x:c>
      <x:c r="H736" t="str">
        <x:v>status</x:v>
      </x:c>
      <x:c r="I736" t="str">
        <x:v>Выбрать допустимый статус</x:v>
      </x:c>
      <x:c r="J736" t="n">
        <x:f>IF(D736=1,K736,0)</x:f>
        <x:v>0</x:v>
      </x:c>
      <x:c r="K736" t="n">
        <x:f>D736+K735</x:f>
        <x:v>10</x:v>
      </x:c>
    </x:row>
    <x:row r="737">
      <x:c r="A737" t="str">
        <x:v>Order</x:v>
      </x:c>
      <x:c r="B737" t="n">
        <x:f>'04_checks'!B107</x:f>
        <x:v>1106</x:v>
      </x:c>
      <x:c r="C737" t="n">
        <x:v>107</x:v>
      </x:c>
      <x:c r="D737" t="n">
        <x:f>IF('04_checks'!C107="ERROR",1,0)</x:f>
        <x:v>0</x:v>
      </x:c>
      <x:c r="E737" t="str">
        <x:v>Order:107:1</x:v>
      </x:c>
      <x:c r="F737" t="str">
        <x:v>Дубль</x:v>
      </x:c>
      <x:c r="G737" t="str">
        <x:v>High</x:v>
      </x:c>
      <x:c r="H737" t="str">
        <x:v>order_id</x:v>
      </x:c>
      <x:c r="I737" t="str">
        <x:v>Проверить уникальность ID в источнике; не удалять записи автоматически</x:v>
      </x:c>
      <x:c r="J737" t="n">
        <x:f>IF(D737=1,K737,0)</x:f>
        <x:v>0</x:v>
      </x:c>
      <x:c r="K737" t="n">
        <x:f>D737+K736</x:f>
        <x:v>10</x:v>
      </x:c>
    </x:row>
    <x:row r="738">
      <x:c r="A738" t="str">
        <x:v>Order</x:v>
      </x:c>
      <x:c r="B738" t="n">
        <x:f>'04_checks'!B107</x:f>
        <x:v>1106</x:v>
      </x:c>
      <x:c r="C738" t="n">
        <x:v>107</x:v>
      </x:c>
      <x:c r="D738" t="n">
        <x:f>IF('04_checks'!D107="ERROR",1,0)</x:f>
        <x:v>0</x:v>
      </x:c>
      <x:c r="E738" t="str">
        <x:v>Order:107:2</x:v>
      </x:c>
      <x:c r="F738" t="str">
        <x:v>Пустое поле</x:v>
      </x:c>
      <x:c r="G738" t="str">
        <x:v>High</x:v>
      </x:c>
      <x:c r="H738" t="str">
        <x:v>required_fields</x:v>
      </x:c>
      <x:c r="I738" t="str">
        <x:v>Дополнить обязательные поля в источнике</x:v>
      </x:c>
      <x:c r="J738" t="n">
        <x:f>IF(D738=1,K738,0)</x:f>
        <x:v>0</x:v>
      </x:c>
      <x:c r="K738" t="n">
        <x:f>D738+K737</x:f>
        <x:v>10</x:v>
      </x:c>
    </x:row>
    <x:row r="739">
      <x:c r="A739" t="str">
        <x:v>Order</x:v>
      </x:c>
      <x:c r="B739" t="n">
        <x:f>'04_checks'!B107</x:f>
        <x:v>1106</x:v>
      </x:c>
      <x:c r="C739" t="n">
        <x:v>107</x:v>
      </x:c>
      <x:c r="D739" t="n">
        <x:f>IF('04_checks'!E107="ERROR",1,0)</x:f>
        <x:v>0</x:v>
      </x:c>
      <x:c r="E739" t="str">
        <x:v>Order:107:3</x:v>
      </x:c>
      <x:c r="F739" t="str">
        <x:f>IF(COUNTIF('02_clients_raw'!$A$2:$A$67,'01_orders_raw'!C107)&gt;1,"Неоднозначная связь","Нет связи")</x:f>
        <x:v>Нет связи</x:v>
      </x:c>
      <x:c r="G739" t="str">
        <x:v>High</x:v>
      </x:c>
      <x:c r="H739" t="str">
        <x:v>client_id</x:v>
      </x:c>
      <x:c r="I739" t="str">
        <x:v>Исправить ссылку или разрешить дубли связанного ID</x:v>
      </x:c>
      <x:c r="J739" t="n">
        <x:f>IF(D739=1,K739,0)</x:f>
        <x:v>0</x:v>
      </x:c>
      <x:c r="K739" t="n">
        <x:f>D739+K738</x:f>
        <x:v>10</x:v>
      </x:c>
    </x:row>
    <x:row r="740">
      <x:c r="A740" t="str">
        <x:v>Order</x:v>
      </x:c>
      <x:c r="B740" t="n">
        <x:f>'04_checks'!B107</x:f>
        <x:v>1106</x:v>
      </x:c>
      <x:c r="C740" t="n">
        <x:v>107</x:v>
      </x:c>
      <x:c r="D740" t="n">
        <x:f>IF('04_checks'!F107="ERROR",1,0)</x:f>
        <x:v>0</x:v>
      </x:c>
      <x:c r="E740" t="str">
        <x:v>Order:107:4</x:v>
      </x:c>
      <x:c r="F740" t="str">
        <x:v>Ошибка расчета</x:v>
      </x:c>
      <x:c r="G740" t="str">
        <x:v>High</x:v>
      </x:c>
      <x:c r="H740" t="str">
        <x:v>quantity/price/order_sum</x:v>
      </x:c>
      <x:c r="I740" t="str">
        <x:v>Сверить исходные значения и правило расчёта</x:v>
      </x:c>
      <x:c r="J740" t="n">
        <x:f>IF(D740=1,K740,0)</x:f>
        <x:v>0</x:v>
      </x:c>
      <x:c r="K740" t="n">
        <x:f>D740+K739</x:f>
        <x:v>10</x:v>
      </x:c>
    </x:row>
    <x:row r="741">
      <x:c r="A741" t="str">
        <x:v>Order</x:v>
      </x:c>
      <x:c r="B741" t="n">
        <x:f>'04_checks'!B107</x:f>
        <x:v>1106</x:v>
      </x:c>
      <x:c r="C741" t="n">
        <x:v>107</x:v>
      </x:c>
      <x:c r="D741" t="n">
        <x:f>IF('04_checks'!G107="ERROR",1,0)</x:f>
        <x:v>0</x:v>
      </x:c>
      <x:c r="E741" t="str">
        <x:v>Order:107:5</x:v>
      </x:c>
      <x:c r="F741" t="str">
        <x:v>Отрицательная цена</x:v>
      </x:c>
      <x:c r="G741" t="str">
        <x:v>High</x:v>
      </x:c>
      <x:c r="H741" t="str">
        <x:v>price</x:v>
      </x:c>
      <x:c r="I741" t="str">
        <x:v>Проверить цену в источнике</x:v>
      </x:c>
      <x:c r="J741" t="n">
        <x:f>IF(D741=1,K741,0)</x:f>
        <x:v>0</x:v>
      </x:c>
      <x:c r="K741" t="n">
        <x:f>D741+K740</x:f>
        <x:v>10</x:v>
      </x:c>
    </x:row>
    <x:row r="742">
      <x:c r="A742" t="str">
        <x:v>Order</x:v>
      </x:c>
      <x:c r="B742" t="n">
        <x:f>'04_checks'!B107</x:f>
        <x:v>1106</x:v>
      </x:c>
      <x:c r="C742" t="n">
        <x:v>107</x:v>
      </x:c>
      <x:c r="D742" t="n">
        <x:f>IF('04_checks'!H107="ERROR",1,0)</x:f>
        <x:v>0</x:v>
      </x:c>
      <x:c r="E742" t="str">
        <x:v>Order:107:6</x:v>
      </x:c>
      <x:c r="F742" t="str">
        <x:v>Дата</x:v>
      </x:c>
      <x:c r="G742" t="str">
        <x:v>Medium</x:v>
      </x:c>
      <x:c r="H742" t="str">
        <x:v>order_date</x:v>
      </x:c>
      <x:c r="I742" t="str">
        <x:v>Сверить дату со срезом и исходной записью</x:v>
      </x:c>
      <x:c r="J742" t="n">
        <x:f>IF(D742=1,K742,0)</x:f>
        <x:v>0</x:v>
      </x:c>
      <x:c r="K742" t="n">
        <x:f>D742+K741</x:f>
        <x:v>10</x:v>
      </x:c>
    </x:row>
    <x:row r="743">
      <x:c r="A743" t="str">
        <x:v>Order</x:v>
      </x:c>
      <x:c r="B743" t="n">
        <x:f>'04_checks'!B107</x:f>
        <x:v>1106</x:v>
      </x:c>
      <x:c r="C743" t="n">
        <x:v>107</x:v>
      </x:c>
      <x:c r="D743" t="n">
        <x:f>IF('04_checks'!I107="ERROR",1,0)</x:f>
        <x:v>0</x:v>
      </x:c>
      <x:c r="E743" t="str">
        <x:v>Order:107:7</x:v>
      </x:c>
      <x:c r="F743" t="str">
        <x:v>Статус</x:v>
      </x:c>
      <x:c r="G743" t="str">
        <x:v>Medium</x:v>
      </x:c>
      <x:c r="H743" t="str">
        <x:v>status</x:v>
      </x:c>
      <x:c r="I743" t="str">
        <x:v>Выбрать допустимый статус</x:v>
      </x:c>
      <x:c r="J743" t="n">
        <x:f>IF(D743=1,K743,0)</x:f>
        <x:v>0</x:v>
      </x:c>
      <x:c r="K743" t="n">
        <x:f>D743+K742</x:f>
        <x:v>10</x:v>
      </x:c>
    </x:row>
    <x:row r="744">
      <x:c r="A744" t="str">
        <x:v>Order</x:v>
      </x:c>
      <x:c r="B744" t="n">
        <x:f>'04_checks'!B108</x:f>
        <x:v>1107</x:v>
      </x:c>
      <x:c r="C744" t="n">
        <x:v>108</x:v>
      </x:c>
      <x:c r="D744" t="n">
        <x:f>IF('04_checks'!C108="ERROR",1,0)</x:f>
        <x:v>0</x:v>
      </x:c>
      <x:c r="E744" t="str">
        <x:v>Order:108:1</x:v>
      </x:c>
      <x:c r="F744" t="str">
        <x:v>Дубль</x:v>
      </x:c>
      <x:c r="G744" t="str">
        <x:v>High</x:v>
      </x:c>
      <x:c r="H744" t="str">
        <x:v>order_id</x:v>
      </x:c>
      <x:c r="I744" t="str">
        <x:v>Проверить уникальность ID в источнике; не удалять записи автоматически</x:v>
      </x:c>
      <x:c r="J744" t="n">
        <x:f>IF(D744=1,K744,0)</x:f>
        <x:v>0</x:v>
      </x:c>
      <x:c r="K744" t="n">
        <x:f>D744+K743</x:f>
        <x:v>10</x:v>
      </x:c>
    </x:row>
    <x:row r="745">
      <x:c r="A745" t="str">
        <x:v>Order</x:v>
      </x:c>
      <x:c r="B745" t="n">
        <x:f>'04_checks'!B108</x:f>
        <x:v>1107</x:v>
      </x:c>
      <x:c r="C745" t="n">
        <x:v>108</x:v>
      </x:c>
      <x:c r="D745" t="n">
        <x:f>IF('04_checks'!D108="ERROR",1,0)</x:f>
        <x:v>0</x:v>
      </x:c>
      <x:c r="E745" t="str">
        <x:v>Order:108:2</x:v>
      </x:c>
      <x:c r="F745" t="str">
        <x:v>Пустое поле</x:v>
      </x:c>
      <x:c r="G745" t="str">
        <x:v>High</x:v>
      </x:c>
      <x:c r="H745" t="str">
        <x:v>required_fields</x:v>
      </x:c>
      <x:c r="I745" t="str">
        <x:v>Дополнить обязательные поля в источнике</x:v>
      </x:c>
      <x:c r="J745" t="n">
        <x:f>IF(D745=1,K745,0)</x:f>
        <x:v>0</x:v>
      </x:c>
      <x:c r="K745" t="n">
        <x:f>D745+K744</x:f>
        <x:v>10</x:v>
      </x:c>
    </x:row>
    <x:row r="746">
      <x:c r="A746" t="str">
        <x:v>Order</x:v>
      </x:c>
      <x:c r="B746" t="n">
        <x:f>'04_checks'!B108</x:f>
        <x:v>1107</x:v>
      </x:c>
      <x:c r="C746" t="n">
        <x:v>108</x:v>
      </x:c>
      <x:c r="D746" t="n">
        <x:f>IF('04_checks'!E108="ERROR",1,0)</x:f>
        <x:v>0</x:v>
      </x:c>
      <x:c r="E746" t="str">
        <x:v>Order:108:3</x:v>
      </x:c>
      <x:c r="F746" t="str">
        <x:f>IF(COUNTIF('02_clients_raw'!$A$2:$A$67,'01_orders_raw'!C108)&gt;1,"Неоднозначная связь","Нет связи")</x:f>
        <x:v>Нет связи</x:v>
      </x:c>
      <x:c r="G746" t="str">
        <x:v>High</x:v>
      </x:c>
      <x:c r="H746" t="str">
        <x:v>client_id</x:v>
      </x:c>
      <x:c r="I746" t="str">
        <x:v>Исправить ссылку или разрешить дубли связанного ID</x:v>
      </x:c>
      <x:c r="J746" t="n">
        <x:f>IF(D746=1,K746,0)</x:f>
        <x:v>0</x:v>
      </x:c>
      <x:c r="K746" t="n">
        <x:f>D746+K745</x:f>
        <x:v>10</x:v>
      </x:c>
    </x:row>
    <x:row r="747">
      <x:c r="A747" t="str">
        <x:v>Order</x:v>
      </x:c>
      <x:c r="B747" t="n">
        <x:f>'04_checks'!B108</x:f>
        <x:v>1107</x:v>
      </x:c>
      <x:c r="C747" t="n">
        <x:v>108</x:v>
      </x:c>
      <x:c r="D747" t="n">
        <x:f>IF('04_checks'!F108="ERROR",1,0)</x:f>
        <x:v>0</x:v>
      </x:c>
      <x:c r="E747" t="str">
        <x:v>Order:108:4</x:v>
      </x:c>
      <x:c r="F747" t="str">
        <x:v>Ошибка расчета</x:v>
      </x:c>
      <x:c r="G747" t="str">
        <x:v>High</x:v>
      </x:c>
      <x:c r="H747" t="str">
        <x:v>quantity/price/order_sum</x:v>
      </x:c>
      <x:c r="I747" t="str">
        <x:v>Сверить исходные значения и правило расчёта</x:v>
      </x:c>
      <x:c r="J747" t="n">
        <x:f>IF(D747=1,K747,0)</x:f>
        <x:v>0</x:v>
      </x:c>
      <x:c r="K747" t="n">
        <x:f>D747+K746</x:f>
        <x:v>10</x:v>
      </x:c>
    </x:row>
    <x:row r="748">
      <x:c r="A748" t="str">
        <x:v>Order</x:v>
      </x:c>
      <x:c r="B748" t="n">
        <x:f>'04_checks'!B108</x:f>
        <x:v>1107</x:v>
      </x:c>
      <x:c r="C748" t="n">
        <x:v>108</x:v>
      </x:c>
      <x:c r="D748" t="n">
        <x:f>IF('04_checks'!G108="ERROR",1,0)</x:f>
        <x:v>0</x:v>
      </x:c>
      <x:c r="E748" t="str">
        <x:v>Order:108:5</x:v>
      </x:c>
      <x:c r="F748" t="str">
        <x:v>Отрицательная цена</x:v>
      </x:c>
      <x:c r="G748" t="str">
        <x:v>High</x:v>
      </x:c>
      <x:c r="H748" t="str">
        <x:v>price</x:v>
      </x:c>
      <x:c r="I748" t="str">
        <x:v>Проверить цену в источнике</x:v>
      </x:c>
      <x:c r="J748" t="n">
        <x:f>IF(D748=1,K748,0)</x:f>
        <x:v>0</x:v>
      </x:c>
      <x:c r="K748" t="n">
        <x:f>D748+K747</x:f>
        <x:v>10</x:v>
      </x:c>
    </x:row>
    <x:row r="749">
      <x:c r="A749" t="str">
        <x:v>Order</x:v>
      </x:c>
      <x:c r="B749" t="n">
        <x:f>'04_checks'!B108</x:f>
        <x:v>1107</x:v>
      </x:c>
      <x:c r="C749" t="n">
        <x:v>108</x:v>
      </x:c>
      <x:c r="D749" t="n">
        <x:f>IF('04_checks'!H108="ERROR",1,0)</x:f>
        <x:v>0</x:v>
      </x:c>
      <x:c r="E749" t="str">
        <x:v>Order:108:6</x:v>
      </x:c>
      <x:c r="F749" t="str">
        <x:v>Дата</x:v>
      </x:c>
      <x:c r="G749" t="str">
        <x:v>Medium</x:v>
      </x:c>
      <x:c r="H749" t="str">
        <x:v>order_date</x:v>
      </x:c>
      <x:c r="I749" t="str">
        <x:v>Сверить дату со срезом и исходной записью</x:v>
      </x:c>
      <x:c r="J749" t="n">
        <x:f>IF(D749=1,K749,0)</x:f>
        <x:v>0</x:v>
      </x:c>
      <x:c r="K749" t="n">
        <x:f>D749+K748</x:f>
        <x:v>10</x:v>
      </x:c>
    </x:row>
    <x:row r="750">
      <x:c r="A750" t="str">
        <x:v>Order</x:v>
      </x:c>
      <x:c r="B750" t="n">
        <x:f>'04_checks'!B108</x:f>
        <x:v>1107</x:v>
      </x:c>
      <x:c r="C750" t="n">
        <x:v>108</x:v>
      </x:c>
      <x:c r="D750" t="n">
        <x:f>IF('04_checks'!I108="ERROR",1,0)</x:f>
        <x:v>0</x:v>
      </x:c>
      <x:c r="E750" t="str">
        <x:v>Order:108:7</x:v>
      </x:c>
      <x:c r="F750" t="str">
        <x:v>Статус</x:v>
      </x:c>
      <x:c r="G750" t="str">
        <x:v>Medium</x:v>
      </x:c>
      <x:c r="H750" t="str">
        <x:v>status</x:v>
      </x:c>
      <x:c r="I750" t="str">
        <x:v>Выбрать допустимый статус</x:v>
      </x:c>
      <x:c r="J750" t="n">
        <x:f>IF(D750=1,K750,0)</x:f>
        <x:v>0</x:v>
      </x:c>
      <x:c r="K750" t="n">
        <x:f>D750+K749</x:f>
        <x:v>10</x:v>
      </x:c>
    </x:row>
    <x:row r="751">
      <x:c r="A751" t="str">
        <x:v>Order</x:v>
      </x:c>
      <x:c r="B751" t="n">
        <x:f>'04_checks'!B109</x:f>
        <x:v>1108</x:v>
      </x:c>
      <x:c r="C751" t="n">
        <x:v>109</x:v>
      </x:c>
      <x:c r="D751" t="n">
        <x:f>IF('04_checks'!C109="ERROR",1,0)</x:f>
        <x:v>0</x:v>
      </x:c>
      <x:c r="E751" t="str">
        <x:v>Order:109:1</x:v>
      </x:c>
      <x:c r="F751" t="str">
        <x:v>Дубль</x:v>
      </x:c>
      <x:c r="G751" t="str">
        <x:v>High</x:v>
      </x:c>
      <x:c r="H751" t="str">
        <x:v>order_id</x:v>
      </x:c>
      <x:c r="I751" t="str">
        <x:v>Проверить уникальность ID в источнике; не удалять записи автоматически</x:v>
      </x:c>
      <x:c r="J751" t="n">
        <x:f>IF(D751=1,K751,0)</x:f>
        <x:v>0</x:v>
      </x:c>
      <x:c r="K751" t="n">
        <x:f>D751+K750</x:f>
        <x:v>10</x:v>
      </x:c>
    </x:row>
    <x:row r="752">
      <x:c r="A752" t="str">
        <x:v>Order</x:v>
      </x:c>
      <x:c r="B752" t="n">
        <x:f>'04_checks'!B109</x:f>
        <x:v>1108</x:v>
      </x:c>
      <x:c r="C752" t="n">
        <x:v>109</x:v>
      </x:c>
      <x:c r="D752" t="n">
        <x:f>IF('04_checks'!D109="ERROR",1,0)</x:f>
        <x:v>0</x:v>
      </x:c>
      <x:c r="E752" t="str">
        <x:v>Order:109:2</x:v>
      </x:c>
      <x:c r="F752" t="str">
        <x:v>Пустое поле</x:v>
      </x:c>
      <x:c r="G752" t="str">
        <x:v>High</x:v>
      </x:c>
      <x:c r="H752" t="str">
        <x:v>required_fields</x:v>
      </x:c>
      <x:c r="I752" t="str">
        <x:v>Дополнить обязательные поля в источнике</x:v>
      </x:c>
      <x:c r="J752" t="n">
        <x:f>IF(D752=1,K752,0)</x:f>
        <x:v>0</x:v>
      </x:c>
      <x:c r="K752" t="n">
        <x:f>D752+K751</x:f>
        <x:v>10</x:v>
      </x:c>
    </x:row>
    <x:row r="753">
      <x:c r="A753" t="str">
        <x:v>Order</x:v>
      </x:c>
      <x:c r="B753" t="n">
        <x:f>'04_checks'!B109</x:f>
        <x:v>1108</x:v>
      </x:c>
      <x:c r="C753" t="n">
        <x:v>109</x:v>
      </x:c>
      <x:c r="D753" t="n">
        <x:f>IF('04_checks'!E109="ERROR",1,0)</x:f>
        <x:v>0</x:v>
      </x:c>
      <x:c r="E753" t="str">
        <x:v>Order:109:3</x:v>
      </x:c>
      <x:c r="F753" t="str">
        <x:f>IF(COUNTIF('02_clients_raw'!$A$2:$A$67,'01_orders_raw'!C109)&gt;1,"Неоднозначная связь","Нет связи")</x:f>
        <x:v>Нет связи</x:v>
      </x:c>
      <x:c r="G753" t="str">
        <x:v>High</x:v>
      </x:c>
      <x:c r="H753" t="str">
        <x:v>client_id</x:v>
      </x:c>
      <x:c r="I753" t="str">
        <x:v>Исправить ссылку или разрешить дубли связанного ID</x:v>
      </x:c>
      <x:c r="J753" t="n">
        <x:f>IF(D753=1,K753,0)</x:f>
        <x:v>0</x:v>
      </x:c>
      <x:c r="K753" t="n">
        <x:f>D753+K752</x:f>
        <x:v>10</x:v>
      </x:c>
    </x:row>
    <x:row r="754">
      <x:c r="A754" t="str">
        <x:v>Order</x:v>
      </x:c>
      <x:c r="B754" t="n">
        <x:f>'04_checks'!B109</x:f>
        <x:v>1108</x:v>
      </x:c>
      <x:c r="C754" t="n">
        <x:v>109</x:v>
      </x:c>
      <x:c r="D754" t="n">
        <x:f>IF('04_checks'!F109="ERROR",1,0)</x:f>
        <x:v>0</x:v>
      </x:c>
      <x:c r="E754" t="str">
        <x:v>Order:109:4</x:v>
      </x:c>
      <x:c r="F754" t="str">
        <x:v>Ошибка расчета</x:v>
      </x:c>
      <x:c r="G754" t="str">
        <x:v>High</x:v>
      </x:c>
      <x:c r="H754" t="str">
        <x:v>quantity/price/order_sum</x:v>
      </x:c>
      <x:c r="I754" t="str">
        <x:v>Сверить исходные значения и правило расчёта</x:v>
      </x:c>
      <x:c r="J754" t="n">
        <x:f>IF(D754=1,K754,0)</x:f>
        <x:v>0</x:v>
      </x:c>
      <x:c r="K754" t="n">
        <x:f>D754+K753</x:f>
        <x:v>10</x:v>
      </x:c>
    </x:row>
    <x:row r="755">
      <x:c r="A755" t="str">
        <x:v>Order</x:v>
      </x:c>
      <x:c r="B755" t="n">
        <x:f>'04_checks'!B109</x:f>
        <x:v>1108</x:v>
      </x:c>
      <x:c r="C755" t="n">
        <x:v>109</x:v>
      </x:c>
      <x:c r="D755" t="n">
        <x:f>IF('04_checks'!G109="ERROR",1,0)</x:f>
        <x:v>0</x:v>
      </x:c>
      <x:c r="E755" t="str">
        <x:v>Order:109:5</x:v>
      </x:c>
      <x:c r="F755" t="str">
        <x:v>Отрицательная цена</x:v>
      </x:c>
      <x:c r="G755" t="str">
        <x:v>High</x:v>
      </x:c>
      <x:c r="H755" t="str">
        <x:v>price</x:v>
      </x:c>
      <x:c r="I755" t="str">
        <x:v>Проверить цену в источнике</x:v>
      </x:c>
      <x:c r="J755" t="n">
        <x:f>IF(D755=1,K755,0)</x:f>
        <x:v>0</x:v>
      </x:c>
      <x:c r="K755" t="n">
        <x:f>D755+K754</x:f>
        <x:v>10</x:v>
      </x:c>
    </x:row>
    <x:row r="756">
      <x:c r="A756" t="str">
        <x:v>Order</x:v>
      </x:c>
      <x:c r="B756" t="n">
        <x:f>'04_checks'!B109</x:f>
        <x:v>1108</x:v>
      </x:c>
      <x:c r="C756" t="n">
        <x:v>109</x:v>
      </x:c>
      <x:c r="D756" t="n">
        <x:f>IF('04_checks'!H109="ERROR",1,0)</x:f>
        <x:v>0</x:v>
      </x:c>
      <x:c r="E756" t="str">
        <x:v>Order:109:6</x:v>
      </x:c>
      <x:c r="F756" t="str">
        <x:v>Дата</x:v>
      </x:c>
      <x:c r="G756" t="str">
        <x:v>Medium</x:v>
      </x:c>
      <x:c r="H756" t="str">
        <x:v>order_date</x:v>
      </x:c>
      <x:c r="I756" t="str">
        <x:v>Сверить дату со срезом и исходной записью</x:v>
      </x:c>
      <x:c r="J756" t="n">
        <x:f>IF(D756=1,K756,0)</x:f>
        <x:v>0</x:v>
      </x:c>
      <x:c r="K756" t="n">
        <x:f>D756+K755</x:f>
        <x:v>10</x:v>
      </x:c>
    </x:row>
    <x:row r="757">
      <x:c r="A757" t="str">
        <x:v>Order</x:v>
      </x:c>
      <x:c r="B757" t="n">
        <x:f>'04_checks'!B109</x:f>
        <x:v>1108</x:v>
      </x:c>
      <x:c r="C757" t="n">
        <x:v>109</x:v>
      </x:c>
      <x:c r="D757" t="n">
        <x:f>IF('04_checks'!I109="ERROR",1,0)</x:f>
        <x:v>0</x:v>
      </x:c>
      <x:c r="E757" t="str">
        <x:v>Order:109:7</x:v>
      </x:c>
      <x:c r="F757" t="str">
        <x:v>Статус</x:v>
      </x:c>
      <x:c r="G757" t="str">
        <x:v>Medium</x:v>
      </x:c>
      <x:c r="H757" t="str">
        <x:v>status</x:v>
      </x:c>
      <x:c r="I757" t="str">
        <x:v>Выбрать допустимый статус</x:v>
      </x:c>
      <x:c r="J757" t="n">
        <x:f>IF(D757=1,K757,0)</x:f>
        <x:v>0</x:v>
      </x:c>
      <x:c r="K757" t="n">
        <x:f>D757+K756</x:f>
        <x:v>10</x:v>
      </x:c>
    </x:row>
    <x:row r="758">
      <x:c r="A758" t="str">
        <x:v>Order</x:v>
      </x:c>
      <x:c r="B758" t="n">
        <x:f>'04_checks'!B110</x:f>
        <x:v>1109</x:v>
      </x:c>
      <x:c r="C758" t="n">
        <x:v>110</x:v>
      </x:c>
      <x:c r="D758" t="n">
        <x:f>IF('04_checks'!C110="ERROR",1,0)</x:f>
        <x:v>0</x:v>
      </x:c>
      <x:c r="E758" t="str">
        <x:v>Order:110:1</x:v>
      </x:c>
      <x:c r="F758" t="str">
        <x:v>Дубль</x:v>
      </x:c>
      <x:c r="G758" t="str">
        <x:v>High</x:v>
      </x:c>
      <x:c r="H758" t="str">
        <x:v>order_id</x:v>
      </x:c>
      <x:c r="I758" t="str">
        <x:v>Проверить уникальность ID в источнике; не удалять записи автоматически</x:v>
      </x:c>
      <x:c r="J758" t="n">
        <x:f>IF(D758=1,K758,0)</x:f>
        <x:v>0</x:v>
      </x:c>
      <x:c r="K758" t="n">
        <x:f>D758+K757</x:f>
        <x:v>10</x:v>
      </x:c>
    </x:row>
    <x:row r="759">
      <x:c r="A759" t="str">
        <x:v>Order</x:v>
      </x:c>
      <x:c r="B759" t="n">
        <x:f>'04_checks'!B110</x:f>
        <x:v>1109</x:v>
      </x:c>
      <x:c r="C759" t="n">
        <x:v>110</x:v>
      </x:c>
      <x:c r="D759" t="n">
        <x:f>IF('04_checks'!D110="ERROR",1,0)</x:f>
        <x:v>0</x:v>
      </x:c>
      <x:c r="E759" t="str">
        <x:v>Order:110:2</x:v>
      </x:c>
      <x:c r="F759" t="str">
        <x:v>Пустое поле</x:v>
      </x:c>
      <x:c r="G759" t="str">
        <x:v>High</x:v>
      </x:c>
      <x:c r="H759" t="str">
        <x:v>required_fields</x:v>
      </x:c>
      <x:c r="I759" t="str">
        <x:v>Дополнить обязательные поля в источнике</x:v>
      </x:c>
      <x:c r="J759" t="n">
        <x:f>IF(D759=1,K759,0)</x:f>
        <x:v>0</x:v>
      </x:c>
      <x:c r="K759" t="n">
        <x:f>D759+K758</x:f>
        <x:v>10</x:v>
      </x:c>
    </x:row>
    <x:row r="760">
      <x:c r="A760" t="str">
        <x:v>Order</x:v>
      </x:c>
      <x:c r="B760" t="n">
        <x:f>'04_checks'!B110</x:f>
        <x:v>1109</x:v>
      </x:c>
      <x:c r="C760" t="n">
        <x:v>110</x:v>
      </x:c>
      <x:c r="D760" t="n">
        <x:f>IF('04_checks'!E110="ERROR",1,0)</x:f>
        <x:v>0</x:v>
      </x:c>
      <x:c r="E760" t="str">
        <x:v>Order:110:3</x:v>
      </x:c>
      <x:c r="F760" t="str">
        <x:f>IF(COUNTIF('02_clients_raw'!$A$2:$A$67,'01_orders_raw'!C110)&gt;1,"Неоднозначная связь","Нет связи")</x:f>
        <x:v>Нет связи</x:v>
      </x:c>
      <x:c r="G760" t="str">
        <x:v>High</x:v>
      </x:c>
      <x:c r="H760" t="str">
        <x:v>client_id</x:v>
      </x:c>
      <x:c r="I760" t="str">
        <x:v>Исправить ссылку или разрешить дубли связанного ID</x:v>
      </x:c>
      <x:c r="J760" t="n">
        <x:f>IF(D760=1,K760,0)</x:f>
        <x:v>0</x:v>
      </x:c>
      <x:c r="K760" t="n">
        <x:f>D760+K759</x:f>
        <x:v>10</x:v>
      </x:c>
    </x:row>
    <x:row r="761">
      <x:c r="A761" t="str">
        <x:v>Order</x:v>
      </x:c>
      <x:c r="B761" t="n">
        <x:f>'04_checks'!B110</x:f>
        <x:v>1109</x:v>
      </x:c>
      <x:c r="C761" t="n">
        <x:v>110</x:v>
      </x:c>
      <x:c r="D761" t="n">
        <x:f>IF('04_checks'!F110="ERROR",1,0)</x:f>
        <x:v>0</x:v>
      </x:c>
      <x:c r="E761" t="str">
        <x:v>Order:110:4</x:v>
      </x:c>
      <x:c r="F761" t="str">
        <x:v>Ошибка расчета</x:v>
      </x:c>
      <x:c r="G761" t="str">
        <x:v>High</x:v>
      </x:c>
      <x:c r="H761" t="str">
        <x:v>quantity/price/order_sum</x:v>
      </x:c>
      <x:c r="I761" t="str">
        <x:v>Сверить исходные значения и правило расчёта</x:v>
      </x:c>
      <x:c r="J761" t="n">
        <x:f>IF(D761=1,K761,0)</x:f>
        <x:v>0</x:v>
      </x:c>
      <x:c r="K761" t="n">
        <x:f>D761+K760</x:f>
        <x:v>10</x:v>
      </x:c>
    </x:row>
    <x:row r="762">
      <x:c r="A762" t="str">
        <x:v>Order</x:v>
      </x:c>
      <x:c r="B762" t="n">
        <x:f>'04_checks'!B110</x:f>
        <x:v>1109</x:v>
      </x:c>
      <x:c r="C762" t="n">
        <x:v>110</x:v>
      </x:c>
      <x:c r="D762" t="n">
        <x:f>IF('04_checks'!G110="ERROR",1,0)</x:f>
        <x:v>0</x:v>
      </x:c>
      <x:c r="E762" t="str">
        <x:v>Order:110:5</x:v>
      </x:c>
      <x:c r="F762" t="str">
        <x:v>Отрицательная цена</x:v>
      </x:c>
      <x:c r="G762" t="str">
        <x:v>High</x:v>
      </x:c>
      <x:c r="H762" t="str">
        <x:v>price</x:v>
      </x:c>
      <x:c r="I762" t="str">
        <x:v>Проверить цену в источнике</x:v>
      </x:c>
      <x:c r="J762" t="n">
        <x:f>IF(D762=1,K762,0)</x:f>
        <x:v>0</x:v>
      </x:c>
      <x:c r="K762" t="n">
        <x:f>D762+K761</x:f>
        <x:v>10</x:v>
      </x:c>
    </x:row>
    <x:row r="763">
      <x:c r="A763" t="str">
        <x:v>Order</x:v>
      </x:c>
      <x:c r="B763" t="n">
        <x:f>'04_checks'!B110</x:f>
        <x:v>1109</x:v>
      </x:c>
      <x:c r="C763" t="n">
        <x:v>110</x:v>
      </x:c>
      <x:c r="D763" t="n">
        <x:f>IF('04_checks'!H110="ERROR",1,0)</x:f>
        <x:v>0</x:v>
      </x:c>
      <x:c r="E763" t="str">
        <x:v>Order:110:6</x:v>
      </x:c>
      <x:c r="F763" t="str">
        <x:v>Дата</x:v>
      </x:c>
      <x:c r="G763" t="str">
        <x:v>Medium</x:v>
      </x:c>
      <x:c r="H763" t="str">
        <x:v>order_date</x:v>
      </x:c>
      <x:c r="I763" t="str">
        <x:v>Сверить дату со срезом и исходной записью</x:v>
      </x:c>
      <x:c r="J763" t="n">
        <x:f>IF(D763=1,K763,0)</x:f>
        <x:v>0</x:v>
      </x:c>
      <x:c r="K763" t="n">
        <x:f>D763+K762</x:f>
        <x:v>10</x:v>
      </x:c>
    </x:row>
    <x:row r="764">
      <x:c r="A764" t="str">
        <x:v>Order</x:v>
      </x:c>
      <x:c r="B764" t="n">
        <x:f>'04_checks'!B110</x:f>
        <x:v>1109</x:v>
      </x:c>
      <x:c r="C764" t="n">
        <x:v>110</x:v>
      </x:c>
      <x:c r="D764" t="n">
        <x:f>IF('04_checks'!I110="ERROR",1,0)</x:f>
        <x:v>0</x:v>
      </x:c>
      <x:c r="E764" t="str">
        <x:v>Order:110:7</x:v>
      </x:c>
      <x:c r="F764" t="str">
        <x:v>Статус</x:v>
      </x:c>
      <x:c r="G764" t="str">
        <x:v>Medium</x:v>
      </x:c>
      <x:c r="H764" t="str">
        <x:v>status</x:v>
      </x:c>
      <x:c r="I764" t="str">
        <x:v>Выбрать допустимый статус</x:v>
      </x:c>
      <x:c r="J764" t="n">
        <x:f>IF(D764=1,K764,0)</x:f>
        <x:v>0</x:v>
      </x:c>
      <x:c r="K764" t="n">
        <x:f>D764+K763</x:f>
        <x:v>10</x:v>
      </x:c>
    </x:row>
    <x:row r="765">
      <x:c r="A765" t="str">
        <x:v>Order</x:v>
      </x:c>
      <x:c r="B765" t="n">
        <x:f>'04_checks'!B111</x:f>
        <x:v>1110</x:v>
      </x:c>
      <x:c r="C765" t="n">
        <x:v>111</x:v>
      </x:c>
      <x:c r="D765" t="n">
        <x:f>IF('04_checks'!C111="ERROR",1,0)</x:f>
        <x:v>0</x:v>
      </x:c>
      <x:c r="E765" t="str">
        <x:v>Order:111:1</x:v>
      </x:c>
      <x:c r="F765" t="str">
        <x:v>Дубль</x:v>
      </x:c>
      <x:c r="G765" t="str">
        <x:v>High</x:v>
      </x:c>
      <x:c r="H765" t="str">
        <x:v>order_id</x:v>
      </x:c>
      <x:c r="I765" t="str">
        <x:v>Проверить уникальность ID в источнике; не удалять записи автоматически</x:v>
      </x:c>
      <x:c r="J765" t="n">
        <x:f>IF(D765=1,K765,0)</x:f>
        <x:v>0</x:v>
      </x:c>
      <x:c r="K765" t="n">
        <x:f>D765+K764</x:f>
        <x:v>10</x:v>
      </x:c>
    </x:row>
    <x:row r="766">
      <x:c r="A766" t="str">
        <x:v>Order</x:v>
      </x:c>
      <x:c r="B766" t="n">
        <x:f>'04_checks'!B111</x:f>
        <x:v>1110</x:v>
      </x:c>
      <x:c r="C766" t="n">
        <x:v>111</x:v>
      </x:c>
      <x:c r="D766" t="n">
        <x:f>IF('04_checks'!D111="ERROR",1,0)</x:f>
        <x:v>0</x:v>
      </x:c>
      <x:c r="E766" t="str">
        <x:v>Order:111:2</x:v>
      </x:c>
      <x:c r="F766" t="str">
        <x:v>Пустое поле</x:v>
      </x:c>
      <x:c r="G766" t="str">
        <x:v>High</x:v>
      </x:c>
      <x:c r="H766" t="str">
        <x:v>required_fields</x:v>
      </x:c>
      <x:c r="I766" t="str">
        <x:v>Дополнить обязательные поля в источнике</x:v>
      </x:c>
      <x:c r="J766" t="n">
        <x:f>IF(D766=1,K766,0)</x:f>
        <x:v>0</x:v>
      </x:c>
      <x:c r="K766" t="n">
        <x:f>D766+K765</x:f>
        <x:v>10</x:v>
      </x:c>
    </x:row>
    <x:row r="767">
      <x:c r="A767" t="str">
        <x:v>Order</x:v>
      </x:c>
      <x:c r="B767" t="n">
        <x:f>'04_checks'!B111</x:f>
        <x:v>1110</x:v>
      </x:c>
      <x:c r="C767" t="n">
        <x:v>111</x:v>
      </x:c>
      <x:c r="D767" t="n">
        <x:f>IF('04_checks'!E111="ERROR",1,0)</x:f>
        <x:v>0</x:v>
      </x:c>
      <x:c r="E767" t="str">
        <x:v>Order:111:3</x:v>
      </x:c>
      <x:c r="F767" t="str">
        <x:f>IF(COUNTIF('02_clients_raw'!$A$2:$A$67,'01_orders_raw'!C111)&gt;1,"Неоднозначная связь","Нет связи")</x:f>
        <x:v>Нет связи</x:v>
      </x:c>
      <x:c r="G767" t="str">
        <x:v>High</x:v>
      </x:c>
      <x:c r="H767" t="str">
        <x:v>client_id</x:v>
      </x:c>
      <x:c r="I767" t="str">
        <x:v>Исправить ссылку или разрешить дубли связанного ID</x:v>
      </x:c>
      <x:c r="J767" t="n">
        <x:f>IF(D767=1,K767,0)</x:f>
        <x:v>0</x:v>
      </x:c>
      <x:c r="K767" t="n">
        <x:f>D767+K766</x:f>
        <x:v>10</x:v>
      </x:c>
    </x:row>
    <x:row r="768">
      <x:c r="A768" t="str">
        <x:v>Order</x:v>
      </x:c>
      <x:c r="B768" t="n">
        <x:f>'04_checks'!B111</x:f>
        <x:v>1110</x:v>
      </x:c>
      <x:c r="C768" t="n">
        <x:v>111</x:v>
      </x:c>
      <x:c r="D768" t="n">
        <x:f>IF('04_checks'!F111="ERROR",1,0)</x:f>
        <x:v>0</x:v>
      </x:c>
      <x:c r="E768" t="str">
        <x:v>Order:111:4</x:v>
      </x:c>
      <x:c r="F768" t="str">
        <x:v>Ошибка расчета</x:v>
      </x:c>
      <x:c r="G768" t="str">
        <x:v>High</x:v>
      </x:c>
      <x:c r="H768" t="str">
        <x:v>quantity/price/order_sum</x:v>
      </x:c>
      <x:c r="I768" t="str">
        <x:v>Сверить исходные значения и правило расчёта</x:v>
      </x:c>
      <x:c r="J768" t="n">
        <x:f>IF(D768=1,K768,0)</x:f>
        <x:v>0</x:v>
      </x:c>
      <x:c r="K768" t="n">
        <x:f>D768+K767</x:f>
        <x:v>10</x:v>
      </x:c>
    </x:row>
    <x:row r="769">
      <x:c r="A769" t="str">
        <x:v>Order</x:v>
      </x:c>
      <x:c r="B769" t="n">
        <x:f>'04_checks'!B111</x:f>
        <x:v>1110</x:v>
      </x:c>
      <x:c r="C769" t="n">
        <x:v>111</x:v>
      </x:c>
      <x:c r="D769" t="n">
        <x:f>IF('04_checks'!G111="ERROR",1,0)</x:f>
        <x:v>0</x:v>
      </x:c>
      <x:c r="E769" t="str">
        <x:v>Order:111:5</x:v>
      </x:c>
      <x:c r="F769" t="str">
        <x:v>Отрицательная цена</x:v>
      </x:c>
      <x:c r="G769" t="str">
        <x:v>High</x:v>
      </x:c>
      <x:c r="H769" t="str">
        <x:v>price</x:v>
      </x:c>
      <x:c r="I769" t="str">
        <x:v>Проверить цену в источнике</x:v>
      </x:c>
      <x:c r="J769" t="n">
        <x:f>IF(D769=1,K769,0)</x:f>
        <x:v>0</x:v>
      </x:c>
      <x:c r="K769" t="n">
        <x:f>D769+K768</x:f>
        <x:v>10</x:v>
      </x:c>
    </x:row>
    <x:row r="770">
      <x:c r="A770" t="str">
        <x:v>Order</x:v>
      </x:c>
      <x:c r="B770" t="n">
        <x:f>'04_checks'!B111</x:f>
        <x:v>1110</x:v>
      </x:c>
      <x:c r="C770" t="n">
        <x:v>111</x:v>
      </x:c>
      <x:c r="D770" t="n">
        <x:f>IF('04_checks'!H111="ERROR",1,0)</x:f>
        <x:v>0</x:v>
      </x:c>
      <x:c r="E770" t="str">
        <x:v>Order:111:6</x:v>
      </x:c>
      <x:c r="F770" t="str">
        <x:v>Дата</x:v>
      </x:c>
      <x:c r="G770" t="str">
        <x:v>Medium</x:v>
      </x:c>
      <x:c r="H770" t="str">
        <x:v>order_date</x:v>
      </x:c>
      <x:c r="I770" t="str">
        <x:v>Сверить дату со срезом и исходной записью</x:v>
      </x:c>
      <x:c r="J770" t="n">
        <x:f>IF(D770=1,K770,0)</x:f>
        <x:v>0</x:v>
      </x:c>
      <x:c r="K770" t="n">
        <x:f>D770+K769</x:f>
        <x:v>10</x:v>
      </x:c>
    </x:row>
    <x:row r="771">
      <x:c r="A771" t="str">
        <x:v>Order</x:v>
      </x:c>
      <x:c r="B771" t="n">
        <x:f>'04_checks'!B111</x:f>
        <x:v>1110</x:v>
      </x:c>
      <x:c r="C771" t="n">
        <x:v>111</x:v>
      </x:c>
      <x:c r="D771" t="n">
        <x:f>IF('04_checks'!I111="ERROR",1,0)</x:f>
        <x:v>0</x:v>
      </x:c>
      <x:c r="E771" t="str">
        <x:v>Order:111:7</x:v>
      </x:c>
      <x:c r="F771" t="str">
        <x:v>Статус</x:v>
      </x:c>
      <x:c r="G771" t="str">
        <x:v>Medium</x:v>
      </x:c>
      <x:c r="H771" t="str">
        <x:v>status</x:v>
      </x:c>
      <x:c r="I771" t="str">
        <x:v>Выбрать допустимый статус</x:v>
      </x:c>
      <x:c r="J771" t="n">
        <x:f>IF(D771=1,K771,0)</x:f>
        <x:v>0</x:v>
      </x:c>
      <x:c r="K771" t="n">
        <x:f>D771+K770</x:f>
        <x:v>10</x:v>
      </x:c>
    </x:row>
    <x:row r="772">
      <x:c r="A772" t="str">
        <x:v>Order</x:v>
      </x:c>
      <x:c r="B772" t="n">
        <x:f>'04_checks'!B112</x:f>
        <x:v>1111</x:v>
      </x:c>
      <x:c r="C772" t="n">
        <x:v>112</x:v>
      </x:c>
      <x:c r="D772" t="n">
        <x:f>IF('04_checks'!C112="ERROR",1,0)</x:f>
        <x:v>0</x:v>
      </x:c>
      <x:c r="E772" t="str">
        <x:v>Order:112:1</x:v>
      </x:c>
      <x:c r="F772" t="str">
        <x:v>Дубль</x:v>
      </x:c>
      <x:c r="G772" t="str">
        <x:v>High</x:v>
      </x:c>
      <x:c r="H772" t="str">
        <x:v>order_id</x:v>
      </x:c>
      <x:c r="I772" t="str">
        <x:v>Проверить уникальность ID в источнике; не удалять записи автоматически</x:v>
      </x:c>
      <x:c r="J772" t="n">
        <x:f>IF(D772=1,K772,0)</x:f>
        <x:v>0</x:v>
      </x:c>
      <x:c r="K772" t="n">
        <x:f>D772+K771</x:f>
        <x:v>10</x:v>
      </x:c>
    </x:row>
    <x:row r="773">
      <x:c r="A773" t="str">
        <x:v>Order</x:v>
      </x:c>
      <x:c r="B773" t="n">
        <x:f>'04_checks'!B112</x:f>
        <x:v>1111</x:v>
      </x:c>
      <x:c r="C773" t="n">
        <x:v>112</x:v>
      </x:c>
      <x:c r="D773" t="n">
        <x:f>IF('04_checks'!D112="ERROR",1,0)</x:f>
        <x:v>0</x:v>
      </x:c>
      <x:c r="E773" t="str">
        <x:v>Order:112:2</x:v>
      </x:c>
      <x:c r="F773" t="str">
        <x:v>Пустое поле</x:v>
      </x:c>
      <x:c r="G773" t="str">
        <x:v>High</x:v>
      </x:c>
      <x:c r="H773" t="str">
        <x:v>required_fields</x:v>
      </x:c>
      <x:c r="I773" t="str">
        <x:v>Дополнить обязательные поля в источнике</x:v>
      </x:c>
      <x:c r="J773" t="n">
        <x:f>IF(D773=1,K773,0)</x:f>
        <x:v>0</x:v>
      </x:c>
      <x:c r="K773" t="n">
        <x:f>D773+K772</x:f>
        <x:v>10</x:v>
      </x:c>
    </x:row>
    <x:row r="774">
      <x:c r="A774" t="str">
        <x:v>Order</x:v>
      </x:c>
      <x:c r="B774" t="n">
        <x:f>'04_checks'!B112</x:f>
        <x:v>1111</x:v>
      </x:c>
      <x:c r="C774" t="n">
        <x:v>112</x:v>
      </x:c>
      <x:c r="D774" t="n">
        <x:f>IF('04_checks'!E112="ERROR",1,0)</x:f>
        <x:v>0</x:v>
      </x:c>
      <x:c r="E774" t="str">
        <x:v>Order:112:3</x:v>
      </x:c>
      <x:c r="F774" t="str">
        <x:f>IF(COUNTIF('02_clients_raw'!$A$2:$A$67,'01_orders_raw'!C112)&gt;1,"Неоднозначная связь","Нет связи")</x:f>
        <x:v>Нет связи</x:v>
      </x:c>
      <x:c r="G774" t="str">
        <x:v>High</x:v>
      </x:c>
      <x:c r="H774" t="str">
        <x:v>client_id</x:v>
      </x:c>
      <x:c r="I774" t="str">
        <x:v>Исправить ссылку или разрешить дубли связанного ID</x:v>
      </x:c>
      <x:c r="J774" t="n">
        <x:f>IF(D774=1,K774,0)</x:f>
        <x:v>0</x:v>
      </x:c>
      <x:c r="K774" t="n">
        <x:f>D774+K773</x:f>
        <x:v>10</x:v>
      </x:c>
    </x:row>
    <x:row r="775">
      <x:c r="A775" t="str">
        <x:v>Order</x:v>
      </x:c>
      <x:c r="B775" t="n">
        <x:f>'04_checks'!B112</x:f>
        <x:v>1111</x:v>
      </x:c>
      <x:c r="C775" t="n">
        <x:v>112</x:v>
      </x:c>
      <x:c r="D775" t="n">
        <x:f>IF('04_checks'!F112="ERROR",1,0)</x:f>
        <x:v>0</x:v>
      </x:c>
      <x:c r="E775" t="str">
        <x:v>Order:112:4</x:v>
      </x:c>
      <x:c r="F775" t="str">
        <x:v>Ошибка расчета</x:v>
      </x:c>
      <x:c r="G775" t="str">
        <x:v>High</x:v>
      </x:c>
      <x:c r="H775" t="str">
        <x:v>quantity/price/order_sum</x:v>
      </x:c>
      <x:c r="I775" t="str">
        <x:v>Сверить исходные значения и правило расчёта</x:v>
      </x:c>
      <x:c r="J775" t="n">
        <x:f>IF(D775=1,K775,0)</x:f>
        <x:v>0</x:v>
      </x:c>
      <x:c r="K775" t="n">
        <x:f>D775+K774</x:f>
        <x:v>10</x:v>
      </x:c>
    </x:row>
    <x:row r="776">
      <x:c r="A776" t="str">
        <x:v>Order</x:v>
      </x:c>
      <x:c r="B776" t="n">
        <x:f>'04_checks'!B112</x:f>
        <x:v>1111</x:v>
      </x:c>
      <x:c r="C776" t="n">
        <x:v>112</x:v>
      </x:c>
      <x:c r="D776" t="n">
        <x:f>IF('04_checks'!G112="ERROR",1,0)</x:f>
        <x:v>0</x:v>
      </x:c>
      <x:c r="E776" t="str">
        <x:v>Order:112:5</x:v>
      </x:c>
      <x:c r="F776" t="str">
        <x:v>Отрицательная цена</x:v>
      </x:c>
      <x:c r="G776" t="str">
        <x:v>High</x:v>
      </x:c>
      <x:c r="H776" t="str">
        <x:v>price</x:v>
      </x:c>
      <x:c r="I776" t="str">
        <x:v>Проверить цену в источнике</x:v>
      </x:c>
      <x:c r="J776" t="n">
        <x:f>IF(D776=1,K776,0)</x:f>
        <x:v>0</x:v>
      </x:c>
      <x:c r="K776" t="n">
        <x:f>D776+K775</x:f>
        <x:v>10</x:v>
      </x:c>
    </x:row>
    <x:row r="777">
      <x:c r="A777" t="str">
        <x:v>Order</x:v>
      </x:c>
      <x:c r="B777" t="n">
        <x:f>'04_checks'!B112</x:f>
        <x:v>1111</x:v>
      </x:c>
      <x:c r="C777" t="n">
        <x:v>112</x:v>
      </x:c>
      <x:c r="D777" t="n">
        <x:f>IF('04_checks'!H112="ERROR",1,0)</x:f>
        <x:v>0</x:v>
      </x:c>
      <x:c r="E777" t="str">
        <x:v>Order:112:6</x:v>
      </x:c>
      <x:c r="F777" t="str">
        <x:v>Дата</x:v>
      </x:c>
      <x:c r="G777" t="str">
        <x:v>Medium</x:v>
      </x:c>
      <x:c r="H777" t="str">
        <x:v>order_date</x:v>
      </x:c>
      <x:c r="I777" t="str">
        <x:v>Сверить дату со срезом и исходной записью</x:v>
      </x:c>
      <x:c r="J777" t="n">
        <x:f>IF(D777=1,K777,0)</x:f>
        <x:v>0</x:v>
      </x:c>
      <x:c r="K777" t="n">
        <x:f>D777+K776</x:f>
        <x:v>10</x:v>
      </x:c>
    </x:row>
    <x:row r="778">
      <x:c r="A778" t="str">
        <x:v>Order</x:v>
      </x:c>
      <x:c r="B778" t="n">
        <x:f>'04_checks'!B112</x:f>
        <x:v>1111</x:v>
      </x:c>
      <x:c r="C778" t="n">
        <x:v>112</x:v>
      </x:c>
      <x:c r="D778" t="n">
        <x:f>IF('04_checks'!I112="ERROR",1,0)</x:f>
        <x:v>0</x:v>
      </x:c>
      <x:c r="E778" t="str">
        <x:v>Order:112:7</x:v>
      </x:c>
      <x:c r="F778" t="str">
        <x:v>Статус</x:v>
      </x:c>
      <x:c r="G778" t="str">
        <x:v>Medium</x:v>
      </x:c>
      <x:c r="H778" t="str">
        <x:v>status</x:v>
      </x:c>
      <x:c r="I778" t="str">
        <x:v>Выбрать допустимый статус</x:v>
      </x:c>
      <x:c r="J778" t="n">
        <x:f>IF(D778=1,K778,0)</x:f>
        <x:v>0</x:v>
      </x:c>
      <x:c r="K778" t="n">
        <x:f>D778+K777</x:f>
        <x:v>10</x:v>
      </x:c>
    </x:row>
    <x:row r="779">
      <x:c r="A779" t="str">
        <x:v>Order</x:v>
      </x:c>
      <x:c r="B779" t="n">
        <x:f>'04_checks'!B113</x:f>
        <x:v>1112</x:v>
      </x:c>
      <x:c r="C779" t="n">
        <x:v>113</x:v>
      </x:c>
      <x:c r="D779" t="n">
        <x:f>IF('04_checks'!C113="ERROR",1,0)</x:f>
        <x:v>0</x:v>
      </x:c>
      <x:c r="E779" t="str">
        <x:v>Order:113:1</x:v>
      </x:c>
      <x:c r="F779" t="str">
        <x:v>Дубль</x:v>
      </x:c>
      <x:c r="G779" t="str">
        <x:v>High</x:v>
      </x:c>
      <x:c r="H779" t="str">
        <x:v>order_id</x:v>
      </x:c>
      <x:c r="I779" t="str">
        <x:v>Проверить уникальность ID в источнике; не удалять записи автоматически</x:v>
      </x:c>
      <x:c r="J779" t="n">
        <x:f>IF(D779=1,K779,0)</x:f>
        <x:v>0</x:v>
      </x:c>
      <x:c r="K779" t="n">
        <x:f>D779+K778</x:f>
        <x:v>10</x:v>
      </x:c>
    </x:row>
    <x:row r="780">
      <x:c r="A780" t="str">
        <x:v>Order</x:v>
      </x:c>
      <x:c r="B780" t="n">
        <x:f>'04_checks'!B113</x:f>
        <x:v>1112</x:v>
      </x:c>
      <x:c r="C780" t="n">
        <x:v>113</x:v>
      </x:c>
      <x:c r="D780" t="n">
        <x:f>IF('04_checks'!D113="ERROR",1,0)</x:f>
        <x:v>0</x:v>
      </x:c>
      <x:c r="E780" t="str">
        <x:v>Order:113:2</x:v>
      </x:c>
      <x:c r="F780" t="str">
        <x:v>Пустое поле</x:v>
      </x:c>
      <x:c r="G780" t="str">
        <x:v>High</x:v>
      </x:c>
      <x:c r="H780" t="str">
        <x:v>required_fields</x:v>
      </x:c>
      <x:c r="I780" t="str">
        <x:v>Дополнить обязательные поля в источнике</x:v>
      </x:c>
      <x:c r="J780" t="n">
        <x:f>IF(D780=1,K780,0)</x:f>
        <x:v>0</x:v>
      </x:c>
      <x:c r="K780" t="n">
        <x:f>D780+K779</x:f>
        <x:v>10</x:v>
      </x:c>
    </x:row>
    <x:row r="781">
      <x:c r="A781" t="str">
        <x:v>Order</x:v>
      </x:c>
      <x:c r="B781" t="n">
        <x:f>'04_checks'!B113</x:f>
        <x:v>1112</x:v>
      </x:c>
      <x:c r="C781" t="n">
        <x:v>113</x:v>
      </x:c>
      <x:c r="D781" t="n">
        <x:f>IF('04_checks'!E113="ERROR",1,0)</x:f>
        <x:v>0</x:v>
      </x:c>
      <x:c r="E781" t="str">
        <x:v>Order:113:3</x:v>
      </x:c>
      <x:c r="F781" t="str">
        <x:f>IF(COUNTIF('02_clients_raw'!$A$2:$A$67,'01_orders_raw'!C113)&gt;1,"Неоднозначная связь","Нет связи")</x:f>
        <x:v>Нет связи</x:v>
      </x:c>
      <x:c r="G781" t="str">
        <x:v>High</x:v>
      </x:c>
      <x:c r="H781" t="str">
        <x:v>client_id</x:v>
      </x:c>
      <x:c r="I781" t="str">
        <x:v>Исправить ссылку или разрешить дубли связанного ID</x:v>
      </x:c>
      <x:c r="J781" t="n">
        <x:f>IF(D781=1,K781,0)</x:f>
        <x:v>0</x:v>
      </x:c>
      <x:c r="K781" t="n">
        <x:f>D781+K780</x:f>
        <x:v>10</x:v>
      </x:c>
    </x:row>
    <x:row r="782">
      <x:c r="A782" t="str">
        <x:v>Order</x:v>
      </x:c>
      <x:c r="B782" t="n">
        <x:f>'04_checks'!B113</x:f>
        <x:v>1112</x:v>
      </x:c>
      <x:c r="C782" t="n">
        <x:v>113</x:v>
      </x:c>
      <x:c r="D782" t="n">
        <x:f>IF('04_checks'!F113="ERROR",1,0)</x:f>
        <x:v>0</x:v>
      </x:c>
      <x:c r="E782" t="str">
        <x:v>Order:113:4</x:v>
      </x:c>
      <x:c r="F782" t="str">
        <x:v>Ошибка расчета</x:v>
      </x:c>
      <x:c r="G782" t="str">
        <x:v>High</x:v>
      </x:c>
      <x:c r="H782" t="str">
        <x:v>quantity/price/order_sum</x:v>
      </x:c>
      <x:c r="I782" t="str">
        <x:v>Сверить исходные значения и правило расчёта</x:v>
      </x:c>
      <x:c r="J782" t="n">
        <x:f>IF(D782=1,K782,0)</x:f>
        <x:v>0</x:v>
      </x:c>
      <x:c r="K782" t="n">
        <x:f>D782+K781</x:f>
        <x:v>10</x:v>
      </x:c>
    </x:row>
    <x:row r="783">
      <x:c r="A783" t="str">
        <x:v>Order</x:v>
      </x:c>
      <x:c r="B783" t="n">
        <x:f>'04_checks'!B113</x:f>
        <x:v>1112</x:v>
      </x:c>
      <x:c r="C783" t="n">
        <x:v>113</x:v>
      </x:c>
      <x:c r="D783" t="n">
        <x:f>IF('04_checks'!G113="ERROR",1,0)</x:f>
        <x:v>0</x:v>
      </x:c>
      <x:c r="E783" t="str">
        <x:v>Order:113:5</x:v>
      </x:c>
      <x:c r="F783" t="str">
        <x:v>Отрицательная цена</x:v>
      </x:c>
      <x:c r="G783" t="str">
        <x:v>High</x:v>
      </x:c>
      <x:c r="H783" t="str">
        <x:v>price</x:v>
      </x:c>
      <x:c r="I783" t="str">
        <x:v>Проверить цену в источнике</x:v>
      </x:c>
      <x:c r="J783" t="n">
        <x:f>IF(D783=1,K783,0)</x:f>
        <x:v>0</x:v>
      </x:c>
      <x:c r="K783" t="n">
        <x:f>D783+K782</x:f>
        <x:v>10</x:v>
      </x:c>
    </x:row>
    <x:row r="784">
      <x:c r="A784" t="str">
        <x:v>Order</x:v>
      </x:c>
      <x:c r="B784" t="n">
        <x:f>'04_checks'!B113</x:f>
        <x:v>1112</x:v>
      </x:c>
      <x:c r="C784" t="n">
        <x:v>113</x:v>
      </x:c>
      <x:c r="D784" t="n">
        <x:f>IF('04_checks'!H113="ERROR",1,0)</x:f>
        <x:v>0</x:v>
      </x:c>
      <x:c r="E784" t="str">
        <x:v>Order:113:6</x:v>
      </x:c>
      <x:c r="F784" t="str">
        <x:v>Дата</x:v>
      </x:c>
      <x:c r="G784" t="str">
        <x:v>Medium</x:v>
      </x:c>
      <x:c r="H784" t="str">
        <x:v>order_date</x:v>
      </x:c>
      <x:c r="I784" t="str">
        <x:v>Сверить дату со срезом и исходной записью</x:v>
      </x:c>
      <x:c r="J784" t="n">
        <x:f>IF(D784=1,K784,0)</x:f>
        <x:v>0</x:v>
      </x:c>
      <x:c r="K784" t="n">
        <x:f>D784+K783</x:f>
        <x:v>10</x:v>
      </x:c>
    </x:row>
    <x:row r="785">
      <x:c r="A785" t="str">
        <x:v>Order</x:v>
      </x:c>
      <x:c r="B785" t="n">
        <x:f>'04_checks'!B113</x:f>
        <x:v>1112</x:v>
      </x:c>
      <x:c r="C785" t="n">
        <x:v>113</x:v>
      </x:c>
      <x:c r="D785" t="n">
        <x:f>IF('04_checks'!I113="ERROR",1,0)</x:f>
        <x:v>0</x:v>
      </x:c>
      <x:c r="E785" t="str">
        <x:v>Order:113:7</x:v>
      </x:c>
      <x:c r="F785" t="str">
        <x:v>Статус</x:v>
      </x:c>
      <x:c r="G785" t="str">
        <x:v>Medium</x:v>
      </x:c>
      <x:c r="H785" t="str">
        <x:v>status</x:v>
      </x:c>
      <x:c r="I785" t="str">
        <x:v>Выбрать допустимый статус</x:v>
      </x:c>
      <x:c r="J785" t="n">
        <x:f>IF(D785=1,K785,0)</x:f>
        <x:v>0</x:v>
      </x:c>
      <x:c r="K785" t="n">
        <x:f>D785+K784</x:f>
        <x:v>10</x:v>
      </x:c>
    </x:row>
    <x:row r="786">
      <x:c r="A786" t="str">
        <x:v>Order</x:v>
      </x:c>
      <x:c r="B786" t="n">
        <x:f>'04_checks'!B114</x:f>
        <x:v>1113</x:v>
      </x:c>
      <x:c r="C786" t="n">
        <x:v>114</x:v>
      </x:c>
      <x:c r="D786" t="n">
        <x:f>IF('04_checks'!C114="ERROR",1,0)</x:f>
        <x:v>0</x:v>
      </x:c>
      <x:c r="E786" t="str">
        <x:v>Order:114:1</x:v>
      </x:c>
      <x:c r="F786" t="str">
        <x:v>Дубль</x:v>
      </x:c>
      <x:c r="G786" t="str">
        <x:v>High</x:v>
      </x:c>
      <x:c r="H786" t="str">
        <x:v>order_id</x:v>
      </x:c>
      <x:c r="I786" t="str">
        <x:v>Проверить уникальность ID в источнике; не удалять записи автоматически</x:v>
      </x:c>
      <x:c r="J786" t="n">
        <x:f>IF(D786=1,K786,0)</x:f>
        <x:v>0</x:v>
      </x:c>
      <x:c r="K786" t="n">
        <x:f>D786+K785</x:f>
        <x:v>10</x:v>
      </x:c>
    </x:row>
    <x:row r="787">
      <x:c r="A787" t="str">
        <x:v>Order</x:v>
      </x:c>
      <x:c r="B787" t="n">
        <x:f>'04_checks'!B114</x:f>
        <x:v>1113</x:v>
      </x:c>
      <x:c r="C787" t="n">
        <x:v>114</x:v>
      </x:c>
      <x:c r="D787" t="n">
        <x:f>IF('04_checks'!D114="ERROR",1,0)</x:f>
        <x:v>0</x:v>
      </x:c>
      <x:c r="E787" t="str">
        <x:v>Order:114:2</x:v>
      </x:c>
      <x:c r="F787" t="str">
        <x:v>Пустое поле</x:v>
      </x:c>
      <x:c r="G787" t="str">
        <x:v>High</x:v>
      </x:c>
      <x:c r="H787" t="str">
        <x:v>required_fields</x:v>
      </x:c>
      <x:c r="I787" t="str">
        <x:v>Дополнить обязательные поля в источнике</x:v>
      </x:c>
      <x:c r="J787" t="n">
        <x:f>IF(D787=1,K787,0)</x:f>
        <x:v>0</x:v>
      </x:c>
      <x:c r="K787" t="n">
        <x:f>D787+K786</x:f>
        <x:v>10</x:v>
      </x:c>
    </x:row>
    <x:row r="788">
      <x:c r="A788" t="str">
        <x:v>Order</x:v>
      </x:c>
      <x:c r="B788" t="n">
        <x:f>'04_checks'!B114</x:f>
        <x:v>1113</x:v>
      </x:c>
      <x:c r="C788" t="n">
        <x:v>114</x:v>
      </x:c>
      <x:c r="D788" t="n">
        <x:f>IF('04_checks'!E114="ERROR",1,0)</x:f>
        <x:v>0</x:v>
      </x:c>
      <x:c r="E788" t="str">
        <x:v>Order:114:3</x:v>
      </x:c>
      <x:c r="F788" t="str">
        <x:f>IF(COUNTIF('02_clients_raw'!$A$2:$A$67,'01_orders_raw'!C114)&gt;1,"Неоднозначная связь","Нет связи")</x:f>
        <x:v>Нет связи</x:v>
      </x:c>
      <x:c r="G788" t="str">
        <x:v>High</x:v>
      </x:c>
      <x:c r="H788" t="str">
        <x:v>client_id</x:v>
      </x:c>
      <x:c r="I788" t="str">
        <x:v>Исправить ссылку или разрешить дубли связанного ID</x:v>
      </x:c>
      <x:c r="J788" t="n">
        <x:f>IF(D788=1,K788,0)</x:f>
        <x:v>0</x:v>
      </x:c>
      <x:c r="K788" t="n">
        <x:f>D788+K787</x:f>
        <x:v>10</x:v>
      </x:c>
    </x:row>
    <x:row r="789">
      <x:c r="A789" t="str">
        <x:v>Order</x:v>
      </x:c>
      <x:c r="B789" t="n">
        <x:f>'04_checks'!B114</x:f>
        <x:v>1113</x:v>
      </x:c>
      <x:c r="C789" t="n">
        <x:v>114</x:v>
      </x:c>
      <x:c r="D789" t="n">
        <x:f>IF('04_checks'!F114="ERROR",1,0)</x:f>
        <x:v>0</x:v>
      </x:c>
      <x:c r="E789" t="str">
        <x:v>Order:114:4</x:v>
      </x:c>
      <x:c r="F789" t="str">
        <x:v>Ошибка расчета</x:v>
      </x:c>
      <x:c r="G789" t="str">
        <x:v>High</x:v>
      </x:c>
      <x:c r="H789" t="str">
        <x:v>quantity/price/order_sum</x:v>
      </x:c>
      <x:c r="I789" t="str">
        <x:v>Сверить исходные значения и правило расчёта</x:v>
      </x:c>
      <x:c r="J789" t="n">
        <x:f>IF(D789=1,K789,0)</x:f>
        <x:v>0</x:v>
      </x:c>
      <x:c r="K789" t="n">
        <x:f>D789+K788</x:f>
        <x:v>10</x:v>
      </x:c>
    </x:row>
    <x:row r="790">
      <x:c r="A790" t="str">
        <x:v>Order</x:v>
      </x:c>
      <x:c r="B790" t="n">
        <x:f>'04_checks'!B114</x:f>
        <x:v>1113</x:v>
      </x:c>
      <x:c r="C790" t="n">
        <x:v>114</x:v>
      </x:c>
      <x:c r="D790" t="n">
        <x:f>IF('04_checks'!G114="ERROR",1,0)</x:f>
        <x:v>0</x:v>
      </x:c>
      <x:c r="E790" t="str">
        <x:v>Order:114:5</x:v>
      </x:c>
      <x:c r="F790" t="str">
        <x:v>Отрицательная цена</x:v>
      </x:c>
      <x:c r="G790" t="str">
        <x:v>High</x:v>
      </x:c>
      <x:c r="H790" t="str">
        <x:v>price</x:v>
      </x:c>
      <x:c r="I790" t="str">
        <x:v>Проверить цену в источнике</x:v>
      </x:c>
      <x:c r="J790" t="n">
        <x:f>IF(D790=1,K790,0)</x:f>
        <x:v>0</x:v>
      </x:c>
      <x:c r="K790" t="n">
        <x:f>D790+K789</x:f>
        <x:v>10</x:v>
      </x:c>
    </x:row>
    <x:row r="791">
      <x:c r="A791" t="str">
        <x:v>Order</x:v>
      </x:c>
      <x:c r="B791" t="n">
        <x:f>'04_checks'!B114</x:f>
        <x:v>1113</x:v>
      </x:c>
      <x:c r="C791" t="n">
        <x:v>114</x:v>
      </x:c>
      <x:c r="D791" t="n">
        <x:f>IF('04_checks'!H114="ERROR",1,0)</x:f>
        <x:v>0</x:v>
      </x:c>
      <x:c r="E791" t="str">
        <x:v>Order:114:6</x:v>
      </x:c>
      <x:c r="F791" t="str">
        <x:v>Дата</x:v>
      </x:c>
      <x:c r="G791" t="str">
        <x:v>Medium</x:v>
      </x:c>
      <x:c r="H791" t="str">
        <x:v>order_date</x:v>
      </x:c>
      <x:c r="I791" t="str">
        <x:v>Сверить дату со срезом и исходной записью</x:v>
      </x:c>
      <x:c r="J791" t="n">
        <x:f>IF(D791=1,K791,0)</x:f>
        <x:v>0</x:v>
      </x:c>
      <x:c r="K791" t="n">
        <x:f>D791+K790</x:f>
        <x:v>10</x:v>
      </x:c>
    </x:row>
    <x:row r="792">
      <x:c r="A792" t="str">
        <x:v>Order</x:v>
      </x:c>
      <x:c r="B792" t="n">
        <x:f>'04_checks'!B114</x:f>
        <x:v>1113</x:v>
      </x:c>
      <x:c r="C792" t="n">
        <x:v>114</x:v>
      </x:c>
      <x:c r="D792" t="n">
        <x:f>IF('04_checks'!I114="ERROR",1,0)</x:f>
        <x:v>0</x:v>
      </x:c>
      <x:c r="E792" t="str">
        <x:v>Order:114:7</x:v>
      </x:c>
      <x:c r="F792" t="str">
        <x:v>Статус</x:v>
      </x:c>
      <x:c r="G792" t="str">
        <x:v>Medium</x:v>
      </x:c>
      <x:c r="H792" t="str">
        <x:v>status</x:v>
      </x:c>
      <x:c r="I792" t="str">
        <x:v>Выбрать допустимый статус</x:v>
      </x:c>
      <x:c r="J792" t="n">
        <x:f>IF(D792=1,K792,0)</x:f>
        <x:v>0</x:v>
      </x:c>
      <x:c r="K792" t="n">
        <x:f>D792+K791</x:f>
        <x:v>10</x:v>
      </x:c>
    </x:row>
    <x:row r="793">
      <x:c r="A793" t="str">
        <x:v>Order</x:v>
      </x:c>
      <x:c r="B793" t="n">
        <x:f>'04_checks'!B115</x:f>
        <x:v>1114</x:v>
      </x:c>
      <x:c r="C793" t="n">
        <x:v>115</x:v>
      </x:c>
      <x:c r="D793" t="n">
        <x:f>IF('04_checks'!C115="ERROR",1,0)</x:f>
        <x:v>0</x:v>
      </x:c>
      <x:c r="E793" t="str">
        <x:v>Order:115:1</x:v>
      </x:c>
      <x:c r="F793" t="str">
        <x:v>Дубль</x:v>
      </x:c>
      <x:c r="G793" t="str">
        <x:v>High</x:v>
      </x:c>
      <x:c r="H793" t="str">
        <x:v>order_id</x:v>
      </x:c>
      <x:c r="I793" t="str">
        <x:v>Проверить уникальность ID в источнике; не удалять записи автоматически</x:v>
      </x:c>
      <x:c r="J793" t="n">
        <x:f>IF(D793=1,K793,0)</x:f>
        <x:v>0</x:v>
      </x:c>
      <x:c r="K793" t="n">
        <x:f>D793+K792</x:f>
        <x:v>10</x:v>
      </x:c>
    </x:row>
    <x:row r="794">
      <x:c r="A794" t="str">
        <x:v>Order</x:v>
      </x:c>
      <x:c r="B794" t="n">
        <x:f>'04_checks'!B115</x:f>
        <x:v>1114</x:v>
      </x:c>
      <x:c r="C794" t="n">
        <x:v>115</x:v>
      </x:c>
      <x:c r="D794" t="n">
        <x:f>IF('04_checks'!D115="ERROR",1,0)</x:f>
        <x:v>0</x:v>
      </x:c>
      <x:c r="E794" t="str">
        <x:v>Order:115:2</x:v>
      </x:c>
      <x:c r="F794" t="str">
        <x:v>Пустое поле</x:v>
      </x:c>
      <x:c r="G794" t="str">
        <x:v>High</x:v>
      </x:c>
      <x:c r="H794" t="str">
        <x:v>required_fields</x:v>
      </x:c>
      <x:c r="I794" t="str">
        <x:v>Дополнить обязательные поля в источнике</x:v>
      </x:c>
      <x:c r="J794" t="n">
        <x:f>IF(D794=1,K794,0)</x:f>
        <x:v>0</x:v>
      </x:c>
      <x:c r="K794" t="n">
        <x:f>D794+K793</x:f>
        <x:v>10</x:v>
      </x:c>
    </x:row>
    <x:row r="795">
      <x:c r="A795" t="str">
        <x:v>Order</x:v>
      </x:c>
      <x:c r="B795" t="n">
        <x:f>'04_checks'!B115</x:f>
        <x:v>1114</x:v>
      </x:c>
      <x:c r="C795" t="n">
        <x:v>115</x:v>
      </x:c>
      <x:c r="D795" t="n">
        <x:f>IF('04_checks'!E115="ERROR",1,0)</x:f>
        <x:v>0</x:v>
      </x:c>
      <x:c r="E795" t="str">
        <x:v>Order:115:3</x:v>
      </x:c>
      <x:c r="F795" t="str">
        <x:f>IF(COUNTIF('02_clients_raw'!$A$2:$A$67,'01_orders_raw'!C115)&gt;1,"Неоднозначная связь","Нет связи")</x:f>
        <x:v>Нет связи</x:v>
      </x:c>
      <x:c r="G795" t="str">
        <x:v>High</x:v>
      </x:c>
      <x:c r="H795" t="str">
        <x:v>client_id</x:v>
      </x:c>
      <x:c r="I795" t="str">
        <x:v>Исправить ссылку или разрешить дубли связанного ID</x:v>
      </x:c>
      <x:c r="J795" t="n">
        <x:f>IF(D795=1,K795,0)</x:f>
        <x:v>0</x:v>
      </x:c>
      <x:c r="K795" t="n">
        <x:f>D795+K794</x:f>
        <x:v>10</x:v>
      </x:c>
    </x:row>
    <x:row r="796">
      <x:c r="A796" t="str">
        <x:v>Order</x:v>
      </x:c>
      <x:c r="B796" t="n">
        <x:f>'04_checks'!B115</x:f>
        <x:v>1114</x:v>
      </x:c>
      <x:c r="C796" t="n">
        <x:v>115</x:v>
      </x:c>
      <x:c r="D796" t="n">
        <x:f>IF('04_checks'!F115="ERROR",1,0)</x:f>
        <x:v>0</x:v>
      </x:c>
      <x:c r="E796" t="str">
        <x:v>Order:115:4</x:v>
      </x:c>
      <x:c r="F796" t="str">
        <x:v>Ошибка расчета</x:v>
      </x:c>
      <x:c r="G796" t="str">
        <x:v>High</x:v>
      </x:c>
      <x:c r="H796" t="str">
        <x:v>quantity/price/order_sum</x:v>
      </x:c>
      <x:c r="I796" t="str">
        <x:v>Сверить исходные значения и правило расчёта</x:v>
      </x:c>
      <x:c r="J796" t="n">
        <x:f>IF(D796=1,K796,0)</x:f>
        <x:v>0</x:v>
      </x:c>
      <x:c r="K796" t="n">
        <x:f>D796+K795</x:f>
        <x:v>10</x:v>
      </x:c>
    </x:row>
    <x:row r="797">
      <x:c r="A797" t="str">
        <x:v>Order</x:v>
      </x:c>
      <x:c r="B797" t="n">
        <x:f>'04_checks'!B115</x:f>
        <x:v>1114</x:v>
      </x:c>
      <x:c r="C797" t="n">
        <x:v>115</x:v>
      </x:c>
      <x:c r="D797" t="n">
        <x:f>IF('04_checks'!G115="ERROR",1,0)</x:f>
        <x:v>0</x:v>
      </x:c>
      <x:c r="E797" t="str">
        <x:v>Order:115:5</x:v>
      </x:c>
      <x:c r="F797" t="str">
        <x:v>Отрицательная цена</x:v>
      </x:c>
      <x:c r="G797" t="str">
        <x:v>High</x:v>
      </x:c>
      <x:c r="H797" t="str">
        <x:v>price</x:v>
      </x:c>
      <x:c r="I797" t="str">
        <x:v>Проверить цену в источнике</x:v>
      </x:c>
      <x:c r="J797" t="n">
        <x:f>IF(D797=1,K797,0)</x:f>
        <x:v>0</x:v>
      </x:c>
      <x:c r="K797" t="n">
        <x:f>D797+K796</x:f>
        <x:v>10</x:v>
      </x:c>
    </x:row>
    <x:row r="798">
      <x:c r="A798" t="str">
        <x:v>Order</x:v>
      </x:c>
      <x:c r="B798" t="n">
        <x:f>'04_checks'!B115</x:f>
        <x:v>1114</x:v>
      </x:c>
      <x:c r="C798" t="n">
        <x:v>115</x:v>
      </x:c>
      <x:c r="D798" t="n">
        <x:f>IF('04_checks'!H115="ERROR",1,0)</x:f>
        <x:v>0</x:v>
      </x:c>
      <x:c r="E798" t="str">
        <x:v>Order:115:6</x:v>
      </x:c>
      <x:c r="F798" t="str">
        <x:v>Дата</x:v>
      </x:c>
      <x:c r="G798" t="str">
        <x:v>Medium</x:v>
      </x:c>
      <x:c r="H798" t="str">
        <x:v>order_date</x:v>
      </x:c>
      <x:c r="I798" t="str">
        <x:v>Сверить дату со срезом и исходной записью</x:v>
      </x:c>
      <x:c r="J798" t="n">
        <x:f>IF(D798=1,K798,0)</x:f>
        <x:v>0</x:v>
      </x:c>
      <x:c r="K798" t="n">
        <x:f>D798+K797</x:f>
        <x:v>10</x:v>
      </x:c>
    </x:row>
    <x:row r="799">
      <x:c r="A799" t="str">
        <x:v>Order</x:v>
      </x:c>
      <x:c r="B799" t="n">
        <x:f>'04_checks'!B115</x:f>
        <x:v>1114</x:v>
      </x:c>
      <x:c r="C799" t="n">
        <x:v>115</x:v>
      </x:c>
      <x:c r="D799" t="n">
        <x:f>IF('04_checks'!I115="ERROR",1,0)</x:f>
        <x:v>0</x:v>
      </x:c>
      <x:c r="E799" t="str">
        <x:v>Order:115:7</x:v>
      </x:c>
      <x:c r="F799" t="str">
        <x:v>Статус</x:v>
      </x:c>
      <x:c r="G799" t="str">
        <x:v>Medium</x:v>
      </x:c>
      <x:c r="H799" t="str">
        <x:v>status</x:v>
      </x:c>
      <x:c r="I799" t="str">
        <x:v>Выбрать допустимый статус</x:v>
      </x:c>
      <x:c r="J799" t="n">
        <x:f>IF(D799=1,K799,0)</x:f>
        <x:v>0</x:v>
      </x:c>
      <x:c r="K799" t="n">
        <x:f>D799+K798</x:f>
        <x:v>10</x:v>
      </x:c>
    </x:row>
    <x:row r="800">
      <x:c r="A800" t="str">
        <x:v>Order</x:v>
      </x:c>
      <x:c r="B800" t="n">
        <x:f>'04_checks'!B116</x:f>
        <x:v>1115</x:v>
      </x:c>
      <x:c r="C800" t="n">
        <x:v>116</x:v>
      </x:c>
      <x:c r="D800" t="n">
        <x:f>IF('04_checks'!C116="ERROR",1,0)</x:f>
        <x:v>0</x:v>
      </x:c>
      <x:c r="E800" t="str">
        <x:v>Order:116:1</x:v>
      </x:c>
      <x:c r="F800" t="str">
        <x:v>Дубль</x:v>
      </x:c>
      <x:c r="G800" t="str">
        <x:v>High</x:v>
      </x:c>
      <x:c r="H800" t="str">
        <x:v>order_id</x:v>
      </x:c>
      <x:c r="I800" t="str">
        <x:v>Проверить уникальность ID в источнике; не удалять записи автоматически</x:v>
      </x:c>
      <x:c r="J800" t="n">
        <x:f>IF(D800=1,K800,0)</x:f>
        <x:v>0</x:v>
      </x:c>
      <x:c r="K800" t="n">
        <x:f>D800+K799</x:f>
        <x:v>10</x:v>
      </x:c>
    </x:row>
    <x:row r="801">
      <x:c r="A801" t="str">
        <x:v>Order</x:v>
      </x:c>
      <x:c r="B801" t="n">
        <x:f>'04_checks'!B116</x:f>
        <x:v>1115</x:v>
      </x:c>
      <x:c r="C801" t="n">
        <x:v>116</x:v>
      </x:c>
      <x:c r="D801" t="n">
        <x:f>IF('04_checks'!D116="ERROR",1,0)</x:f>
        <x:v>0</x:v>
      </x:c>
      <x:c r="E801" t="str">
        <x:v>Order:116:2</x:v>
      </x:c>
      <x:c r="F801" t="str">
        <x:v>Пустое поле</x:v>
      </x:c>
      <x:c r="G801" t="str">
        <x:v>High</x:v>
      </x:c>
      <x:c r="H801" t="str">
        <x:v>required_fields</x:v>
      </x:c>
      <x:c r="I801" t="str">
        <x:v>Дополнить обязательные поля в источнике</x:v>
      </x:c>
      <x:c r="J801" t="n">
        <x:f>IF(D801=1,K801,0)</x:f>
        <x:v>0</x:v>
      </x:c>
      <x:c r="K801" t="n">
        <x:f>D801+K800</x:f>
        <x:v>10</x:v>
      </x:c>
    </x:row>
    <x:row r="802">
      <x:c r="A802" t="str">
        <x:v>Order</x:v>
      </x:c>
      <x:c r="B802" t="n">
        <x:f>'04_checks'!B116</x:f>
        <x:v>1115</x:v>
      </x:c>
      <x:c r="C802" t="n">
        <x:v>116</x:v>
      </x:c>
      <x:c r="D802" t="n">
        <x:f>IF('04_checks'!E116="ERROR",1,0)</x:f>
        <x:v>0</x:v>
      </x:c>
      <x:c r="E802" t="str">
        <x:v>Order:116:3</x:v>
      </x:c>
      <x:c r="F802" t="str">
        <x:f>IF(COUNTIF('02_clients_raw'!$A$2:$A$67,'01_orders_raw'!C116)&gt;1,"Неоднозначная связь","Нет связи")</x:f>
        <x:v>Нет связи</x:v>
      </x:c>
      <x:c r="G802" t="str">
        <x:v>High</x:v>
      </x:c>
      <x:c r="H802" t="str">
        <x:v>client_id</x:v>
      </x:c>
      <x:c r="I802" t="str">
        <x:v>Исправить ссылку или разрешить дубли связанного ID</x:v>
      </x:c>
      <x:c r="J802" t="n">
        <x:f>IF(D802=1,K802,0)</x:f>
        <x:v>0</x:v>
      </x:c>
      <x:c r="K802" t="n">
        <x:f>D802+K801</x:f>
        <x:v>10</x:v>
      </x:c>
    </x:row>
    <x:row r="803">
      <x:c r="A803" t="str">
        <x:v>Order</x:v>
      </x:c>
      <x:c r="B803" t="n">
        <x:f>'04_checks'!B116</x:f>
        <x:v>1115</x:v>
      </x:c>
      <x:c r="C803" t="n">
        <x:v>116</x:v>
      </x:c>
      <x:c r="D803" t="n">
        <x:f>IF('04_checks'!F116="ERROR",1,0)</x:f>
        <x:v>0</x:v>
      </x:c>
      <x:c r="E803" t="str">
        <x:v>Order:116:4</x:v>
      </x:c>
      <x:c r="F803" t="str">
        <x:v>Ошибка расчета</x:v>
      </x:c>
      <x:c r="G803" t="str">
        <x:v>High</x:v>
      </x:c>
      <x:c r="H803" t="str">
        <x:v>quantity/price/order_sum</x:v>
      </x:c>
      <x:c r="I803" t="str">
        <x:v>Сверить исходные значения и правило расчёта</x:v>
      </x:c>
      <x:c r="J803" t="n">
        <x:f>IF(D803=1,K803,0)</x:f>
        <x:v>0</x:v>
      </x:c>
      <x:c r="K803" t="n">
        <x:f>D803+K802</x:f>
        <x:v>10</x:v>
      </x:c>
    </x:row>
    <x:row r="804">
      <x:c r="A804" t="str">
        <x:v>Order</x:v>
      </x:c>
      <x:c r="B804" t="n">
        <x:f>'04_checks'!B116</x:f>
        <x:v>1115</x:v>
      </x:c>
      <x:c r="C804" t="n">
        <x:v>116</x:v>
      </x:c>
      <x:c r="D804" t="n">
        <x:f>IF('04_checks'!G116="ERROR",1,0)</x:f>
        <x:v>0</x:v>
      </x:c>
      <x:c r="E804" t="str">
        <x:v>Order:116:5</x:v>
      </x:c>
      <x:c r="F804" t="str">
        <x:v>Отрицательная цена</x:v>
      </x:c>
      <x:c r="G804" t="str">
        <x:v>High</x:v>
      </x:c>
      <x:c r="H804" t="str">
        <x:v>price</x:v>
      </x:c>
      <x:c r="I804" t="str">
        <x:v>Проверить цену в источнике</x:v>
      </x:c>
      <x:c r="J804" t="n">
        <x:f>IF(D804=1,K804,0)</x:f>
        <x:v>0</x:v>
      </x:c>
      <x:c r="K804" t="n">
        <x:f>D804+K803</x:f>
        <x:v>10</x:v>
      </x:c>
    </x:row>
    <x:row r="805">
      <x:c r="A805" t="str">
        <x:v>Order</x:v>
      </x:c>
      <x:c r="B805" t="n">
        <x:f>'04_checks'!B116</x:f>
        <x:v>1115</x:v>
      </x:c>
      <x:c r="C805" t="n">
        <x:v>116</x:v>
      </x:c>
      <x:c r="D805" t="n">
        <x:f>IF('04_checks'!H116="ERROR",1,0)</x:f>
        <x:v>0</x:v>
      </x:c>
      <x:c r="E805" t="str">
        <x:v>Order:116:6</x:v>
      </x:c>
      <x:c r="F805" t="str">
        <x:v>Дата</x:v>
      </x:c>
      <x:c r="G805" t="str">
        <x:v>Medium</x:v>
      </x:c>
      <x:c r="H805" t="str">
        <x:v>order_date</x:v>
      </x:c>
      <x:c r="I805" t="str">
        <x:v>Сверить дату со срезом и исходной записью</x:v>
      </x:c>
      <x:c r="J805" t="n">
        <x:f>IF(D805=1,K805,0)</x:f>
        <x:v>0</x:v>
      </x:c>
      <x:c r="K805" t="n">
        <x:f>D805+K804</x:f>
        <x:v>10</x:v>
      </x:c>
    </x:row>
    <x:row r="806">
      <x:c r="A806" t="str">
        <x:v>Order</x:v>
      </x:c>
      <x:c r="B806" t="n">
        <x:f>'04_checks'!B116</x:f>
        <x:v>1115</x:v>
      </x:c>
      <x:c r="C806" t="n">
        <x:v>116</x:v>
      </x:c>
      <x:c r="D806" t="n">
        <x:f>IF('04_checks'!I116="ERROR",1,0)</x:f>
        <x:v>0</x:v>
      </x:c>
      <x:c r="E806" t="str">
        <x:v>Order:116:7</x:v>
      </x:c>
      <x:c r="F806" t="str">
        <x:v>Статус</x:v>
      </x:c>
      <x:c r="G806" t="str">
        <x:v>Medium</x:v>
      </x:c>
      <x:c r="H806" t="str">
        <x:v>status</x:v>
      </x:c>
      <x:c r="I806" t="str">
        <x:v>Выбрать допустимый статус</x:v>
      </x:c>
      <x:c r="J806" t="n">
        <x:f>IF(D806=1,K806,0)</x:f>
        <x:v>0</x:v>
      </x:c>
      <x:c r="K806" t="n">
        <x:f>D806+K805</x:f>
        <x:v>10</x:v>
      </x:c>
    </x:row>
    <x:row r="807">
      <x:c r="A807" t="str">
        <x:v>Order</x:v>
      </x:c>
      <x:c r="B807" t="n">
        <x:f>'04_checks'!B117</x:f>
        <x:v>1116</x:v>
      </x:c>
      <x:c r="C807" t="n">
        <x:v>117</x:v>
      </x:c>
      <x:c r="D807" t="n">
        <x:f>IF('04_checks'!C117="ERROR",1,0)</x:f>
        <x:v>0</x:v>
      </x:c>
      <x:c r="E807" t="str">
        <x:v>Order:117:1</x:v>
      </x:c>
      <x:c r="F807" t="str">
        <x:v>Дубль</x:v>
      </x:c>
      <x:c r="G807" t="str">
        <x:v>High</x:v>
      </x:c>
      <x:c r="H807" t="str">
        <x:v>order_id</x:v>
      </x:c>
      <x:c r="I807" t="str">
        <x:v>Проверить уникальность ID в источнике; не удалять записи автоматически</x:v>
      </x:c>
      <x:c r="J807" t="n">
        <x:f>IF(D807=1,K807,0)</x:f>
        <x:v>0</x:v>
      </x:c>
      <x:c r="K807" t="n">
        <x:f>D807+K806</x:f>
        <x:v>10</x:v>
      </x:c>
    </x:row>
    <x:row r="808">
      <x:c r="A808" t="str">
        <x:v>Order</x:v>
      </x:c>
      <x:c r="B808" t="n">
        <x:f>'04_checks'!B117</x:f>
        <x:v>1116</x:v>
      </x:c>
      <x:c r="C808" t="n">
        <x:v>117</x:v>
      </x:c>
      <x:c r="D808" t="n">
        <x:f>IF('04_checks'!D117="ERROR",1,0)</x:f>
        <x:v>0</x:v>
      </x:c>
      <x:c r="E808" t="str">
        <x:v>Order:117:2</x:v>
      </x:c>
      <x:c r="F808" t="str">
        <x:v>Пустое поле</x:v>
      </x:c>
      <x:c r="G808" t="str">
        <x:v>High</x:v>
      </x:c>
      <x:c r="H808" t="str">
        <x:v>required_fields</x:v>
      </x:c>
      <x:c r="I808" t="str">
        <x:v>Дополнить обязательные поля в источнике</x:v>
      </x:c>
      <x:c r="J808" t="n">
        <x:f>IF(D808=1,K808,0)</x:f>
        <x:v>0</x:v>
      </x:c>
      <x:c r="K808" t="n">
        <x:f>D808+K807</x:f>
        <x:v>10</x:v>
      </x:c>
    </x:row>
    <x:row r="809">
      <x:c r="A809" t="str">
        <x:v>Order</x:v>
      </x:c>
      <x:c r="B809" t="n">
        <x:f>'04_checks'!B117</x:f>
        <x:v>1116</x:v>
      </x:c>
      <x:c r="C809" t="n">
        <x:v>117</x:v>
      </x:c>
      <x:c r="D809" t="n">
        <x:f>IF('04_checks'!E117="ERROR",1,0)</x:f>
        <x:v>0</x:v>
      </x:c>
      <x:c r="E809" t="str">
        <x:v>Order:117:3</x:v>
      </x:c>
      <x:c r="F809" t="str">
        <x:f>IF(COUNTIF('02_clients_raw'!$A$2:$A$67,'01_orders_raw'!C117)&gt;1,"Неоднозначная связь","Нет связи")</x:f>
        <x:v>Нет связи</x:v>
      </x:c>
      <x:c r="G809" t="str">
        <x:v>High</x:v>
      </x:c>
      <x:c r="H809" t="str">
        <x:v>client_id</x:v>
      </x:c>
      <x:c r="I809" t="str">
        <x:v>Исправить ссылку или разрешить дубли связанного ID</x:v>
      </x:c>
      <x:c r="J809" t="n">
        <x:f>IF(D809=1,K809,0)</x:f>
        <x:v>0</x:v>
      </x:c>
      <x:c r="K809" t="n">
        <x:f>D809+K808</x:f>
        <x:v>10</x:v>
      </x:c>
    </x:row>
    <x:row r="810">
      <x:c r="A810" t="str">
        <x:v>Order</x:v>
      </x:c>
      <x:c r="B810" t="n">
        <x:f>'04_checks'!B117</x:f>
        <x:v>1116</x:v>
      </x:c>
      <x:c r="C810" t="n">
        <x:v>117</x:v>
      </x:c>
      <x:c r="D810" t="n">
        <x:f>IF('04_checks'!F117="ERROR",1,0)</x:f>
        <x:v>0</x:v>
      </x:c>
      <x:c r="E810" t="str">
        <x:v>Order:117:4</x:v>
      </x:c>
      <x:c r="F810" t="str">
        <x:v>Ошибка расчета</x:v>
      </x:c>
      <x:c r="G810" t="str">
        <x:v>High</x:v>
      </x:c>
      <x:c r="H810" t="str">
        <x:v>quantity/price/order_sum</x:v>
      </x:c>
      <x:c r="I810" t="str">
        <x:v>Сверить исходные значения и правило расчёта</x:v>
      </x:c>
      <x:c r="J810" t="n">
        <x:f>IF(D810=1,K810,0)</x:f>
        <x:v>0</x:v>
      </x:c>
      <x:c r="K810" t="n">
        <x:f>D810+K809</x:f>
        <x:v>10</x:v>
      </x:c>
    </x:row>
    <x:row r="811">
      <x:c r="A811" t="str">
        <x:v>Order</x:v>
      </x:c>
      <x:c r="B811" t="n">
        <x:f>'04_checks'!B117</x:f>
        <x:v>1116</x:v>
      </x:c>
      <x:c r="C811" t="n">
        <x:v>117</x:v>
      </x:c>
      <x:c r="D811" t="n">
        <x:f>IF('04_checks'!G117="ERROR",1,0)</x:f>
        <x:v>0</x:v>
      </x:c>
      <x:c r="E811" t="str">
        <x:v>Order:117:5</x:v>
      </x:c>
      <x:c r="F811" t="str">
        <x:v>Отрицательная цена</x:v>
      </x:c>
      <x:c r="G811" t="str">
        <x:v>High</x:v>
      </x:c>
      <x:c r="H811" t="str">
        <x:v>price</x:v>
      </x:c>
      <x:c r="I811" t="str">
        <x:v>Проверить цену в источнике</x:v>
      </x:c>
      <x:c r="J811" t="n">
        <x:f>IF(D811=1,K811,0)</x:f>
        <x:v>0</x:v>
      </x:c>
      <x:c r="K811" t="n">
        <x:f>D811+K810</x:f>
        <x:v>10</x:v>
      </x:c>
    </x:row>
    <x:row r="812">
      <x:c r="A812" t="str">
        <x:v>Order</x:v>
      </x:c>
      <x:c r="B812" t="n">
        <x:f>'04_checks'!B117</x:f>
        <x:v>1116</x:v>
      </x:c>
      <x:c r="C812" t="n">
        <x:v>117</x:v>
      </x:c>
      <x:c r="D812" t="n">
        <x:f>IF('04_checks'!H117="ERROR",1,0)</x:f>
        <x:v>0</x:v>
      </x:c>
      <x:c r="E812" t="str">
        <x:v>Order:117:6</x:v>
      </x:c>
      <x:c r="F812" t="str">
        <x:v>Дата</x:v>
      </x:c>
      <x:c r="G812" t="str">
        <x:v>Medium</x:v>
      </x:c>
      <x:c r="H812" t="str">
        <x:v>order_date</x:v>
      </x:c>
      <x:c r="I812" t="str">
        <x:v>Сверить дату со срезом и исходной записью</x:v>
      </x:c>
      <x:c r="J812" t="n">
        <x:f>IF(D812=1,K812,0)</x:f>
        <x:v>0</x:v>
      </x:c>
      <x:c r="K812" t="n">
        <x:f>D812+K811</x:f>
        <x:v>10</x:v>
      </x:c>
    </x:row>
    <x:row r="813">
      <x:c r="A813" t="str">
        <x:v>Order</x:v>
      </x:c>
      <x:c r="B813" t="n">
        <x:f>'04_checks'!B117</x:f>
        <x:v>1116</x:v>
      </x:c>
      <x:c r="C813" t="n">
        <x:v>117</x:v>
      </x:c>
      <x:c r="D813" t="n">
        <x:f>IF('04_checks'!I117="ERROR",1,0)</x:f>
        <x:v>0</x:v>
      </x:c>
      <x:c r="E813" t="str">
        <x:v>Order:117:7</x:v>
      </x:c>
      <x:c r="F813" t="str">
        <x:v>Статус</x:v>
      </x:c>
      <x:c r="G813" t="str">
        <x:v>Medium</x:v>
      </x:c>
      <x:c r="H813" t="str">
        <x:v>status</x:v>
      </x:c>
      <x:c r="I813" t="str">
        <x:v>Выбрать допустимый статус</x:v>
      </x:c>
      <x:c r="J813" t="n">
        <x:f>IF(D813=1,K813,0)</x:f>
        <x:v>0</x:v>
      </x:c>
      <x:c r="K813" t="n">
        <x:f>D813+K812</x:f>
        <x:v>10</x:v>
      </x:c>
    </x:row>
    <x:row r="814">
      <x:c r="A814" t="str">
        <x:v>Order</x:v>
      </x:c>
      <x:c r="B814" t="n">
        <x:f>'04_checks'!B118</x:f>
        <x:v>1117</x:v>
      </x:c>
      <x:c r="C814" t="n">
        <x:v>118</x:v>
      </x:c>
      <x:c r="D814" t="n">
        <x:f>IF('04_checks'!C118="ERROR",1,0)</x:f>
        <x:v>0</x:v>
      </x:c>
      <x:c r="E814" t="str">
        <x:v>Order:118:1</x:v>
      </x:c>
      <x:c r="F814" t="str">
        <x:v>Дубль</x:v>
      </x:c>
      <x:c r="G814" t="str">
        <x:v>High</x:v>
      </x:c>
      <x:c r="H814" t="str">
        <x:v>order_id</x:v>
      </x:c>
      <x:c r="I814" t="str">
        <x:v>Проверить уникальность ID в источнике; не удалять записи автоматически</x:v>
      </x:c>
      <x:c r="J814" t="n">
        <x:f>IF(D814=1,K814,0)</x:f>
        <x:v>0</x:v>
      </x:c>
      <x:c r="K814" t="n">
        <x:f>D814+K813</x:f>
        <x:v>10</x:v>
      </x:c>
    </x:row>
    <x:row r="815">
      <x:c r="A815" t="str">
        <x:v>Order</x:v>
      </x:c>
      <x:c r="B815" t="n">
        <x:f>'04_checks'!B118</x:f>
        <x:v>1117</x:v>
      </x:c>
      <x:c r="C815" t="n">
        <x:v>118</x:v>
      </x:c>
      <x:c r="D815" t="n">
        <x:f>IF('04_checks'!D118="ERROR",1,0)</x:f>
        <x:v>0</x:v>
      </x:c>
      <x:c r="E815" t="str">
        <x:v>Order:118:2</x:v>
      </x:c>
      <x:c r="F815" t="str">
        <x:v>Пустое поле</x:v>
      </x:c>
      <x:c r="G815" t="str">
        <x:v>High</x:v>
      </x:c>
      <x:c r="H815" t="str">
        <x:v>required_fields</x:v>
      </x:c>
      <x:c r="I815" t="str">
        <x:v>Дополнить обязательные поля в источнике</x:v>
      </x:c>
      <x:c r="J815" t="n">
        <x:f>IF(D815=1,K815,0)</x:f>
        <x:v>0</x:v>
      </x:c>
      <x:c r="K815" t="n">
        <x:f>D815+K814</x:f>
        <x:v>10</x:v>
      </x:c>
    </x:row>
    <x:row r="816">
      <x:c r="A816" t="str">
        <x:v>Order</x:v>
      </x:c>
      <x:c r="B816" t="n">
        <x:f>'04_checks'!B118</x:f>
        <x:v>1117</x:v>
      </x:c>
      <x:c r="C816" t="n">
        <x:v>118</x:v>
      </x:c>
      <x:c r="D816" t="n">
        <x:f>IF('04_checks'!E118="ERROR",1,0)</x:f>
        <x:v>1</x:v>
      </x:c>
      <x:c r="E816" t="str">
        <x:v>Order:118:3</x:v>
      </x:c>
      <x:c r="F816" t="str">
        <x:f>IF(COUNTIF('02_clients_raw'!$A$2:$A$67,'01_orders_raw'!C118)&gt;1,"Неоднозначная связь","Нет связи")</x:f>
        <x:v>Нет связи</x:v>
      </x:c>
      <x:c r="G816" t="str">
        <x:v>High</x:v>
      </x:c>
      <x:c r="H816" t="str">
        <x:v>client_id</x:v>
      </x:c>
      <x:c r="I816" t="str">
        <x:v>Исправить ссылку или разрешить дубли связанного ID</x:v>
      </x:c>
      <x:c r="J816" t="n">
        <x:f>IF(D816=1,K816,0)</x:f>
        <x:v>11</x:v>
      </x:c>
      <x:c r="K816" t="n">
        <x:f>D816+K815</x:f>
        <x:v>11</x:v>
      </x:c>
    </x:row>
    <x:row r="817">
      <x:c r="A817" t="str">
        <x:v>Order</x:v>
      </x:c>
      <x:c r="B817" t="n">
        <x:f>'04_checks'!B118</x:f>
        <x:v>1117</x:v>
      </x:c>
      <x:c r="C817" t="n">
        <x:v>118</x:v>
      </x:c>
      <x:c r="D817" t="n">
        <x:f>IF('04_checks'!F118="ERROR",1,0)</x:f>
        <x:v>0</x:v>
      </x:c>
      <x:c r="E817" t="str">
        <x:v>Order:118:4</x:v>
      </x:c>
      <x:c r="F817" t="str">
        <x:v>Ошибка расчета</x:v>
      </x:c>
      <x:c r="G817" t="str">
        <x:v>High</x:v>
      </x:c>
      <x:c r="H817" t="str">
        <x:v>quantity/price/order_sum</x:v>
      </x:c>
      <x:c r="I817" t="str">
        <x:v>Сверить исходные значения и правило расчёта</x:v>
      </x:c>
      <x:c r="J817" t="n">
        <x:f>IF(D817=1,K817,0)</x:f>
        <x:v>0</x:v>
      </x:c>
      <x:c r="K817" t="n">
        <x:f>D817+K816</x:f>
        <x:v>11</x:v>
      </x:c>
    </x:row>
    <x:row r="818">
      <x:c r="A818" t="str">
        <x:v>Order</x:v>
      </x:c>
      <x:c r="B818" t="n">
        <x:f>'04_checks'!B118</x:f>
        <x:v>1117</x:v>
      </x:c>
      <x:c r="C818" t="n">
        <x:v>118</x:v>
      </x:c>
      <x:c r="D818" t="n">
        <x:f>IF('04_checks'!G118="ERROR",1,0)</x:f>
        <x:v>0</x:v>
      </x:c>
      <x:c r="E818" t="str">
        <x:v>Order:118:5</x:v>
      </x:c>
      <x:c r="F818" t="str">
        <x:v>Отрицательная цена</x:v>
      </x:c>
      <x:c r="G818" t="str">
        <x:v>High</x:v>
      </x:c>
      <x:c r="H818" t="str">
        <x:v>price</x:v>
      </x:c>
      <x:c r="I818" t="str">
        <x:v>Проверить цену в источнике</x:v>
      </x:c>
      <x:c r="J818" t="n">
        <x:f>IF(D818=1,K818,0)</x:f>
        <x:v>0</x:v>
      </x:c>
      <x:c r="K818" t="n">
        <x:f>D818+K817</x:f>
        <x:v>11</x:v>
      </x:c>
    </x:row>
    <x:row r="819">
      <x:c r="A819" t="str">
        <x:v>Order</x:v>
      </x:c>
      <x:c r="B819" t="n">
        <x:f>'04_checks'!B118</x:f>
        <x:v>1117</x:v>
      </x:c>
      <x:c r="C819" t="n">
        <x:v>118</x:v>
      </x:c>
      <x:c r="D819" t="n">
        <x:f>IF('04_checks'!H118="ERROR",1,0)</x:f>
        <x:v>0</x:v>
      </x:c>
      <x:c r="E819" t="str">
        <x:v>Order:118:6</x:v>
      </x:c>
      <x:c r="F819" t="str">
        <x:v>Дата</x:v>
      </x:c>
      <x:c r="G819" t="str">
        <x:v>Medium</x:v>
      </x:c>
      <x:c r="H819" t="str">
        <x:v>order_date</x:v>
      </x:c>
      <x:c r="I819" t="str">
        <x:v>Сверить дату со срезом и исходной записью</x:v>
      </x:c>
      <x:c r="J819" t="n">
        <x:f>IF(D819=1,K819,0)</x:f>
        <x:v>0</x:v>
      </x:c>
      <x:c r="K819" t="n">
        <x:f>D819+K818</x:f>
        <x:v>11</x:v>
      </x:c>
    </x:row>
    <x:row r="820">
      <x:c r="A820" t="str">
        <x:v>Order</x:v>
      </x:c>
      <x:c r="B820" t="n">
        <x:f>'04_checks'!B118</x:f>
        <x:v>1117</x:v>
      </x:c>
      <x:c r="C820" t="n">
        <x:v>118</x:v>
      </x:c>
      <x:c r="D820" t="n">
        <x:f>IF('04_checks'!I118="ERROR",1,0)</x:f>
        <x:v>0</x:v>
      </x:c>
      <x:c r="E820" t="str">
        <x:v>Order:118:7</x:v>
      </x:c>
      <x:c r="F820" t="str">
        <x:v>Статус</x:v>
      </x:c>
      <x:c r="G820" t="str">
        <x:v>Medium</x:v>
      </x:c>
      <x:c r="H820" t="str">
        <x:v>status</x:v>
      </x:c>
      <x:c r="I820" t="str">
        <x:v>Выбрать допустимый статус</x:v>
      </x:c>
      <x:c r="J820" t="n">
        <x:f>IF(D820=1,K820,0)</x:f>
        <x:v>0</x:v>
      </x:c>
      <x:c r="K820" t="n">
        <x:f>D820+K819</x:f>
        <x:v>11</x:v>
      </x:c>
    </x:row>
    <x:row r="821">
      <x:c r="A821" t="str">
        <x:v>Order</x:v>
      </x:c>
      <x:c r="B821" t="n">
        <x:f>'04_checks'!B119</x:f>
        <x:v>1118</x:v>
      </x:c>
      <x:c r="C821" t="n">
        <x:v>119</x:v>
      </x:c>
      <x:c r="D821" t="n">
        <x:f>IF('04_checks'!C119="ERROR",1,0)</x:f>
        <x:v>0</x:v>
      </x:c>
      <x:c r="E821" t="str">
        <x:v>Order:119:1</x:v>
      </x:c>
      <x:c r="F821" t="str">
        <x:v>Дубль</x:v>
      </x:c>
      <x:c r="G821" t="str">
        <x:v>High</x:v>
      </x:c>
      <x:c r="H821" t="str">
        <x:v>order_id</x:v>
      </x:c>
      <x:c r="I821" t="str">
        <x:v>Проверить уникальность ID в источнике; не удалять записи автоматически</x:v>
      </x:c>
      <x:c r="J821" t="n">
        <x:f>IF(D821=1,K821,0)</x:f>
        <x:v>0</x:v>
      </x:c>
      <x:c r="K821" t="n">
        <x:f>D821+K820</x:f>
        <x:v>11</x:v>
      </x:c>
    </x:row>
    <x:row r="822">
      <x:c r="A822" t="str">
        <x:v>Order</x:v>
      </x:c>
      <x:c r="B822" t="n">
        <x:f>'04_checks'!B119</x:f>
        <x:v>1118</x:v>
      </x:c>
      <x:c r="C822" t="n">
        <x:v>119</x:v>
      </x:c>
      <x:c r="D822" t="n">
        <x:f>IF('04_checks'!D119="ERROR",1,0)</x:f>
        <x:v>0</x:v>
      </x:c>
      <x:c r="E822" t="str">
        <x:v>Order:119:2</x:v>
      </x:c>
      <x:c r="F822" t="str">
        <x:v>Пустое поле</x:v>
      </x:c>
      <x:c r="G822" t="str">
        <x:v>High</x:v>
      </x:c>
      <x:c r="H822" t="str">
        <x:v>required_fields</x:v>
      </x:c>
      <x:c r="I822" t="str">
        <x:v>Дополнить обязательные поля в источнике</x:v>
      </x:c>
      <x:c r="J822" t="n">
        <x:f>IF(D822=1,K822,0)</x:f>
        <x:v>0</x:v>
      </x:c>
      <x:c r="K822" t="n">
        <x:f>D822+K821</x:f>
        <x:v>11</x:v>
      </x:c>
    </x:row>
    <x:row r="823">
      <x:c r="A823" t="str">
        <x:v>Order</x:v>
      </x:c>
      <x:c r="B823" t="n">
        <x:f>'04_checks'!B119</x:f>
        <x:v>1118</x:v>
      </x:c>
      <x:c r="C823" t="n">
        <x:v>119</x:v>
      </x:c>
      <x:c r="D823" t="n">
        <x:f>IF('04_checks'!E119="ERROR",1,0)</x:f>
        <x:v>0</x:v>
      </x:c>
      <x:c r="E823" t="str">
        <x:v>Order:119:3</x:v>
      </x:c>
      <x:c r="F823" t="str">
        <x:f>IF(COUNTIF('02_clients_raw'!$A$2:$A$67,'01_orders_raw'!C119)&gt;1,"Неоднозначная связь","Нет связи")</x:f>
        <x:v>Нет связи</x:v>
      </x:c>
      <x:c r="G823" t="str">
        <x:v>High</x:v>
      </x:c>
      <x:c r="H823" t="str">
        <x:v>client_id</x:v>
      </x:c>
      <x:c r="I823" t="str">
        <x:v>Исправить ссылку или разрешить дубли связанного ID</x:v>
      </x:c>
      <x:c r="J823" t="n">
        <x:f>IF(D823=1,K823,0)</x:f>
        <x:v>0</x:v>
      </x:c>
      <x:c r="K823" t="n">
        <x:f>D823+K822</x:f>
        <x:v>11</x:v>
      </x:c>
    </x:row>
    <x:row r="824">
      <x:c r="A824" t="str">
        <x:v>Order</x:v>
      </x:c>
      <x:c r="B824" t="n">
        <x:f>'04_checks'!B119</x:f>
        <x:v>1118</x:v>
      </x:c>
      <x:c r="C824" t="n">
        <x:v>119</x:v>
      </x:c>
      <x:c r="D824" t="n">
        <x:f>IF('04_checks'!F119="ERROR",1,0)</x:f>
        <x:v>0</x:v>
      </x:c>
      <x:c r="E824" t="str">
        <x:v>Order:119:4</x:v>
      </x:c>
      <x:c r="F824" t="str">
        <x:v>Ошибка расчета</x:v>
      </x:c>
      <x:c r="G824" t="str">
        <x:v>High</x:v>
      </x:c>
      <x:c r="H824" t="str">
        <x:v>quantity/price/order_sum</x:v>
      </x:c>
      <x:c r="I824" t="str">
        <x:v>Сверить исходные значения и правило расчёта</x:v>
      </x:c>
      <x:c r="J824" t="n">
        <x:f>IF(D824=1,K824,0)</x:f>
        <x:v>0</x:v>
      </x:c>
      <x:c r="K824" t="n">
        <x:f>D824+K823</x:f>
        <x:v>11</x:v>
      </x:c>
    </x:row>
    <x:row r="825">
      <x:c r="A825" t="str">
        <x:v>Order</x:v>
      </x:c>
      <x:c r="B825" t="n">
        <x:f>'04_checks'!B119</x:f>
        <x:v>1118</x:v>
      </x:c>
      <x:c r="C825" t="n">
        <x:v>119</x:v>
      </x:c>
      <x:c r="D825" t="n">
        <x:f>IF('04_checks'!G119="ERROR",1,0)</x:f>
        <x:v>0</x:v>
      </x:c>
      <x:c r="E825" t="str">
        <x:v>Order:119:5</x:v>
      </x:c>
      <x:c r="F825" t="str">
        <x:v>Отрицательная цена</x:v>
      </x:c>
      <x:c r="G825" t="str">
        <x:v>High</x:v>
      </x:c>
      <x:c r="H825" t="str">
        <x:v>price</x:v>
      </x:c>
      <x:c r="I825" t="str">
        <x:v>Проверить цену в источнике</x:v>
      </x:c>
      <x:c r="J825" t="n">
        <x:f>IF(D825=1,K825,0)</x:f>
        <x:v>0</x:v>
      </x:c>
      <x:c r="K825" t="n">
        <x:f>D825+K824</x:f>
        <x:v>11</x:v>
      </x:c>
    </x:row>
    <x:row r="826">
      <x:c r="A826" t="str">
        <x:v>Order</x:v>
      </x:c>
      <x:c r="B826" t="n">
        <x:f>'04_checks'!B119</x:f>
        <x:v>1118</x:v>
      </x:c>
      <x:c r="C826" t="n">
        <x:v>119</x:v>
      </x:c>
      <x:c r="D826" t="n">
        <x:f>IF('04_checks'!H119="ERROR",1,0)</x:f>
        <x:v>0</x:v>
      </x:c>
      <x:c r="E826" t="str">
        <x:v>Order:119:6</x:v>
      </x:c>
      <x:c r="F826" t="str">
        <x:v>Дата</x:v>
      </x:c>
      <x:c r="G826" t="str">
        <x:v>Medium</x:v>
      </x:c>
      <x:c r="H826" t="str">
        <x:v>order_date</x:v>
      </x:c>
      <x:c r="I826" t="str">
        <x:v>Сверить дату со срезом и исходной записью</x:v>
      </x:c>
      <x:c r="J826" t="n">
        <x:f>IF(D826=1,K826,0)</x:f>
        <x:v>0</x:v>
      </x:c>
      <x:c r="K826" t="n">
        <x:f>D826+K825</x:f>
        <x:v>11</x:v>
      </x:c>
    </x:row>
    <x:row r="827">
      <x:c r="A827" t="str">
        <x:v>Order</x:v>
      </x:c>
      <x:c r="B827" t="n">
        <x:f>'04_checks'!B119</x:f>
        <x:v>1118</x:v>
      </x:c>
      <x:c r="C827" t="n">
        <x:v>119</x:v>
      </x:c>
      <x:c r="D827" t="n">
        <x:f>IF('04_checks'!I119="ERROR",1,0)</x:f>
        <x:v>0</x:v>
      </x:c>
      <x:c r="E827" t="str">
        <x:v>Order:119:7</x:v>
      </x:c>
      <x:c r="F827" t="str">
        <x:v>Статус</x:v>
      </x:c>
      <x:c r="G827" t="str">
        <x:v>Medium</x:v>
      </x:c>
      <x:c r="H827" t="str">
        <x:v>status</x:v>
      </x:c>
      <x:c r="I827" t="str">
        <x:v>Выбрать допустимый статус</x:v>
      </x:c>
      <x:c r="J827" t="n">
        <x:f>IF(D827=1,K827,0)</x:f>
        <x:v>0</x:v>
      </x:c>
      <x:c r="K827" t="n">
        <x:f>D827+K826</x:f>
        <x:v>11</x:v>
      </x:c>
    </x:row>
    <x:row r="828">
      <x:c r="A828" t="str">
        <x:v>Order</x:v>
      </x:c>
      <x:c r="B828" t="n">
        <x:f>'04_checks'!B120</x:f>
        <x:v>1119</x:v>
      </x:c>
      <x:c r="C828" t="n">
        <x:v>120</x:v>
      </x:c>
      <x:c r="D828" t="n">
        <x:f>IF('04_checks'!C120="ERROR",1,0)</x:f>
        <x:v>0</x:v>
      </x:c>
      <x:c r="E828" t="str">
        <x:v>Order:120:1</x:v>
      </x:c>
      <x:c r="F828" t="str">
        <x:v>Дубль</x:v>
      </x:c>
      <x:c r="G828" t="str">
        <x:v>High</x:v>
      </x:c>
      <x:c r="H828" t="str">
        <x:v>order_id</x:v>
      </x:c>
      <x:c r="I828" t="str">
        <x:v>Проверить уникальность ID в источнике; не удалять записи автоматически</x:v>
      </x:c>
      <x:c r="J828" t="n">
        <x:f>IF(D828=1,K828,0)</x:f>
        <x:v>0</x:v>
      </x:c>
      <x:c r="K828" t="n">
        <x:f>D828+K827</x:f>
        <x:v>11</x:v>
      </x:c>
    </x:row>
    <x:row r="829">
      <x:c r="A829" t="str">
        <x:v>Order</x:v>
      </x:c>
      <x:c r="B829" t="n">
        <x:f>'04_checks'!B120</x:f>
        <x:v>1119</x:v>
      </x:c>
      <x:c r="C829" t="n">
        <x:v>120</x:v>
      </x:c>
      <x:c r="D829" t="n">
        <x:f>IF('04_checks'!D120="ERROR",1,0)</x:f>
        <x:v>0</x:v>
      </x:c>
      <x:c r="E829" t="str">
        <x:v>Order:120:2</x:v>
      </x:c>
      <x:c r="F829" t="str">
        <x:v>Пустое поле</x:v>
      </x:c>
      <x:c r="G829" t="str">
        <x:v>High</x:v>
      </x:c>
      <x:c r="H829" t="str">
        <x:v>required_fields</x:v>
      </x:c>
      <x:c r="I829" t="str">
        <x:v>Дополнить обязательные поля в источнике</x:v>
      </x:c>
      <x:c r="J829" t="n">
        <x:f>IF(D829=1,K829,0)</x:f>
        <x:v>0</x:v>
      </x:c>
      <x:c r="K829" t="n">
        <x:f>D829+K828</x:f>
        <x:v>11</x:v>
      </x:c>
    </x:row>
    <x:row r="830">
      <x:c r="A830" t="str">
        <x:v>Order</x:v>
      </x:c>
      <x:c r="B830" t="n">
        <x:f>'04_checks'!B120</x:f>
        <x:v>1119</x:v>
      </x:c>
      <x:c r="C830" t="n">
        <x:v>120</x:v>
      </x:c>
      <x:c r="D830" t="n">
        <x:f>IF('04_checks'!E120="ERROR",1,0)</x:f>
        <x:v>0</x:v>
      </x:c>
      <x:c r="E830" t="str">
        <x:v>Order:120:3</x:v>
      </x:c>
      <x:c r="F830" t="str">
        <x:f>IF(COUNTIF('02_clients_raw'!$A$2:$A$67,'01_orders_raw'!C120)&gt;1,"Неоднозначная связь","Нет связи")</x:f>
        <x:v>Нет связи</x:v>
      </x:c>
      <x:c r="G830" t="str">
        <x:v>High</x:v>
      </x:c>
      <x:c r="H830" t="str">
        <x:v>client_id</x:v>
      </x:c>
      <x:c r="I830" t="str">
        <x:v>Исправить ссылку или разрешить дубли связанного ID</x:v>
      </x:c>
      <x:c r="J830" t="n">
        <x:f>IF(D830=1,K830,0)</x:f>
        <x:v>0</x:v>
      </x:c>
      <x:c r="K830" t="n">
        <x:f>D830+K829</x:f>
        <x:v>11</x:v>
      </x:c>
    </x:row>
    <x:row r="831">
      <x:c r="A831" t="str">
        <x:v>Order</x:v>
      </x:c>
      <x:c r="B831" t="n">
        <x:f>'04_checks'!B120</x:f>
        <x:v>1119</x:v>
      </x:c>
      <x:c r="C831" t="n">
        <x:v>120</x:v>
      </x:c>
      <x:c r="D831" t="n">
        <x:f>IF('04_checks'!F120="ERROR",1,0)</x:f>
        <x:v>0</x:v>
      </x:c>
      <x:c r="E831" t="str">
        <x:v>Order:120:4</x:v>
      </x:c>
      <x:c r="F831" t="str">
        <x:v>Ошибка расчета</x:v>
      </x:c>
      <x:c r="G831" t="str">
        <x:v>High</x:v>
      </x:c>
      <x:c r="H831" t="str">
        <x:v>quantity/price/order_sum</x:v>
      </x:c>
      <x:c r="I831" t="str">
        <x:v>Сверить исходные значения и правило расчёта</x:v>
      </x:c>
      <x:c r="J831" t="n">
        <x:f>IF(D831=1,K831,0)</x:f>
        <x:v>0</x:v>
      </x:c>
      <x:c r="K831" t="n">
        <x:f>D831+K830</x:f>
        <x:v>11</x:v>
      </x:c>
    </x:row>
    <x:row r="832">
      <x:c r="A832" t="str">
        <x:v>Order</x:v>
      </x:c>
      <x:c r="B832" t="n">
        <x:f>'04_checks'!B120</x:f>
        <x:v>1119</x:v>
      </x:c>
      <x:c r="C832" t="n">
        <x:v>120</x:v>
      </x:c>
      <x:c r="D832" t="n">
        <x:f>IF('04_checks'!G120="ERROR",1,0)</x:f>
        <x:v>0</x:v>
      </x:c>
      <x:c r="E832" t="str">
        <x:v>Order:120:5</x:v>
      </x:c>
      <x:c r="F832" t="str">
        <x:v>Отрицательная цена</x:v>
      </x:c>
      <x:c r="G832" t="str">
        <x:v>High</x:v>
      </x:c>
      <x:c r="H832" t="str">
        <x:v>price</x:v>
      </x:c>
      <x:c r="I832" t="str">
        <x:v>Проверить цену в источнике</x:v>
      </x:c>
      <x:c r="J832" t="n">
        <x:f>IF(D832=1,K832,0)</x:f>
        <x:v>0</x:v>
      </x:c>
      <x:c r="K832" t="n">
        <x:f>D832+K831</x:f>
        <x:v>11</x:v>
      </x:c>
    </x:row>
    <x:row r="833">
      <x:c r="A833" t="str">
        <x:v>Order</x:v>
      </x:c>
      <x:c r="B833" t="n">
        <x:f>'04_checks'!B120</x:f>
        <x:v>1119</x:v>
      </x:c>
      <x:c r="C833" t="n">
        <x:v>120</x:v>
      </x:c>
      <x:c r="D833" t="n">
        <x:f>IF('04_checks'!H120="ERROR",1,0)</x:f>
        <x:v>0</x:v>
      </x:c>
      <x:c r="E833" t="str">
        <x:v>Order:120:6</x:v>
      </x:c>
      <x:c r="F833" t="str">
        <x:v>Дата</x:v>
      </x:c>
      <x:c r="G833" t="str">
        <x:v>Medium</x:v>
      </x:c>
      <x:c r="H833" t="str">
        <x:v>order_date</x:v>
      </x:c>
      <x:c r="I833" t="str">
        <x:v>Сверить дату со срезом и исходной записью</x:v>
      </x:c>
      <x:c r="J833" t="n">
        <x:f>IF(D833=1,K833,0)</x:f>
        <x:v>0</x:v>
      </x:c>
      <x:c r="K833" t="n">
        <x:f>D833+K832</x:f>
        <x:v>11</x:v>
      </x:c>
    </x:row>
    <x:row r="834">
      <x:c r="A834" t="str">
        <x:v>Order</x:v>
      </x:c>
      <x:c r="B834" t="n">
        <x:f>'04_checks'!B120</x:f>
        <x:v>1119</x:v>
      </x:c>
      <x:c r="C834" t="n">
        <x:v>120</x:v>
      </x:c>
      <x:c r="D834" t="n">
        <x:f>IF('04_checks'!I120="ERROR",1,0)</x:f>
        <x:v>0</x:v>
      </x:c>
      <x:c r="E834" t="str">
        <x:v>Order:120:7</x:v>
      </x:c>
      <x:c r="F834" t="str">
        <x:v>Статус</x:v>
      </x:c>
      <x:c r="G834" t="str">
        <x:v>Medium</x:v>
      </x:c>
      <x:c r="H834" t="str">
        <x:v>status</x:v>
      </x:c>
      <x:c r="I834" t="str">
        <x:v>Выбрать допустимый статус</x:v>
      </x:c>
      <x:c r="J834" t="n">
        <x:f>IF(D834=1,K834,0)</x:f>
        <x:v>0</x:v>
      </x:c>
      <x:c r="K834" t="n">
        <x:f>D834+K833</x:f>
        <x:v>11</x:v>
      </x:c>
    </x:row>
    <x:row r="835">
      <x:c r="A835" t="str">
        <x:v>Order</x:v>
      </x:c>
      <x:c r="B835" t="n">
        <x:f>'04_checks'!B121</x:f>
        <x:v>1120</x:v>
      </x:c>
      <x:c r="C835" t="n">
        <x:v>121</x:v>
      </x:c>
      <x:c r="D835" t="n">
        <x:f>IF('04_checks'!C121="ERROR",1,0)</x:f>
        <x:v>0</x:v>
      </x:c>
      <x:c r="E835" t="str">
        <x:v>Order:121:1</x:v>
      </x:c>
      <x:c r="F835" t="str">
        <x:v>Дубль</x:v>
      </x:c>
      <x:c r="G835" t="str">
        <x:v>High</x:v>
      </x:c>
      <x:c r="H835" t="str">
        <x:v>order_id</x:v>
      </x:c>
      <x:c r="I835" t="str">
        <x:v>Проверить уникальность ID в источнике; не удалять записи автоматически</x:v>
      </x:c>
      <x:c r="J835" t="n">
        <x:f>IF(D835=1,K835,0)</x:f>
        <x:v>0</x:v>
      </x:c>
      <x:c r="K835" t="n">
        <x:f>D835+K834</x:f>
        <x:v>11</x:v>
      </x:c>
    </x:row>
    <x:row r="836">
      <x:c r="A836" t="str">
        <x:v>Order</x:v>
      </x:c>
      <x:c r="B836" t="n">
        <x:f>'04_checks'!B121</x:f>
        <x:v>1120</x:v>
      </x:c>
      <x:c r="C836" t="n">
        <x:v>121</x:v>
      </x:c>
      <x:c r="D836" t="n">
        <x:f>IF('04_checks'!D121="ERROR",1,0)</x:f>
        <x:v>0</x:v>
      </x:c>
      <x:c r="E836" t="str">
        <x:v>Order:121:2</x:v>
      </x:c>
      <x:c r="F836" t="str">
        <x:v>Пустое поле</x:v>
      </x:c>
      <x:c r="G836" t="str">
        <x:v>High</x:v>
      </x:c>
      <x:c r="H836" t="str">
        <x:v>required_fields</x:v>
      </x:c>
      <x:c r="I836" t="str">
        <x:v>Дополнить обязательные поля в источнике</x:v>
      </x:c>
      <x:c r="J836" t="n">
        <x:f>IF(D836=1,K836,0)</x:f>
        <x:v>0</x:v>
      </x:c>
      <x:c r="K836" t="n">
        <x:f>D836+K835</x:f>
        <x:v>11</x:v>
      </x:c>
    </x:row>
    <x:row r="837">
      <x:c r="A837" t="str">
        <x:v>Order</x:v>
      </x:c>
      <x:c r="B837" t="n">
        <x:f>'04_checks'!B121</x:f>
        <x:v>1120</x:v>
      </x:c>
      <x:c r="C837" t="n">
        <x:v>121</x:v>
      </x:c>
      <x:c r="D837" t="n">
        <x:f>IF('04_checks'!E121="ERROR",1,0)</x:f>
        <x:v>0</x:v>
      </x:c>
      <x:c r="E837" t="str">
        <x:v>Order:121:3</x:v>
      </x:c>
      <x:c r="F837" t="str">
        <x:f>IF(COUNTIF('02_clients_raw'!$A$2:$A$67,'01_orders_raw'!C121)&gt;1,"Неоднозначная связь","Нет связи")</x:f>
        <x:v>Нет связи</x:v>
      </x:c>
      <x:c r="G837" t="str">
        <x:v>High</x:v>
      </x:c>
      <x:c r="H837" t="str">
        <x:v>client_id</x:v>
      </x:c>
      <x:c r="I837" t="str">
        <x:v>Исправить ссылку или разрешить дубли связанного ID</x:v>
      </x:c>
      <x:c r="J837" t="n">
        <x:f>IF(D837=1,K837,0)</x:f>
        <x:v>0</x:v>
      </x:c>
      <x:c r="K837" t="n">
        <x:f>D837+K836</x:f>
        <x:v>11</x:v>
      </x:c>
    </x:row>
    <x:row r="838">
      <x:c r="A838" t="str">
        <x:v>Order</x:v>
      </x:c>
      <x:c r="B838" t="n">
        <x:f>'04_checks'!B121</x:f>
        <x:v>1120</x:v>
      </x:c>
      <x:c r="C838" t="n">
        <x:v>121</x:v>
      </x:c>
      <x:c r="D838" t="n">
        <x:f>IF('04_checks'!F121="ERROR",1,0)</x:f>
        <x:v>0</x:v>
      </x:c>
      <x:c r="E838" t="str">
        <x:v>Order:121:4</x:v>
      </x:c>
      <x:c r="F838" t="str">
        <x:v>Ошибка расчета</x:v>
      </x:c>
      <x:c r="G838" t="str">
        <x:v>High</x:v>
      </x:c>
      <x:c r="H838" t="str">
        <x:v>quantity/price/order_sum</x:v>
      </x:c>
      <x:c r="I838" t="str">
        <x:v>Сверить исходные значения и правило расчёта</x:v>
      </x:c>
      <x:c r="J838" t="n">
        <x:f>IF(D838=1,K838,0)</x:f>
        <x:v>0</x:v>
      </x:c>
      <x:c r="K838" t="n">
        <x:f>D838+K837</x:f>
        <x:v>11</x:v>
      </x:c>
    </x:row>
    <x:row r="839">
      <x:c r="A839" t="str">
        <x:v>Order</x:v>
      </x:c>
      <x:c r="B839" t="n">
        <x:f>'04_checks'!B121</x:f>
        <x:v>1120</x:v>
      </x:c>
      <x:c r="C839" t="n">
        <x:v>121</x:v>
      </x:c>
      <x:c r="D839" t="n">
        <x:f>IF('04_checks'!G121="ERROR",1,0)</x:f>
        <x:v>0</x:v>
      </x:c>
      <x:c r="E839" t="str">
        <x:v>Order:121:5</x:v>
      </x:c>
      <x:c r="F839" t="str">
        <x:v>Отрицательная цена</x:v>
      </x:c>
      <x:c r="G839" t="str">
        <x:v>High</x:v>
      </x:c>
      <x:c r="H839" t="str">
        <x:v>price</x:v>
      </x:c>
      <x:c r="I839" t="str">
        <x:v>Проверить цену в источнике</x:v>
      </x:c>
      <x:c r="J839" t="n">
        <x:f>IF(D839=1,K839,0)</x:f>
        <x:v>0</x:v>
      </x:c>
      <x:c r="K839" t="n">
        <x:f>D839+K838</x:f>
        <x:v>11</x:v>
      </x:c>
    </x:row>
    <x:row r="840">
      <x:c r="A840" t="str">
        <x:v>Order</x:v>
      </x:c>
      <x:c r="B840" t="n">
        <x:f>'04_checks'!B121</x:f>
        <x:v>1120</x:v>
      </x:c>
      <x:c r="C840" t="n">
        <x:v>121</x:v>
      </x:c>
      <x:c r="D840" t="n">
        <x:f>IF('04_checks'!H121="ERROR",1,0)</x:f>
        <x:v>0</x:v>
      </x:c>
      <x:c r="E840" t="str">
        <x:v>Order:121:6</x:v>
      </x:c>
      <x:c r="F840" t="str">
        <x:v>Дата</x:v>
      </x:c>
      <x:c r="G840" t="str">
        <x:v>Medium</x:v>
      </x:c>
      <x:c r="H840" t="str">
        <x:v>order_date</x:v>
      </x:c>
      <x:c r="I840" t="str">
        <x:v>Сверить дату со срезом и исходной записью</x:v>
      </x:c>
      <x:c r="J840" t="n">
        <x:f>IF(D840=1,K840,0)</x:f>
        <x:v>0</x:v>
      </x:c>
      <x:c r="K840" t="n">
        <x:f>D840+K839</x:f>
        <x:v>11</x:v>
      </x:c>
    </x:row>
    <x:row r="841">
      <x:c r="A841" t="str">
        <x:v>Order</x:v>
      </x:c>
      <x:c r="B841" t="n">
        <x:f>'04_checks'!B121</x:f>
        <x:v>1120</x:v>
      </x:c>
      <x:c r="C841" t="n">
        <x:v>121</x:v>
      </x:c>
      <x:c r="D841" t="n">
        <x:f>IF('04_checks'!I121="ERROR",1,0)</x:f>
        <x:v>0</x:v>
      </x:c>
      <x:c r="E841" t="str">
        <x:v>Order:121:7</x:v>
      </x:c>
      <x:c r="F841" t="str">
        <x:v>Статус</x:v>
      </x:c>
      <x:c r="G841" t="str">
        <x:v>Medium</x:v>
      </x:c>
      <x:c r="H841" t="str">
        <x:v>status</x:v>
      </x:c>
      <x:c r="I841" t="str">
        <x:v>Выбрать допустимый статус</x:v>
      </x:c>
      <x:c r="J841" t="n">
        <x:f>IF(D841=1,K841,0)</x:f>
        <x:v>0</x:v>
      </x:c>
      <x:c r="K841" t="n">
        <x:f>D841+K840</x:f>
        <x:v>11</x:v>
      </x:c>
    </x:row>
    <x:row r="842">
      <x:c r="A842" t="str">
        <x:v>Order</x:v>
      </x:c>
      <x:c r="B842" t="n">
        <x:f>'04_checks'!B122</x:f>
        <x:v>1121</x:v>
      </x:c>
      <x:c r="C842" t="n">
        <x:v>122</x:v>
      </x:c>
      <x:c r="D842" t="n">
        <x:f>IF('04_checks'!C122="ERROR",1,0)</x:f>
        <x:v>0</x:v>
      </x:c>
      <x:c r="E842" t="str">
        <x:v>Order:122:1</x:v>
      </x:c>
      <x:c r="F842" t="str">
        <x:v>Дубль</x:v>
      </x:c>
      <x:c r="G842" t="str">
        <x:v>High</x:v>
      </x:c>
      <x:c r="H842" t="str">
        <x:v>order_id</x:v>
      </x:c>
      <x:c r="I842" t="str">
        <x:v>Проверить уникальность ID в источнике; не удалять записи автоматически</x:v>
      </x:c>
      <x:c r="J842" t="n">
        <x:f>IF(D842=1,K842,0)</x:f>
        <x:v>0</x:v>
      </x:c>
      <x:c r="K842" t="n">
        <x:f>D842+K841</x:f>
        <x:v>11</x:v>
      </x:c>
    </x:row>
    <x:row r="843">
      <x:c r="A843" t="str">
        <x:v>Order</x:v>
      </x:c>
      <x:c r="B843" t="n">
        <x:f>'04_checks'!B122</x:f>
        <x:v>1121</x:v>
      </x:c>
      <x:c r="C843" t="n">
        <x:v>122</x:v>
      </x:c>
      <x:c r="D843" t="n">
        <x:f>IF('04_checks'!D122="ERROR",1,0)</x:f>
        <x:v>0</x:v>
      </x:c>
      <x:c r="E843" t="str">
        <x:v>Order:122:2</x:v>
      </x:c>
      <x:c r="F843" t="str">
        <x:v>Пустое поле</x:v>
      </x:c>
      <x:c r="G843" t="str">
        <x:v>High</x:v>
      </x:c>
      <x:c r="H843" t="str">
        <x:v>required_fields</x:v>
      </x:c>
      <x:c r="I843" t="str">
        <x:v>Дополнить обязательные поля в источнике</x:v>
      </x:c>
      <x:c r="J843" t="n">
        <x:f>IF(D843=1,K843,0)</x:f>
        <x:v>0</x:v>
      </x:c>
      <x:c r="K843" t="n">
        <x:f>D843+K842</x:f>
        <x:v>11</x:v>
      </x:c>
    </x:row>
    <x:row r="844">
      <x:c r="A844" t="str">
        <x:v>Order</x:v>
      </x:c>
      <x:c r="B844" t="n">
        <x:f>'04_checks'!B122</x:f>
        <x:v>1121</x:v>
      </x:c>
      <x:c r="C844" t="n">
        <x:v>122</x:v>
      </x:c>
      <x:c r="D844" t="n">
        <x:f>IF('04_checks'!E122="ERROR",1,0)</x:f>
        <x:v>0</x:v>
      </x:c>
      <x:c r="E844" t="str">
        <x:v>Order:122:3</x:v>
      </x:c>
      <x:c r="F844" t="str">
        <x:f>IF(COUNTIF('02_clients_raw'!$A$2:$A$67,'01_orders_raw'!C122)&gt;1,"Неоднозначная связь","Нет связи")</x:f>
        <x:v>Нет связи</x:v>
      </x:c>
      <x:c r="G844" t="str">
        <x:v>High</x:v>
      </x:c>
      <x:c r="H844" t="str">
        <x:v>client_id</x:v>
      </x:c>
      <x:c r="I844" t="str">
        <x:v>Исправить ссылку или разрешить дубли связанного ID</x:v>
      </x:c>
      <x:c r="J844" t="n">
        <x:f>IF(D844=1,K844,0)</x:f>
        <x:v>0</x:v>
      </x:c>
      <x:c r="K844" t="n">
        <x:f>D844+K843</x:f>
        <x:v>11</x:v>
      </x:c>
    </x:row>
    <x:row r="845">
      <x:c r="A845" t="str">
        <x:v>Order</x:v>
      </x:c>
      <x:c r="B845" t="n">
        <x:f>'04_checks'!B122</x:f>
        <x:v>1121</x:v>
      </x:c>
      <x:c r="C845" t="n">
        <x:v>122</x:v>
      </x:c>
      <x:c r="D845" t="n">
        <x:f>IF('04_checks'!F122="ERROR",1,0)</x:f>
        <x:v>0</x:v>
      </x:c>
      <x:c r="E845" t="str">
        <x:v>Order:122:4</x:v>
      </x:c>
      <x:c r="F845" t="str">
        <x:v>Ошибка расчета</x:v>
      </x:c>
      <x:c r="G845" t="str">
        <x:v>High</x:v>
      </x:c>
      <x:c r="H845" t="str">
        <x:v>quantity/price/order_sum</x:v>
      </x:c>
      <x:c r="I845" t="str">
        <x:v>Сверить исходные значения и правило расчёта</x:v>
      </x:c>
      <x:c r="J845" t="n">
        <x:f>IF(D845=1,K845,0)</x:f>
        <x:v>0</x:v>
      </x:c>
      <x:c r="K845" t="n">
        <x:f>D845+K844</x:f>
        <x:v>11</x:v>
      </x:c>
    </x:row>
    <x:row r="846">
      <x:c r="A846" t="str">
        <x:v>Order</x:v>
      </x:c>
      <x:c r="B846" t="n">
        <x:f>'04_checks'!B122</x:f>
        <x:v>1121</x:v>
      </x:c>
      <x:c r="C846" t="n">
        <x:v>122</x:v>
      </x:c>
      <x:c r="D846" t="n">
        <x:f>IF('04_checks'!G122="ERROR",1,0)</x:f>
        <x:v>0</x:v>
      </x:c>
      <x:c r="E846" t="str">
        <x:v>Order:122:5</x:v>
      </x:c>
      <x:c r="F846" t="str">
        <x:v>Отрицательная цена</x:v>
      </x:c>
      <x:c r="G846" t="str">
        <x:v>High</x:v>
      </x:c>
      <x:c r="H846" t="str">
        <x:v>price</x:v>
      </x:c>
      <x:c r="I846" t="str">
        <x:v>Проверить цену в источнике</x:v>
      </x:c>
      <x:c r="J846" t="n">
        <x:f>IF(D846=1,K846,0)</x:f>
        <x:v>0</x:v>
      </x:c>
      <x:c r="K846" t="n">
        <x:f>D846+K845</x:f>
        <x:v>11</x:v>
      </x:c>
    </x:row>
    <x:row r="847">
      <x:c r="A847" t="str">
        <x:v>Order</x:v>
      </x:c>
      <x:c r="B847" t="n">
        <x:f>'04_checks'!B122</x:f>
        <x:v>1121</x:v>
      </x:c>
      <x:c r="C847" t="n">
        <x:v>122</x:v>
      </x:c>
      <x:c r="D847" t="n">
        <x:f>IF('04_checks'!H122="ERROR",1,0)</x:f>
        <x:v>0</x:v>
      </x:c>
      <x:c r="E847" t="str">
        <x:v>Order:122:6</x:v>
      </x:c>
      <x:c r="F847" t="str">
        <x:v>Дата</x:v>
      </x:c>
      <x:c r="G847" t="str">
        <x:v>Medium</x:v>
      </x:c>
      <x:c r="H847" t="str">
        <x:v>order_date</x:v>
      </x:c>
      <x:c r="I847" t="str">
        <x:v>Сверить дату со срезом и исходной записью</x:v>
      </x:c>
      <x:c r="J847" t="n">
        <x:f>IF(D847=1,K847,0)</x:f>
        <x:v>0</x:v>
      </x:c>
      <x:c r="K847" t="n">
        <x:f>D847+K846</x:f>
        <x:v>11</x:v>
      </x:c>
    </x:row>
    <x:row r="848">
      <x:c r="A848" t="str">
        <x:v>Order</x:v>
      </x:c>
      <x:c r="B848" t="n">
        <x:f>'04_checks'!B122</x:f>
        <x:v>1121</x:v>
      </x:c>
      <x:c r="C848" t="n">
        <x:v>122</x:v>
      </x:c>
      <x:c r="D848" t="n">
        <x:f>IF('04_checks'!I122="ERROR",1,0)</x:f>
        <x:v>0</x:v>
      </x:c>
      <x:c r="E848" t="str">
        <x:v>Order:122:7</x:v>
      </x:c>
      <x:c r="F848" t="str">
        <x:v>Статус</x:v>
      </x:c>
      <x:c r="G848" t="str">
        <x:v>Medium</x:v>
      </x:c>
      <x:c r="H848" t="str">
        <x:v>status</x:v>
      </x:c>
      <x:c r="I848" t="str">
        <x:v>Выбрать допустимый статус</x:v>
      </x:c>
      <x:c r="J848" t="n">
        <x:f>IF(D848=1,K848,0)</x:f>
        <x:v>0</x:v>
      </x:c>
      <x:c r="K848" t="n">
        <x:f>D848+K847</x:f>
        <x:v>11</x:v>
      </x:c>
    </x:row>
    <x:row r="849">
      <x:c r="A849" t="str">
        <x:v>Order</x:v>
      </x:c>
      <x:c r="B849" t="n">
        <x:f>'04_checks'!B123</x:f>
        <x:v>1122</x:v>
      </x:c>
      <x:c r="C849" t="n">
        <x:v>123</x:v>
      </x:c>
      <x:c r="D849" t="n">
        <x:f>IF('04_checks'!C123="ERROR",1,0)</x:f>
        <x:v>0</x:v>
      </x:c>
      <x:c r="E849" t="str">
        <x:v>Order:123:1</x:v>
      </x:c>
      <x:c r="F849" t="str">
        <x:v>Дубль</x:v>
      </x:c>
      <x:c r="G849" t="str">
        <x:v>High</x:v>
      </x:c>
      <x:c r="H849" t="str">
        <x:v>order_id</x:v>
      </x:c>
      <x:c r="I849" t="str">
        <x:v>Проверить уникальность ID в источнике; не удалять записи автоматически</x:v>
      </x:c>
      <x:c r="J849" t="n">
        <x:f>IF(D849=1,K849,0)</x:f>
        <x:v>0</x:v>
      </x:c>
      <x:c r="K849" t="n">
        <x:f>D849+K848</x:f>
        <x:v>11</x:v>
      </x:c>
    </x:row>
    <x:row r="850">
      <x:c r="A850" t="str">
        <x:v>Order</x:v>
      </x:c>
      <x:c r="B850" t="n">
        <x:f>'04_checks'!B123</x:f>
        <x:v>1122</x:v>
      </x:c>
      <x:c r="C850" t="n">
        <x:v>123</x:v>
      </x:c>
      <x:c r="D850" t="n">
        <x:f>IF('04_checks'!D123="ERROR",1,0)</x:f>
        <x:v>0</x:v>
      </x:c>
      <x:c r="E850" t="str">
        <x:v>Order:123:2</x:v>
      </x:c>
      <x:c r="F850" t="str">
        <x:v>Пустое поле</x:v>
      </x:c>
      <x:c r="G850" t="str">
        <x:v>High</x:v>
      </x:c>
      <x:c r="H850" t="str">
        <x:v>required_fields</x:v>
      </x:c>
      <x:c r="I850" t="str">
        <x:v>Дополнить обязательные поля в источнике</x:v>
      </x:c>
      <x:c r="J850" t="n">
        <x:f>IF(D850=1,K850,0)</x:f>
        <x:v>0</x:v>
      </x:c>
      <x:c r="K850" t="n">
        <x:f>D850+K849</x:f>
        <x:v>11</x:v>
      </x:c>
    </x:row>
    <x:row r="851">
      <x:c r="A851" t="str">
        <x:v>Order</x:v>
      </x:c>
      <x:c r="B851" t="n">
        <x:f>'04_checks'!B123</x:f>
        <x:v>1122</x:v>
      </x:c>
      <x:c r="C851" t="n">
        <x:v>123</x:v>
      </x:c>
      <x:c r="D851" t="n">
        <x:f>IF('04_checks'!E123="ERROR",1,0)</x:f>
        <x:v>0</x:v>
      </x:c>
      <x:c r="E851" t="str">
        <x:v>Order:123:3</x:v>
      </x:c>
      <x:c r="F851" t="str">
        <x:f>IF(COUNTIF('02_clients_raw'!$A$2:$A$67,'01_orders_raw'!C123)&gt;1,"Неоднозначная связь","Нет связи")</x:f>
        <x:v>Нет связи</x:v>
      </x:c>
      <x:c r="G851" t="str">
        <x:v>High</x:v>
      </x:c>
      <x:c r="H851" t="str">
        <x:v>client_id</x:v>
      </x:c>
      <x:c r="I851" t="str">
        <x:v>Исправить ссылку или разрешить дубли связанного ID</x:v>
      </x:c>
      <x:c r="J851" t="n">
        <x:f>IF(D851=1,K851,0)</x:f>
        <x:v>0</x:v>
      </x:c>
      <x:c r="K851" t="n">
        <x:f>D851+K850</x:f>
        <x:v>11</x:v>
      </x:c>
    </x:row>
    <x:row r="852">
      <x:c r="A852" t="str">
        <x:v>Order</x:v>
      </x:c>
      <x:c r="B852" t="n">
        <x:f>'04_checks'!B123</x:f>
        <x:v>1122</x:v>
      </x:c>
      <x:c r="C852" t="n">
        <x:v>123</x:v>
      </x:c>
      <x:c r="D852" t="n">
        <x:f>IF('04_checks'!F123="ERROR",1,0)</x:f>
        <x:v>0</x:v>
      </x:c>
      <x:c r="E852" t="str">
        <x:v>Order:123:4</x:v>
      </x:c>
      <x:c r="F852" t="str">
        <x:v>Ошибка расчета</x:v>
      </x:c>
      <x:c r="G852" t="str">
        <x:v>High</x:v>
      </x:c>
      <x:c r="H852" t="str">
        <x:v>quantity/price/order_sum</x:v>
      </x:c>
      <x:c r="I852" t="str">
        <x:v>Сверить исходные значения и правило расчёта</x:v>
      </x:c>
      <x:c r="J852" t="n">
        <x:f>IF(D852=1,K852,0)</x:f>
        <x:v>0</x:v>
      </x:c>
      <x:c r="K852" t="n">
        <x:f>D852+K851</x:f>
        <x:v>11</x:v>
      </x:c>
    </x:row>
    <x:row r="853">
      <x:c r="A853" t="str">
        <x:v>Order</x:v>
      </x:c>
      <x:c r="B853" t="n">
        <x:f>'04_checks'!B123</x:f>
        <x:v>1122</x:v>
      </x:c>
      <x:c r="C853" t="n">
        <x:v>123</x:v>
      </x:c>
      <x:c r="D853" t="n">
        <x:f>IF('04_checks'!G123="ERROR",1,0)</x:f>
        <x:v>0</x:v>
      </x:c>
      <x:c r="E853" t="str">
        <x:v>Order:123:5</x:v>
      </x:c>
      <x:c r="F853" t="str">
        <x:v>Отрицательная цена</x:v>
      </x:c>
      <x:c r="G853" t="str">
        <x:v>High</x:v>
      </x:c>
      <x:c r="H853" t="str">
        <x:v>price</x:v>
      </x:c>
      <x:c r="I853" t="str">
        <x:v>Проверить цену в источнике</x:v>
      </x:c>
      <x:c r="J853" t="n">
        <x:f>IF(D853=1,K853,0)</x:f>
        <x:v>0</x:v>
      </x:c>
      <x:c r="K853" t="n">
        <x:f>D853+K852</x:f>
        <x:v>11</x:v>
      </x:c>
    </x:row>
    <x:row r="854">
      <x:c r="A854" t="str">
        <x:v>Order</x:v>
      </x:c>
      <x:c r="B854" t="n">
        <x:f>'04_checks'!B123</x:f>
        <x:v>1122</x:v>
      </x:c>
      <x:c r="C854" t="n">
        <x:v>123</x:v>
      </x:c>
      <x:c r="D854" t="n">
        <x:f>IF('04_checks'!H123="ERROR",1,0)</x:f>
        <x:v>0</x:v>
      </x:c>
      <x:c r="E854" t="str">
        <x:v>Order:123:6</x:v>
      </x:c>
      <x:c r="F854" t="str">
        <x:v>Дата</x:v>
      </x:c>
      <x:c r="G854" t="str">
        <x:v>Medium</x:v>
      </x:c>
      <x:c r="H854" t="str">
        <x:v>order_date</x:v>
      </x:c>
      <x:c r="I854" t="str">
        <x:v>Сверить дату со срезом и исходной записью</x:v>
      </x:c>
      <x:c r="J854" t="n">
        <x:f>IF(D854=1,K854,0)</x:f>
        <x:v>0</x:v>
      </x:c>
      <x:c r="K854" t="n">
        <x:f>D854+K853</x:f>
        <x:v>11</x:v>
      </x:c>
    </x:row>
    <x:row r="855">
      <x:c r="A855" t="str">
        <x:v>Order</x:v>
      </x:c>
      <x:c r="B855" t="n">
        <x:f>'04_checks'!B123</x:f>
        <x:v>1122</x:v>
      </x:c>
      <x:c r="C855" t="n">
        <x:v>123</x:v>
      </x:c>
      <x:c r="D855" t="n">
        <x:f>IF('04_checks'!I123="ERROR",1,0)</x:f>
        <x:v>0</x:v>
      </x:c>
      <x:c r="E855" t="str">
        <x:v>Order:123:7</x:v>
      </x:c>
      <x:c r="F855" t="str">
        <x:v>Статус</x:v>
      </x:c>
      <x:c r="G855" t="str">
        <x:v>Medium</x:v>
      </x:c>
      <x:c r="H855" t="str">
        <x:v>status</x:v>
      </x:c>
      <x:c r="I855" t="str">
        <x:v>Выбрать допустимый статус</x:v>
      </x:c>
      <x:c r="J855" t="n">
        <x:f>IF(D855=1,K855,0)</x:f>
        <x:v>0</x:v>
      </x:c>
      <x:c r="K855" t="n">
        <x:f>D855+K854</x:f>
        <x:v>11</x:v>
      </x:c>
    </x:row>
    <x:row r="856">
      <x:c r="A856" t="str">
        <x:v>Order</x:v>
      </x:c>
      <x:c r="B856" t="n">
        <x:f>'04_checks'!B124</x:f>
        <x:v>1123</x:v>
      </x:c>
      <x:c r="C856" t="n">
        <x:v>124</x:v>
      </x:c>
      <x:c r="D856" t="n">
        <x:f>IF('04_checks'!C124="ERROR",1,0)</x:f>
        <x:v>0</x:v>
      </x:c>
      <x:c r="E856" t="str">
        <x:v>Order:124:1</x:v>
      </x:c>
      <x:c r="F856" t="str">
        <x:v>Дубль</x:v>
      </x:c>
      <x:c r="G856" t="str">
        <x:v>High</x:v>
      </x:c>
      <x:c r="H856" t="str">
        <x:v>order_id</x:v>
      </x:c>
      <x:c r="I856" t="str">
        <x:v>Проверить уникальность ID в источнике; не удалять записи автоматически</x:v>
      </x:c>
      <x:c r="J856" t="n">
        <x:f>IF(D856=1,K856,0)</x:f>
        <x:v>0</x:v>
      </x:c>
      <x:c r="K856" t="n">
        <x:f>D856+K855</x:f>
        <x:v>11</x:v>
      </x:c>
    </x:row>
    <x:row r="857">
      <x:c r="A857" t="str">
        <x:v>Order</x:v>
      </x:c>
      <x:c r="B857" t="n">
        <x:f>'04_checks'!B124</x:f>
        <x:v>1123</x:v>
      </x:c>
      <x:c r="C857" t="n">
        <x:v>124</x:v>
      </x:c>
      <x:c r="D857" t="n">
        <x:f>IF('04_checks'!D124="ERROR",1,0)</x:f>
        <x:v>0</x:v>
      </x:c>
      <x:c r="E857" t="str">
        <x:v>Order:124:2</x:v>
      </x:c>
      <x:c r="F857" t="str">
        <x:v>Пустое поле</x:v>
      </x:c>
      <x:c r="G857" t="str">
        <x:v>High</x:v>
      </x:c>
      <x:c r="H857" t="str">
        <x:v>required_fields</x:v>
      </x:c>
      <x:c r="I857" t="str">
        <x:v>Дополнить обязательные поля в источнике</x:v>
      </x:c>
      <x:c r="J857" t="n">
        <x:f>IF(D857=1,K857,0)</x:f>
        <x:v>0</x:v>
      </x:c>
      <x:c r="K857" t="n">
        <x:f>D857+K856</x:f>
        <x:v>11</x:v>
      </x:c>
    </x:row>
    <x:row r="858">
      <x:c r="A858" t="str">
        <x:v>Order</x:v>
      </x:c>
      <x:c r="B858" t="n">
        <x:f>'04_checks'!B124</x:f>
        <x:v>1123</x:v>
      </x:c>
      <x:c r="C858" t="n">
        <x:v>124</x:v>
      </x:c>
      <x:c r="D858" t="n">
        <x:f>IF('04_checks'!E124="ERROR",1,0)</x:f>
        <x:v>0</x:v>
      </x:c>
      <x:c r="E858" t="str">
        <x:v>Order:124:3</x:v>
      </x:c>
      <x:c r="F858" t="str">
        <x:f>IF(COUNTIF('02_clients_raw'!$A$2:$A$67,'01_orders_raw'!C124)&gt;1,"Неоднозначная связь","Нет связи")</x:f>
        <x:v>Нет связи</x:v>
      </x:c>
      <x:c r="G858" t="str">
        <x:v>High</x:v>
      </x:c>
      <x:c r="H858" t="str">
        <x:v>client_id</x:v>
      </x:c>
      <x:c r="I858" t="str">
        <x:v>Исправить ссылку или разрешить дубли связанного ID</x:v>
      </x:c>
      <x:c r="J858" t="n">
        <x:f>IF(D858=1,K858,0)</x:f>
        <x:v>0</x:v>
      </x:c>
      <x:c r="K858" t="n">
        <x:f>D858+K857</x:f>
        <x:v>11</x:v>
      </x:c>
    </x:row>
    <x:row r="859">
      <x:c r="A859" t="str">
        <x:v>Order</x:v>
      </x:c>
      <x:c r="B859" t="n">
        <x:f>'04_checks'!B124</x:f>
        <x:v>1123</x:v>
      </x:c>
      <x:c r="C859" t="n">
        <x:v>124</x:v>
      </x:c>
      <x:c r="D859" t="n">
        <x:f>IF('04_checks'!F124="ERROR",1,0)</x:f>
        <x:v>0</x:v>
      </x:c>
      <x:c r="E859" t="str">
        <x:v>Order:124:4</x:v>
      </x:c>
      <x:c r="F859" t="str">
        <x:v>Ошибка расчета</x:v>
      </x:c>
      <x:c r="G859" t="str">
        <x:v>High</x:v>
      </x:c>
      <x:c r="H859" t="str">
        <x:v>quantity/price/order_sum</x:v>
      </x:c>
      <x:c r="I859" t="str">
        <x:v>Сверить исходные значения и правило расчёта</x:v>
      </x:c>
      <x:c r="J859" t="n">
        <x:f>IF(D859=1,K859,0)</x:f>
        <x:v>0</x:v>
      </x:c>
      <x:c r="K859" t="n">
        <x:f>D859+K858</x:f>
        <x:v>11</x:v>
      </x:c>
    </x:row>
    <x:row r="860">
      <x:c r="A860" t="str">
        <x:v>Order</x:v>
      </x:c>
      <x:c r="B860" t="n">
        <x:f>'04_checks'!B124</x:f>
        <x:v>1123</x:v>
      </x:c>
      <x:c r="C860" t="n">
        <x:v>124</x:v>
      </x:c>
      <x:c r="D860" t="n">
        <x:f>IF('04_checks'!G124="ERROR",1,0)</x:f>
        <x:v>0</x:v>
      </x:c>
      <x:c r="E860" t="str">
        <x:v>Order:124:5</x:v>
      </x:c>
      <x:c r="F860" t="str">
        <x:v>Отрицательная цена</x:v>
      </x:c>
      <x:c r="G860" t="str">
        <x:v>High</x:v>
      </x:c>
      <x:c r="H860" t="str">
        <x:v>price</x:v>
      </x:c>
      <x:c r="I860" t="str">
        <x:v>Проверить цену в источнике</x:v>
      </x:c>
      <x:c r="J860" t="n">
        <x:f>IF(D860=1,K860,0)</x:f>
        <x:v>0</x:v>
      </x:c>
      <x:c r="K860" t="n">
        <x:f>D860+K859</x:f>
        <x:v>11</x:v>
      </x:c>
    </x:row>
    <x:row r="861">
      <x:c r="A861" t="str">
        <x:v>Order</x:v>
      </x:c>
      <x:c r="B861" t="n">
        <x:f>'04_checks'!B124</x:f>
        <x:v>1123</x:v>
      </x:c>
      <x:c r="C861" t="n">
        <x:v>124</x:v>
      </x:c>
      <x:c r="D861" t="n">
        <x:f>IF('04_checks'!H124="ERROR",1,0)</x:f>
        <x:v>0</x:v>
      </x:c>
      <x:c r="E861" t="str">
        <x:v>Order:124:6</x:v>
      </x:c>
      <x:c r="F861" t="str">
        <x:v>Дата</x:v>
      </x:c>
      <x:c r="G861" t="str">
        <x:v>Medium</x:v>
      </x:c>
      <x:c r="H861" t="str">
        <x:v>order_date</x:v>
      </x:c>
      <x:c r="I861" t="str">
        <x:v>Сверить дату со срезом и исходной записью</x:v>
      </x:c>
      <x:c r="J861" t="n">
        <x:f>IF(D861=1,K861,0)</x:f>
        <x:v>0</x:v>
      </x:c>
      <x:c r="K861" t="n">
        <x:f>D861+K860</x:f>
        <x:v>11</x:v>
      </x:c>
    </x:row>
    <x:row r="862">
      <x:c r="A862" t="str">
        <x:v>Order</x:v>
      </x:c>
      <x:c r="B862" t="n">
        <x:f>'04_checks'!B124</x:f>
        <x:v>1123</x:v>
      </x:c>
      <x:c r="C862" t="n">
        <x:v>124</x:v>
      </x:c>
      <x:c r="D862" t="n">
        <x:f>IF('04_checks'!I124="ERROR",1,0)</x:f>
        <x:v>0</x:v>
      </x:c>
      <x:c r="E862" t="str">
        <x:v>Order:124:7</x:v>
      </x:c>
      <x:c r="F862" t="str">
        <x:v>Статус</x:v>
      </x:c>
      <x:c r="G862" t="str">
        <x:v>Medium</x:v>
      </x:c>
      <x:c r="H862" t="str">
        <x:v>status</x:v>
      </x:c>
      <x:c r="I862" t="str">
        <x:v>Выбрать допустимый статус</x:v>
      </x:c>
      <x:c r="J862" t="n">
        <x:f>IF(D862=1,K862,0)</x:f>
        <x:v>0</x:v>
      </x:c>
      <x:c r="K862" t="n">
        <x:f>D862+K861</x:f>
        <x:v>11</x:v>
      </x:c>
    </x:row>
    <x:row r="863">
      <x:c r="A863" t="str">
        <x:v>Order</x:v>
      </x:c>
      <x:c r="B863" t="n">
        <x:f>'04_checks'!B125</x:f>
        <x:v>1124</x:v>
      </x:c>
      <x:c r="C863" t="n">
        <x:v>125</x:v>
      </x:c>
      <x:c r="D863" t="n">
        <x:f>IF('04_checks'!C125="ERROR",1,0)</x:f>
        <x:v>0</x:v>
      </x:c>
      <x:c r="E863" t="str">
        <x:v>Order:125:1</x:v>
      </x:c>
      <x:c r="F863" t="str">
        <x:v>Дубль</x:v>
      </x:c>
      <x:c r="G863" t="str">
        <x:v>High</x:v>
      </x:c>
      <x:c r="H863" t="str">
        <x:v>order_id</x:v>
      </x:c>
      <x:c r="I863" t="str">
        <x:v>Проверить уникальность ID в источнике; не удалять записи автоматически</x:v>
      </x:c>
      <x:c r="J863" t="n">
        <x:f>IF(D863=1,K863,0)</x:f>
        <x:v>0</x:v>
      </x:c>
      <x:c r="K863" t="n">
        <x:f>D863+K862</x:f>
        <x:v>11</x:v>
      </x:c>
    </x:row>
    <x:row r="864">
      <x:c r="A864" t="str">
        <x:v>Order</x:v>
      </x:c>
      <x:c r="B864" t="n">
        <x:f>'04_checks'!B125</x:f>
        <x:v>1124</x:v>
      </x:c>
      <x:c r="C864" t="n">
        <x:v>125</x:v>
      </x:c>
      <x:c r="D864" t="n">
        <x:f>IF('04_checks'!D125="ERROR",1,0)</x:f>
        <x:v>0</x:v>
      </x:c>
      <x:c r="E864" t="str">
        <x:v>Order:125:2</x:v>
      </x:c>
      <x:c r="F864" t="str">
        <x:v>Пустое поле</x:v>
      </x:c>
      <x:c r="G864" t="str">
        <x:v>High</x:v>
      </x:c>
      <x:c r="H864" t="str">
        <x:v>required_fields</x:v>
      </x:c>
      <x:c r="I864" t="str">
        <x:v>Дополнить обязательные поля в источнике</x:v>
      </x:c>
      <x:c r="J864" t="n">
        <x:f>IF(D864=1,K864,0)</x:f>
        <x:v>0</x:v>
      </x:c>
      <x:c r="K864" t="n">
        <x:f>D864+K863</x:f>
        <x:v>11</x:v>
      </x:c>
    </x:row>
    <x:row r="865">
      <x:c r="A865" t="str">
        <x:v>Order</x:v>
      </x:c>
      <x:c r="B865" t="n">
        <x:f>'04_checks'!B125</x:f>
        <x:v>1124</x:v>
      </x:c>
      <x:c r="C865" t="n">
        <x:v>125</x:v>
      </x:c>
      <x:c r="D865" t="n">
        <x:f>IF('04_checks'!E125="ERROR",1,0)</x:f>
        <x:v>0</x:v>
      </x:c>
      <x:c r="E865" t="str">
        <x:v>Order:125:3</x:v>
      </x:c>
      <x:c r="F865" t="str">
        <x:f>IF(COUNTIF('02_clients_raw'!$A$2:$A$67,'01_orders_raw'!C125)&gt;1,"Неоднозначная связь","Нет связи")</x:f>
        <x:v>Нет связи</x:v>
      </x:c>
      <x:c r="G865" t="str">
        <x:v>High</x:v>
      </x:c>
      <x:c r="H865" t="str">
        <x:v>client_id</x:v>
      </x:c>
      <x:c r="I865" t="str">
        <x:v>Исправить ссылку или разрешить дубли связанного ID</x:v>
      </x:c>
      <x:c r="J865" t="n">
        <x:f>IF(D865=1,K865,0)</x:f>
        <x:v>0</x:v>
      </x:c>
      <x:c r="K865" t="n">
        <x:f>D865+K864</x:f>
        <x:v>11</x:v>
      </x:c>
    </x:row>
    <x:row r="866">
      <x:c r="A866" t="str">
        <x:v>Order</x:v>
      </x:c>
      <x:c r="B866" t="n">
        <x:f>'04_checks'!B125</x:f>
        <x:v>1124</x:v>
      </x:c>
      <x:c r="C866" t="n">
        <x:v>125</x:v>
      </x:c>
      <x:c r="D866" t="n">
        <x:f>IF('04_checks'!F125="ERROR",1,0)</x:f>
        <x:v>0</x:v>
      </x:c>
      <x:c r="E866" t="str">
        <x:v>Order:125:4</x:v>
      </x:c>
      <x:c r="F866" t="str">
        <x:v>Ошибка расчета</x:v>
      </x:c>
      <x:c r="G866" t="str">
        <x:v>High</x:v>
      </x:c>
      <x:c r="H866" t="str">
        <x:v>quantity/price/order_sum</x:v>
      </x:c>
      <x:c r="I866" t="str">
        <x:v>Сверить исходные значения и правило расчёта</x:v>
      </x:c>
      <x:c r="J866" t="n">
        <x:f>IF(D866=1,K866,0)</x:f>
        <x:v>0</x:v>
      </x:c>
      <x:c r="K866" t="n">
        <x:f>D866+K865</x:f>
        <x:v>11</x:v>
      </x:c>
    </x:row>
    <x:row r="867">
      <x:c r="A867" t="str">
        <x:v>Order</x:v>
      </x:c>
      <x:c r="B867" t="n">
        <x:f>'04_checks'!B125</x:f>
        <x:v>1124</x:v>
      </x:c>
      <x:c r="C867" t="n">
        <x:v>125</x:v>
      </x:c>
      <x:c r="D867" t="n">
        <x:f>IF('04_checks'!G125="ERROR",1,0)</x:f>
        <x:v>0</x:v>
      </x:c>
      <x:c r="E867" t="str">
        <x:v>Order:125:5</x:v>
      </x:c>
      <x:c r="F867" t="str">
        <x:v>Отрицательная цена</x:v>
      </x:c>
      <x:c r="G867" t="str">
        <x:v>High</x:v>
      </x:c>
      <x:c r="H867" t="str">
        <x:v>price</x:v>
      </x:c>
      <x:c r="I867" t="str">
        <x:v>Проверить цену в источнике</x:v>
      </x:c>
      <x:c r="J867" t="n">
        <x:f>IF(D867=1,K867,0)</x:f>
        <x:v>0</x:v>
      </x:c>
      <x:c r="K867" t="n">
        <x:f>D867+K866</x:f>
        <x:v>11</x:v>
      </x:c>
    </x:row>
    <x:row r="868">
      <x:c r="A868" t="str">
        <x:v>Order</x:v>
      </x:c>
      <x:c r="B868" t="n">
        <x:f>'04_checks'!B125</x:f>
        <x:v>1124</x:v>
      </x:c>
      <x:c r="C868" t="n">
        <x:v>125</x:v>
      </x:c>
      <x:c r="D868" t="n">
        <x:f>IF('04_checks'!H125="ERROR",1,0)</x:f>
        <x:v>0</x:v>
      </x:c>
      <x:c r="E868" t="str">
        <x:v>Order:125:6</x:v>
      </x:c>
      <x:c r="F868" t="str">
        <x:v>Дата</x:v>
      </x:c>
      <x:c r="G868" t="str">
        <x:v>Medium</x:v>
      </x:c>
      <x:c r="H868" t="str">
        <x:v>order_date</x:v>
      </x:c>
      <x:c r="I868" t="str">
        <x:v>Сверить дату со срезом и исходной записью</x:v>
      </x:c>
      <x:c r="J868" t="n">
        <x:f>IF(D868=1,K868,0)</x:f>
        <x:v>0</x:v>
      </x:c>
      <x:c r="K868" t="n">
        <x:f>D868+K867</x:f>
        <x:v>11</x:v>
      </x:c>
    </x:row>
    <x:row r="869">
      <x:c r="A869" t="str">
        <x:v>Order</x:v>
      </x:c>
      <x:c r="B869" t="n">
        <x:f>'04_checks'!B125</x:f>
        <x:v>1124</x:v>
      </x:c>
      <x:c r="C869" t="n">
        <x:v>125</x:v>
      </x:c>
      <x:c r="D869" t="n">
        <x:f>IF('04_checks'!I125="ERROR",1,0)</x:f>
        <x:v>0</x:v>
      </x:c>
      <x:c r="E869" t="str">
        <x:v>Order:125:7</x:v>
      </x:c>
      <x:c r="F869" t="str">
        <x:v>Статус</x:v>
      </x:c>
      <x:c r="G869" t="str">
        <x:v>Medium</x:v>
      </x:c>
      <x:c r="H869" t="str">
        <x:v>status</x:v>
      </x:c>
      <x:c r="I869" t="str">
        <x:v>Выбрать допустимый статус</x:v>
      </x:c>
      <x:c r="J869" t="n">
        <x:f>IF(D869=1,K869,0)</x:f>
        <x:v>0</x:v>
      </x:c>
      <x:c r="K869" t="n">
        <x:f>D869+K868</x:f>
        <x:v>11</x:v>
      </x:c>
    </x:row>
    <x:row r="870">
      <x:c r="A870" t="str">
        <x:v>Order</x:v>
      </x:c>
      <x:c r="B870" t="n">
        <x:f>'04_checks'!B126</x:f>
        <x:v>1125</x:v>
      </x:c>
      <x:c r="C870" t="n">
        <x:v>126</x:v>
      </x:c>
      <x:c r="D870" t="n">
        <x:f>IF('04_checks'!C126="ERROR",1,0)</x:f>
        <x:v>0</x:v>
      </x:c>
      <x:c r="E870" t="str">
        <x:v>Order:126:1</x:v>
      </x:c>
      <x:c r="F870" t="str">
        <x:v>Дубль</x:v>
      </x:c>
      <x:c r="G870" t="str">
        <x:v>High</x:v>
      </x:c>
      <x:c r="H870" t="str">
        <x:v>order_id</x:v>
      </x:c>
      <x:c r="I870" t="str">
        <x:v>Проверить уникальность ID в источнике; не удалять записи автоматически</x:v>
      </x:c>
      <x:c r="J870" t="n">
        <x:f>IF(D870=1,K870,0)</x:f>
        <x:v>0</x:v>
      </x:c>
      <x:c r="K870" t="n">
        <x:f>D870+K869</x:f>
        <x:v>11</x:v>
      </x:c>
    </x:row>
    <x:row r="871">
      <x:c r="A871" t="str">
        <x:v>Order</x:v>
      </x:c>
      <x:c r="B871" t="n">
        <x:f>'04_checks'!B126</x:f>
        <x:v>1125</x:v>
      </x:c>
      <x:c r="C871" t="n">
        <x:v>126</x:v>
      </x:c>
      <x:c r="D871" t="n">
        <x:f>IF('04_checks'!D126="ERROR",1,0)</x:f>
        <x:v>0</x:v>
      </x:c>
      <x:c r="E871" t="str">
        <x:v>Order:126:2</x:v>
      </x:c>
      <x:c r="F871" t="str">
        <x:v>Пустое поле</x:v>
      </x:c>
      <x:c r="G871" t="str">
        <x:v>High</x:v>
      </x:c>
      <x:c r="H871" t="str">
        <x:v>required_fields</x:v>
      </x:c>
      <x:c r="I871" t="str">
        <x:v>Дополнить обязательные поля в источнике</x:v>
      </x:c>
      <x:c r="J871" t="n">
        <x:f>IF(D871=1,K871,0)</x:f>
        <x:v>0</x:v>
      </x:c>
      <x:c r="K871" t="n">
        <x:f>D871+K870</x:f>
        <x:v>11</x:v>
      </x:c>
    </x:row>
    <x:row r="872">
      <x:c r="A872" t="str">
        <x:v>Order</x:v>
      </x:c>
      <x:c r="B872" t="n">
        <x:f>'04_checks'!B126</x:f>
        <x:v>1125</x:v>
      </x:c>
      <x:c r="C872" t="n">
        <x:v>126</x:v>
      </x:c>
      <x:c r="D872" t="n">
        <x:f>IF('04_checks'!E126="ERROR",1,0)</x:f>
        <x:v>0</x:v>
      </x:c>
      <x:c r="E872" t="str">
        <x:v>Order:126:3</x:v>
      </x:c>
      <x:c r="F872" t="str">
        <x:f>IF(COUNTIF('02_clients_raw'!$A$2:$A$67,'01_orders_raw'!C126)&gt;1,"Неоднозначная связь","Нет связи")</x:f>
        <x:v>Нет связи</x:v>
      </x:c>
      <x:c r="G872" t="str">
        <x:v>High</x:v>
      </x:c>
      <x:c r="H872" t="str">
        <x:v>client_id</x:v>
      </x:c>
      <x:c r="I872" t="str">
        <x:v>Исправить ссылку или разрешить дубли связанного ID</x:v>
      </x:c>
      <x:c r="J872" t="n">
        <x:f>IF(D872=1,K872,0)</x:f>
        <x:v>0</x:v>
      </x:c>
      <x:c r="K872" t="n">
        <x:f>D872+K871</x:f>
        <x:v>11</x:v>
      </x:c>
    </x:row>
    <x:row r="873">
      <x:c r="A873" t="str">
        <x:v>Order</x:v>
      </x:c>
      <x:c r="B873" t="n">
        <x:f>'04_checks'!B126</x:f>
        <x:v>1125</x:v>
      </x:c>
      <x:c r="C873" t="n">
        <x:v>126</x:v>
      </x:c>
      <x:c r="D873" t="n">
        <x:f>IF('04_checks'!F126="ERROR",1,0)</x:f>
        <x:v>0</x:v>
      </x:c>
      <x:c r="E873" t="str">
        <x:v>Order:126:4</x:v>
      </x:c>
      <x:c r="F873" t="str">
        <x:v>Ошибка расчета</x:v>
      </x:c>
      <x:c r="G873" t="str">
        <x:v>High</x:v>
      </x:c>
      <x:c r="H873" t="str">
        <x:v>quantity/price/order_sum</x:v>
      </x:c>
      <x:c r="I873" t="str">
        <x:v>Сверить исходные значения и правило расчёта</x:v>
      </x:c>
      <x:c r="J873" t="n">
        <x:f>IF(D873=1,K873,0)</x:f>
        <x:v>0</x:v>
      </x:c>
      <x:c r="K873" t="n">
        <x:f>D873+K872</x:f>
        <x:v>11</x:v>
      </x:c>
    </x:row>
    <x:row r="874">
      <x:c r="A874" t="str">
        <x:v>Order</x:v>
      </x:c>
      <x:c r="B874" t="n">
        <x:f>'04_checks'!B126</x:f>
        <x:v>1125</x:v>
      </x:c>
      <x:c r="C874" t="n">
        <x:v>126</x:v>
      </x:c>
      <x:c r="D874" t="n">
        <x:f>IF('04_checks'!G126="ERROR",1,0)</x:f>
        <x:v>0</x:v>
      </x:c>
      <x:c r="E874" t="str">
        <x:v>Order:126:5</x:v>
      </x:c>
      <x:c r="F874" t="str">
        <x:v>Отрицательная цена</x:v>
      </x:c>
      <x:c r="G874" t="str">
        <x:v>High</x:v>
      </x:c>
      <x:c r="H874" t="str">
        <x:v>price</x:v>
      </x:c>
      <x:c r="I874" t="str">
        <x:v>Проверить цену в источнике</x:v>
      </x:c>
      <x:c r="J874" t="n">
        <x:f>IF(D874=1,K874,0)</x:f>
        <x:v>0</x:v>
      </x:c>
      <x:c r="K874" t="n">
        <x:f>D874+K873</x:f>
        <x:v>11</x:v>
      </x:c>
    </x:row>
    <x:row r="875">
      <x:c r="A875" t="str">
        <x:v>Order</x:v>
      </x:c>
      <x:c r="B875" t="n">
        <x:f>'04_checks'!B126</x:f>
        <x:v>1125</x:v>
      </x:c>
      <x:c r="C875" t="n">
        <x:v>126</x:v>
      </x:c>
      <x:c r="D875" t="n">
        <x:f>IF('04_checks'!H126="ERROR",1,0)</x:f>
        <x:v>0</x:v>
      </x:c>
      <x:c r="E875" t="str">
        <x:v>Order:126:6</x:v>
      </x:c>
      <x:c r="F875" t="str">
        <x:v>Дата</x:v>
      </x:c>
      <x:c r="G875" t="str">
        <x:v>Medium</x:v>
      </x:c>
      <x:c r="H875" t="str">
        <x:v>order_date</x:v>
      </x:c>
      <x:c r="I875" t="str">
        <x:v>Сверить дату со срезом и исходной записью</x:v>
      </x:c>
      <x:c r="J875" t="n">
        <x:f>IF(D875=1,K875,0)</x:f>
        <x:v>0</x:v>
      </x:c>
      <x:c r="K875" t="n">
        <x:f>D875+K874</x:f>
        <x:v>11</x:v>
      </x:c>
    </x:row>
    <x:row r="876">
      <x:c r="A876" t="str">
        <x:v>Order</x:v>
      </x:c>
      <x:c r="B876" t="n">
        <x:f>'04_checks'!B126</x:f>
        <x:v>1125</x:v>
      </x:c>
      <x:c r="C876" t="n">
        <x:v>126</x:v>
      </x:c>
      <x:c r="D876" t="n">
        <x:f>IF('04_checks'!I126="ERROR",1,0)</x:f>
        <x:v>0</x:v>
      </x:c>
      <x:c r="E876" t="str">
        <x:v>Order:126:7</x:v>
      </x:c>
      <x:c r="F876" t="str">
        <x:v>Статус</x:v>
      </x:c>
      <x:c r="G876" t="str">
        <x:v>Medium</x:v>
      </x:c>
      <x:c r="H876" t="str">
        <x:v>status</x:v>
      </x:c>
      <x:c r="I876" t="str">
        <x:v>Выбрать допустимый статус</x:v>
      </x:c>
      <x:c r="J876" t="n">
        <x:f>IF(D876=1,K876,0)</x:f>
        <x:v>0</x:v>
      </x:c>
      <x:c r="K876" t="n">
        <x:f>D876+K875</x:f>
        <x:v>11</x:v>
      </x:c>
    </x:row>
    <x:row r="877">
      <x:c r="A877" t="str">
        <x:v>Order</x:v>
      </x:c>
      <x:c r="B877" t="n">
        <x:f>'04_checks'!B127</x:f>
        <x:v>1126</x:v>
      </x:c>
      <x:c r="C877" t="n">
        <x:v>127</x:v>
      </x:c>
      <x:c r="D877" t="n">
        <x:f>IF('04_checks'!C127="ERROR",1,0)</x:f>
        <x:v>0</x:v>
      </x:c>
      <x:c r="E877" t="str">
        <x:v>Order:127:1</x:v>
      </x:c>
      <x:c r="F877" t="str">
        <x:v>Дубль</x:v>
      </x:c>
      <x:c r="G877" t="str">
        <x:v>High</x:v>
      </x:c>
      <x:c r="H877" t="str">
        <x:v>order_id</x:v>
      </x:c>
      <x:c r="I877" t="str">
        <x:v>Проверить уникальность ID в источнике; не удалять записи автоматически</x:v>
      </x:c>
      <x:c r="J877" t="n">
        <x:f>IF(D877=1,K877,0)</x:f>
        <x:v>0</x:v>
      </x:c>
      <x:c r="K877" t="n">
        <x:f>D877+K876</x:f>
        <x:v>11</x:v>
      </x:c>
    </x:row>
    <x:row r="878">
      <x:c r="A878" t="str">
        <x:v>Order</x:v>
      </x:c>
      <x:c r="B878" t="n">
        <x:f>'04_checks'!B127</x:f>
        <x:v>1126</x:v>
      </x:c>
      <x:c r="C878" t="n">
        <x:v>127</x:v>
      </x:c>
      <x:c r="D878" t="n">
        <x:f>IF('04_checks'!D127="ERROR",1,0)</x:f>
        <x:v>0</x:v>
      </x:c>
      <x:c r="E878" t="str">
        <x:v>Order:127:2</x:v>
      </x:c>
      <x:c r="F878" t="str">
        <x:v>Пустое поле</x:v>
      </x:c>
      <x:c r="G878" t="str">
        <x:v>High</x:v>
      </x:c>
      <x:c r="H878" t="str">
        <x:v>required_fields</x:v>
      </x:c>
      <x:c r="I878" t="str">
        <x:v>Дополнить обязательные поля в источнике</x:v>
      </x:c>
      <x:c r="J878" t="n">
        <x:f>IF(D878=1,K878,0)</x:f>
        <x:v>0</x:v>
      </x:c>
      <x:c r="K878" t="n">
        <x:f>D878+K877</x:f>
        <x:v>11</x:v>
      </x:c>
    </x:row>
    <x:row r="879">
      <x:c r="A879" t="str">
        <x:v>Order</x:v>
      </x:c>
      <x:c r="B879" t="n">
        <x:f>'04_checks'!B127</x:f>
        <x:v>1126</x:v>
      </x:c>
      <x:c r="C879" t="n">
        <x:v>127</x:v>
      </x:c>
      <x:c r="D879" t="n">
        <x:f>IF('04_checks'!E127="ERROR",1,0)</x:f>
        <x:v>0</x:v>
      </x:c>
      <x:c r="E879" t="str">
        <x:v>Order:127:3</x:v>
      </x:c>
      <x:c r="F879" t="str">
        <x:f>IF(COUNTIF('02_clients_raw'!$A$2:$A$67,'01_orders_raw'!C127)&gt;1,"Неоднозначная связь","Нет связи")</x:f>
        <x:v>Нет связи</x:v>
      </x:c>
      <x:c r="G879" t="str">
        <x:v>High</x:v>
      </x:c>
      <x:c r="H879" t="str">
        <x:v>client_id</x:v>
      </x:c>
      <x:c r="I879" t="str">
        <x:v>Исправить ссылку или разрешить дубли связанного ID</x:v>
      </x:c>
      <x:c r="J879" t="n">
        <x:f>IF(D879=1,K879,0)</x:f>
        <x:v>0</x:v>
      </x:c>
      <x:c r="K879" t="n">
        <x:f>D879+K878</x:f>
        <x:v>11</x:v>
      </x:c>
    </x:row>
    <x:row r="880">
      <x:c r="A880" t="str">
        <x:v>Order</x:v>
      </x:c>
      <x:c r="B880" t="n">
        <x:f>'04_checks'!B127</x:f>
        <x:v>1126</x:v>
      </x:c>
      <x:c r="C880" t="n">
        <x:v>127</x:v>
      </x:c>
      <x:c r="D880" t="n">
        <x:f>IF('04_checks'!F127="ERROR",1,0)</x:f>
        <x:v>0</x:v>
      </x:c>
      <x:c r="E880" t="str">
        <x:v>Order:127:4</x:v>
      </x:c>
      <x:c r="F880" t="str">
        <x:v>Ошибка расчета</x:v>
      </x:c>
      <x:c r="G880" t="str">
        <x:v>High</x:v>
      </x:c>
      <x:c r="H880" t="str">
        <x:v>quantity/price/order_sum</x:v>
      </x:c>
      <x:c r="I880" t="str">
        <x:v>Сверить исходные значения и правило расчёта</x:v>
      </x:c>
      <x:c r="J880" t="n">
        <x:f>IF(D880=1,K880,0)</x:f>
        <x:v>0</x:v>
      </x:c>
      <x:c r="K880" t="n">
        <x:f>D880+K879</x:f>
        <x:v>11</x:v>
      </x:c>
    </x:row>
    <x:row r="881">
      <x:c r="A881" t="str">
        <x:v>Order</x:v>
      </x:c>
      <x:c r="B881" t="n">
        <x:f>'04_checks'!B127</x:f>
        <x:v>1126</x:v>
      </x:c>
      <x:c r="C881" t="n">
        <x:v>127</x:v>
      </x:c>
      <x:c r="D881" t="n">
        <x:f>IF('04_checks'!G127="ERROR",1,0)</x:f>
        <x:v>0</x:v>
      </x:c>
      <x:c r="E881" t="str">
        <x:v>Order:127:5</x:v>
      </x:c>
      <x:c r="F881" t="str">
        <x:v>Отрицательная цена</x:v>
      </x:c>
      <x:c r="G881" t="str">
        <x:v>High</x:v>
      </x:c>
      <x:c r="H881" t="str">
        <x:v>price</x:v>
      </x:c>
      <x:c r="I881" t="str">
        <x:v>Проверить цену в источнике</x:v>
      </x:c>
      <x:c r="J881" t="n">
        <x:f>IF(D881=1,K881,0)</x:f>
        <x:v>0</x:v>
      </x:c>
      <x:c r="K881" t="n">
        <x:f>D881+K880</x:f>
        <x:v>11</x:v>
      </x:c>
    </x:row>
    <x:row r="882">
      <x:c r="A882" t="str">
        <x:v>Order</x:v>
      </x:c>
      <x:c r="B882" t="n">
        <x:f>'04_checks'!B127</x:f>
        <x:v>1126</x:v>
      </x:c>
      <x:c r="C882" t="n">
        <x:v>127</x:v>
      </x:c>
      <x:c r="D882" t="n">
        <x:f>IF('04_checks'!H127="ERROR",1,0)</x:f>
        <x:v>0</x:v>
      </x:c>
      <x:c r="E882" t="str">
        <x:v>Order:127:6</x:v>
      </x:c>
      <x:c r="F882" t="str">
        <x:v>Дата</x:v>
      </x:c>
      <x:c r="G882" t="str">
        <x:v>Medium</x:v>
      </x:c>
      <x:c r="H882" t="str">
        <x:v>order_date</x:v>
      </x:c>
      <x:c r="I882" t="str">
        <x:v>Сверить дату со срезом и исходной записью</x:v>
      </x:c>
      <x:c r="J882" t="n">
        <x:f>IF(D882=1,K882,0)</x:f>
        <x:v>0</x:v>
      </x:c>
      <x:c r="K882" t="n">
        <x:f>D882+K881</x:f>
        <x:v>11</x:v>
      </x:c>
    </x:row>
    <x:row r="883">
      <x:c r="A883" t="str">
        <x:v>Order</x:v>
      </x:c>
      <x:c r="B883" t="n">
        <x:f>'04_checks'!B127</x:f>
        <x:v>1126</x:v>
      </x:c>
      <x:c r="C883" t="n">
        <x:v>127</x:v>
      </x:c>
      <x:c r="D883" t="n">
        <x:f>IF('04_checks'!I127="ERROR",1,0)</x:f>
        <x:v>0</x:v>
      </x:c>
      <x:c r="E883" t="str">
        <x:v>Order:127:7</x:v>
      </x:c>
      <x:c r="F883" t="str">
        <x:v>Статус</x:v>
      </x:c>
      <x:c r="G883" t="str">
        <x:v>Medium</x:v>
      </x:c>
      <x:c r="H883" t="str">
        <x:v>status</x:v>
      </x:c>
      <x:c r="I883" t="str">
        <x:v>Выбрать допустимый статус</x:v>
      </x:c>
      <x:c r="J883" t="n">
        <x:f>IF(D883=1,K883,0)</x:f>
        <x:v>0</x:v>
      </x:c>
      <x:c r="K883" t="n">
        <x:f>D883+K882</x:f>
        <x:v>11</x:v>
      </x:c>
    </x:row>
    <x:row r="884">
      <x:c r="A884" t="str">
        <x:v>Order</x:v>
      </x:c>
      <x:c r="B884" t="n">
        <x:f>'04_checks'!B128</x:f>
        <x:v>1127</x:v>
      </x:c>
      <x:c r="C884" t="n">
        <x:v>128</x:v>
      </x:c>
      <x:c r="D884" t="n">
        <x:f>IF('04_checks'!C128="ERROR",1,0)</x:f>
        <x:v>0</x:v>
      </x:c>
      <x:c r="E884" t="str">
        <x:v>Order:128:1</x:v>
      </x:c>
      <x:c r="F884" t="str">
        <x:v>Дубль</x:v>
      </x:c>
      <x:c r="G884" t="str">
        <x:v>High</x:v>
      </x:c>
      <x:c r="H884" t="str">
        <x:v>order_id</x:v>
      </x:c>
      <x:c r="I884" t="str">
        <x:v>Проверить уникальность ID в источнике; не удалять записи автоматически</x:v>
      </x:c>
      <x:c r="J884" t="n">
        <x:f>IF(D884=1,K884,0)</x:f>
        <x:v>0</x:v>
      </x:c>
      <x:c r="K884" t="n">
        <x:f>D884+K883</x:f>
        <x:v>11</x:v>
      </x:c>
    </x:row>
    <x:row r="885">
      <x:c r="A885" t="str">
        <x:v>Order</x:v>
      </x:c>
      <x:c r="B885" t="n">
        <x:f>'04_checks'!B128</x:f>
        <x:v>1127</x:v>
      </x:c>
      <x:c r="C885" t="n">
        <x:v>128</x:v>
      </x:c>
      <x:c r="D885" t="n">
        <x:f>IF('04_checks'!D128="ERROR",1,0)</x:f>
        <x:v>0</x:v>
      </x:c>
      <x:c r="E885" t="str">
        <x:v>Order:128:2</x:v>
      </x:c>
      <x:c r="F885" t="str">
        <x:v>Пустое поле</x:v>
      </x:c>
      <x:c r="G885" t="str">
        <x:v>High</x:v>
      </x:c>
      <x:c r="H885" t="str">
        <x:v>required_fields</x:v>
      </x:c>
      <x:c r="I885" t="str">
        <x:v>Дополнить обязательные поля в источнике</x:v>
      </x:c>
      <x:c r="J885" t="n">
        <x:f>IF(D885=1,K885,0)</x:f>
        <x:v>0</x:v>
      </x:c>
      <x:c r="K885" t="n">
        <x:f>D885+K884</x:f>
        <x:v>11</x:v>
      </x:c>
    </x:row>
    <x:row r="886">
      <x:c r="A886" t="str">
        <x:v>Order</x:v>
      </x:c>
      <x:c r="B886" t="n">
        <x:f>'04_checks'!B128</x:f>
        <x:v>1127</x:v>
      </x:c>
      <x:c r="C886" t="n">
        <x:v>128</x:v>
      </x:c>
      <x:c r="D886" t="n">
        <x:f>IF('04_checks'!E128="ERROR",1,0)</x:f>
        <x:v>0</x:v>
      </x:c>
      <x:c r="E886" t="str">
        <x:v>Order:128:3</x:v>
      </x:c>
      <x:c r="F886" t="str">
        <x:f>IF(COUNTIF('02_clients_raw'!$A$2:$A$67,'01_orders_raw'!C128)&gt;1,"Неоднозначная связь","Нет связи")</x:f>
        <x:v>Нет связи</x:v>
      </x:c>
      <x:c r="G886" t="str">
        <x:v>High</x:v>
      </x:c>
      <x:c r="H886" t="str">
        <x:v>client_id</x:v>
      </x:c>
      <x:c r="I886" t="str">
        <x:v>Исправить ссылку или разрешить дубли связанного ID</x:v>
      </x:c>
      <x:c r="J886" t="n">
        <x:f>IF(D886=1,K886,0)</x:f>
        <x:v>0</x:v>
      </x:c>
      <x:c r="K886" t="n">
        <x:f>D886+K885</x:f>
        <x:v>11</x:v>
      </x:c>
    </x:row>
    <x:row r="887">
      <x:c r="A887" t="str">
        <x:v>Order</x:v>
      </x:c>
      <x:c r="B887" t="n">
        <x:f>'04_checks'!B128</x:f>
        <x:v>1127</x:v>
      </x:c>
      <x:c r="C887" t="n">
        <x:v>128</x:v>
      </x:c>
      <x:c r="D887" t="n">
        <x:f>IF('04_checks'!F128="ERROR",1,0)</x:f>
        <x:v>0</x:v>
      </x:c>
      <x:c r="E887" t="str">
        <x:v>Order:128:4</x:v>
      </x:c>
      <x:c r="F887" t="str">
        <x:v>Ошибка расчета</x:v>
      </x:c>
      <x:c r="G887" t="str">
        <x:v>High</x:v>
      </x:c>
      <x:c r="H887" t="str">
        <x:v>quantity/price/order_sum</x:v>
      </x:c>
      <x:c r="I887" t="str">
        <x:v>Сверить исходные значения и правило расчёта</x:v>
      </x:c>
      <x:c r="J887" t="n">
        <x:f>IF(D887=1,K887,0)</x:f>
        <x:v>0</x:v>
      </x:c>
      <x:c r="K887" t="n">
        <x:f>D887+K886</x:f>
        <x:v>11</x:v>
      </x:c>
    </x:row>
    <x:row r="888">
      <x:c r="A888" t="str">
        <x:v>Order</x:v>
      </x:c>
      <x:c r="B888" t="n">
        <x:f>'04_checks'!B128</x:f>
        <x:v>1127</x:v>
      </x:c>
      <x:c r="C888" t="n">
        <x:v>128</x:v>
      </x:c>
      <x:c r="D888" t="n">
        <x:f>IF('04_checks'!G128="ERROR",1,0)</x:f>
        <x:v>0</x:v>
      </x:c>
      <x:c r="E888" t="str">
        <x:v>Order:128:5</x:v>
      </x:c>
      <x:c r="F888" t="str">
        <x:v>Отрицательная цена</x:v>
      </x:c>
      <x:c r="G888" t="str">
        <x:v>High</x:v>
      </x:c>
      <x:c r="H888" t="str">
        <x:v>price</x:v>
      </x:c>
      <x:c r="I888" t="str">
        <x:v>Проверить цену в источнике</x:v>
      </x:c>
      <x:c r="J888" t="n">
        <x:f>IF(D888=1,K888,0)</x:f>
        <x:v>0</x:v>
      </x:c>
      <x:c r="K888" t="n">
        <x:f>D888+K887</x:f>
        <x:v>11</x:v>
      </x:c>
    </x:row>
    <x:row r="889">
      <x:c r="A889" t="str">
        <x:v>Order</x:v>
      </x:c>
      <x:c r="B889" t="n">
        <x:f>'04_checks'!B128</x:f>
        <x:v>1127</x:v>
      </x:c>
      <x:c r="C889" t="n">
        <x:v>128</x:v>
      </x:c>
      <x:c r="D889" t="n">
        <x:f>IF('04_checks'!H128="ERROR",1,0)</x:f>
        <x:v>0</x:v>
      </x:c>
      <x:c r="E889" t="str">
        <x:v>Order:128:6</x:v>
      </x:c>
      <x:c r="F889" t="str">
        <x:v>Дата</x:v>
      </x:c>
      <x:c r="G889" t="str">
        <x:v>Medium</x:v>
      </x:c>
      <x:c r="H889" t="str">
        <x:v>order_date</x:v>
      </x:c>
      <x:c r="I889" t="str">
        <x:v>Сверить дату со срезом и исходной записью</x:v>
      </x:c>
      <x:c r="J889" t="n">
        <x:f>IF(D889=1,K889,0)</x:f>
        <x:v>0</x:v>
      </x:c>
      <x:c r="K889" t="n">
        <x:f>D889+K888</x:f>
        <x:v>11</x:v>
      </x:c>
    </x:row>
    <x:row r="890">
      <x:c r="A890" t="str">
        <x:v>Order</x:v>
      </x:c>
      <x:c r="B890" t="n">
        <x:f>'04_checks'!B128</x:f>
        <x:v>1127</x:v>
      </x:c>
      <x:c r="C890" t="n">
        <x:v>128</x:v>
      </x:c>
      <x:c r="D890" t="n">
        <x:f>IF('04_checks'!I128="ERROR",1,0)</x:f>
        <x:v>0</x:v>
      </x:c>
      <x:c r="E890" t="str">
        <x:v>Order:128:7</x:v>
      </x:c>
      <x:c r="F890" t="str">
        <x:v>Статус</x:v>
      </x:c>
      <x:c r="G890" t="str">
        <x:v>Medium</x:v>
      </x:c>
      <x:c r="H890" t="str">
        <x:v>status</x:v>
      </x:c>
      <x:c r="I890" t="str">
        <x:v>Выбрать допустимый статус</x:v>
      </x:c>
      <x:c r="J890" t="n">
        <x:f>IF(D890=1,K890,0)</x:f>
        <x:v>0</x:v>
      </x:c>
      <x:c r="K890" t="n">
        <x:f>D890+K889</x:f>
        <x:v>11</x:v>
      </x:c>
    </x:row>
    <x:row r="891">
      <x:c r="A891" t="str">
        <x:v>Order</x:v>
      </x:c>
      <x:c r="B891" t="n">
        <x:f>'04_checks'!B129</x:f>
        <x:v>1128</x:v>
      </x:c>
      <x:c r="C891" t="n">
        <x:v>129</x:v>
      </x:c>
      <x:c r="D891" t="n">
        <x:f>IF('04_checks'!C129="ERROR",1,0)</x:f>
        <x:v>0</x:v>
      </x:c>
      <x:c r="E891" t="str">
        <x:v>Order:129:1</x:v>
      </x:c>
      <x:c r="F891" t="str">
        <x:v>Дубль</x:v>
      </x:c>
      <x:c r="G891" t="str">
        <x:v>High</x:v>
      </x:c>
      <x:c r="H891" t="str">
        <x:v>order_id</x:v>
      </x:c>
      <x:c r="I891" t="str">
        <x:v>Проверить уникальность ID в источнике; не удалять записи автоматически</x:v>
      </x:c>
      <x:c r="J891" t="n">
        <x:f>IF(D891=1,K891,0)</x:f>
        <x:v>0</x:v>
      </x:c>
      <x:c r="K891" t="n">
        <x:f>D891+K890</x:f>
        <x:v>11</x:v>
      </x:c>
    </x:row>
    <x:row r="892">
      <x:c r="A892" t="str">
        <x:v>Order</x:v>
      </x:c>
      <x:c r="B892" t="n">
        <x:f>'04_checks'!B129</x:f>
        <x:v>1128</x:v>
      </x:c>
      <x:c r="C892" t="n">
        <x:v>129</x:v>
      </x:c>
      <x:c r="D892" t="n">
        <x:f>IF('04_checks'!D129="ERROR",1,0)</x:f>
        <x:v>0</x:v>
      </x:c>
      <x:c r="E892" t="str">
        <x:v>Order:129:2</x:v>
      </x:c>
      <x:c r="F892" t="str">
        <x:v>Пустое поле</x:v>
      </x:c>
      <x:c r="G892" t="str">
        <x:v>High</x:v>
      </x:c>
      <x:c r="H892" t="str">
        <x:v>required_fields</x:v>
      </x:c>
      <x:c r="I892" t="str">
        <x:v>Дополнить обязательные поля в источнике</x:v>
      </x:c>
      <x:c r="J892" t="n">
        <x:f>IF(D892=1,K892,0)</x:f>
        <x:v>0</x:v>
      </x:c>
      <x:c r="K892" t="n">
        <x:f>D892+K891</x:f>
        <x:v>11</x:v>
      </x:c>
    </x:row>
    <x:row r="893">
      <x:c r="A893" t="str">
        <x:v>Order</x:v>
      </x:c>
      <x:c r="B893" t="n">
        <x:f>'04_checks'!B129</x:f>
        <x:v>1128</x:v>
      </x:c>
      <x:c r="C893" t="n">
        <x:v>129</x:v>
      </x:c>
      <x:c r="D893" t="n">
        <x:f>IF('04_checks'!E129="ERROR",1,0)</x:f>
        <x:v>0</x:v>
      </x:c>
      <x:c r="E893" t="str">
        <x:v>Order:129:3</x:v>
      </x:c>
      <x:c r="F893" t="str">
        <x:f>IF(COUNTIF('02_clients_raw'!$A$2:$A$67,'01_orders_raw'!C129)&gt;1,"Неоднозначная связь","Нет связи")</x:f>
        <x:v>Нет связи</x:v>
      </x:c>
      <x:c r="G893" t="str">
        <x:v>High</x:v>
      </x:c>
      <x:c r="H893" t="str">
        <x:v>client_id</x:v>
      </x:c>
      <x:c r="I893" t="str">
        <x:v>Исправить ссылку или разрешить дубли связанного ID</x:v>
      </x:c>
      <x:c r="J893" t="n">
        <x:f>IF(D893=1,K893,0)</x:f>
        <x:v>0</x:v>
      </x:c>
      <x:c r="K893" t="n">
        <x:f>D893+K892</x:f>
        <x:v>11</x:v>
      </x:c>
    </x:row>
    <x:row r="894">
      <x:c r="A894" t="str">
        <x:v>Order</x:v>
      </x:c>
      <x:c r="B894" t="n">
        <x:f>'04_checks'!B129</x:f>
        <x:v>1128</x:v>
      </x:c>
      <x:c r="C894" t="n">
        <x:v>129</x:v>
      </x:c>
      <x:c r="D894" t="n">
        <x:f>IF('04_checks'!F129="ERROR",1,0)</x:f>
        <x:v>0</x:v>
      </x:c>
      <x:c r="E894" t="str">
        <x:v>Order:129:4</x:v>
      </x:c>
      <x:c r="F894" t="str">
        <x:v>Ошибка расчета</x:v>
      </x:c>
      <x:c r="G894" t="str">
        <x:v>High</x:v>
      </x:c>
      <x:c r="H894" t="str">
        <x:v>quantity/price/order_sum</x:v>
      </x:c>
      <x:c r="I894" t="str">
        <x:v>Сверить исходные значения и правило расчёта</x:v>
      </x:c>
      <x:c r="J894" t="n">
        <x:f>IF(D894=1,K894,0)</x:f>
        <x:v>0</x:v>
      </x:c>
      <x:c r="K894" t="n">
        <x:f>D894+K893</x:f>
        <x:v>11</x:v>
      </x:c>
    </x:row>
    <x:row r="895">
      <x:c r="A895" t="str">
        <x:v>Order</x:v>
      </x:c>
      <x:c r="B895" t="n">
        <x:f>'04_checks'!B129</x:f>
        <x:v>1128</x:v>
      </x:c>
      <x:c r="C895" t="n">
        <x:v>129</x:v>
      </x:c>
      <x:c r="D895" t="n">
        <x:f>IF('04_checks'!G129="ERROR",1,0)</x:f>
        <x:v>0</x:v>
      </x:c>
      <x:c r="E895" t="str">
        <x:v>Order:129:5</x:v>
      </x:c>
      <x:c r="F895" t="str">
        <x:v>Отрицательная цена</x:v>
      </x:c>
      <x:c r="G895" t="str">
        <x:v>High</x:v>
      </x:c>
      <x:c r="H895" t="str">
        <x:v>price</x:v>
      </x:c>
      <x:c r="I895" t="str">
        <x:v>Проверить цену в источнике</x:v>
      </x:c>
      <x:c r="J895" t="n">
        <x:f>IF(D895=1,K895,0)</x:f>
        <x:v>0</x:v>
      </x:c>
      <x:c r="K895" t="n">
        <x:f>D895+K894</x:f>
        <x:v>11</x:v>
      </x:c>
    </x:row>
    <x:row r="896">
      <x:c r="A896" t="str">
        <x:v>Order</x:v>
      </x:c>
      <x:c r="B896" t="n">
        <x:f>'04_checks'!B129</x:f>
        <x:v>1128</x:v>
      </x:c>
      <x:c r="C896" t="n">
        <x:v>129</x:v>
      </x:c>
      <x:c r="D896" t="n">
        <x:f>IF('04_checks'!H129="ERROR",1,0)</x:f>
        <x:v>0</x:v>
      </x:c>
      <x:c r="E896" t="str">
        <x:v>Order:129:6</x:v>
      </x:c>
      <x:c r="F896" t="str">
        <x:v>Дата</x:v>
      </x:c>
      <x:c r="G896" t="str">
        <x:v>Medium</x:v>
      </x:c>
      <x:c r="H896" t="str">
        <x:v>order_date</x:v>
      </x:c>
      <x:c r="I896" t="str">
        <x:v>Сверить дату со срезом и исходной записью</x:v>
      </x:c>
      <x:c r="J896" t="n">
        <x:f>IF(D896=1,K896,0)</x:f>
        <x:v>0</x:v>
      </x:c>
      <x:c r="K896" t="n">
        <x:f>D896+K895</x:f>
        <x:v>11</x:v>
      </x:c>
    </x:row>
    <x:row r="897">
      <x:c r="A897" t="str">
        <x:v>Order</x:v>
      </x:c>
      <x:c r="B897" t="n">
        <x:f>'04_checks'!B129</x:f>
        <x:v>1128</x:v>
      </x:c>
      <x:c r="C897" t="n">
        <x:v>129</x:v>
      </x:c>
      <x:c r="D897" t="n">
        <x:f>IF('04_checks'!I129="ERROR",1,0)</x:f>
        <x:v>0</x:v>
      </x:c>
      <x:c r="E897" t="str">
        <x:v>Order:129:7</x:v>
      </x:c>
      <x:c r="F897" t="str">
        <x:v>Статус</x:v>
      </x:c>
      <x:c r="G897" t="str">
        <x:v>Medium</x:v>
      </x:c>
      <x:c r="H897" t="str">
        <x:v>status</x:v>
      </x:c>
      <x:c r="I897" t="str">
        <x:v>Выбрать допустимый статус</x:v>
      </x:c>
      <x:c r="J897" t="n">
        <x:f>IF(D897=1,K897,0)</x:f>
        <x:v>0</x:v>
      </x:c>
      <x:c r="K897" t="n">
        <x:f>D897+K896</x:f>
        <x:v>11</x:v>
      </x:c>
    </x:row>
    <x:row r="898">
      <x:c r="A898" t="str">
        <x:v>Order</x:v>
      </x:c>
      <x:c r="B898" t="n">
        <x:f>'04_checks'!B130</x:f>
        <x:v>1129</x:v>
      </x:c>
      <x:c r="C898" t="n">
        <x:v>130</x:v>
      </x:c>
      <x:c r="D898" t="n">
        <x:f>IF('04_checks'!C130="ERROR",1,0)</x:f>
        <x:v>0</x:v>
      </x:c>
      <x:c r="E898" t="str">
        <x:v>Order:130:1</x:v>
      </x:c>
      <x:c r="F898" t="str">
        <x:v>Дубль</x:v>
      </x:c>
      <x:c r="G898" t="str">
        <x:v>High</x:v>
      </x:c>
      <x:c r="H898" t="str">
        <x:v>order_id</x:v>
      </x:c>
      <x:c r="I898" t="str">
        <x:v>Проверить уникальность ID в источнике; не удалять записи автоматически</x:v>
      </x:c>
      <x:c r="J898" t="n">
        <x:f>IF(D898=1,K898,0)</x:f>
        <x:v>0</x:v>
      </x:c>
      <x:c r="K898" t="n">
        <x:f>D898+K897</x:f>
        <x:v>11</x:v>
      </x:c>
    </x:row>
    <x:row r="899">
      <x:c r="A899" t="str">
        <x:v>Order</x:v>
      </x:c>
      <x:c r="B899" t="n">
        <x:f>'04_checks'!B130</x:f>
        <x:v>1129</x:v>
      </x:c>
      <x:c r="C899" t="n">
        <x:v>130</x:v>
      </x:c>
      <x:c r="D899" t="n">
        <x:f>IF('04_checks'!D130="ERROR",1,0)</x:f>
        <x:v>0</x:v>
      </x:c>
      <x:c r="E899" t="str">
        <x:v>Order:130:2</x:v>
      </x:c>
      <x:c r="F899" t="str">
        <x:v>Пустое поле</x:v>
      </x:c>
      <x:c r="G899" t="str">
        <x:v>High</x:v>
      </x:c>
      <x:c r="H899" t="str">
        <x:v>required_fields</x:v>
      </x:c>
      <x:c r="I899" t="str">
        <x:v>Дополнить обязательные поля в источнике</x:v>
      </x:c>
      <x:c r="J899" t="n">
        <x:f>IF(D899=1,K899,0)</x:f>
        <x:v>0</x:v>
      </x:c>
      <x:c r="K899" t="n">
        <x:f>D899+K898</x:f>
        <x:v>11</x:v>
      </x:c>
    </x:row>
    <x:row r="900">
      <x:c r="A900" t="str">
        <x:v>Order</x:v>
      </x:c>
      <x:c r="B900" t="n">
        <x:f>'04_checks'!B130</x:f>
        <x:v>1129</x:v>
      </x:c>
      <x:c r="C900" t="n">
        <x:v>130</x:v>
      </x:c>
      <x:c r="D900" t="n">
        <x:f>IF('04_checks'!E130="ERROR",1,0)</x:f>
        <x:v>0</x:v>
      </x:c>
      <x:c r="E900" t="str">
        <x:v>Order:130:3</x:v>
      </x:c>
      <x:c r="F900" t="str">
        <x:f>IF(COUNTIF('02_clients_raw'!$A$2:$A$67,'01_orders_raw'!C130)&gt;1,"Неоднозначная связь","Нет связи")</x:f>
        <x:v>Нет связи</x:v>
      </x:c>
      <x:c r="G900" t="str">
        <x:v>High</x:v>
      </x:c>
      <x:c r="H900" t="str">
        <x:v>client_id</x:v>
      </x:c>
      <x:c r="I900" t="str">
        <x:v>Исправить ссылку или разрешить дубли связанного ID</x:v>
      </x:c>
      <x:c r="J900" t="n">
        <x:f>IF(D900=1,K900,0)</x:f>
        <x:v>0</x:v>
      </x:c>
      <x:c r="K900" t="n">
        <x:f>D900+K899</x:f>
        <x:v>11</x:v>
      </x:c>
    </x:row>
    <x:row r="901">
      <x:c r="A901" t="str">
        <x:v>Order</x:v>
      </x:c>
      <x:c r="B901" t="n">
        <x:f>'04_checks'!B130</x:f>
        <x:v>1129</x:v>
      </x:c>
      <x:c r="C901" t="n">
        <x:v>130</x:v>
      </x:c>
      <x:c r="D901" t="n">
        <x:f>IF('04_checks'!F130="ERROR",1,0)</x:f>
        <x:v>0</x:v>
      </x:c>
      <x:c r="E901" t="str">
        <x:v>Order:130:4</x:v>
      </x:c>
      <x:c r="F901" t="str">
        <x:v>Ошибка расчета</x:v>
      </x:c>
      <x:c r="G901" t="str">
        <x:v>High</x:v>
      </x:c>
      <x:c r="H901" t="str">
        <x:v>quantity/price/order_sum</x:v>
      </x:c>
      <x:c r="I901" t="str">
        <x:v>Сверить исходные значения и правило расчёта</x:v>
      </x:c>
      <x:c r="J901" t="n">
        <x:f>IF(D901=1,K901,0)</x:f>
        <x:v>0</x:v>
      </x:c>
      <x:c r="K901" t="n">
        <x:f>D901+K900</x:f>
        <x:v>11</x:v>
      </x:c>
    </x:row>
    <x:row r="902">
      <x:c r="A902" t="str">
        <x:v>Order</x:v>
      </x:c>
      <x:c r="B902" t="n">
        <x:f>'04_checks'!B130</x:f>
        <x:v>1129</x:v>
      </x:c>
      <x:c r="C902" t="n">
        <x:v>130</x:v>
      </x:c>
      <x:c r="D902" t="n">
        <x:f>IF('04_checks'!G130="ERROR",1,0)</x:f>
        <x:v>0</x:v>
      </x:c>
      <x:c r="E902" t="str">
        <x:v>Order:130:5</x:v>
      </x:c>
      <x:c r="F902" t="str">
        <x:v>Отрицательная цена</x:v>
      </x:c>
      <x:c r="G902" t="str">
        <x:v>High</x:v>
      </x:c>
      <x:c r="H902" t="str">
        <x:v>price</x:v>
      </x:c>
      <x:c r="I902" t="str">
        <x:v>Проверить цену в источнике</x:v>
      </x:c>
      <x:c r="J902" t="n">
        <x:f>IF(D902=1,K902,0)</x:f>
        <x:v>0</x:v>
      </x:c>
      <x:c r="K902" t="n">
        <x:f>D902+K901</x:f>
        <x:v>11</x:v>
      </x:c>
    </x:row>
    <x:row r="903">
      <x:c r="A903" t="str">
        <x:v>Order</x:v>
      </x:c>
      <x:c r="B903" t="n">
        <x:f>'04_checks'!B130</x:f>
        <x:v>1129</x:v>
      </x:c>
      <x:c r="C903" t="n">
        <x:v>130</x:v>
      </x:c>
      <x:c r="D903" t="n">
        <x:f>IF('04_checks'!H130="ERROR",1,0)</x:f>
        <x:v>0</x:v>
      </x:c>
      <x:c r="E903" t="str">
        <x:v>Order:130:6</x:v>
      </x:c>
      <x:c r="F903" t="str">
        <x:v>Дата</x:v>
      </x:c>
      <x:c r="G903" t="str">
        <x:v>Medium</x:v>
      </x:c>
      <x:c r="H903" t="str">
        <x:v>order_date</x:v>
      </x:c>
      <x:c r="I903" t="str">
        <x:v>Сверить дату со срезом и исходной записью</x:v>
      </x:c>
      <x:c r="J903" t="n">
        <x:f>IF(D903=1,K903,0)</x:f>
        <x:v>0</x:v>
      </x:c>
      <x:c r="K903" t="n">
        <x:f>D903+K902</x:f>
        <x:v>11</x:v>
      </x:c>
    </x:row>
    <x:row r="904">
      <x:c r="A904" t="str">
        <x:v>Order</x:v>
      </x:c>
      <x:c r="B904" t="n">
        <x:f>'04_checks'!B130</x:f>
        <x:v>1129</x:v>
      </x:c>
      <x:c r="C904" t="n">
        <x:v>130</x:v>
      </x:c>
      <x:c r="D904" t="n">
        <x:f>IF('04_checks'!I130="ERROR",1,0)</x:f>
        <x:v>0</x:v>
      </x:c>
      <x:c r="E904" t="str">
        <x:v>Order:130:7</x:v>
      </x:c>
      <x:c r="F904" t="str">
        <x:v>Статус</x:v>
      </x:c>
      <x:c r="G904" t="str">
        <x:v>Medium</x:v>
      </x:c>
      <x:c r="H904" t="str">
        <x:v>status</x:v>
      </x:c>
      <x:c r="I904" t="str">
        <x:v>Выбрать допустимый статус</x:v>
      </x:c>
      <x:c r="J904" t="n">
        <x:f>IF(D904=1,K904,0)</x:f>
        <x:v>0</x:v>
      </x:c>
      <x:c r="K904" t="n">
        <x:f>D904+K903</x:f>
        <x:v>11</x:v>
      </x:c>
    </x:row>
    <x:row r="905">
      <x:c r="A905" t="str">
        <x:v>Order</x:v>
      </x:c>
      <x:c r="B905" t="n">
        <x:f>'04_checks'!B131</x:f>
        <x:v>1130</x:v>
      </x:c>
      <x:c r="C905" t="n">
        <x:v>131</x:v>
      </x:c>
      <x:c r="D905" t="n">
        <x:f>IF('04_checks'!C131="ERROR",1,0)</x:f>
        <x:v>0</x:v>
      </x:c>
      <x:c r="E905" t="str">
        <x:v>Order:131:1</x:v>
      </x:c>
      <x:c r="F905" t="str">
        <x:v>Дубль</x:v>
      </x:c>
      <x:c r="G905" t="str">
        <x:v>High</x:v>
      </x:c>
      <x:c r="H905" t="str">
        <x:v>order_id</x:v>
      </x:c>
      <x:c r="I905" t="str">
        <x:v>Проверить уникальность ID в источнике; не удалять записи автоматически</x:v>
      </x:c>
      <x:c r="J905" t="n">
        <x:f>IF(D905=1,K905,0)</x:f>
        <x:v>0</x:v>
      </x:c>
      <x:c r="K905" t="n">
        <x:f>D905+K904</x:f>
        <x:v>11</x:v>
      </x:c>
    </x:row>
    <x:row r="906">
      <x:c r="A906" t="str">
        <x:v>Order</x:v>
      </x:c>
      <x:c r="B906" t="n">
        <x:f>'04_checks'!B131</x:f>
        <x:v>1130</x:v>
      </x:c>
      <x:c r="C906" t="n">
        <x:v>131</x:v>
      </x:c>
      <x:c r="D906" t="n">
        <x:f>IF('04_checks'!D131="ERROR",1,0)</x:f>
        <x:v>0</x:v>
      </x:c>
      <x:c r="E906" t="str">
        <x:v>Order:131:2</x:v>
      </x:c>
      <x:c r="F906" t="str">
        <x:v>Пустое поле</x:v>
      </x:c>
      <x:c r="G906" t="str">
        <x:v>High</x:v>
      </x:c>
      <x:c r="H906" t="str">
        <x:v>required_fields</x:v>
      </x:c>
      <x:c r="I906" t="str">
        <x:v>Дополнить обязательные поля в источнике</x:v>
      </x:c>
      <x:c r="J906" t="n">
        <x:f>IF(D906=1,K906,0)</x:f>
        <x:v>0</x:v>
      </x:c>
      <x:c r="K906" t="n">
        <x:f>D906+K905</x:f>
        <x:v>11</x:v>
      </x:c>
    </x:row>
    <x:row r="907">
      <x:c r="A907" t="str">
        <x:v>Order</x:v>
      </x:c>
      <x:c r="B907" t="n">
        <x:f>'04_checks'!B131</x:f>
        <x:v>1130</x:v>
      </x:c>
      <x:c r="C907" t="n">
        <x:v>131</x:v>
      </x:c>
      <x:c r="D907" t="n">
        <x:f>IF('04_checks'!E131="ERROR",1,0)</x:f>
        <x:v>0</x:v>
      </x:c>
      <x:c r="E907" t="str">
        <x:v>Order:131:3</x:v>
      </x:c>
      <x:c r="F907" t="str">
        <x:f>IF(COUNTIF('02_clients_raw'!$A$2:$A$67,'01_orders_raw'!C131)&gt;1,"Неоднозначная связь","Нет связи")</x:f>
        <x:v>Нет связи</x:v>
      </x:c>
      <x:c r="G907" t="str">
        <x:v>High</x:v>
      </x:c>
      <x:c r="H907" t="str">
        <x:v>client_id</x:v>
      </x:c>
      <x:c r="I907" t="str">
        <x:v>Исправить ссылку или разрешить дубли связанного ID</x:v>
      </x:c>
      <x:c r="J907" t="n">
        <x:f>IF(D907=1,K907,0)</x:f>
        <x:v>0</x:v>
      </x:c>
      <x:c r="K907" t="n">
        <x:f>D907+K906</x:f>
        <x:v>11</x:v>
      </x:c>
    </x:row>
    <x:row r="908">
      <x:c r="A908" t="str">
        <x:v>Order</x:v>
      </x:c>
      <x:c r="B908" t="n">
        <x:f>'04_checks'!B131</x:f>
        <x:v>1130</x:v>
      </x:c>
      <x:c r="C908" t="n">
        <x:v>131</x:v>
      </x:c>
      <x:c r="D908" t="n">
        <x:f>IF('04_checks'!F131="ERROR",1,0)</x:f>
        <x:v>0</x:v>
      </x:c>
      <x:c r="E908" t="str">
        <x:v>Order:131:4</x:v>
      </x:c>
      <x:c r="F908" t="str">
        <x:v>Ошибка расчета</x:v>
      </x:c>
      <x:c r="G908" t="str">
        <x:v>High</x:v>
      </x:c>
      <x:c r="H908" t="str">
        <x:v>quantity/price/order_sum</x:v>
      </x:c>
      <x:c r="I908" t="str">
        <x:v>Сверить исходные значения и правило расчёта</x:v>
      </x:c>
      <x:c r="J908" t="n">
        <x:f>IF(D908=1,K908,0)</x:f>
        <x:v>0</x:v>
      </x:c>
      <x:c r="K908" t="n">
        <x:f>D908+K907</x:f>
        <x:v>11</x:v>
      </x:c>
    </x:row>
    <x:row r="909">
      <x:c r="A909" t="str">
        <x:v>Order</x:v>
      </x:c>
      <x:c r="B909" t="n">
        <x:f>'04_checks'!B131</x:f>
        <x:v>1130</x:v>
      </x:c>
      <x:c r="C909" t="n">
        <x:v>131</x:v>
      </x:c>
      <x:c r="D909" t="n">
        <x:f>IF('04_checks'!G131="ERROR",1,0)</x:f>
        <x:v>0</x:v>
      </x:c>
      <x:c r="E909" t="str">
        <x:v>Order:131:5</x:v>
      </x:c>
      <x:c r="F909" t="str">
        <x:v>Отрицательная цена</x:v>
      </x:c>
      <x:c r="G909" t="str">
        <x:v>High</x:v>
      </x:c>
      <x:c r="H909" t="str">
        <x:v>price</x:v>
      </x:c>
      <x:c r="I909" t="str">
        <x:v>Проверить цену в источнике</x:v>
      </x:c>
      <x:c r="J909" t="n">
        <x:f>IF(D909=1,K909,0)</x:f>
        <x:v>0</x:v>
      </x:c>
      <x:c r="K909" t="n">
        <x:f>D909+K908</x:f>
        <x:v>11</x:v>
      </x:c>
    </x:row>
    <x:row r="910">
      <x:c r="A910" t="str">
        <x:v>Order</x:v>
      </x:c>
      <x:c r="B910" t="n">
        <x:f>'04_checks'!B131</x:f>
        <x:v>1130</x:v>
      </x:c>
      <x:c r="C910" t="n">
        <x:v>131</x:v>
      </x:c>
      <x:c r="D910" t="n">
        <x:f>IF('04_checks'!H131="ERROR",1,0)</x:f>
        <x:v>0</x:v>
      </x:c>
      <x:c r="E910" t="str">
        <x:v>Order:131:6</x:v>
      </x:c>
      <x:c r="F910" t="str">
        <x:v>Дата</x:v>
      </x:c>
      <x:c r="G910" t="str">
        <x:v>Medium</x:v>
      </x:c>
      <x:c r="H910" t="str">
        <x:v>order_date</x:v>
      </x:c>
      <x:c r="I910" t="str">
        <x:v>Сверить дату со срезом и исходной записью</x:v>
      </x:c>
      <x:c r="J910" t="n">
        <x:f>IF(D910=1,K910,0)</x:f>
        <x:v>0</x:v>
      </x:c>
      <x:c r="K910" t="n">
        <x:f>D910+K909</x:f>
        <x:v>11</x:v>
      </x:c>
    </x:row>
    <x:row r="911">
      <x:c r="A911" t="str">
        <x:v>Order</x:v>
      </x:c>
      <x:c r="B911" t="n">
        <x:f>'04_checks'!B131</x:f>
        <x:v>1130</x:v>
      </x:c>
      <x:c r="C911" t="n">
        <x:v>131</x:v>
      </x:c>
      <x:c r="D911" t="n">
        <x:f>IF('04_checks'!I131="ERROR",1,0)</x:f>
        <x:v>0</x:v>
      </x:c>
      <x:c r="E911" t="str">
        <x:v>Order:131:7</x:v>
      </x:c>
      <x:c r="F911" t="str">
        <x:v>Статус</x:v>
      </x:c>
      <x:c r="G911" t="str">
        <x:v>Medium</x:v>
      </x:c>
      <x:c r="H911" t="str">
        <x:v>status</x:v>
      </x:c>
      <x:c r="I911" t="str">
        <x:v>Выбрать допустимый статус</x:v>
      </x:c>
      <x:c r="J911" t="n">
        <x:f>IF(D911=1,K911,0)</x:f>
        <x:v>0</x:v>
      </x:c>
      <x:c r="K911" t="n">
        <x:f>D911+K910</x:f>
        <x:v>11</x:v>
      </x:c>
    </x:row>
    <x:row r="912">
      <x:c r="A912" t="str">
        <x:v>Order</x:v>
      </x:c>
      <x:c r="B912" t="n">
        <x:f>'04_checks'!B132</x:f>
        <x:v>1131</x:v>
      </x:c>
      <x:c r="C912" t="n">
        <x:v>132</x:v>
      </x:c>
      <x:c r="D912" t="n">
        <x:f>IF('04_checks'!C132="ERROR",1,0)</x:f>
        <x:v>0</x:v>
      </x:c>
      <x:c r="E912" t="str">
        <x:v>Order:132:1</x:v>
      </x:c>
      <x:c r="F912" t="str">
        <x:v>Дубль</x:v>
      </x:c>
      <x:c r="G912" t="str">
        <x:v>High</x:v>
      </x:c>
      <x:c r="H912" t="str">
        <x:v>order_id</x:v>
      </x:c>
      <x:c r="I912" t="str">
        <x:v>Проверить уникальность ID в источнике; не удалять записи автоматически</x:v>
      </x:c>
      <x:c r="J912" t="n">
        <x:f>IF(D912=1,K912,0)</x:f>
        <x:v>0</x:v>
      </x:c>
      <x:c r="K912" t="n">
        <x:f>D912+K911</x:f>
        <x:v>11</x:v>
      </x:c>
    </x:row>
    <x:row r="913">
      <x:c r="A913" t="str">
        <x:v>Order</x:v>
      </x:c>
      <x:c r="B913" t="n">
        <x:f>'04_checks'!B132</x:f>
        <x:v>1131</x:v>
      </x:c>
      <x:c r="C913" t="n">
        <x:v>132</x:v>
      </x:c>
      <x:c r="D913" t="n">
        <x:f>IF('04_checks'!D132="ERROR",1,0)</x:f>
        <x:v>1</x:v>
      </x:c>
      <x:c r="E913" t="str">
        <x:v>Order:132:2</x:v>
      </x:c>
      <x:c r="F913" t="str">
        <x:v>Пустое поле</x:v>
      </x:c>
      <x:c r="G913" t="str">
        <x:v>High</x:v>
      </x:c>
      <x:c r="H913" t="str">
        <x:v>required_fields</x:v>
      </x:c>
      <x:c r="I913" t="str">
        <x:v>Дополнить обязательные поля в источнике</x:v>
      </x:c>
      <x:c r="J913" t="n">
        <x:f>IF(D913=1,K913,0)</x:f>
        <x:v>12</x:v>
      </x:c>
      <x:c r="K913" t="n">
        <x:f>D913+K912</x:f>
        <x:v>12</x:v>
      </x:c>
    </x:row>
    <x:row r="914">
      <x:c r="A914" t="str">
        <x:v>Order</x:v>
      </x:c>
      <x:c r="B914" t="n">
        <x:f>'04_checks'!B132</x:f>
        <x:v>1131</x:v>
      </x:c>
      <x:c r="C914" t="n">
        <x:v>132</x:v>
      </x:c>
      <x:c r="D914" t="n">
        <x:f>IF('04_checks'!E132="ERROR",1,0)</x:f>
        <x:v>0</x:v>
      </x:c>
      <x:c r="E914" t="str">
        <x:v>Order:132:3</x:v>
      </x:c>
      <x:c r="F914" t="str">
        <x:f>IF(COUNTIF('02_clients_raw'!$A$2:$A$67,'01_orders_raw'!C132)&gt;1,"Неоднозначная связь","Нет связи")</x:f>
        <x:v>Нет связи</x:v>
      </x:c>
      <x:c r="G914" t="str">
        <x:v>High</x:v>
      </x:c>
      <x:c r="H914" t="str">
        <x:v>client_id</x:v>
      </x:c>
      <x:c r="I914" t="str">
        <x:v>Исправить ссылку или разрешить дубли связанного ID</x:v>
      </x:c>
      <x:c r="J914" t="n">
        <x:f>IF(D914=1,K914,0)</x:f>
        <x:v>0</x:v>
      </x:c>
      <x:c r="K914" t="n">
        <x:f>D914+K913</x:f>
        <x:v>12</x:v>
      </x:c>
    </x:row>
    <x:row r="915">
      <x:c r="A915" t="str">
        <x:v>Order</x:v>
      </x:c>
      <x:c r="B915" t="n">
        <x:f>'04_checks'!B132</x:f>
        <x:v>1131</x:v>
      </x:c>
      <x:c r="C915" t="n">
        <x:v>132</x:v>
      </x:c>
      <x:c r="D915" t="n">
        <x:f>IF('04_checks'!F132="ERROR",1,0)</x:f>
        <x:v>0</x:v>
      </x:c>
      <x:c r="E915" t="str">
        <x:v>Order:132:4</x:v>
      </x:c>
      <x:c r="F915" t="str">
        <x:v>Ошибка расчета</x:v>
      </x:c>
      <x:c r="G915" t="str">
        <x:v>High</x:v>
      </x:c>
      <x:c r="H915" t="str">
        <x:v>quantity/price/order_sum</x:v>
      </x:c>
      <x:c r="I915" t="str">
        <x:v>Сверить исходные значения и правило расчёта</x:v>
      </x:c>
      <x:c r="J915" t="n">
        <x:f>IF(D915=1,K915,0)</x:f>
        <x:v>0</x:v>
      </x:c>
      <x:c r="K915" t="n">
        <x:f>D915+K914</x:f>
        <x:v>12</x:v>
      </x:c>
    </x:row>
    <x:row r="916">
      <x:c r="A916" t="str">
        <x:v>Order</x:v>
      </x:c>
      <x:c r="B916" t="n">
        <x:f>'04_checks'!B132</x:f>
        <x:v>1131</x:v>
      </x:c>
      <x:c r="C916" t="n">
        <x:v>132</x:v>
      </x:c>
      <x:c r="D916" t="n">
        <x:f>IF('04_checks'!G132="ERROR",1,0)</x:f>
        <x:v>0</x:v>
      </x:c>
      <x:c r="E916" t="str">
        <x:v>Order:132:5</x:v>
      </x:c>
      <x:c r="F916" t="str">
        <x:v>Отрицательная цена</x:v>
      </x:c>
      <x:c r="G916" t="str">
        <x:v>High</x:v>
      </x:c>
      <x:c r="H916" t="str">
        <x:v>price</x:v>
      </x:c>
      <x:c r="I916" t="str">
        <x:v>Проверить цену в источнике</x:v>
      </x:c>
      <x:c r="J916" t="n">
        <x:f>IF(D916=1,K916,0)</x:f>
        <x:v>0</x:v>
      </x:c>
      <x:c r="K916" t="n">
        <x:f>D916+K915</x:f>
        <x:v>12</x:v>
      </x:c>
    </x:row>
    <x:row r="917">
      <x:c r="A917" t="str">
        <x:v>Order</x:v>
      </x:c>
      <x:c r="B917" t="n">
        <x:f>'04_checks'!B132</x:f>
        <x:v>1131</x:v>
      </x:c>
      <x:c r="C917" t="n">
        <x:v>132</x:v>
      </x:c>
      <x:c r="D917" t="n">
        <x:f>IF('04_checks'!H132="ERROR",1,0)</x:f>
        <x:v>0</x:v>
      </x:c>
      <x:c r="E917" t="str">
        <x:v>Order:132:6</x:v>
      </x:c>
      <x:c r="F917" t="str">
        <x:v>Дата</x:v>
      </x:c>
      <x:c r="G917" t="str">
        <x:v>Medium</x:v>
      </x:c>
      <x:c r="H917" t="str">
        <x:v>order_date</x:v>
      </x:c>
      <x:c r="I917" t="str">
        <x:v>Сверить дату со срезом и исходной записью</x:v>
      </x:c>
      <x:c r="J917" t="n">
        <x:f>IF(D917=1,K917,0)</x:f>
        <x:v>0</x:v>
      </x:c>
      <x:c r="K917" t="n">
        <x:f>D917+K916</x:f>
        <x:v>12</x:v>
      </x:c>
    </x:row>
    <x:row r="918">
      <x:c r="A918" t="str">
        <x:v>Order</x:v>
      </x:c>
      <x:c r="B918" t="n">
        <x:f>'04_checks'!B132</x:f>
        <x:v>1131</x:v>
      </x:c>
      <x:c r="C918" t="n">
        <x:v>132</x:v>
      </x:c>
      <x:c r="D918" t="n">
        <x:f>IF('04_checks'!I132="ERROR",1,0)</x:f>
        <x:v>0</x:v>
      </x:c>
      <x:c r="E918" t="str">
        <x:v>Order:132:7</x:v>
      </x:c>
      <x:c r="F918" t="str">
        <x:v>Статус</x:v>
      </x:c>
      <x:c r="G918" t="str">
        <x:v>Medium</x:v>
      </x:c>
      <x:c r="H918" t="str">
        <x:v>status</x:v>
      </x:c>
      <x:c r="I918" t="str">
        <x:v>Выбрать допустимый статус</x:v>
      </x:c>
      <x:c r="J918" t="n">
        <x:f>IF(D918=1,K918,0)</x:f>
        <x:v>0</x:v>
      </x:c>
      <x:c r="K918" t="n">
        <x:f>D918+K917</x:f>
        <x:v>12</x:v>
      </x:c>
    </x:row>
    <x:row r="919">
      <x:c r="A919" t="str">
        <x:v>Order</x:v>
      </x:c>
      <x:c r="B919" t="n">
        <x:f>'04_checks'!B133</x:f>
        <x:v>1132</x:v>
      </x:c>
      <x:c r="C919" t="n">
        <x:v>133</x:v>
      </x:c>
      <x:c r="D919" t="n">
        <x:f>IF('04_checks'!C133="ERROR",1,0)</x:f>
        <x:v>0</x:v>
      </x:c>
      <x:c r="E919" t="str">
        <x:v>Order:133:1</x:v>
      </x:c>
      <x:c r="F919" t="str">
        <x:v>Дубль</x:v>
      </x:c>
      <x:c r="G919" t="str">
        <x:v>High</x:v>
      </x:c>
      <x:c r="H919" t="str">
        <x:v>order_id</x:v>
      </x:c>
      <x:c r="I919" t="str">
        <x:v>Проверить уникальность ID в источнике; не удалять записи автоматически</x:v>
      </x:c>
      <x:c r="J919" t="n">
        <x:f>IF(D919=1,K919,0)</x:f>
        <x:v>0</x:v>
      </x:c>
      <x:c r="K919" t="n">
        <x:f>D919+K918</x:f>
        <x:v>12</x:v>
      </x:c>
    </x:row>
    <x:row r="920">
      <x:c r="A920" t="str">
        <x:v>Order</x:v>
      </x:c>
      <x:c r="B920" t="n">
        <x:f>'04_checks'!B133</x:f>
        <x:v>1132</x:v>
      </x:c>
      <x:c r="C920" t="n">
        <x:v>133</x:v>
      </x:c>
      <x:c r="D920" t="n">
        <x:f>IF('04_checks'!D133="ERROR",1,0)</x:f>
        <x:v>0</x:v>
      </x:c>
      <x:c r="E920" t="str">
        <x:v>Order:133:2</x:v>
      </x:c>
      <x:c r="F920" t="str">
        <x:v>Пустое поле</x:v>
      </x:c>
      <x:c r="G920" t="str">
        <x:v>High</x:v>
      </x:c>
      <x:c r="H920" t="str">
        <x:v>required_fields</x:v>
      </x:c>
      <x:c r="I920" t="str">
        <x:v>Дополнить обязательные поля в источнике</x:v>
      </x:c>
      <x:c r="J920" t="n">
        <x:f>IF(D920=1,K920,0)</x:f>
        <x:v>0</x:v>
      </x:c>
      <x:c r="K920" t="n">
        <x:f>D920+K919</x:f>
        <x:v>12</x:v>
      </x:c>
    </x:row>
    <x:row r="921">
      <x:c r="A921" t="str">
        <x:v>Order</x:v>
      </x:c>
      <x:c r="B921" t="n">
        <x:f>'04_checks'!B133</x:f>
        <x:v>1132</x:v>
      </x:c>
      <x:c r="C921" t="n">
        <x:v>133</x:v>
      </x:c>
      <x:c r="D921" t="n">
        <x:f>IF('04_checks'!E133="ERROR",1,0)</x:f>
        <x:v>0</x:v>
      </x:c>
      <x:c r="E921" t="str">
        <x:v>Order:133:3</x:v>
      </x:c>
      <x:c r="F921" t="str">
        <x:f>IF(COUNTIF('02_clients_raw'!$A$2:$A$67,'01_orders_raw'!C133)&gt;1,"Неоднозначная связь","Нет связи")</x:f>
        <x:v>Нет связи</x:v>
      </x:c>
      <x:c r="G921" t="str">
        <x:v>High</x:v>
      </x:c>
      <x:c r="H921" t="str">
        <x:v>client_id</x:v>
      </x:c>
      <x:c r="I921" t="str">
        <x:v>Исправить ссылку или разрешить дубли связанного ID</x:v>
      </x:c>
      <x:c r="J921" t="n">
        <x:f>IF(D921=1,K921,0)</x:f>
        <x:v>0</x:v>
      </x:c>
      <x:c r="K921" t="n">
        <x:f>D921+K920</x:f>
        <x:v>12</x:v>
      </x:c>
    </x:row>
    <x:row r="922">
      <x:c r="A922" t="str">
        <x:v>Order</x:v>
      </x:c>
      <x:c r="B922" t="n">
        <x:f>'04_checks'!B133</x:f>
        <x:v>1132</x:v>
      </x:c>
      <x:c r="C922" t="n">
        <x:v>133</x:v>
      </x:c>
      <x:c r="D922" t="n">
        <x:f>IF('04_checks'!F133="ERROR",1,0)</x:f>
        <x:v>0</x:v>
      </x:c>
      <x:c r="E922" t="str">
        <x:v>Order:133:4</x:v>
      </x:c>
      <x:c r="F922" t="str">
        <x:v>Ошибка расчета</x:v>
      </x:c>
      <x:c r="G922" t="str">
        <x:v>High</x:v>
      </x:c>
      <x:c r="H922" t="str">
        <x:v>quantity/price/order_sum</x:v>
      </x:c>
      <x:c r="I922" t="str">
        <x:v>Сверить исходные значения и правило расчёта</x:v>
      </x:c>
      <x:c r="J922" t="n">
        <x:f>IF(D922=1,K922,0)</x:f>
        <x:v>0</x:v>
      </x:c>
      <x:c r="K922" t="n">
        <x:f>D922+K921</x:f>
        <x:v>12</x:v>
      </x:c>
    </x:row>
    <x:row r="923">
      <x:c r="A923" t="str">
        <x:v>Order</x:v>
      </x:c>
      <x:c r="B923" t="n">
        <x:f>'04_checks'!B133</x:f>
        <x:v>1132</x:v>
      </x:c>
      <x:c r="C923" t="n">
        <x:v>133</x:v>
      </x:c>
      <x:c r="D923" t="n">
        <x:f>IF('04_checks'!G133="ERROR",1,0)</x:f>
        <x:v>0</x:v>
      </x:c>
      <x:c r="E923" t="str">
        <x:v>Order:133:5</x:v>
      </x:c>
      <x:c r="F923" t="str">
        <x:v>Отрицательная цена</x:v>
      </x:c>
      <x:c r="G923" t="str">
        <x:v>High</x:v>
      </x:c>
      <x:c r="H923" t="str">
        <x:v>price</x:v>
      </x:c>
      <x:c r="I923" t="str">
        <x:v>Проверить цену в источнике</x:v>
      </x:c>
      <x:c r="J923" t="n">
        <x:f>IF(D923=1,K923,0)</x:f>
        <x:v>0</x:v>
      </x:c>
      <x:c r="K923" t="n">
        <x:f>D923+K922</x:f>
        <x:v>12</x:v>
      </x:c>
    </x:row>
    <x:row r="924">
      <x:c r="A924" t="str">
        <x:v>Order</x:v>
      </x:c>
      <x:c r="B924" t="n">
        <x:f>'04_checks'!B133</x:f>
        <x:v>1132</x:v>
      </x:c>
      <x:c r="C924" t="n">
        <x:v>133</x:v>
      </x:c>
      <x:c r="D924" t="n">
        <x:f>IF('04_checks'!H133="ERROR",1,0)</x:f>
        <x:v>0</x:v>
      </x:c>
      <x:c r="E924" t="str">
        <x:v>Order:133:6</x:v>
      </x:c>
      <x:c r="F924" t="str">
        <x:v>Дата</x:v>
      </x:c>
      <x:c r="G924" t="str">
        <x:v>Medium</x:v>
      </x:c>
      <x:c r="H924" t="str">
        <x:v>order_date</x:v>
      </x:c>
      <x:c r="I924" t="str">
        <x:v>Сверить дату со срезом и исходной записью</x:v>
      </x:c>
      <x:c r="J924" t="n">
        <x:f>IF(D924=1,K924,0)</x:f>
        <x:v>0</x:v>
      </x:c>
      <x:c r="K924" t="n">
        <x:f>D924+K923</x:f>
        <x:v>12</x:v>
      </x:c>
    </x:row>
    <x:row r="925">
      <x:c r="A925" t="str">
        <x:v>Order</x:v>
      </x:c>
      <x:c r="B925" t="n">
        <x:f>'04_checks'!B133</x:f>
        <x:v>1132</x:v>
      </x:c>
      <x:c r="C925" t="n">
        <x:v>133</x:v>
      </x:c>
      <x:c r="D925" t="n">
        <x:f>IF('04_checks'!I133="ERROR",1,0)</x:f>
        <x:v>0</x:v>
      </x:c>
      <x:c r="E925" t="str">
        <x:v>Order:133:7</x:v>
      </x:c>
      <x:c r="F925" t="str">
        <x:v>Статус</x:v>
      </x:c>
      <x:c r="G925" t="str">
        <x:v>Medium</x:v>
      </x:c>
      <x:c r="H925" t="str">
        <x:v>status</x:v>
      </x:c>
      <x:c r="I925" t="str">
        <x:v>Выбрать допустимый статус</x:v>
      </x:c>
      <x:c r="J925" t="n">
        <x:f>IF(D925=1,K925,0)</x:f>
        <x:v>0</x:v>
      </x:c>
      <x:c r="K925" t="n">
        <x:f>D925+K924</x:f>
        <x:v>12</x:v>
      </x:c>
    </x:row>
    <x:row r="926">
      <x:c r="A926" t="str">
        <x:v>Order</x:v>
      </x:c>
      <x:c r="B926" t="n">
        <x:f>'04_checks'!B134</x:f>
        <x:v>1133</x:v>
      </x:c>
      <x:c r="C926" t="n">
        <x:v>134</x:v>
      </x:c>
      <x:c r="D926" t="n">
        <x:f>IF('04_checks'!C134="ERROR",1,0)</x:f>
        <x:v>0</x:v>
      </x:c>
      <x:c r="E926" t="str">
        <x:v>Order:134:1</x:v>
      </x:c>
      <x:c r="F926" t="str">
        <x:v>Дубль</x:v>
      </x:c>
      <x:c r="G926" t="str">
        <x:v>High</x:v>
      </x:c>
      <x:c r="H926" t="str">
        <x:v>order_id</x:v>
      </x:c>
      <x:c r="I926" t="str">
        <x:v>Проверить уникальность ID в источнике; не удалять записи автоматически</x:v>
      </x:c>
      <x:c r="J926" t="n">
        <x:f>IF(D926=1,K926,0)</x:f>
        <x:v>0</x:v>
      </x:c>
      <x:c r="K926" t="n">
        <x:f>D926+K925</x:f>
        <x:v>12</x:v>
      </x:c>
    </x:row>
    <x:row r="927">
      <x:c r="A927" t="str">
        <x:v>Order</x:v>
      </x:c>
      <x:c r="B927" t="n">
        <x:f>'04_checks'!B134</x:f>
        <x:v>1133</x:v>
      </x:c>
      <x:c r="C927" t="n">
        <x:v>134</x:v>
      </x:c>
      <x:c r="D927" t="n">
        <x:f>IF('04_checks'!D134="ERROR",1,0)</x:f>
        <x:v>0</x:v>
      </x:c>
      <x:c r="E927" t="str">
        <x:v>Order:134:2</x:v>
      </x:c>
      <x:c r="F927" t="str">
        <x:v>Пустое поле</x:v>
      </x:c>
      <x:c r="G927" t="str">
        <x:v>High</x:v>
      </x:c>
      <x:c r="H927" t="str">
        <x:v>required_fields</x:v>
      </x:c>
      <x:c r="I927" t="str">
        <x:v>Дополнить обязательные поля в источнике</x:v>
      </x:c>
      <x:c r="J927" t="n">
        <x:f>IF(D927=1,K927,0)</x:f>
        <x:v>0</x:v>
      </x:c>
      <x:c r="K927" t="n">
        <x:f>D927+K926</x:f>
        <x:v>12</x:v>
      </x:c>
    </x:row>
    <x:row r="928">
      <x:c r="A928" t="str">
        <x:v>Order</x:v>
      </x:c>
      <x:c r="B928" t="n">
        <x:f>'04_checks'!B134</x:f>
        <x:v>1133</x:v>
      </x:c>
      <x:c r="C928" t="n">
        <x:v>134</x:v>
      </x:c>
      <x:c r="D928" t="n">
        <x:f>IF('04_checks'!E134="ERROR",1,0)</x:f>
        <x:v>0</x:v>
      </x:c>
      <x:c r="E928" t="str">
        <x:v>Order:134:3</x:v>
      </x:c>
      <x:c r="F928" t="str">
        <x:f>IF(COUNTIF('02_clients_raw'!$A$2:$A$67,'01_orders_raw'!C134)&gt;1,"Неоднозначная связь","Нет связи")</x:f>
        <x:v>Нет связи</x:v>
      </x:c>
      <x:c r="G928" t="str">
        <x:v>High</x:v>
      </x:c>
      <x:c r="H928" t="str">
        <x:v>client_id</x:v>
      </x:c>
      <x:c r="I928" t="str">
        <x:v>Исправить ссылку или разрешить дубли связанного ID</x:v>
      </x:c>
      <x:c r="J928" t="n">
        <x:f>IF(D928=1,K928,0)</x:f>
        <x:v>0</x:v>
      </x:c>
      <x:c r="K928" t="n">
        <x:f>D928+K927</x:f>
        <x:v>12</x:v>
      </x:c>
    </x:row>
    <x:row r="929">
      <x:c r="A929" t="str">
        <x:v>Order</x:v>
      </x:c>
      <x:c r="B929" t="n">
        <x:f>'04_checks'!B134</x:f>
        <x:v>1133</x:v>
      </x:c>
      <x:c r="C929" t="n">
        <x:v>134</x:v>
      </x:c>
      <x:c r="D929" t="n">
        <x:f>IF('04_checks'!F134="ERROR",1,0)</x:f>
        <x:v>0</x:v>
      </x:c>
      <x:c r="E929" t="str">
        <x:v>Order:134:4</x:v>
      </x:c>
      <x:c r="F929" t="str">
        <x:v>Ошибка расчета</x:v>
      </x:c>
      <x:c r="G929" t="str">
        <x:v>High</x:v>
      </x:c>
      <x:c r="H929" t="str">
        <x:v>quantity/price/order_sum</x:v>
      </x:c>
      <x:c r="I929" t="str">
        <x:v>Сверить исходные значения и правило расчёта</x:v>
      </x:c>
      <x:c r="J929" t="n">
        <x:f>IF(D929=1,K929,0)</x:f>
        <x:v>0</x:v>
      </x:c>
      <x:c r="K929" t="n">
        <x:f>D929+K928</x:f>
        <x:v>12</x:v>
      </x:c>
    </x:row>
    <x:row r="930">
      <x:c r="A930" t="str">
        <x:v>Order</x:v>
      </x:c>
      <x:c r="B930" t="n">
        <x:f>'04_checks'!B134</x:f>
        <x:v>1133</x:v>
      </x:c>
      <x:c r="C930" t="n">
        <x:v>134</x:v>
      </x:c>
      <x:c r="D930" t="n">
        <x:f>IF('04_checks'!G134="ERROR",1,0)</x:f>
        <x:v>0</x:v>
      </x:c>
      <x:c r="E930" t="str">
        <x:v>Order:134:5</x:v>
      </x:c>
      <x:c r="F930" t="str">
        <x:v>Отрицательная цена</x:v>
      </x:c>
      <x:c r="G930" t="str">
        <x:v>High</x:v>
      </x:c>
      <x:c r="H930" t="str">
        <x:v>price</x:v>
      </x:c>
      <x:c r="I930" t="str">
        <x:v>Проверить цену в источнике</x:v>
      </x:c>
      <x:c r="J930" t="n">
        <x:f>IF(D930=1,K930,0)</x:f>
        <x:v>0</x:v>
      </x:c>
      <x:c r="K930" t="n">
        <x:f>D930+K929</x:f>
        <x:v>12</x:v>
      </x:c>
    </x:row>
    <x:row r="931">
      <x:c r="A931" t="str">
        <x:v>Order</x:v>
      </x:c>
      <x:c r="B931" t="n">
        <x:f>'04_checks'!B134</x:f>
        <x:v>1133</x:v>
      </x:c>
      <x:c r="C931" t="n">
        <x:v>134</x:v>
      </x:c>
      <x:c r="D931" t="n">
        <x:f>IF('04_checks'!H134="ERROR",1,0)</x:f>
        <x:v>0</x:v>
      </x:c>
      <x:c r="E931" t="str">
        <x:v>Order:134:6</x:v>
      </x:c>
      <x:c r="F931" t="str">
        <x:v>Дата</x:v>
      </x:c>
      <x:c r="G931" t="str">
        <x:v>Medium</x:v>
      </x:c>
      <x:c r="H931" t="str">
        <x:v>order_date</x:v>
      </x:c>
      <x:c r="I931" t="str">
        <x:v>Сверить дату со срезом и исходной записью</x:v>
      </x:c>
      <x:c r="J931" t="n">
        <x:f>IF(D931=1,K931,0)</x:f>
        <x:v>0</x:v>
      </x:c>
      <x:c r="K931" t="n">
        <x:f>D931+K930</x:f>
        <x:v>12</x:v>
      </x:c>
    </x:row>
    <x:row r="932">
      <x:c r="A932" t="str">
        <x:v>Order</x:v>
      </x:c>
      <x:c r="B932" t="n">
        <x:f>'04_checks'!B134</x:f>
        <x:v>1133</x:v>
      </x:c>
      <x:c r="C932" t="n">
        <x:v>134</x:v>
      </x:c>
      <x:c r="D932" t="n">
        <x:f>IF('04_checks'!I134="ERROR",1,0)</x:f>
        <x:v>0</x:v>
      </x:c>
      <x:c r="E932" t="str">
        <x:v>Order:134:7</x:v>
      </x:c>
      <x:c r="F932" t="str">
        <x:v>Статус</x:v>
      </x:c>
      <x:c r="G932" t="str">
        <x:v>Medium</x:v>
      </x:c>
      <x:c r="H932" t="str">
        <x:v>status</x:v>
      </x:c>
      <x:c r="I932" t="str">
        <x:v>Выбрать допустимый статус</x:v>
      </x:c>
      <x:c r="J932" t="n">
        <x:f>IF(D932=1,K932,0)</x:f>
        <x:v>0</x:v>
      </x:c>
      <x:c r="K932" t="n">
        <x:f>D932+K931</x:f>
        <x:v>12</x:v>
      </x:c>
    </x:row>
    <x:row r="933">
      <x:c r="A933" t="str">
        <x:v>Order</x:v>
      </x:c>
      <x:c r="B933" t="n">
        <x:f>'04_checks'!B135</x:f>
        <x:v>1134</x:v>
      </x:c>
      <x:c r="C933" t="n">
        <x:v>135</x:v>
      </x:c>
      <x:c r="D933" t="n">
        <x:f>IF('04_checks'!C135="ERROR",1,0)</x:f>
        <x:v>0</x:v>
      </x:c>
      <x:c r="E933" t="str">
        <x:v>Order:135:1</x:v>
      </x:c>
      <x:c r="F933" t="str">
        <x:v>Дубль</x:v>
      </x:c>
      <x:c r="G933" t="str">
        <x:v>High</x:v>
      </x:c>
      <x:c r="H933" t="str">
        <x:v>order_id</x:v>
      </x:c>
      <x:c r="I933" t="str">
        <x:v>Проверить уникальность ID в источнике; не удалять записи автоматически</x:v>
      </x:c>
      <x:c r="J933" t="n">
        <x:f>IF(D933=1,K933,0)</x:f>
        <x:v>0</x:v>
      </x:c>
      <x:c r="K933" t="n">
        <x:f>D933+K932</x:f>
        <x:v>12</x:v>
      </x:c>
    </x:row>
    <x:row r="934">
      <x:c r="A934" t="str">
        <x:v>Order</x:v>
      </x:c>
      <x:c r="B934" t="n">
        <x:f>'04_checks'!B135</x:f>
        <x:v>1134</x:v>
      </x:c>
      <x:c r="C934" t="n">
        <x:v>135</x:v>
      </x:c>
      <x:c r="D934" t="n">
        <x:f>IF('04_checks'!D135="ERROR",1,0)</x:f>
        <x:v>0</x:v>
      </x:c>
      <x:c r="E934" t="str">
        <x:v>Order:135:2</x:v>
      </x:c>
      <x:c r="F934" t="str">
        <x:v>Пустое поле</x:v>
      </x:c>
      <x:c r="G934" t="str">
        <x:v>High</x:v>
      </x:c>
      <x:c r="H934" t="str">
        <x:v>required_fields</x:v>
      </x:c>
      <x:c r="I934" t="str">
        <x:v>Дополнить обязательные поля в источнике</x:v>
      </x:c>
      <x:c r="J934" t="n">
        <x:f>IF(D934=1,K934,0)</x:f>
        <x:v>0</x:v>
      </x:c>
      <x:c r="K934" t="n">
        <x:f>D934+K933</x:f>
        <x:v>12</x:v>
      </x:c>
    </x:row>
    <x:row r="935">
      <x:c r="A935" t="str">
        <x:v>Order</x:v>
      </x:c>
      <x:c r="B935" t="n">
        <x:f>'04_checks'!B135</x:f>
        <x:v>1134</x:v>
      </x:c>
      <x:c r="C935" t="n">
        <x:v>135</x:v>
      </x:c>
      <x:c r="D935" t="n">
        <x:f>IF('04_checks'!E135="ERROR",1,0)</x:f>
        <x:v>0</x:v>
      </x:c>
      <x:c r="E935" t="str">
        <x:v>Order:135:3</x:v>
      </x:c>
      <x:c r="F935" t="str">
        <x:f>IF(COUNTIF('02_clients_raw'!$A$2:$A$67,'01_orders_raw'!C135)&gt;1,"Неоднозначная связь","Нет связи")</x:f>
        <x:v>Нет связи</x:v>
      </x:c>
      <x:c r="G935" t="str">
        <x:v>High</x:v>
      </x:c>
      <x:c r="H935" t="str">
        <x:v>client_id</x:v>
      </x:c>
      <x:c r="I935" t="str">
        <x:v>Исправить ссылку или разрешить дубли связанного ID</x:v>
      </x:c>
      <x:c r="J935" t="n">
        <x:f>IF(D935=1,K935,0)</x:f>
        <x:v>0</x:v>
      </x:c>
      <x:c r="K935" t="n">
        <x:f>D935+K934</x:f>
        <x:v>12</x:v>
      </x:c>
    </x:row>
    <x:row r="936">
      <x:c r="A936" t="str">
        <x:v>Order</x:v>
      </x:c>
      <x:c r="B936" t="n">
        <x:f>'04_checks'!B135</x:f>
        <x:v>1134</x:v>
      </x:c>
      <x:c r="C936" t="n">
        <x:v>135</x:v>
      </x:c>
      <x:c r="D936" t="n">
        <x:f>IF('04_checks'!F135="ERROR",1,0)</x:f>
        <x:v>0</x:v>
      </x:c>
      <x:c r="E936" t="str">
        <x:v>Order:135:4</x:v>
      </x:c>
      <x:c r="F936" t="str">
        <x:v>Ошибка расчета</x:v>
      </x:c>
      <x:c r="G936" t="str">
        <x:v>High</x:v>
      </x:c>
      <x:c r="H936" t="str">
        <x:v>quantity/price/order_sum</x:v>
      </x:c>
      <x:c r="I936" t="str">
        <x:v>Сверить исходные значения и правило расчёта</x:v>
      </x:c>
      <x:c r="J936" t="n">
        <x:f>IF(D936=1,K936,0)</x:f>
        <x:v>0</x:v>
      </x:c>
      <x:c r="K936" t="n">
        <x:f>D936+K935</x:f>
        <x:v>12</x:v>
      </x:c>
    </x:row>
    <x:row r="937">
      <x:c r="A937" t="str">
        <x:v>Order</x:v>
      </x:c>
      <x:c r="B937" t="n">
        <x:f>'04_checks'!B135</x:f>
        <x:v>1134</x:v>
      </x:c>
      <x:c r="C937" t="n">
        <x:v>135</x:v>
      </x:c>
      <x:c r="D937" t="n">
        <x:f>IF('04_checks'!G135="ERROR",1,0)</x:f>
        <x:v>0</x:v>
      </x:c>
      <x:c r="E937" t="str">
        <x:v>Order:135:5</x:v>
      </x:c>
      <x:c r="F937" t="str">
        <x:v>Отрицательная цена</x:v>
      </x:c>
      <x:c r="G937" t="str">
        <x:v>High</x:v>
      </x:c>
      <x:c r="H937" t="str">
        <x:v>price</x:v>
      </x:c>
      <x:c r="I937" t="str">
        <x:v>Проверить цену в источнике</x:v>
      </x:c>
      <x:c r="J937" t="n">
        <x:f>IF(D937=1,K937,0)</x:f>
        <x:v>0</x:v>
      </x:c>
      <x:c r="K937" t="n">
        <x:f>D937+K936</x:f>
        <x:v>12</x:v>
      </x:c>
    </x:row>
    <x:row r="938">
      <x:c r="A938" t="str">
        <x:v>Order</x:v>
      </x:c>
      <x:c r="B938" t="n">
        <x:f>'04_checks'!B135</x:f>
        <x:v>1134</x:v>
      </x:c>
      <x:c r="C938" t="n">
        <x:v>135</x:v>
      </x:c>
      <x:c r="D938" t="n">
        <x:f>IF('04_checks'!H135="ERROR",1,0)</x:f>
        <x:v>0</x:v>
      </x:c>
      <x:c r="E938" t="str">
        <x:v>Order:135:6</x:v>
      </x:c>
      <x:c r="F938" t="str">
        <x:v>Дата</x:v>
      </x:c>
      <x:c r="G938" t="str">
        <x:v>Medium</x:v>
      </x:c>
      <x:c r="H938" t="str">
        <x:v>order_date</x:v>
      </x:c>
      <x:c r="I938" t="str">
        <x:v>Сверить дату со срезом и исходной записью</x:v>
      </x:c>
      <x:c r="J938" t="n">
        <x:f>IF(D938=1,K938,0)</x:f>
        <x:v>0</x:v>
      </x:c>
      <x:c r="K938" t="n">
        <x:f>D938+K937</x:f>
        <x:v>12</x:v>
      </x:c>
    </x:row>
    <x:row r="939">
      <x:c r="A939" t="str">
        <x:v>Order</x:v>
      </x:c>
      <x:c r="B939" t="n">
        <x:f>'04_checks'!B135</x:f>
        <x:v>1134</x:v>
      </x:c>
      <x:c r="C939" t="n">
        <x:v>135</x:v>
      </x:c>
      <x:c r="D939" t="n">
        <x:f>IF('04_checks'!I135="ERROR",1,0)</x:f>
        <x:v>0</x:v>
      </x:c>
      <x:c r="E939" t="str">
        <x:v>Order:135:7</x:v>
      </x:c>
      <x:c r="F939" t="str">
        <x:v>Статус</x:v>
      </x:c>
      <x:c r="G939" t="str">
        <x:v>Medium</x:v>
      </x:c>
      <x:c r="H939" t="str">
        <x:v>status</x:v>
      </x:c>
      <x:c r="I939" t="str">
        <x:v>Выбрать допустимый статус</x:v>
      </x:c>
      <x:c r="J939" t="n">
        <x:f>IF(D939=1,K939,0)</x:f>
        <x:v>0</x:v>
      </x:c>
      <x:c r="K939" t="n">
        <x:f>D939+K938</x:f>
        <x:v>12</x:v>
      </x:c>
    </x:row>
    <x:row r="940">
      <x:c r="A940" t="str">
        <x:v>Order</x:v>
      </x:c>
      <x:c r="B940" t="n">
        <x:f>'04_checks'!B136</x:f>
        <x:v>1135</x:v>
      </x:c>
      <x:c r="C940" t="n">
        <x:v>136</x:v>
      </x:c>
      <x:c r="D940" t="n">
        <x:f>IF('04_checks'!C136="ERROR",1,0)</x:f>
        <x:v>0</x:v>
      </x:c>
      <x:c r="E940" t="str">
        <x:v>Order:136:1</x:v>
      </x:c>
      <x:c r="F940" t="str">
        <x:v>Дубль</x:v>
      </x:c>
      <x:c r="G940" t="str">
        <x:v>High</x:v>
      </x:c>
      <x:c r="H940" t="str">
        <x:v>order_id</x:v>
      </x:c>
      <x:c r="I940" t="str">
        <x:v>Проверить уникальность ID в источнике; не удалять записи автоматически</x:v>
      </x:c>
      <x:c r="J940" t="n">
        <x:f>IF(D940=1,K940,0)</x:f>
        <x:v>0</x:v>
      </x:c>
      <x:c r="K940" t="n">
        <x:f>D940+K939</x:f>
        <x:v>12</x:v>
      </x:c>
    </x:row>
    <x:row r="941">
      <x:c r="A941" t="str">
        <x:v>Order</x:v>
      </x:c>
      <x:c r="B941" t="n">
        <x:f>'04_checks'!B136</x:f>
        <x:v>1135</x:v>
      </x:c>
      <x:c r="C941" t="n">
        <x:v>136</x:v>
      </x:c>
      <x:c r="D941" t="n">
        <x:f>IF('04_checks'!D136="ERROR",1,0)</x:f>
        <x:v>0</x:v>
      </x:c>
      <x:c r="E941" t="str">
        <x:v>Order:136:2</x:v>
      </x:c>
      <x:c r="F941" t="str">
        <x:v>Пустое поле</x:v>
      </x:c>
      <x:c r="G941" t="str">
        <x:v>High</x:v>
      </x:c>
      <x:c r="H941" t="str">
        <x:v>required_fields</x:v>
      </x:c>
      <x:c r="I941" t="str">
        <x:v>Дополнить обязательные поля в источнике</x:v>
      </x:c>
      <x:c r="J941" t="n">
        <x:f>IF(D941=1,K941,0)</x:f>
        <x:v>0</x:v>
      </x:c>
      <x:c r="K941" t="n">
        <x:f>D941+K940</x:f>
        <x:v>12</x:v>
      </x:c>
    </x:row>
    <x:row r="942">
      <x:c r="A942" t="str">
        <x:v>Order</x:v>
      </x:c>
      <x:c r="B942" t="n">
        <x:f>'04_checks'!B136</x:f>
        <x:v>1135</x:v>
      </x:c>
      <x:c r="C942" t="n">
        <x:v>136</x:v>
      </x:c>
      <x:c r="D942" t="n">
        <x:f>IF('04_checks'!E136="ERROR",1,0)</x:f>
        <x:v>0</x:v>
      </x:c>
      <x:c r="E942" t="str">
        <x:v>Order:136:3</x:v>
      </x:c>
      <x:c r="F942" t="str">
        <x:f>IF(COUNTIF('02_clients_raw'!$A$2:$A$67,'01_orders_raw'!C136)&gt;1,"Неоднозначная связь","Нет связи")</x:f>
        <x:v>Нет связи</x:v>
      </x:c>
      <x:c r="G942" t="str">
        <x:v>High</x:v>
      </x:c>
      <x:c r="H942" t="str">
        <x:v>client_id</x:v>
      </x:c>
      <x:c r="I942" t="str">
        <x:v>Исправить ссылку или разрешить дубли связанного ID</x:v>
      </x:c>
      <x:c r="J942" t="n">
        <x:f>IF(D942=1,K942,0)</x:f>
        <x:v>0</x:v>
      </x:c>
      <x:c r="K942" t="n">
        <x:f>D942+K941</x:f>
        <x:v>12</x:v>
      </x:c>
    </x:row>
    <x:row r="943">
      <x:c r="A943" t="str">
        <x:v>Order</x:v>
      </x:c>
      <x:c r="B943" t="n">
        <x:f>'04_checks'!B136</x:f>
        <x:v>1135</x:v>
      </x:c>
      <x:c r="C943" t="n">
        <x:v>136</x:v>
      </x:c>
      <x:c r="D943" t="n">
        <x:f>IF('04_checks'!F136="ERROR",1,0)</x:f>
        <x:v>0</x:v>
      </x:c>
      <x:c r="E943" t="str">
        <x:v>Order:136:4</x:v>
      </x:c>
      <x:c r="F943" t="str">
        <x:v>Ошибка расчета</x:v>
      </x:c>
      <x:c r="G943" t="str">
        <x:v>High</x:v>
      </x:c>
      <x:c r="H943" t="str">
        <x:v>quantity/price/order_sum</x:v>
      </x:c>
      <x:c r="I943" t="str">
        <x:v>Сверить исходные значения и правило расчёта</x:v>
      </x:c>
      <x:c r="J943" t="n">
        <x:f>IF(D943=1,K943,0)</x:f>
        <x:v>0</x:v>
      </x:c>
      <x:c r="K943" t="n">
        <x:f>D943+K942</x:f>
        <x:v>12</x:v>
      </x:c>
    </x:row>
    <x:row r="944">
      <x:c r="A944" t="str">
        <x:v>Order</x:v>
      </x:c>
      <x:c r="B944" t="n">
        <x:f>'04_checks'!B136</x:f>
        <x:v>1135</x:v>
      </x:c>
      <x:c r="C944" t="n">
        <x:v>136</x:v>
      </x:c>
      <x:c r="D944" t="n">
        <x:f>IF('04_checks'!G136="ERROR",1,0)</x:f>
        <x:v>0</x:v>
      </x:c>
      <x:c r="E944" t="str">
        <x:v>Order:136:5</x:v>
      </x:c>
      <x:c r="F944" t="str">
        <x:v>Отрицательная цена</x:v>
      </x:c>
      <x:c r="G944" t="str">
        <x:v>High</x:v>
      </x:c>
      <x:c r="H944" t="str">
        <x:v>price</x:v>
      </x:c>
      <x:c r="I944" t="str">
        <x:v>Проверить цену в источнике</x:v>
      </x:c>
      <x:c r="J944" t="n">
        <x:f>IF(D944=1,K944,0)</x:f>
        <x:v>0</x:v>
      </x:c>
      <x:c r="K944" t="n">
        <x:f>D944+K943</x:f>
        <x:v>12</x:v>
      </x:c>
    </x:row>
    <x:row r="945">
      <x:c r="A945" t="str">
        <x:v>Order</x:v>
      </x:c>
      <x:c r="B945" t="n">
        <x:f>'04_checks'!B136</x:f>
        <x:v>1135</x:v>
      </x:c>
      <x:c r="C945" t="n">
        <x:v>136</x:v>
      </x:c>
      <x:c r="D945" t="n">
        <x:f>IF('04_checks'!H136="ERROR",1,0)</x:f>
        <x:v>0</x:v>
      </x:c>
      <x:c r="E945" t="str">
        <x:v>Order:136:6</x:v>
      </x:c>
      <x:c r="F945" t="str">
        <x:v>Дата</x:v>
      </x:c>
      <x:c r="G945" t="str">
        <x:v>Medium</x:v>
      </x:c>
      <x:c r="H945" t="str">
        <x:v>order_date</x:v>
      </x:c>
      <x:c r="I945" t="str">
        <x:v>Сверить дату со срезом и исходной записью</x:v>
      </x:c>
      <x:c r="J945" t="n">
        <x:f>IF(D945=1,K945,0)</x:f>
        <x:v>0</x:v>
      </x:c>
      <x:c r="K945" t="n">
        <x:f>D945+K944</x:f>
        <x:v>12</x:v>
      </x:c>
    </x:row>
    <x:row r="946">
      <x:c r="A946" t="str">
        <x:v>Order</x:v>
      </x:c>
      <x:c r="B946" t="n">
        <x:f>'04_checks'!B136</x:f>
        <x:v>1135</x:v>
      </x:c>
      <x:c r="C946" t="n">
        <x:v>136</x:v>
      </x:c>
      <x:c r="D946" t="n">
        <x:f>IF('04_checks'!I136="ERROR",1,0)</x:f>
        <x:v>0</x:v>
      </x:c>
      <x:c r="E946" t="str">
        <x:v>Order:136:7</x:v>
      </x:c>
      <x:c r="F946" t="str">
        <x:v>Статус</x:v>
      </x:c>
      <x:c r="G946" t="str">
        <x:v>Medium</x:v>
      </x:c>
      <x:c r="H946" t="str">
        <x:v>status</x:v>
      </x:c>
      <x:c r="I946" t="str">
        <x:v>Выбрать допустимый статус</x:v>
      </x:c>
      <x:c r="J946" t="n">
        <x:f>IF(D946=1,K946,0)</x:f>
        <x:v>0</x:v>
      </x:c>
      <x:c r="K946" t="n">
        <x:f>D946+K945</x:f>
        <x:v>12</x:v>
      </x:c>
    </x:row>
    <x:row r="947">
      <x:c r="A947" t="str">
        <x:v>Order</x:v>
      </x:c>
      <x:c r="B947" t="n">
        <x:f>'04_checks'!B137</x:f>
        <x:v>1136</x:v>
      </x:c>
      <x:c r="C947" t="n">
        <x:v>137</x:v>
      </x:c>
      <x:c r="D947" t="n">
        <x:f>IF('04_checks'!C137="ERROR",1,0)</x:f>
        <x:v>0</x:v>
      </x:c>
      <x:c r="E947" t="str">
        <x:v>Order:137:1</x:v>
      </x:c>
      <x:c r="F947" t="str">
        <x:v>Дубль</x:v>
      </x:c>
      <x:c r="G947" t="str">
        <x:v>High</x:v>
      </x:c>
      <x:c r="H947" t="str">
        <x:v>order_id</x:v>
      </x:c>
      <x:c r="I947" t="str">
        <x:v>Проверить уникальность ID в источнике; не удалять записи автоматически</x:v>
      </x:c>
      <x:c r="J947" t="n">
        <x:f>IF(D947=1,K947,0)</x:f>
        <x:v>0</x:v>
      </x:c>
      <x:c r="K947" t="n">
        <x:f>D947+K946</x:f>
        <x:v>12</x:v>
      </x:c>
    </x:row>
    <x:row r="948">
      <x:c r="A948" t="str">
        <x:v>Order</x:v>
      </x:c>
      <x:c r="B948" t="n">
        <x:f>'04_checks'!B137</x:f>
        <x:v>1136</x:v>
      </x:c>
      <x:c r="C948" t="n">
        <x:v>137</x:v>
      </x:c>
      <x:c r="D948" t="n">
        <x:f>IF('04_checks'!D137="ERROR",1,0)</x:f>
        <x:v>0</x:v>
      </x:c>
      <x:c r="E948" t="str">
        <x:v>Order:137:2</x:v>
      </x:c>
      <x:c r="F948" t="str">
        <x:v>Пустое поле</x:v>
      </x:c>
      <x:c r="G948" t="str">
        <x:v>High</x:v>
      </x:c>
      <x:c r="H948" t="str">
        <x:v>required_fields</x:v>
      </x:c>
      <x:c r="I948" t="str">
        <x:v>Дополнить обязательные поля в источнике</x:v>
      </x:c>
      <x:c r="J948" t="n">
        <x:f>IF(D948=1,K948,0)</x:f>
        <x:v>0</x:v>
      </x:c>
      <x:c r="K948" t="n">
        <x:f>D948+K947</x:f>
        <x:v>12</x:v>
      </x:c>
    </x:row>
    <x:row r="949">
      <x:c r="A949" t="str">
        <x:v>Order</x:v>
      </x:c>
      <x:c r="B949" t="n">
        <x:f>'04_checks'!B137</x:f>
        <x:v>1136</x:v>
      </x:c>
      <x:c r="C949" t="n">
        <x:v>137</x:v>
      </x:c>
      <x:c r="D949" t="n">
        <x:f>IF('04_checks'!E137="ERROR",1,0)</x:f>
        <x:v>0</x:v>
      </x:c>
      <x:c r="E949" t="str">
        <x:v>Order:137:3</x:v>
      </x:c>
      <x:c r="F949" t="str">
        <x:f>IF(COUNTIF('02_clients_raw'!$A$2:$A$67,'01_orders_raw'!C137)&gt;1,"Неоднозначная связь","Нет связи")</x:f>
        <x:v>Нет связи</x:v>
      </x:c>
      <x:c r="G949" t="str">
        <x:v>High</x:v>
      </x:c>
      <x:c r="H949" t="str">
        <x:v>client_id</x:v>
      </x:c>
      <x:c r="I949" t="str">
        <x:v>Исправить ссылку или разрешить дубли связанного ID</x:v>
      </x:c>
      <x:c r="J949" t="n">
        <x:f>IF(D949=1,K949,0)</x:f>
        <x:v>0</x:v>
      </x:c>
      <x:c r="K949" t="n">
        <x:f>D949+K948</x:f>
        <x:v>12</x:v>
      </x:c>
    </x:row>
    <x:row r="950">
      <x:c r="A950" t="str">
        <x:v>Order</x:v>
      </x:c>
      <x:c r="B950" t="n">
        <x:f>'04_checks'!B137</x:f>
        <x:v>1136</x:v>
      </x:c>
      <x:c r="C950" t="n">
        <x:v>137</x:v>
      </x:c>
      <x:c r="D950" t="n">
        <x:f>IF('04_checks'!F137="ERROR",1,0)</x:f>
        <x:v>0</x:v>
      </x:c>
      <x:c r="E950" t="str">
        <x:v>Order:137:4</x:v>
      </x:c>
      <x:c r="F950" t="str">
        <x:v>Ошибка расчета</x:v>
      </x:c>
      <x:c r="G950" t="str">
        <x:v>High</x:v>
      </x:c>
      <x:c r="H950" t="str">
        <x:v>quantity/price/order_sum</x:v>
      </x:c>
      <x:c r="I950" t="str">
        <x:v>Сверить исходные значения и правило расчёта</x:v>
      </x:c>
      <x:c r="J950" t="n">
        <x:f>IF(D950=1,K950,0)</x:f>
        <x:v>0</x:v>
      </x:c>
      <x:c r="K950" t="n">
        <x:f>D950+K949</x:f>
        <x:v>12</x:v>
      </x:c>
    </x:row>
    <x:row r="951">
      <x:c r="A951" t="str">
        <x:v>Order</x:v>
      </x:c>
      <x:c r="B951" t="n">
        <x:f>'04_checks'!B137</x:f>
        <x:v>1136</x:v>
      </x:c>
      <x:c r="C951" t="n">
        <x:v>137</x:v>
      </x:c>
      <x:c r="D951" t="n">
        <x:f>IF('04_checks'!G137="ERROR",1,0)</x:f>
        <x:v>0</x:v>
      </x:c>
      <x:c r="E951" t="str">
        <x:v>Order:137:5</x:v>
      </x:c>
      <x:c r="F951" t="str">
        <x:v>Отрицательная цена</x:v>
      </x:c>
      <x:c r="G951" t="str">
        <x:v>High</x:v>
      </x:c>
      <x:c r="H951" t="str">
        <x:v>price</x:v>
      </x:c>
      <x:c r="I951" t="str">
        <x:v>Проверить цену в источнике</x:v>
      </x:c>
      <x:c r="J951" t="n">
        <x:f>IF(D951=1,K951,0)</x:f>
        <x:v>0</x:v>
      </x:c>
      <x:c r="K951" t="n">
        <x:f>D951+K950</x:f>
        <x:v>12</x:v>
      </x:c>
    </x:row>
    <x:row r="952">
      <x:c r="A952" t="str">
        <x:v>Order</x:v>
      </x:c>
      <x:c r="B952" t="n">
        <x:f>'04_checks'!B137</x:f>
        <x:v>1136</x:v>
      </x:c>
      <x:c r="C952" t="n">
        <x:v>137</x:v>
      </x:c>
      <x:c r="D952" t="n">
        <x:f>IF('04_checks'!H137="ERROR",1,0)</x:f>
        <x:v>0</x:v>
      </x:c>
      <x:c r="E952" t="str">
        <x:v>Order:137:6</x:v>
      </x:c>
      <x:c r="F952" t="str">
        <x:v>Дата</x:v>
      </x:c>
      <x:c r="G952" t="str">
        <x:v>Medium</x:v>
      </x:c>
      <x:c r="H952" t="str">
        <x:v>order_date</x:v>
      </x:c>
      <x:c r="I952" t="str">
        <x:v>Сверить дату со срезом и исходной записью</x:v>
      </x:c>
      <x:c r="J952" t="n">
        <x:f>IF(D952=1,K952,0)</x:f>
        <x:v>0</x:v>
      </x:c>
      <x:c r="K952" t="n">
        <x:f>D952+K951</x:f>
        <x:v>12</x:v>
      </x:c>
    </x:row>
    <x:row r="953">
      <x:c r="A953" t="str">
        <x:v>Order</x:v>
      </x:c>
      <x:c r="B953" t="n">
        <x:f>'04_checks'!B137</x:f>
        <x:v>1136</x:v>
      </x:c>
      <x:c r="C953" t="n">
        <x:v>137</x:v>
      </x:c>
      <x:c r="D953" t="n">
        <x:f>IF('04_checks'!I137="ERROR",1,0)</x:f>
        <x:v>0</x:v>
      </x:c>
      <x:c r="E953" t="str">
        <x:v>Order:137:7</x:v>
      </x:c>
      <x:c r="F953" t="str">
        <x:v>Статус</x:v>
      </x:c>
      <x:c r="G953" t="str">
        <x:v>Medium</x:v>
      </x:c>
      <x:c r="H953" t="str">
        <x:v>status</x:v>
      </x:c>
      <x:c r="I953" t="str">
        <x:v>Выбрать допустимый статус</x:v>
      </x:c>
      <x:c r="J953" t="n">
        <x:f>IF(D953=1,K953,0)</x:f>
        <x:v>0</x:v>
      </x:c>
      <x:c r="K953" t="n">
        <x:f>D953+K952</x:f>
        <x:v>12</x:v>
      </x:c>
    </x:row>
    <x:row r="954">
      <x:c r="A954" t="str">
        <x:v>Order</x:v>
      </x:c>
      <x:c r="B954" t="n">
        <x:f>'04_checks'!B138</x:f>
        <x:v>1137</x:v>
      </x:c>
      <x:c r="C954" t="n">
        <x:v>138</x:v>
      </x:c>
      <x:c r="D954" t="n">
        <x:f>IF('04_checks'!C138="ERROR",1,0)</x:f>
        <x:v>0</x:v>
      </x:c>
      <x:c r="E954" t="str">
        <x:v>Order:138:1</x:v>
      </x:c>
      <x:c r="F954" t="str">
        <x:v>Дубль</x:v>
      </x:c>
      <x:c r="G954" t="str">
        <x:v>High</x:v>
      </x:c>
      <x:c r="H954" t="str">
        <x:v>order_id</x:v>
      </x:c>
      <x:c r="I954" t="str">
        <x:v>Проверить уникальность ID в источнике; не удалять записи автоматически</x:v>
      </x:c>
      <x:c r="J954" t="n">
        <x:f>IF(D954=1,K954,0)</x:f>
        <x:v>0</x:v>
      </x:c>
      <x:c r="K954" t="n">
        <x:f>D954+K953</x:f>
        <x:v>12</x:v>
      </x:c>
    </x:row>
    <x:row r="955">
      <x:c r="A955" t="str">
        <x:v>Order</x:v>
      </x:c>
      <x:c r="B955" t="n">
        <x:f>'04_checks'!B138</x:f>
        <x:v>1137</x:v>
      </x:c>
      <x:c r="C955" t="n">
        <x:v>138</x:v>
      </x:c>
      <x:c r="D955" t="n">
        <x:f>IF('04_checks'!D138="ERROR",1,0)</x:f>
        <x:v>0</x:v>
      </x:c>
      <x:c r="E955" t="str">
        <x:v>Order:138:2</x:v>
      </x:c>
      <x:c r="F955" t="str">
        <x:v>Пустое поле</x:v>
      </x:c>
      <x:c r="G955" t="str">
        <x:v>High</x:v>
      </x:c>
      <x:c r="H955" t="str">
        <x:v>required_fields</x:v>
      </x:c>
      <x:c r="I955" t="str">
        <x:v>Дополнить обязательные поля в источнике</x:v>
      </x:c>
      <x:c r="J955" t="n">
        <x:f>IF(D955=1,K955,0)</x:f>
        <x:v>0</x:v>
      </x:c>
      <x:c r="K955" t="n">
        <x:f>D955+K954</x:f>
        <x:v>12</x:v>
      </x:c>
    </x:row>
    <x:row r="956">
      <x:c r="A956" t="str">
        <x:v>Order</x:v>
      </x:c>
      <x:c r="B956" t="n">
        <x:f>'04_checks'!B138</x:f>
        <x:v>1137</x:v>
      </x:c>
      <x:c r="C956" t="n">
        <x:v>138</x:v>
      </x:c>
      <x:c r="D956" t="n">
        <x:f>IF('04_checks'!E138="ERROR",1,0)</x:f>
        <x:v>0</x:v>
      </x:c>
      <x:c r="E956" t="str">
        <x:v>Order:138:3</x:v>
      </x:c>
      <x:c r="F956" t="str">
        <x:f>IF(COUNTIF('02_clients_raw'!$A$2:$A$67,'01_orders_raw'!C138)&gt;1,"Неоднозначная связь","Нет связи")</x:f>
        <x:v>Нет связи</x:v>
      </x:c>
      <x:c r="G956" t="str">
        <x:v>High</x:v>
      </x:c>
      <x:c r="H956" t="str">
        <x:v>client_id</x:v>
      </x:c>
      <x:c r="I956" t="str">
        <x:v>Исправить ссылку или разрешить дубли связанного ID</x:v>
      </x:c>
      <x:c r="J956" t="n">
        <x:f>IF(D956=1,K956,0)</x:f>
        <x:v>0</x:v>
      </x:c>
      <x:c r="K956" t="n">
        <x:f>D956+K955</x:f>
        <x:v>12</x:v>
      </x:c>
    </x:row>
    <x:row r="957">
      <x:c r="A957" t="str">
        <x:v>Order</x:v>
      </x:c>
      <x:c r="B957" t="n">
        <x:f>'04_checks'!B138</x:f>
        <x:v>1137</x:v>
      </x:c>
      <x:c r="C957" t="n">
        <x:v>138</x:v>
      </x:c>
      <x:c r="D957" t="n">
        <x:f>IF('04_checks'!F138="ERROR",1,0)</x:f>
        <x:v>0</x:v>
      </x:c>
      <x:c r="E957" t="str">
        <x:v>Order:138:4</x:v>
      </x:c>
      <x:c r="F957" t="str">
        <x:v>Ошибка расчета</x:v>
      </x:c>
      <x:c r="G957" t="str">
        <x:v>High</x:v>
      </x:c>
      <x:c r="H957" t="str">
        <x:v>quantity/price/order_sum</x:v>
      </x:c>
      <x:c r="I957" t="str">
        <x:v>Сверить исходные значения и правило расчёта</x:v>
      </x:c>
      <x:c r="J957" t="n">
        <x:f>IF(D957=1,K957,0)</x:f>
        <x:v>0</x:v>
      </x:c>
      <x:c r="K957" t="n">
        <x:f>D957+K956</x:f>
        <x:v>12</x:v>
      </x:c>
    </x:row>
    <x:row r="958">
      <x:c r="A958" t="str">
        <x:v>Order</x:v>
      </x:c>
      <x:c r="B958" t="n">
        <x:f>'04_checks'!B138</x:f>
        <x:v>1137</x:v>
      </x:c>
      <x:c r="C958" t="n">
        <x:v>138</x:v>
      </x:c>
      <x:c r="D958" t="n">
        <x:f>IF('04_checks'!G138="ERROR",1,0)</x:f>
        <x:v>0</x:v>
      </x:c>
      <x:c r="E958" t="str">
        <x:v>Order:138:5</x:v>
      </x:c>
      <x:c r="F958" t="str">
        <x:v>Отрицательная цена</x:v>
      </x:c>
      <x:c r="G958" t="str">
        <x:v>High</x:v>
      </x:c>
      <x:c r="H958" t="str">
        <x:v>price</x:v>
      </x:c>
      <x:c r="I958" t="str">
        <x:v>Проверить цену в источнике</x:v>
      </x:c>
      <x:c r="J958" t="n">
        <x:f>IF(D958=1,K958,0)</x:f>
        <x:v>0</x:v>
      </x:c>
      <x:c r="K958" t="n">
        <x:f>D958+K957</x:f>
        <x:v>12</x:v>
      </x:c>
    </x:row>
    <x:row r="959">
      <x:c r="A959" t="str">
        <x:v>Order</x:v>
      </x:c>
      <x:c r="B959" t="n">
        <x:f>'04_checks'!B138</x:f>
        <x:v>1137</x:v>
      </x:c>
      <x:c r="C959" t="n">
        <x:v>138</x:v>
      </x:c>
      <x:c r="D959" t="n">
        <x:f>IF('04_checks'!H138="ERROR",1,0)</x:f>
        <x:v>0</x:v>
      </x:c>
      <x:c r="E959" t="str">
        <x:v>Order:138:6</x:v>
      </x:c>
      <x:c r="F959" t="str">
        <x:v>Дата</x:v>
      </x:c>
      <x:c r="G959" t="str">
        <x:v>Medium</x:v>
      </x:c>
      <x:c r="H959" t="str">
        <x:v>order_date</x:v>
      </x:c>
      <x:c r="I959" t="str">
        <x:v>Сверить дату со срезом и исходной записью</x:v>
      </x:c>
      <x:c r="J959" t="n">
        <x:f>IF(D959=1,K959,0)</x:f>
        <x:v>0</x:v>
      </x:c>
      <x:c r="K959" t="n">
        <x:f>D959+K958</x:f>
        <x:v>12</x:v>
      </x:c>
    </x:row>
    <x:row r="960">
      <x:c r="A960" t="str">
        <x:v>Order</x:v>
      </x:c>
      <x:c r="B960" t="n">
        <x:f>'04_checks'!B138</x:f>
        <x:v>1137</x:v>
      </x:c>
      <x:c r="C960" t="n">
        <x:v>138</x:v>
      </x:c>
      <x:c r="D960" t="n">
        <x:f>IF('04_checks'!I138="ERROR",1,0)</x:f>
        <x:v>0</x:v>
      </x:c>
      <x:c r="E960" t="str">
        <x:v>Order:138:7</x:v>
      </x:c>
      <x:c r="F960" t="str">
        <x:v>Статус</x:v>
      </x:c>
      <x:c r="G960" t="str">
        <x:v>Medium</x:v>
      </x:c>
      <x:c r="H960" t="str">
        <x:v>status</x:v>
      </x:c>
      <x:c r="I960" t="str">
        <x:v>Выбрать допустимый статус</x:v>
      </x:c>
      <x:c r="J960" t="n">
        <x:f>IF(D960=1,K960,0)</x:f>
        <x:v>0</x:v>
      </x:c>
      <x:c r="K960" t="n">
        <x:f>D960+K959</x:f>
        <x:v>12</x:v>
      </x:c>
    </x:row>
    <x:row r="961">
      <x:c r="A961" t="str">
        <x:v>Order</x:v>
      </x:c>
      <x:c r="B961" t="n">
        <x:f>'04_checks'!B139</x:f>
        <x:v>1138</x:v>
      </x:c>
      <x:c r="C961" t="n">
        <x:v>139</x:v>
      </x:c>
      <x:c r="D961" t="n">
        <x:f>IF('04_checks'!C139="ERROR",1,0)</x:f>
        <x:v>0</x:v>
      </x:c>
      <x:c r="E961" t="str">
        <x:v>Order:139:1</x:v>
      </x:c>
      <x:c r="F961" t="str">
        <x:v>Дубль</x:v>
      </x:c>
      <x:c r="G961" t="str">
        <x:v>High</x:v>
      </x:c>
      <x:c r="H961" t="str">
        <x:v>order_id</x:v>
      </x:c>
      <x:c r="I961" t="str">
        <x:v>Проверить уникальность ID в источнике; не удалять записи автоматически</x:v>
      </x:c>
      <x:c r="J961" t="n">
        <x:f>IF(D961=1,K961,0)</x:f>
        <x:v>0</x:v>
      </x:c>
      <x:c r="K961" t="n">
        <x:f>D961+K960</x:f>
        <x:v>12</x:v>
      </x:c>
    </x:row>
    <x:row r="962">
      <x:c r="A962" t="str">
        <x:v>Order</x:v>
      </x:c>
      <x:c r="B962" t="n">
        <x:f>'04_checks'!B139</x:f>
        <x:v>1138</x:v>
      </x:c>
      <x:c r="C962" t="n">
        <x:v>139</x:v>
      </x:c>
      <x:c r="D962" t="n">
        <x:f>IF('04_checks'!D139="ERROR",1,0)</x:f>
        <x:v>0</x:v>
      </x:c>
      <x:c r="E962" t="str">
        <x:v>Order:139:2</x:v>
      </x:c>
      <x:c r="F962" t="str">
        <x:v>Пустое поле</x:v>
      </x:c>
      <x:c r="G962" t="str">
        <x:v>High</x:v>
      </x:c>
      <x:c r="H962" t="str">
        <x:v>required_fields</x:v>
      </x:c>
      <x:c r="I962" t="str">
        <x:v>Дополнить обязательные поля в источнике</x:v>
      </x:c>
      <x:c r="J962" t="n">
        <x:f>IF(D962=1,K962,0)</x:f>
        <x:v>0</x:v>
      </x:c>
      <x:c r="K962" t="n">
        <x:f>D962+K961</x:f>
        <x:v>12</x:v>
      </x:c>
    </x:row>
    <x:row r="963">
      <x:c r="A963" t="str">
        <x:v>Order</x:v>
      </x:c>
      <x:c r="B963" t="n">
        <x:f>'04_checks'!B139</x:f>
        <x:v>1138</x:v>
      </x:c>
      <x:c r="C963" t="n">
        <x:v>139</x:v>
      </x:c>
      <x:c r="D963" t="n">
        <x:f>IF('04_checks'!E139="ERROR",1,0)</x:f>
        <x:v>0</x:v>
      </x:c>
      <x:c r="E963" t="str">
        <x:v>Order:139:3</x:v>
      </x:c>
      <x:c r="F963" t="str">
        <x:f>IF(COUNTIF('02_clients_raw'!$A$2:$A$67,'01_orders_raw'!C139)&gt;1,"Неоднозначная связь","Нет связи")</x:f>
        <x:v>Нет связи</x:v>
      </x:c>
      <x:c r="G963" t="str">
        <x:v>High</x:v>
      </x:c>
      <x:c r="H963" t="str">
        <x:v>client_id</x:v>
      </x:c>
      <x:c r="I963" t="str">
        <x:v>Исправить ссылку или разрешить дубли связанного ID</x:v>
      </x:c>
      <x:c r="J963" t="n">
        <x:f>IF(D963=1,K963,0)</x:f>
        <x:v>0</x:v>
      </x:c>
      <x:c r="K963" t="n">
        <x:f>D963+K962</x:f>
        <x:v>12</x:v>
      </x:c>
    </x:row>
    <x:row r="964">
      <x:c r="A964" t="str">
        <x:v>Order</x:v>
      </x:c>
      <x:c r="B964" t="n">
        <x:f>'04_checks'!B139</x:f>
        <x:v>1138</x:v>
      </x:c>
      <x:c r="C964" t="n">
        <x:v>139</x:v>
      </x:c>
      <x:c r="D964" t="n">
        <x:f>IF('04_checks'!F139="ERROR",1,0)</x:f>
        <x:v>0</x:v>
      </x:c>
      <x:c r="E964" t="str">
        <x:v>Order:139:4</x:v>
      </x:c>
      <x:c r="F964" t="str">
        <x:v>Ошибка расчета</x:v>
      </x:c>
      <x:c r="G964" t="str">
        <x:v>High</x:v>
      </x:c>
      <x:c r="H964" t="str">
        <x:v>quantity/price/order_sum</x:v>
      </x:c>
      <x:c r="I964" t="str">
        <x:v>Сверить исходные значения и правило расчёта</x:v>
      </x:c>
      <x:c r="J964" t="n">
        <x:f>IF(D964=1,K964,0)</x:f>
        <x:v>0</x:v>
      </x:c>
      <x:c r="K964" t="n">
        <x:f>D964+K963</x:f>
        <x:v>12</x:v>
      </x:c>
    </x:row>
    <x:row r="965">
      <x:c r="A965" t="str">
        <x:v>Order</x:v>
      </x:c>
      <x:c r="B965" t="n">
        <x:f>'04_checks'!B139</x:f>
        <x:v>1138</x:v>
      </x:c>
      <x:c r="C965" t="n">
        <x:v>139</x:v>
      </x:c>
      <x:c r="D965" t="n">
        <x:f>IF('04_checks'!G139="ERROR",1,0)</x:f>
        <x:v>0</x:v>
      </x:c>
      <x:c r="E965" t="str">
        <x:v>Order:139:5</x:v>
      </x:c>
      <x:c r="F965" t="str">
        <x:v>Отрицательная цена</x:v>
      </x:c>
      <x:c r="G965" t="str">
        <x:v>High</x:v>
      </x:c>
      <x:c r="H965" t="str">
        <x:v>price</x:v>
      </x:c>
      <x:c r="I965" t="str">
        <x:v>Проверить цену в источнике</x:v>
      </x:c>
      <x:c r="J965" t="n">
        <x:f>IF(D965=1,K965,0)</x:f>
        <x:v>0</x:v>
      </x:c>
      <x:c r="K965" t="n">
        <x:f>D965+K964</x:f>
        <x:v>12</x:v>
      </x:c>
    </x:row>
    <x:row r="966">
      <x:c r="A966" t="str">
        <x:v>Order</x:v>
      </x:c>
      <x:c r="B966" t="n">
        <x:f>'04_checks'!B139</x:f>
        <x:v>1138</x:v>
      </x:c>
      <x:c r="C966" t="n">
        <x:v>139</x:v>
      </x:c>
      <x:c r="D966" t="n">
        <x:f>IF('04_checks'!H139="ERROR",1,0)</x:f>
        <x:v>0</x:v>
      </x:c>
      <x:c r="E966" t="str">
        <x:v>Order:139:6</x:v>
      </x:c>
      <x:c r="F966" t="str">
        <x:v>Дата</x:v>
      </x:c>
      <x:c r="G966" t="str">
        <x:v>Medium</x:v>
      </x:c>
      <x:c r="H966" t="str">
        <x:v>order_date</x:v>
      </x:c>
      <x:c r="I966" t="str">
        <x:v>Сверить дату со срезом и исходной записью</x:v>
      </x:c>
      <x:c r="J966" t="n">
        <x:f>IF(D966=1,K966,0)</x:f>
        <x:v>0</x:v>
      </x:c>
      <x:c r="K966" t="n">
        <x:f>D966+K965</x:f>
        <x:v>12</x:v>
      </x:c>
    </x:row>
    <x:row r="967">
      <x:c r="A967" t="str">
        <x:v>Order</x:v>
      </x:c>
      <x:c r="B967" t="n">
        <x:f>'04_checks'!B139</x:f>
        <x:v>1138</x:v>
      </x:c>
      <x:c r="C967" t="n">
        <x:v>139</x:v>
      </x:c>
      <x:c r="D967" t="n">
        <x:f>IF('04_checks'!I139="ERROR",1,0)</x:f>
        <x:v>0</x:v>
      </x:c>
      <x:c r="E967" t="str">
        <x:v>Order:139:7</x:v>
      </x:c>
      <x:c r="F967" t="str">
        <x:v>Статус</x:v>
      </x:c>
      <x:c r="G967" t="str">
        <x:v>Medium</x:v>
      </x:c>
      <x:c r="H967" t="str">
        <x:v>status</x:v>
      </x:c>
      <x:c r="I967" t="str">
        <x:v>Выбрать допустимый статус</x:v>
      </x:c>
      <x:c r="J967" t="n">
        <x:f>IF(D967=1,K967,0)</x:f>
        <x:v>0</x:v>
      </x:c>
      <x:c r="K967" t="n">
        <x:f>D967+K966</x:f>
        <x:v>12</x:v>
      </x:c>
    </x:row>
    <x:row r="968">
      <x:c r="A968" t="str">
        <x:v>Order</x:v>
      </x:c>
      <x:c r="B968" t="n">
        <x:f>'04_checks'!B140</x:f>
        <x:v>1139</x:v>
      </x:c>
      <x:c r="C968" t="n">
        <x:v>140</x:v>
      </x:c>
      <x:c r="D968" t="n">
        <x:f>IF('04_checks'!C140="ERROR",1,0)</x:f>
        <x:v>0</x:v>
      </x:c>
      <x:c r="E968" t="str">
        <x:v>Order:140:1</x:v>
      </x:c>
      <x:c r="F968" t="str">
        <x:v>Дубль</x:v>
      </x:c>
      <x:c r="G968" t="str">
        <x:v>High</x:v>
      </x:c>
      <x:c r="H968" t="str">
        <x:v>order_id</x:v>
      </x:c>
      <x:c r="I968" t="str">
        <x:v>Проверить уникальность ID в источнике; не удалять записи автоматически</x:v>
      </x:c>
      <x:c r="J968" t="n">
        <x:f>IF(D968=1,K968,0)</x:f>
        <x:v>0</x:v>
      </x:c>
      <x:c r="K968" t="n">
        <x:f>D968+K967</x:f>
        <x:v>12</x:v>
      </x:c>
    </x:row>
    <x:row r="969">
      <x:c r="A969" t="str">
        <x:v>Order</x:v>
      </x:c>
      <x:c r="B969" t="n">
        <x:f>'04_checks'!B140</x:f>
        <x:v>1139</x:v>
      </x:c>
      <x:c r="C969" t="n">
        <x:v>140</x:v>
      </x:c>
      <x:c r="D969" t="n">
        <x:f>IF('04_checks'!D140="ERROR",1,0)</x:f>
        <x:v>0</x:v>
      </x:c>
      <x:c r="E969" t="str">
        <x:v>Order:140:2</x:v>
      </x:c>
      <x:c r="F969" t="str">
        <x:v>Пустое поле</x:v>
      </x:c>
      <x:c r="G969" t="str">
        <x:v>High</x:v>
      </x:c>
      <x:c r="H969" t="str">
        <x:v>required_fields</x:v>
      </x:c>
      <x:c r="I969" t="str">
        <x:v>Дополнить обязательные поля в источнике</x:v>
      </x:c>
      <x:c r="J969" t="n">
        <x:f>IF(D969=1,K969,0)</x:f>
        <x:v>0</x:v>
      </x:c>
      <x:c r="K969" t="n">
        <x:f>D969+K968</x:f>
        <x:v>12</x:v>
      </x:c>
    </x:row>
    <x:row r="970">
      <x:c r="A970" t="str">
        <x:v>Order</x:v>
      </x:c>
      <x:c r="B970" t="n">
        <x:f>'04_checks'!B140</x:f>
        <x:v>1139</x:v>
      </x:c>
      <x:c r="C970" t="n">
        <x:v>140</x:v>
      </x:c>
      <x:c r="D970" t="n">
        <x:f>IF('04_checks'!E140="ERROR",1,0)</x:f>
        <x:v>0</x:v>
      </x:c>
      <x:c r="E970" t="str">
        <x:v>Order:140:3</x:v>
      </x:c>
      <x:c r="F970" t="str">
        <x:f>IF(COUNTIF('02_clients_raw'!$A$2:$A$67,'01_orders_raw'!C140)&gt;1,"Неоднозначная связь","Нет связи")</x:f>
        <x:v>Нет связи</x:v>
      </x:c>
      <x:c r="G970" t="str">
        <x:v>High</x:v>
      </x:c>
      <x:c r="H970" t="str">
        <x:v>client_id</x:v>
      </x:c>
      <x:c r="I970" t="str">
        <x:v>Исправить ссылку или разрешить дубли связанного ID</x:v>
      </x:c>
      <x:c r="J970" t="n">
        <x:f>IF(D970=1,K970,0)</x:f>
        <x:v>0</x:v>
      </x:c>
      <x:c r="K970" t="n">
        <x:f>D970+K969</x:f>
        <x:v>12</x:v>
      </x:c>
    </x:row>
    <x:row r="971">
      <x:c r="A971" t="str">
        <x:v>Order</x:v>
      </x:c>
      <x:c r="B971" t="n">
        <x:f>'04_checks'!B140</x:f>
        <x:v>1139</x:v>
      </x:c>
      <x:c r="C971" t="n">
        <x:v>140</x:v>
      </x:c>
      <x:c r="D971" t="n">
        <x:f>IF('04_checks'!F140="ERROR",1,0)</x:f>
        <x:v>0</x:v>
      </x:c>
      <x:c r="E971" t="str">
        <x:v>Order:140:4</x:v>
      </x:c>
      <x:c r="F971" t="str">
        <x:v>Ошибка расчета</x:v>
      </x:c>
      <x:c r="G971" t="str">
        <x:v>High</x:v>
      </x:c>
      <x:c r="H971" t="str">
        <x:v>quantity/price/order_sum</x:v>
      </x:c>
      <x:c r="I971" t="str">
        <x:v>Сверить исходные значения и правило расчёта</x:v>
      </x:c>
      <x:c r="J971" t="n">
        <x:f>IF(D971=1,K971,0)</x:f>
        <x:v>0</x:v>
      </x:c>
      <x:c r="K971" t="n">
        <x:f>D971+K970</x:f>
        <x:v>12</x:v>
      </x:c>
    </x:row>
    <x:row r="972">
      <x:c r="A972" t="str">
        <x:v>Order</x:v>
      </x:c>
      <x:c r="B972" t="n">
        <x:f>'04_checks'!B140</x:f>
        <x:v>1139</x:v>
      </x:c>
      <x:c r="C972" t="n">
        <x:v>140</x:v>
      </x:c>
      <x:c r="D972" t="n">
        <x:f>IF('04_checks'!G140="ERROR",1,0)</x:f>
        <x:v>0</x:v>
      </x:c>
      <x:c r="E972" t="str">
        <x:v>Order:140:5</x:v>
      </x:c>
      <x:c r="F972" t="str">
        <x:v>Отрицательная цена</x:v>
      </x:c>
      <x:c r="G972" t="str">
        <x:v>High</x:v>
      </x:c>
      <x:c r="H972" t="str">
        <x:v>price</x:v>
      </x:c>
      <x:c r="I972" t="str">
        <x:v>Проверить цену в источнике</x:v>
      </x:c>
      <x:c r="J972" t="n">
        <x:f>IF(D972=1,K972,0)</x:f>
        <x:v>0</x:v>
      </x:c>
      <x:c r="K972" t="n">
        <x:f>D972+K971</x:f>
        <x:v>12</x:v>
      </x:c>
    </x:row>
    <x:row r="973">
      <x:c r="A973" t="str">
        <x:v>Order</x:v>
      </x:c>
      <x:c r="B973" t="n">
        <x:f>'04_checks'!B140</x:f>
        <x:v>1139</x:v>
      </x:c>
      <x:c r="C973" t="n">
        <x:v>140</x:v>
      </x:c>
      <x:c r="D973" t="n">
        <x:f>IF('04_checks'!H140="ERROR",1,0)</x:f>
        <x:v>0</x:v>
      </x:c>
      <x:c r="E973" t="str">
        <x:v>Order:140:6</x:v>
      </x:c>
      <x:c r="F973" t="str">
        <x:v>Дата</x:v>
      </x:c>
      <x:c r="G973" t="str">
        <x:v>Medium</x:v>
      </x:c>
      <x:c r="H973" t="str">
        <x:v>order_date</x:v>
      </x:c>
      <x:c r="I973" t="str">
        <x:v>Сверить дату со срезом и исходной записью</x:v>
      </x:c>
      <x:c r="J973" t="n">
        <x:f>IF(D973=1,K973,0)</x:f>
        <x:v>0</x:v>
      </x:c>
      <x:c r="K973" t="n">
        <x:f>D973+K972</x:f>
        <x:v>12</x:v>
      </x:c>
    </x:row>
    <x:row r="974">
      <x:c r="A974" t="str">
        <x:v>Order</x:v>
      </x:c>
      <x:c r="B974" t="n">
        <x:f>'04_checks'!B140</x:f>
        <x:v>1139</x:v>
      </x:c>
      <x:c r="C974" t="n">
        <x:v>140</x:v>
      </x:c>
      <x:c r="D974" t="n">
        <x:f>IF('04_checks'!I140="ERROR",1,0)</x:f>
        <x:v>0</x:v>
      </x:c>
      <x:c r="E974" t="str">
        <x:v>Order:140:7</x:v>
      </x:c>
      <x:c r="F974" t="str">
        <x:v>Статус</x:v>
      </x:c>
      <x:c r="G974" t="str">
        <x:v>Medium</x:v>
      </x:c>
      <x:c r="H974" t="str">
        <x:v>status</x:v>
      </x:c>
      <x:c r="I974" t="str">
        <x:v>Выбрать допустимый статус</x:v>
      </x:c>
      <x:c r="J974" t="n">
        <x:f>IF(D974=1,K974,0)</x:f>
        <x:v>0</x:v>
      </x:c>
      <x:c r="K974" t="n">
        <x:f>D974+K973</x:f>
        <x:v>12</x:v>
      </x:c>
    </x:row>
    <x:row r="975">
      <x:c r="A975" t="str">
        <x:v>Order</x:v>
      </x:c>
      <x:c r="B975" t="n">
        <x:f>'04_checks'!B141</x:f>
        <x:v>1140</x:v>
      </x:c>
      <x:c r="C975" t="n">
        <x:v>141</x:v>
      </x:c>
      <x:c r="D975" t="n">
        <x:f>IF('04_checks'!C141="ERROR",1,0)</x:f>
        <x:v>0</x:v>
      </x:c>
      <x:c r="E975" t="str">
        <x:v>Order:141:1</x:v>
      </x:c>
      <x:c r="F975" t="str">
        <x:v>Дубль</x:v>
      </x:c>
      <x:c r="G975" t="str">
        <x:v>High</x:v>
      </x:c>
      <x:c r="H975" t="str">
        <x:v>order_id</x:v>
      </x:c>
      <x:c r="I975" t="str">
        <x:v>Проверить уникальность ID в источнике; не удалять записи автоматически</x:v>
      </x:c>
      <x:c r="J975" t="n">
        <x:f>IF(D975=1,K975,0)</x:f>
        <x:v>0</x:v>
      </x:c>
      <x:c r="K975" t="n">
        <x:f>D975+K974</x:f>
        <x:v>12</x:v>
      </x:c>
    </x:row>
    <x:row r="976">
      <x:c r="A976" t="str">
        <x:v>Order</x:v>
      </x:c>
      <x:c r="B976" t="n">
        <x:f>'04_checks'!B141</x:f>
        <x:v>1140</x:v>
      </x:c>
      <x:c r="C976" t="n">
        <x:v>141</x:v>
      </x:c>
      <x:c r="D976" t="n">
        <x:f>IF('04_checks'!D141="ERROR",1,0)</x:f>
        <x:v>0</x:v>
      </x:c>
      <x:c r="E976" t="str">
        <x:v>Order:141:2</x:v>
      </x:c>
      <x:c r="F976" t="str">
        <x:v>Пустое поле</x:v>
      </x:c>
      <x:c r="G976" t="str">
        <x:v>High</x:v>
      </x:c>
      <x:c r="H976" t="str">
        <x:v>required_fields</x:v>
      </x:c>
      <x:c r="I976" t="str">
        <x:v>Дополнить обязательные поля в источнике</x:v>
      </x:c>
      <x:c r="J976" t="n">
        <x:f>IF(D976=1,K976,0)</x:f>
        <x:v>0</x:v>
      </x:c>
      <x:c r="K976" t="n">
        <x:f>D976+K975</x:f>
        <x:v>12</x:v>
      </x:c>
    </x:row>
    <x:row r="977">
      <x:c r="A977" t="str">
        <x:v>Order</x:v>
      </x:c>
      <x:c r="B977" t="n">
        <x:f>'04_checks'!B141</x:f>
        <x:v>1140</x:v>
      </x:c>
      <x:c r="C977" t="n">
        <x:v>141</x:v>
      </x:c>
      <x:c r="D977" t="n">
        <x:f>IF('04_checks'!E141="ERROR",1,0)</x:f>
        <x:v>0</x:v>
      </x:c>
      <x:c r="E977" t="str">
        <x:v>Order:141:3</x:v>
      </x:c>
      <x:c r="F977" t="str">
        <x:f>IF(COUNTIF('02_clients_raw'!$A$2:$A$67,'01_orders_raw'!C141)&gt;1,"Неоднозначная связь","Нет связи")</x:f>
        <x:v>Нет связи</x:v>
      </x:c>
      <x:c r="G977" t="str">
        <x:v>High</x:v>
      </x:c>
      <x:c r="H977" t="str">
        <x:v>client_id</x:v>
      </x:c>
      <x:c r="I977" t="str">
        <x:v>Исправить ссылку или разрешить дубли связанного ID</x:v>
      </x:c>
      <x:c r="J977" t="n">
        <x:f>IF(D977=1,K977,0)</x:f>
        <x:v>0</x:v>
      </x:c>
      <x:c r="K977" t="n">
        <x:f>D977+K976</x:f>
        <x:v>12</x:v>
      </x:c>
    </x:row>
    <x:row r="978">
      <x:c r="A978" t="str">
        <x:v>Order</x:v>
      </x:c>
      <x:c r="B978" t="n">
        <x:f>'04_checks'!B141</x:f>
        <x:v>1140</x:v>
      </x:c>
      <x:c r="C978" t="n">
        <x:v>141</x:v>
      </x:c>
      <x:c r="D978" t="n">
        <x:f>IF('04_checks'!F141="ERROR",1,0)</x:f>
        <x:v>0</x:v>
      </x:c>
      <x:c r="E978" t="str">
        <x:v>Order:141:4</x:v>
      </x:c>
      <x:c r="F978" t="str">
        <x:v>Ошибка расчета</x:v>
      </x:c>
      <x:c r="G978" t="str">
        <x:v>High</x:v>
      </x:c>
      <x:c r="H978" t="str">
        <x:v>quantity/price/order_sum</x:v>
      </x:c>
      <x:c r="I978" t="str">
        <x:v>Сверить исходные значения и правило расчёта</x:v>
      </x:c>
      <x:c r="J978" t="n">
        <x:f>IF(D978=1,K978,0)</x:f>
        <x:v>0</x:v>
      </x:c>
      <x:c r="K978" t="n">
        <x:f>D978+K977</x:f>
        <x:v>12</x:v>
      </x:c>
    </x:row>
    <x:row r="979">
      <x:c r="A979" t="str">
        <x:v>Order</x:v>
      </x:c>
      <x:c r="B979" t="n">
        <x:f>'04_checks'!B141</x:f>
        <x:v>1140</x:v>
      </x:c>
      <x:c r="C979" t="n">
        <x:v>141</x:v>
      </x:c>
      <x:c r="D979" t="n">
        <x:f>IF('04_checks'!G141="ERROR",1,0)</x:f>
        <x:v>0</x:v>
      </x:c>
      <x:c r="E979" t="str">
        <x:v>Order:141:5</x:v>
      </x:c>
      <x:c r="F979" t="str">
        <x:v>Отрицательная цена</x:v>
      </x:c>
      <x:c r="G979" t="str">
        <x:v>High</x:v>
      </x:c>
      <x:c r="H979" t="str">
        <x:v>price</x:v>
      </x:c>
      <x:c r="I979" t="str">
        <x:v>Проверить цену в источнике</x:v>
      </x:c>
      <x:c r="J979" t="n">
        <x:f>IF(D979=1,K979,0)</x:f>
        <x:v>0</x:v>
      </x:c>
      <x:c r="K979" t="n">
        <x:f>D979+K978</x:f>
        <x:v>12</x:v>
      </x:c>
    </x:row>
    <x:row r="980">
      <x:c r="A980" t="str">
        <x:v>Order</x:v>
      </x:c>
      <x:c r="B980" t="n">
        <x:f>'04_checks'!B141</x:f>
        <x:v>1140</x:v>
      </x:c>
      <x:c r="C980" t="n">
        <x:v>141</x:v>
      </x:c>
      <x:c r="D980" t="n">
        <x:f>IF('04_checks'!H141="ERROR",1,0)</x:f>
        <x:v>0</x:v>
      </x:c>
      <x:c r="E980" t="str">
        <x:v>Order:141:6</x:v>
      </x:c>
      <x:c r="F980" t="str">
        <x:v>Дата</x:v>
      </x:c>
      <x:c r="G980" t="str">
        <x:v>Medium</x:v>
      </x:c>
      <x:c r="H980" t="str">
        <x:v>order_date</x:v>
      </x:c>
      <x:c r="I980" t="str">
        <x:v>Сверить дату со срезом и исходной записью</x:v>
      </x:c>
      <x:c r="J980" t="n">
        <x:f>IF(D980=1,K980,0)</x:f>
        <x:v>0</x:v>
      </x:c>
      <x:c r="K980" t="n">
        <x:f>D980+K979</x:f>
        <x:v>12</x:v>
      </x:c>
    </x:row>
    <x:row r="981">
      <x:c r="A981" t="str">
        <x:v>Order</x:v>
      </x:c>
      <x:c r="B981" t="n">
        <x:f>'04_checks'!B141</x:f>
        <x:v>1140</x:v>
      </x:c>
      <x:c r="C981" t="n">
        <x:v>141</x:v>
      </x:c>
      <x:c r="D981" t="n">
        <x:f>IF('04_checks'!I141="ERROR",1,0)</x:f>
        <x:v>0</x:v>
      </x:c>
      <x:c r="E981" t="str">
        <x:v>Order:141:7</x:v>
      </x:c>
      <x:c r="F981" t="str">
        <x:v>Статус</x:v>
      </x:c>
      <x:c r="G981" t="str">
        <x:v>Medium</x:v>
      </x:c>
      <x:c r="H981" t="str">
        <x:v>status</x:v>
      </x:c>
      <x:c r="I981" t="str">
        <x:v>Выбрать допустимый статус</x:v>
      </x:c>
      <x:c r="J981" t="n">
        <x:f>IF(D981=1,K981,0)</x:f>
        <x:v>0</x:v>
      </x:c>
      <x:c r="K981" t="n">
        <x:f>D981+K980</x:f>
        <x:v>12</x:v>
      </x:c>
    </x:row>
    <x:row r="982">
      <x:c r="A982" t="str">
        <x:v>Order</x:v>
      </x:c>
      <x:c r="B982" t="n">
        <x:f>'04_checks'!B142</x:f>
        <x:v>1141</x:v>
      </x:c>
      <x:c r="C982" t="n">
        <x:v>142</x:v>
      </x:c>
      <x:c r="D982" t="n">
        <x:f>IF('04_checks'!C142="ERROR",1,0)</x:f>
        <x:v>0</x:v>
      </x:c>
      <x:c r="E982" t="str">
        <x:v>Order:142:1</x:v>
      </x:c>
      <x:c r="F982" t="str">
        <x:v>Дубль</x:v>
      </x:c>
      <x:c r="G982" t="str">
        <x:v>High</x:v>
      </x:c>
      <x:c r="H982" t="str">
        <x:v>order_id</x:v>
      </x:c>
      <x:c r="I982" t="str">
        <x:v>Проверить уникальность ID в источнике; не удалять записи автоматически</x:v>
      </x:c>
      <x:c r="J982" t="n">
        <x:f>IF(D982=1,K982,0)</x:f>
        <x:v>0</x:v>
      </x:c>
      <x:c r="K982" t="n">
        <x:f>D982+K981</x:f>
        <x:v>12</x:v>
      </x:c>
    </x:row>
    <x:row r="983">
      <x:c r="A983" t="str">
        <x:v>Order</x:v>
      </x:c>
      <x:c r="B983" t="n">
        <x:f>'04_checks'!B142</x:f>
        <x:v>1141</x:v>
      </x:c>
      <x:c r="C983" t="n">
        <x:v>142</x:v>
      </x:c>
      <x:c r="D983" t="n">
        <x:f>IF('04_checks'!D142="ERROR",1,0)</x:f>
        <x:v>0</x:v>
      </x:c>
      <x:c r="E983" t="str">
        <x:v>Order:142:2</x:v>
      </x:c>
      <x:c r="F983" t="str">
        <x:v>Пустое поле</x:v>
      </x:c>
      <x:c r="G983" t="str">
        <x:v>High</x:v>
      </x:c>
      <x:c r="H983" t="str">
        <x:v>required_fields</x:v>
      </x:c>
      <x:c r="I983" t="str">
        <x:v>Дополнить обязательные поля в источнике</x:v>
      </x:c>
      <x:c r="J983" t="n">
        <x:f>IF(D983=1,K983,0)</x:f>
        <x:v>0</x:v>
      </x:c>
      <x:c r="K983" t="n">
        <x:f>D983+K982</x:f>
        <x:v>12</x:v>
      </x:c>
    </x:row>
    <x:row r="984">
      <x:c r="A984" t="str">
        <x:v>Order</x:v>
      </x:c>
      <x:c r="B984" t="n">
        <x:f>'04_checks'!B142</x:f>
        <x:v>1141</x:v>
      </x:c>
      <x:c r="C984" t="n">
        <x:v>142</x:v>
      </x:c>
      <x:c r="D984" t="n">
        <x:f>IF('04_checks'!E142="ERROR",1,0)</x:f>
        <x:v>0</x:v>
      </x:c>
      <x:c r="E984" t="str">
        <x:v>Order:142:3</x:v>
      </x:c>
      <x:c r="F984" t="str">
        <x:f>IF(COUNTIF('02_clients_raw'!$A$2:$A$67,'01_orders_raw'!C142)&gt;1,"Неоднозначная связь","Нет связи")</x:f>
        <x:v>Нет связи</x:v>
      </x:c>
      <x:c r="G984" t="str">
        <x:v>High</x:v>
      </x:c>
      <x:c r="H984" t="str">
        <x:v>client_id</x:v>
      </x:c>
      <x:c r="I984" t="str">
        <x:v>Исправить ссылку или разрешить дубли связанного ID</x:v>
      </x:c>
      <x:c r="J984" t="n">
        <x:f>IF(D984=1,K984,0)</x:f>
        <x:v>0</x:v>
      </x:c>
      <x:c r="K984" t="n">
        <x:f>D984+K983</x:f>
        <x:v>12</x:v>
      </x:c>
    </x:row>
    <x:row r="985">
      <x:c r="A985" t="str">
        <x:v>Order</x:v>
      </x:c>
      <x:c r="B985" t="n">
        <x:f>'04_checks'!B142</x:f>
        <x:v>1141</x:v>
      </x:c>
      <x:c r="C985" t="n">
        <x:v>142</x:v>
      </x:c>
      <x:c r="D985" t="n">
        <x:f>IF('04_checks'!F142="ERROR",1,0)</x:f>
        <x:v>0</x:v>
      </x:c>
      <x:c r="E985" t="str">
        <x:v>Order:142:4</x:v>
      </x:c>
      <x:c r="F985" t="str">
        <x:v>Ошибка расчета</x:v>
      </x:c>
      <x:c r="G985" t="str">
        <x:v>High</x:v>
      </x:c>
      <x:c r="H985" t="str">
        <x:v>quantity/price/order_sum</x:v>
      </x:c>
      <x:c r="I985" t="str">
        <x:v>Сверить исходные значения и правило расчёта</x:v>
      </x:c>
      <x:c r="J985" t="n">
        <x:f>IF(D985=1,K985,0)</x:f>
        <x:v>0</x:v>
      </x:c>
      <x:c r="K985" t="n">
        <x:f>D985+K984</x:f>
        <x:v>12</x:v>
      </x:c>
    </x:row>
    <x:row r="986">
      <x:c r="A986" t="str">
        <x:v>Order</x:v>
      </x:c>
      <x:c r="B986" t="n">
        <x:f>'04_checks'!B142</x:f>
        <x:v>1141</x:v>
      </x:c>
      <x:c r="C986" t="n">
        <x:v>142</x:v>
      </x:c>
      <x:c r="D986" t="n">
        <x:f>IF('04_checks'!G142="ERROR",1,0)</x:f>
        <x:v>0</x:v>
      </x:c>
      <x:c r="E986" t="str">
        <x:v>Order:142:5</x:v>
      </x:c>
      <x:c r="F986" t="str">
        <x:v>Отрицательная цена</x:v>
      </x:c>
      <x:c r="G986" t="str">
        <x:v>High</x:v>
      </x:c>
      <x:c r="H986" t="str">
        <x:v>price</x:v>
      </x:c>
      <x:c r="I986" t="str">
        <x:v>Проверить цену в источнике</x:v>
      </x:c>
      <x:c r="J986" t="n">
        <x:f>IF(D986=1,K986,0)</x:f>
        <x:v>0</x:v>
      </x:c>
      <x:c r="K986" t="n">
        <x:f>D986+K985</x:f>
        <x:v>12</x:v>
      </x:c>
    </x:row>
    <x:row r="987">
      <x:c r="A987" t="str">
        <x:v>Order</x:v>
      </x:c>
      <x:c r="B987" t="n">
        <x:f>'04_checks'!B142</x:f>
        <x:v>1141</x:v>
      </x:c>
      <x:c r="C987" t="n">
        <x:v>142</x:v>
      </x:c>
      <x:c r="D987" t="n">
        <x:f>IF('04_checks'!H142="ERROR",1,0)</x:f>
        <x:v>0</x:v>
      </x:c>
      <x:c r="E987" t="str">
        <x:v>Order:142:6</x:v>
      </x:c>
      <x:c r="F987" t="str">
        <x:v>Дата</x:v>
      </x:c>
      <x:c r="G987" t="str">
        <x:v>Medium</x:v>
      </x:c>
      <x:c r="H987" t="str">
        <x:v>order_date</x:v>
      </x:c>
      <x:c r="I987" t="str">
        <x:v>Сверить дату со срезом и исходной записью</x:v>
      </x:c>
      <x:c r="J987" t="n">
        <x:f>IF(D987=1,K987,0)</x:f>
        <x:v>0</x:v>
      </x:c>
      <x:c r="K987" t="n">
        <x:f>D987+K986</x:f>
        <x:v>12</x:v>
      </x:c>
    </x:row>
    <x:row r="988">
      <x:c r="A988" t="str">
        <x:v>Order</x:v>
      </x:c>
      <x:c r="B988" t="n">
        <x:f>'04_checks'!B142</x:f>
        <x:v>1141</x:v>
      </x:c>
      <x:c r="C988" t="n">
        <x:v>142</x:v>
      </x:c>
      <x:c r="D988" t="n">
        <x:f>IF('04_checks'!I142="ERROR",1,0)</x:f>
        <x:v>0</x:v>
      </x:c>
      <x:c r="E988" t="str">
        <x:v>Order:142:7</x:v>
      </x:c>
      <x:c r="F988" t="str">
        <x:v>Статус</x:v>
      </x:c>
      <x:c r="G988" t="str">
        <x:v>Medium</x:v>
      </x:c>
      <x:c r="H988" t="str">
        <x:v>status</x:v>
      </x:c>
      <x:c r="I988" t="str">
        <x:v>Выбрать допустимый статус</x:v>
      </x:c>
      <x:c r="J988" t="n">
        <x:f>IF(D988=1,K988,0)</x:f>
        <x:v>0</x:v>
      </x:c>
      <x:c r="K988" t="n">
        <x:f>D988+K987</x:f>
        <x:v>12</x:v>
      </x:c>
    </x:row>
    <x:row r="989">
      <x:c r="A989" t="str">
        <x:v>Order</x:v>
      </x:c>
      <x:c r="B989" t="n">
        <x:f>'04_checks'!B143</x:f>
        <x:v>1142</x:v>
      </x:c>
      <x:c r="C989" t="n">
        <x:v>143</x:v>
      </x:c>
      <x:c r="D989" t="n">
        <x:f>IF('04_checks'!C143="ERROR",1,0)</x:f>
        <x:v>0</x:v>
      </x:c>
      <x:c r="E989" t="str">
        <x:v>Order:143:1</x:v>
      </x:c>
      <x:c r="F989" t="str">
        <x:v>Дубль</x:v>
      </x:c>
      <x:c r="G989" t="str">
        <x:v>High</x:v>
      </x:c>
      <x:c r="H989" t="str">
        <x:v>order_id</x:v>
      </x:c>
      <x:c r="I989" t="str">
        <x:v>Проверить уникальность ID в источнике; не удалять записи автоматически</x:v>
      </x:c>
      <x:c r="J989" t="n">
        <x:f>IF(D989=1,K989,0)</x:f>
        <x:v>0</x:v>
      </x:c>
      <x:c r="K989" t="n">
        <x:f>D989+K988</x:f>
        <x:v>12</x:v>
      </x:c>
    </x:row>
    <x:row r="990">
      <x:c r="A990" t="str">
        <x:v>Order</x:v>
      </x:c>
      <x:c r="B990" t="n">
        <x:f>'04_checks'!B143</x:f>
        <x:v>1142</x:v>
      </x:c>
      <x:c r="C990" t="n">
        <x:v>143</x:v>
      </x:c>
      <x:c r="D990" t="n">
        <x:f>IF('04_checks'!D143="ERROR",1,0)</x:f>
        <x:v>0</x:v>
      </x:c>
      <x:c r="E990" t="str">
        <x:v>Order:143:2</x:v>
      </x:c>
      <x:c r="F990" t="str">
        <x:v>Пустое поле</x:v>
      </x:c>
      <x:c r="G990" t="str">
        <x:v>High</x:v>
      </x:c>
      <x:c r="H990" t="str">
        <x:v>required_fields</x:v>
      </x:c>
      <x:c r="I990" t="str">
        <x:v>Дополнить обязательные поля в источнике</x:v>
      </x:c>
      <x:c r="J990" t="n">
        <x:f>IF(D990=1,K990,0)</x:f>
        <x:v>0</x:v>
      </x:c>
      <x:c r="K990" t="n">
        <x:f>D990+K989</x:f>
        <x:v>12</x:v>
      </x:c>
    </x:row>
    <x:row r="991">
      <x:c r="A991" t="str">
        <x:v>Order</x:v>
      </x:c>
      <x:c r="B991" t="n">
        <x:f>'04_checks'!B143</x:f>
        <x:v>1142</x:v>
      </x:c>
      <x:c r="C991" t="n">
        <x:v>143</x:v>
      </x:c>
      <x:c r="D991" t="n">
        <x:f>IF('04_checks'!E143="ERROR",1,0)</x:f>
        <x:v>0</x:v>
      </x:c>
      <x:c r="E991" t="str">
        <x:v>Order:143:3</x:v>
      </x:c>
      <x:c r="F991" t="str">
        <x:f>IF(COUNTIF('02_clients_raw'!$A$2:$A$67,'01_orders_raw'!C143)&gt;1,"Неоднозначная связь","Нет связи")</x:f>
        <x:v>Нет связи</x:v>
      </x:c>
      <x:c r="G991" t="str">
        <x:v>High</x:v>
      </x:c>
      <x:c r="H991" t="str">
        <x:v>client_id</x:v>
      </x:c>
      <x:c r="I991" t="str">
        <x:v>Исправить ссылку или разрешить дубли связанного ID</x:v>
      </x:c>
      <x:c r="J991" t="n">
        <x:f>IF(D991=1,K991,0)</x:f>
        <x:v>0</x:v>
      </x:c>
      <x:c r="K991" t="n">
        <x:f>D991+K990</x:f>
        <x:v>12</x:v>
      </x:c>
    </x:row>
    <x:row r="992">
      <x:c r="A992" t="str">
        <x:v>Order</x:v>
      </x:c>
      <x:c r="B992" t="n">
        <x:f>'04_checks'!B143</x:f>
        <x:v>1142</x:v>
      </x:c>
      <x:c r="C992" t="n">
        <x:v>143</x:v>
      </x:c>
      <x:c r="D992" t="n">
        <x:f>IF('04_checks'!F143="ERROR",1,0)</x:f>
        <x:v>0</x:v>
      </x:c>
      <x:c r="E992" t="str">
        <x:v>Order:143:4</x:v>
      </x:c>
      <x:c r="F992" t="str">
        <x:v>Ошибка расчета</x:v>
      </x:c>
      <x:c r="G992" t="str">
        <x:v>High</x:v>
      </x:c>
      <x:c r="H992" t="str">
        <x:v>quantity/price/order_sum</x:v>
      </x:c>
      <x:c r="I992" t="str">
        <x:v>Сверить исходные значения и правило расчёта</x:v>
      </x:c>
      <x:c r="J992" t="n">
        <x:f>IF(D992=1,K992,0)</x:f>
        <x:v>0</x:v>
      </x:c>
      <x:c r="K992" t="n">
        <x:f>D992+K991</x:f>
        <x:v>12</x:v>
      </x:c>
    </x:row>
    <x:row r="993">
      <x:c r="A993" t="str">
        <x:v>Order</x:v>
      </x:c>
      <x:c r="B993" t="n">
        <x:f>'04_checks'!B143</x:f>
        <x:v>1142</x:v>
      </x:c>
      <x:c r="C993" t="n">
        <x:v>143</x:v>
      </x:c>
      <x:c r="D993" t="n">
        <x:f>IF('04_checks'!G143="ERROR",1,0)</x:f>
        <x:v>0</x:v>
      </x:c>
      <x:c r="E993" t="str">
        <x:v>Order:143:5</x:v>
      </x:c>
      <x:c r="F993" t="str">
        <x:v>Отрицательная цена</x:v>
      </x:c>
      <x:c r="G993" t="str">
        <x:v>High</x:v>
      </x:c>
      <x:c r="H993" t="str">
        <x:v>price</x:v>
      </x:c>
      <x:c r="I993" t="str">
        <x:v>Проверить цену в источнике</x:v>
      </x:c>
      <x:c r="J993" t="n">
        <x:f>IF(D993=1,K993,0)</x:f>
        <x:v>0</x:v>
      </x:c>
      <x:c r="K993" t="n">
        <x:f>D993+K992</x:f>
        <x:v>12</x:v>
      </x:c>
    </x:row>
    <x:row r="994">
      <x:c r="A994" t="str">
        <x:v>Order</x:v>
      </x:c>
      <x:c r="B994" t="n">
        <x:f>'04_checks'!B143</x:f>
        <x:v>1142</x:v>
      </x:c>
      <x:c r="C994" t="n">
        <x:v>143</x:v>
      </x:c>
      <x:c r="D994" t="n">
        <x:f>IF('04_checks'!H143="ERROR",1,0)</x:f>
        <x:v>0</x:v>
      </x:c>
      <x:c r="E994" t="str">
        <x:v>Order:143:6</x:v>
      </x:c>
      <x:c r="F994" t="str">
        <x:v>Дата</x:v>
      </x:c>
      <x:c r="G994" t="str">
        <x:v>Medium</x:v>
      </x:c>
      <x:c r="H994" t="str">
        <x:v>order_date</x:v>
      </x:c>
      <x:c r="I994" t="str">
        <x:v>Сверить дату со срезом и исходной записью</x:v>
      </x:c>
      <x:c r="J994" t="n">
        <x:f>IF(D994=1,K994,0)</x:f>
        <x:v>0</x:v>
      </x:c>
      <x:c r="K994" t="n">
        <x:f>D994+K993</x:f>
        <x:v>12</x:v>
      </x:c>
    </x:row>
    <x:row r="995">
      <x:c r="A995" t="str">
        <x:v>Order</x:v>
      </x:c>
      <x:c r="B995" t="n">
        <x:f>'04_checks'!B143</x:f>
        <x:v>1142</x:v>
      </x:c>
      <x:c r="C995" t="n">
        <x:v>143</x:v>
      </x:c>
      <x:c r="D995" t="n">
        <x:f>IF('04_checks'!I143="ERROR",1,0)</x:f>
        <x:v>0</x:v>
      </x:c>
      <x:c r="E995" t="str">
        <x:v>Order:143:7</x:v>
      </x:c>
      <x:c r="F995" t="str">
        <x:v>Статус</x:v>
      </x:c>
      <x:c r="G995" t="str">
        <x:v>Medium</x:v>
      </x:c>
      <x:c r="H995" t="str">
        <x:v>status</x:v>
      </x:c>
      <x:c r="I995" t="str">
        <x:v>Выбрать допустимый статус</x:v>
      </x:c>
      <x:c r="J995" t="n">
        <x:f>IF(D995=1,K995,0)</x:f>
        <x:v>0</x:v>
      </x:c>
      <x:c r="K995" t="n">
        <x:f>D995+K994</x:f>
        <x:v>12</x:v>
      </x:c>
    </x:row>
    <x:row r="996">
      <x:c r="A996" t="str">
        <x:v>Order</x:v>
      </x:c>
      <x:c r="B996" t="n">
        <x:f>'04_checks'!B144</x:f>
        <x:v>1143</x:v>
      </x:c>
      <x:c r="C996" t="n">
        <x:v>144</x:v>
      </x:c>
      <x:c r="D996" t="n">
        <x:f>IF('04_checks'!C144="ERROR",1,0)</x:f>
        <x:v>0</x:v>
      </x:c>
      <x:c r="E996" t="str">
        <x:v>Order:144:1</x:v>
      </x:c>
      <x:c r="F996" t="str">
        <x:v>Дубль</x:v>
      </x:c>
      <x:c r="G996" t="str">
        <x:v>High</x:v>
      </x:c>
      <x:c r="H996" t="str">
        <x:v>order_id</x:v>
      </x:c>
      <x:c r="I996" t="str">
        <x:v>Проверить уникальность ID в источнике; не удалять записи автоматически</x:v>
      </x:c>
      <x:c r="J996" t="n">
        <x:f>IF(D996=1,K996,0)</x:f>
        <x:v>0</x:v>
      </x:c>
      <x:c r="K996" t="n">
        <x:f>D996+K995</x:f>
        <x:v>12</x:v>
      </x:c>
    </x:row>
    <x:row r="997">
      <x:c r="A997" t="str">
        <x:v>Order</x:v>
      </x:c>
      <x:c r="B997" t="n">
        <x:f>'04_checks'!B144</x:f>
        <x:v>1143</x:v>
      </x:c>
      <x:c r="C997" t="n">
        <x:v>144</x:v>
      </x:c>
      <x:c r="D997" t="n">
        <x:f>IF('04_checks'!D144="ERROR",1,0)</x:f>
        <x:v>0</x:v>
      </x:c>
      <x:c r="E997" t="str">
        <x:v>Order:144:2</x:v>
      </x:c>
      <x:c r="F997" t="str">
        <x:v>Пустое поле</x:v>
      </x:c>
      <x:c r="G997" t="str">
        <x:v>High</x:v>
      </x:c>
      <x:c r="H997" t="str">
        <x:v>required_fields</x:v>
      </x:c>
      <x:c r="I997" t="str">
        <x:v>Дополнить обязательные поля в источнике</x:v>
      </x:c>
      <x:c r="J997" t="n">
        <x:f>IF(D997=1,K997,0)</x:f>
        <x:v>0</x:v>
      </x:c>
      <x:c r="K997" t="n">
        <x:f>D997+K996</x:f>
        <x:v>12</x:v>
      </x:c>
    </x:row>
    <x:row r="998">
      <x:c r="A998" t="str">
        <x:v>Order</x:v>
      </x:c>
      <x:c r="B998" t="n">
        <x:f>'04_checks'!B144</x:f>
        <x:v>1143</x:v>
      </x:c>
      <x:c r="C998" t="n">
        <x:v>144</x:v>
      </x:c>
      <x:c r="D998" t="n">
        <x:f>IF('04_checks'!E144="ERROR",1,0)</x:f>
        <x:v>0</x:v>
      </x:c>
      <x:c r="E998" t="str">
        <x:v>Order:144:3</x:v>
      </x:c>
      <x:c r="F998" t="str">
        <x:f>IF(COUNTIF('02_clients_raw'!$A$2:$A$67,'01_orders_raw'!C144)&gt;1,"Неоднозначная связь","Нет связи")</x:f>
        <x:v>Нет связи</x:v>
      </x:c>
      <x:c r="G998" t="str">
        <x:v>High</x:v>
      </x:c>
      <x:c r="H998" t="str">
        <x:v>client_id</x:v>
      </x:c>
      <x:c r="I998" t="str">
        <x:v>Исправить ссылку или разрешить дубли связанного ID</x:v>
      </x:c>
      <x:c r="J998" t="n">
        <x:f>IF(D998=1,K998,0)</x:f>
        <x:v>0</x:v>
      </x:c>
      <x:c r="K998" t="n">
        <x:f>D998+K997</x:f>
        <x:v>12</x:v>
      </x:c>
    </x:row>
    <x:row r="999">
      <x:c r="A999" t="str">
        <x:v>Order</x:v>
      </x:c>
      <x:c r="B999" t="n">
        <x:f>'04_checks'!B144</x:f>
        <x:v>1143</x:v>
      </x:c>
      <x:c r="C999" t="n">
        <x:v>144</x:v>
      </x:c>
      <x:c r="D999" t="n">
        <x:f>IF('04_checks'!F144="ERROR",1,0)</x:f>
        <x:v>0</x:v>
      </x:c>
      <x:c r="E999" t="str">
        <x:v>Order:144:4</x:v>
      </x:c>
      <x:c r="F999" t="str">
        <x:v>Ошибка расчета</x:v>
      </x:c>
      <x:c r="G999" t="str">
        <x:v>High</x:v>
      </x:c>
      <x:c r="H999" t="str">
        <x:v>quantity/price/order_sum</x:v>
      </x:c>
      <x:c r="I999" t="str">
        <x:v>Сверить исходные значения и правило расчёта</x:v>
      </x:c>
      <x:c r="J999" t="n">
        <x:f>IF(D999=1,K999,0)</x:f>
        <x:v>0</x:v>
      </x:c>
      <x:c r="K999" t="n">
        <x:f>D999+K998</x:f>
        <x:v>12</x:v>
      </x:c>
    </x:row>
    <x:row r="1000">
      <x:c r="A1000" t="str">
        <x:v>Order</x:v>
      </x:c>
      <x:c r="B1000" t="n">
        <x:f>'04_checks'!B144</x:f>
        <x:v>1143</x:v>
      </x:c>
      <x:c r="C1000" t="n">
        <x:v>144</x:v>
      </x:c>
      <x:c r="D1000" t="n">
        <x:f>IF('04_checks'!G144="ERROR",1,0)</x:f>
        <x:v>0</x:v>
      </x:c>
      <x:c r="E1000" t="str">
        <x:v>Order:144:5</x:v>
      </x:c>
      <x:c r="F1000" t="str">
        <x:v>Отрицательная цена</x:v>
      </x:c>
      <x:c r="G1000" t="str">
        <x:v>High</x:v>
      </x:c>
      <x:c r="H1000" t="str">
        <x:v>price</x:v>
      </x:c>
      <x:c r="I1000" t="str">
        <x:v>Проверить цену в источнике</x:v>
      </x:c>
      <x:c r="J1000" t="n">
        <x:f>IF(D1000=1,K1000,0)</x:f>
        <x:v>0</x:v>
      </x:c>
      <x:c r="K1000" t="n">
        <x:f>D1000+K999</x:f>
        <x:v>12</x:v>
      </x:c>
    </x:row>
    <x:row r="1001">
      <x:c r="A1001" t="str">
        <x:v>Order</x:v>
      </x:c>
      <x:c r="B1001" t="n">
        <x:f>'04_checks'!B144</x:f>
        <x:v>1143</x:v>
      </x:c>
      <x:c r="C1001" t="n">
        <x:v>144</x:v>
      </x:c>
      <x:c r="D1001" t="n">
        <x:f>IF('04_checks'!H144="ERROR",1,0)</x:f>
        <x:v>0</x:v>
      </x:c>
      <x:c r="E1001" t="str">
        <x:v>Order:144:6</x:v>
      </x:c>
      <x:c r="F1001" t="str">
        <x:v>Дата</x:v>
      </x:c>
      <x:c r="G1001" t="str">
        <x:v>Medium</x:v>
      </x:c>
      <x:c r="H1001" t="str">
        <x:v>order_date</x:v>
      </x:c>
      <x:c r="I1001" t="str">
        <x:v>Сверить дату со срезом и исходной записью</x:v>
      </x:c>
      <x:c r="J1001" t="n">
        <x:f>IF(D1001=1,K1001,0)</x:f>
        <x:v>0</x:v>
      </x:c>
      <x:c r="K1001" t="n">
        <x:f>D1001+K1000</x:f>
        <x:v>12</x:v>
      </x:c>
    </x:row>
    <x:row r="1002">
      <x:c r="A1002" t="str">
        <x:v>Order</x:v>
      </x:c>
      <x:c r="B1002" t="n">
        <x:f>'04_checks'!B144</x:f>
        <x:v>1143</x:v>
      </x:c>
      <x:c r="C1002" t="n">
        <x:v>144</x:v>
      </x:c>
      <x:c r="D1002" t="n">
        <x:f>IF('04_checks'!I144="ERROR",1,0)</x:f>
        <x:v>0</x:v>
      </x:c>
      <x:c r="E1002" t="str">
        <x:v>Order:144:7</x:v>
      </x:c>
      <x:c r="F1002" t="str">
        <x:v>Статус</x:v>
      </x:c>
      <x:c r="G1002" t="str">
        <x:v>Medium</x:v>
      </x:c>
      <x:c r="H1002" t="str">
        <x:v>status</x:v>
      </x:c>
      <x:c r="I1002" t="str">
        <x:v>Выбрать допустимый статус</x:v>
      </x:c>
      <x:c r="J1002" t="n">
        <x:f>IF(D1002=1,K1002,0)</x:f>
        <x:v>0</x:v>
      </x:c>
      <x:c r="K1002" t="n">
        <x:f>D1002+K1001</x:f>
        <x:v>12</x:v>
      </x:c>
    </x:row>
    <x:row r="1003">
      <x:c r="A1003" t="str">
        <x:v>Order</x:v>
      </x:c>
      <x:c r="B1003" t="n">
        <x:f>'04_checks'!B145</x:f>
        <x:v>1144</x:v>
      </x:c>
      <x:c r="C1003" t="n">
        <x:v>145</x:v>
      </x:c>
      <x:c r="D1003" t="n">
        <x:f>IF('04_checks'!C145="ERROR",1,0)</x:f>
        <x:v>0</x:v>
      </x:c>
      <x:c r="E1003" t="str">
        <x:v>Order:145:1</x:v>
      </x:c>
      <x:c r="F1003" t="str">
        <x:v>Дубль</x:v>
      </x:c>
      <x:c r="G1003" t="str">
        <x:v>High</x:v>
      </x:c>
      <x:c r="H1003" t="str">
        <x:v>order_id</x:v>
      </x:c>
      <x:c r="I1003" t="str">
        <x:v>Проверить уникальность ID в источнике; не удалять записи автоматически</x:v>
      </x:c>
      <x:c r="J1003" t="n">
        <x:f>IF(D1003=1,K1003,0)</x:f>
        <x:v>0</x:v>
      </x:c>
      <x:c r="K1003" t="n">
        <x:f>D1003+K1002</x:f>
        <x:v>12</x:v>
      </x:c>
    </x:row>
    <x:row r="1004">
      <x:c r="A1004" t="str">
        <x:v>Order</x:v>
      </x:c>
      <x:c r="B1004" t="n">
        <x:f>'04_checks'!B145</x:f>
        <x:v>1144</x:v>
      </x:c>
      <x:c r="C1004" t="n">
        <x:v>145</x:v>
      </x:c>
      <x:c r="D1004" t="n">
        <x:f>IF('04_checks'!D145="ERROR",1,0)</x:f>
        <x:v>0</x:v>
      </x:c>
      <x:c r="E1004" t="str">
        <x:v>Order:145:2</x:v>
      </x:c>
      <x:c r="F1004" t="str">
        <x:v>Пустое поле</x:v>
      </x:c>
      <x:c r="G1004" t="str">
        <x:v>High</x:v>
      </x:c>
      <x:c r="H1004" t="str">
        <x:v>required_fields</x:v>
      </x:c>
      <x:c r="I1004" t="str">
        <x:v>Дополнить обязательные поля в источнике</x:v>
      </x:c>
      <x:c r="J1004" t="n">
        <x:f>IF(D1004=1,K1004,0)</x:f>
        <x:v>0</x:v>
      </x:c>
      <x:c r="K1004" t="n">
        <x:f>D1004+K1003</x:f>
        <x:v>12</x:v>
      </x:c>
    </x:row>
    <x:row r="1005">
      <x:c r="A1005" t="str">
        <x:v>Order</x:v>
      </x:c>
      <x:c r="B1005" t="n">
        <x:f>'04_checks'!B145</x:f>
        <x:v>1144</x:v>
      </x:c>
      <x:c r="C1005" t="n">
        <x:v>145</x:v>
      </x:c>
      <x:c r="D1005" t="n">
        <x:f>IF('04_checks'!E145="ERROR",1,0)</x:f>
        <x:v>0</x:v>
      </x:c>
      <x:c r="E1005" t="str">
        <x:v>Order:145:3</x:v>
      </x:c>
      <x:c r="F1005" t="str">
        <x:f>IF(COUNTIF('02_clients_raw'!$A$2:$A$67,'01_orders_raw'!C145)&gt;1,"Неоднозначная связь","Нет связи")</x:f>
        <x:v>Нет связи</x:v>
      </x:c>
      <x:c r="G1005" t="str">
        <x:v>High</x:v>
      </x:c>
      <x:c r="H1005" t="str">
        <x:v>client_id</x:v>
      </x:c>
      <x:c r="I1005" t="str">
        <x:v>Исправить ссылку или разрешить дубли связанного ID</x:v>
      </x:c>
      <x:c r="J1005" t="n">
        <x:f>IF(D1005=1,K1005,0)</x:f>
        <x:v>0</x:v>
      </x:c>
      <x:c r="K1005" t="n">
        <x:f>D1005+K1004</x:f>
        <x:v>12</x:v>
      </x:c>
    </x:row>
    <x:row r="1006">
      <x:c r="A1006" t="str">
        <x:v>Order</x:v>
      </x:c>
      <x:c r="B1006" t="n">
        <x:f>'04_checks'!B145</x:f>
        <x:v>1144</x:v>
      </x:c>
      <x:c r="C1006" t="n">
        <x:v>145</x:v>
      </x:c>
      <x:c r="D1006" t="n">
        <x:f>IF('04_checks'!F145="ERROR",1,0)</x:f>
        <x:v>0</x:v>
      </x:c>
      <x:c r="E1006" t="str">
        <x:v>Order:145:4</x:v>
      </x:c>
      <x:c r="F1006" t="str">
        <x:v>Ошибка расчета</x:v>
      </x:c>
      <x:c r="G1006" t="str">
        <x:v>High</x:v>
      </x:c>
      <x:c r="H1006" t="str">
        <x:v>quantity/price/order_sum</x:v>
      </x:c>
      <x:c r="I1006" t="str">
        <x:v>Сверить исходные значения и правило расчёта</x:v>
      </x:c>
      <x:c r="J1006" t="n">
        <x:f>IF(D1006=1,K1006,0)</x:f>
        <x:v>0</x:v>
      </x:c>
      <x:c r="K1006" t="n">
        <x:f>D1006+K1005</x:f>
        <x:v>12</x:v>
      </x:c>
    </x:row>
    <x:row r="1007">
      <x:c r="A1007" t="str">
        <x:v>Order</x:v>
      </x:c>
      <x:c r="B1007" t="n">
        <x:f>'04_checks'!B145</x:f>
        <x:v>1144</x:v>
      </x:c>
      <x:c r="C1007" t="n">
        <x:v>145</x:v>
      </x:c>
      <x:c r="D1007" t="n">
        <x:f>IF('04_checks'!G145="ERROR",1,0)</x:f>
        <x:v>0</x:v>
      </x:c>
      <x:c r="E1007" t="str">
        <x:v>Order:145:5</x:v>
      </x:c>
      <x:c r="F1007" t="str">
        <x:v>Отрицательная цена</x:v>
      </x:c>
      <x:c r="G1007" t="str">
        <x:v>High</x:v>
      </x:c>
      <x:c r="H1007" t="str">
        <x:v>price</x:v>
      </x:c>
      <x:c r="I1007" t="str">
        <x:v>Проверить цену в источнике</x:v>
      </x:c>
      <x:c r="J1007" t="n">
        <x:f>IF(D1007=1,K1007,0)</x:f>
        <x:v>0</x:v>
      </x:c>
      <x:c r="K1007" t="n">
        <x:f>D1007+K1006</x:f>
        <x:v>12</x:v>
      </x:c>
    </x:row>
    <x:row r="1008">
      <x:c r="A1008" t="str">
        <x:v>Order</x:v>
      </x:c>
      <x:c r="B1008" t="n">
        <x:f>'04_checks'!B145</x:f>
        <x:v>1144</x:v>
      </x:c>
      <x:c r="C1008" t="n">
        <x:v>145</x:v>
      </x:c>
      <x:c r="D1008" t="n">
        <x:f>IF('04_checks'!H145="ERROR",1,0)</x:f>
        <x:v>0</x:v>
      </x:c>
      <x:c r="E1008" t="str">
        <x:v>Order:145:6</x:v>
      </x:c>
      <x:c r="F1008" t="str">
        <x:v>Дата</x:v>
      </x:c>
      <x:c r="G1008" t="str">
        <x:v>Medium</x:v>
      </x:c>
      <x:c r="H1008" t="str">
        <x:v>order_date</x:v>
      </x:c>
      <x:c r="I1008" t="str">
        <x:v>Сверить дату со срезом и исходной записью</x:v>
      </x:c>
      <x:c r="J1008" t="n">
        <x:f>IF(D1008=1,K1008,0)</x:f>
        <x:v>0</x:v>
      </x:c>
      <x:c r="K1008" t="n">
        <x:f>D1008+K1007</x:f>
        <x:v>12</x:v>
      </x:c>
    </x:row>
    <x:row r="1009">
      <x:c r="A1009" t="str">
        <x:v>Order</x:v>
      </x:c>
      <x:c r="B1009" t="n">
        <x:f>'04_checks'!B145</x:f>
        <x:v>1144</x:v>
      </x:c>
      <x:c r="C1009" t="n">
        <x:v>145</x:v>
      </x:c>
      <x:c r="D1009" t="n">
        <x:f>IF('04_checks'!I145="ERROR",1,0)</x:f>
        <x:v>0</x:v>
      </x:c>
      <x:c r="E1009" t="str">
        <x:v>Order:145:7</x:v>
      </x:c>
      <x:c r="F1009" t="str">
        <x:v>Статус</x:v>
      </x:c>
      <x:c r="G1009" t="str">
        <x:v>Medium</x:v>
      </x:c>
      <x:c r="H1009" t="str">
        <x:v>status</x:v>
      </x:c>
      <x:c r="I1009" t="str">
        <x:v>Выбрать допустимый статус</x:v>
      </x:c>
      <x:c r="J1009" t="n">
        <x:f>IF(D1009=1,K1009,0)</x:f>
        <x:v>0</x:v>
      </x:c>
      <x:c r="K1009" t="n">
        <x:f>D1009+K1008</x:f>
        <x:v>12</x:v>
      </x:c>
    </x:row>
    <x:row r="1010">
      <x:c r="A1010" t="str">
        <x:v>Order</x:v>
      </x:c>
      <x:c r="B1010" t="n">
        <x:f>'04_checks'!B146</x:f>
        <x:v>1145</x:v>
      </x:c>
      <x:c r="C1010" t="n">
        <x:v>146</x:v>
      </x:c>
      <x:c r="D1010" t="n">
        <x:f>IF('04_checks'!C146="ERROR",1,0)</x:f>
        <x:v>0</x:v>
      </x:c>
      <x:c r="E1010" t="str">
        <x:v>Order:146:1</x:v>
      </x:c>
      <x:c r="F1010" t="str">
        <x:v>Дубль</x:v>
      </x:c>
      <x:c r="G1010" t="str">
        <x:v>High</x:v>
      </x:c>
      <x:c r="H1010" t="str">
        <x:v>order_id</x:v>
      </x:c>
      <x:c r="I1010" t="str">
        <x:v>Проверить уникальность ID в источнике; не удалять записи автоматически</x:v>
      </x:c>
      <x:c r="J1010" t="n">
        <x:f>IF(D1010=1,K1010,0)</x:f>
        <x:v>0</x:v>
      </x:c>
      <x:c r="K1010" t="n">
        <x:f>D1010+K1009</x:f>
        <x:v>12</x:v>
      </x:c>
    </x:row>
    <x:row r="1011">
      <x:c r="A1011" t="str">
        <x:v>Order</x:v>
      </x:c>
      <x:c r="B1011" t="n">
        <x:f>'04_checks'!B146</x:f>
        <x:v>1145</x:v>
      </x:c>
      <x:c r="C1011" t="n">
        <x:v>146</x:v>
      </x:c>
      <x:c r="D1011" t="n">
        <x:f>IF('04_checks'!D146="ERROR",1,0)</x:f>
        <x:v>0</x:v>
      </x:c>
      <x:c r="E1011" t="str">
        <x:v>Order:146:2</x:v>
      </x:c>
      <x:c r="F1011" t="str">
        <x:v>Пустое поле</x:v>
      </x:c>
      <x:c r="G1011" t="str">
        <x:v>High</x:v>
      </x:c>
      <x:c r="H1011" t="str">
        <x:v>required_fields</x:v>
      </x:c>
      <x:c r="I1011" t="str">
        <x:v>Дополнить обязательные поля в источнике</x:v>
      </x:c>
      <x:c r="J1011" t="n">
        <x:f>IF(D1011=1,K1011,0)</x:f>
        <x:v>0</x:v>
      </x:c>
      <x:c r="K1011" t="n">
        <x:f>D1011+K1010</x:f>
        <x:v>12</x:v>
      </x:c>
    </x:row>
    <x:row r="1012">
      <x:c r="A1012" t="str">
        <x:v>Order</x:v>
      </x:c>
      <x:c r="B1012" t="n">
        <x:f>'04_checks'!B146</x:f>
        <x:v>1145</x:v>
      </x:c>
      <x:c r="C1012" t="n">
        <x:v>146</x:v>
      </x:c>
      <x:c r="D1012" t="n">
        <x:f>IF('04_checks'!E146="ERROR",1,0)</x:f>
        <x:v>0</x:v>
      </x:c>
      <x:c r="E1012" t="str">
        <x:v>Order:146:3</x:v>
      </x:c>
      <x:c r="F1012" t="str">
        <x:f>IF(COUNTIF('02_clients_raw'!$A$2:$A$67,'01_orders_raw'!C146)&gt;1,"Неоднозначная связь","Нет связи")</x:f>
        <x:v>Нет связи</x:v>
      </x:c>
      <x:c r="G1012" t="str">
        <x:v>High</x:v>
      </x:c>
      <x:c r="H1012" t="str">
        <x:v>client_id</x:v>
      </x:c>
      <x:c r="I1012" t="str">
        <x:v>Исправить ссылку или разрешить дубли связанного ID</x:v>
      </x:c>
      <x:c r="J1012" t="n">
        <x:f>IF(D1012=1,K1012,0)</x:f>
        <x:v>0</x:v>
      </x:c>
      <x:c r="K1012" t="n">
        <x:f>D1012+K1011</x:f>
        <x:v>12</x:v>
      </x:c>
    </x:row>
    <x:row r="1013">
      <x:c r="A1013" t="str">
        <x:v>Order</x:v>
      </x:c>
      <x:c r="B1013" t="n">
        <x:f>'04_checks'!B146</x:f>
        <x:v>1145</x:v>
      </x:c>
      <x:c r="C1013" t="n">
        <x:v>146</x:v>
      </x:c>
      <x:c r="D1013" t="n">
        <x:f>IF('04_checks'!F146="ERROR",1,0)</x:f>
        <x:v>0</x:v>
      </x:c>
      <x:c r="E1013" t="str">
        <x:v>Order:146:4</x:v>
      </x:c>
      <x:c r="F1013" t="str">
        <x:v>Ошибка расчета</x:v>
      </x:c>
      <x:c r="G1013" t="str">
        <x:v>High</x:v>
      </x:c>
      <x:c r="H1013" t="str">
        <x:v>quantity/price/order_sum</x:v>
      </x:c>
      <x:c r="I1013" t="str">
        <x:v>Сверить исходные значения и правило расчёта</x:v>
      </x:c>
      <x:c r="J1013" t="n">
        <x:f>IF(D1013=1,K1013,0)</x:f>
        <x:v>0</x:v>
      </x:c>
      <x:c r="K1013" t="n">
        <x:f>D1013+K1012</x:f>
        <x:v>12</x:v>
      </x:c>
    </x:row>
    <x:row r="1014">
      <x:c r="A1014" t="str">
        <x:v>Order</x:v>
      </x:c>
      <x:c r="B1014" t="n">
        <x:f>'04_checks'!B146</x:f>
        <x:v>1145</x:v>
      </x:c>
      <x:c r="C1014" t="n">
        <x:v>146</x:v>
      </x:c>
      <x:c r="D1014" t="n">
        <x:f>IF('04_checks'!G146="ERROR",1,0)</x:f>
        <x:v>0</x:v>
      </x:c>
      <x:c r="E1014" t="str">
        <x:v>Order:146:5</x:v>
      </x:c>
      <x:c r="F1014" t="str">
        <x:v>Отрицательная цена</x:v>
      </x:c>
      <x:c r="G1014" t="str">
        <x:v>High</x:v>
      </x:c>
      <x:c r="H1014" t="str">
        <x:v>price</x:v>
      </x:c>
      <x:c r="I1014" t="str">
        <x:v>Проверить цену в источнике</x:v>
      </x:c>
      <x:c r="J1014" t="n">
        <x:f>IF(D1014=1,K1014,0)</x:f>
        <x:v>0</x:v>
      </x:c>
      <x:c r="K1014" t="n">
        <x:f>D1014+K1013</x:f>
        <x:v>12</x:v>
      </x:c>
    </x:row>
    <x:row r="1015">
      <x:c r="A1015" t="str">
        <x:v>Order</x:v>
      </x:c>
      <x:c r="B1015" t="n">
        <x:f>'04_checks'!B146</x:f>
        <x:v>1145</x:v>
      </x:c>
      <x:c r="C1015" t="n">
        <x:v>146</x:v>
      </x:c>
      <x:c r="D1015" t="n">
        <x:f>IF('04_checks'!H146="ERROR",1,0)</x:f>
        <x:v>0</x:v>
      </x:c>
      <x:c r="E1015" t="str">
        <x:v>Order:146:6</x:v>
      </x:c>
      <x:c r="F1015" t="str">
        <x:v>Дата</x:v>
      </x:c>
      <x:c r="G1015" t="str">
        <x:v>Medium</x:v>
      </x:c>
      <x:c r="H1015" t="str">
        <x:v>order_date</x:v>
      </x:c>
      <x:c r="I1015" t="str">
        <x:v>Сверить дату со срезом и исходной записью</x:v>
      </x:c>
      <x:c r="J1015" t="n">
        <x:f>IF(D1015=1,K1015,0)</x:f>
        <x:v>0</x:v>
      </x:c>
      <x:c r="K1015" t="n">
        <x:f>D1015+K1014</x:f>
        <x:v>12</x:v>
      </x:c>
    </x:row>
    <x:row r="1016">
      <x:c r="A1016" t="str">
        <x:v>Order</x:v>
      </x:c>
      <x:c r="B1016" t="n">
        <x:f>'04_checks'!B146</x:f>
        <x:v>1145</x:v>
      </x:c>
      <x:c r="C1016" t="n">
        <x:v>146</x:v>
      </x:c>
      <x:c r="D1016" t="n">
        <x:f>IF('04_checks'!I146="ERROR",1,0)</x:f>
        <x:v>0</x:v>
      </x:c>
      <x:c r="E1016" t="str">
        <x:v>Order:146:7</x:v>
      </x:c>
      <x:c r="F1016" t="str">
        <x:v>Статус</x:v>
      </x:c>
      <x:c r="G1016" t="str">
        <x:v>Medium</x:v>
      </x:c>
      <x:c r="H1016" t="str">
        <x:v>status</x:v>
      </x:c>
      <x:c r="I1016" t="str">
        <x:v>Выбрать допустимый статус</x:v>
      </x:c>
      <x:c r="J1016" t="n">
        <x:f>IF(D1016=1,K1016,0)</x:f>
        <x:v>0</x:v>
      </x:c>
      <x:c r="K1016" t="n">
        <x:f>D1016+K1015</x:f>
        <x:v>12</x:v>
      </x:c>
    </x:row>
    <x:row r="1017">
      <x:c r="A1017" t="str">
        <x:v>Order</x:v>
      </x:c>
      <x:c r="B1017" t="n">
        <x:f>'04_checks'!B147</x:f>
        <x:v>1146</x:v>
      </x:c>
      <x:c r="C1017" t="n">
        <x:v>147</x:v>
      </x:c>
      <x:c r="D1017" t="n">
        <x:f>IF('04_checks'!C147="ERROR",1,0)</x:f>
        <x:v>0</x:v>
      </x:c>
      <x:c r="E1017" t="str">
        <x:v>Order:147:1</x:v>
      </x:c>
      <x:c r="F1017" t="str">
        <x:v>Дубль</x:v>
      </x:c>
      <x:c r="G1017" t="str">
        <x:v>High</x:v>
      </x:c>
      <x:c r="H1017" t="str">
        <x:v>order_id</x:v>
      </x:c>
      <x:c r="I1017" t="str">
        <x:v>Проверить уникальность ID в источнике; не удалять записи автоматически</x:v>
      </x:c>
      <x:c r="J1017" t="n">
        <x:f>IF(D1017=1,K1017,0)</x:f>
        <x:v>0</x:v>
      </x:c>
      <x:c r="K1017" t="n">
        <x:f>D1017+K1016</x:f>
        <x:v>12</x:v>
      </x:c>
    </x:row>
    <x:row r="1018">
      <x:c r="A1018" t="str">
        <x:v>Order</x:v>
      </x:c>
      <x:c r="B1018" t="n">
        <x:f>'04_checks'!B147</x:f>
        <x:v>1146</x:v>
      </x:c>
      <x:c r="C1018" t="n">
        <x:v>147</x:v>
      </x:c>
      <x:c r="D1018" t="n">
        <x:f>IF('04_checks'!D147="ERROR",1,0)</x:f>
        <x:v>0</x:v>
      </x:c>
      <x:c r="E1018" t="str">
        <x:v>Order:147:2</x:v>
      </x:c>
      <x:c r="F1018" t="str">
        <x:v>Пустое поле</x:v>
      </x:c>
      <x:c r="G1018" t="str">
        <x:v>High</x:v>
      </x:c>
      <x:c r="H1018" t="str">
        <x:v>required_fields</x:v>
      </x:c>
      <x:c r="I1018" t="str">
        <x:v>Дополнить обязательные поля в источнике</x:v>
      </x:c>
      <x:c r="J1018" t="n">
        <x:f>IF(D1018=1,K1018,0)</x:f>
        <x:v>0</x:v>
      </x:c>
      <x:c r="K1018" t="n">
        <x:f>D1018+K1017</x:f>
        <x:v>12</x:v>
      </x:c>
    </x:row>
    <x:row r="1019">
      <x:c r="A1019" t="str">
        <x:v>Order</x:v>
      </x:c>
      <x:c r="B1019" t="n">
        <x:f>'04_checks'!B147</x:f>
        <x:v>1146</x:v>
      </x:c>
      <x:c r="C1019" t="n">
        <x:v>147</x:v>
      </x:c>
      <x:c r="D1019" t="n">
        <x:f>IF('04_checks'!E147="ERROR",1,0)</x:f>
        <x:v>0</x:v>
      </x:c>
      <x:c r="E1019" t="str">
        <x:v>Order:147:3</x:v>
      </x:c>
      <x:c r="F1019" t="str">
        <x:f>IF(COUNTIF('02_clients_raw'!$A$2:$A$67,'01_orders_raw'!C147)&gt;1,"Неоднозначная связь","Нет связи")</x:f>
        <x:v>Нет связи</x:v>
      </x:c>
      <x:c r="G1019" t="str">
        <x:v>High</x:v>
      </x:c>
      <x:c r="H1019" t="str">
        <x:v>client_id</x:v>
      </x:c>
      <x:c r="I1019" t="str">
        <x:v>Исправить ссылку или разрешить дубли связанного ID</x:v>
      </x:c>
      <x:c r="J1019" t="n">
        <x:f>IF(D1019=1,K1019,0)</x:f>
        <x:v>0</x:v>
      </x:c>
      <x:c r="K1019" t="n">
        <x:f>D1019+K1018</x:f>
        <x:v>12</x:v>
      </x:c>
    </x:row>
    <x:row r="1020">
      <x:c r="A1020" t="str">
        <x:v>Order</x:v>
      </x:c>
      <x:c r="B1020" t="n">
        <x:f>'04_checks'!B147</x:f>
        <x:v>1146</x:v>
      </x:c>
      <x:c r="C1020" t="n">
        <x:v>147</x:v>
      </x:c>
      <x:c r="D1020" t="n">
        <x:f>IF('04_checks'!F147="ERROR",1,0)</x:f>
        <x:v>0</x:v>
      </x:c>
      <x:c r="E1020" t="str">
        <x:v>Order:147:4</x:v>
      </x:c>
      <x:c r="F1020" t="str">
        <x:v>Ошибка расчета</x:v>
      </x:c>
      <x:c r="G1020" t="str">
        <x:v>High</x:v>
      </x:c>
      <x:c r="H1020" t="str">
        <x:v>quantity/price/order_sum</x:v>
      </x:c>
      <x:c r="I1020" t="str">
        <x:v>Сверить исходные значения и правило расчёта</x:v>
      </x:c>
      <x:c r="J1020" t="n">
        <x:f>IF(D1020=1,K1020,0)</x:f>
        <x:v>0</x:v>
      </x:c>
      <x:c r="K1020" t="n">
        <x:f>D1020+K1019</x:f>
        <x:v>12</x:v>
      </x:c>
    </x:row>
    <x:row r="1021">
      <x:c r="A1021" t="str">
        <x:v>Order</x:v>
      </x:c>
      <x:c r="B1021" t="n">
        <x:f>'04_checks'!B147</x:f>
        <x:v>1146</x:v>
      </x:c>
      <x:c r="C1021" t="n">
        <x:v>147</x:v>
      </x:c>
      <x:c r="D1021" t="n">
        <x:f>IF('04_checks'!G147="ERROR",1,0)</x:f>
        <x:v>0</x:v>
      </x:c>
      <x:c r="E1021" t="str">
        <x:v>Order:147:5</x:v>
      </x:c>
      <x:c r="F1021" t="str">
        <x:v>Отрицательная цена</x:v>
      </x:c>
      <x:c r="G1021" t="str">
        <x:v>High</x:v>
      </x:c>
      <x:c r="H1021" t="str">
        <x:v>price</x:v>
      </x:c>
      <x:c r="I1021" t="str">
        <x:v>Проверить цену в источнике</x:v>
      </x:c>
      <x:c r="J1021" t="n">
        <x:f>IF(D1021=1,K1021,0)</x:f>
        <x:v>0</x:v>
      </x:c>
      <x:c r="K1021" t="n">
        <x:f>D1021+K1020</x:f>
        <x:v>12</x:v>
      </x:c>
    </x:row>
    <x:row r="1022">
      <x:c r="A1022" t="str">
        <x:v>Order</x:v>
      </x:c>
      <x:c r="B1022" t="n">
        <x:f>'04_checks'!B147</x:f>
        <x:v>1146</x:v>
      </x:c>
      <x:c r="C1022" t="n">
        <x:v>147</x:v>
      </x:c>
      <x:c r="D1022" t="n">
        <x:f>IF('04_checks'!H147="ERROR",1,0)</x:f>
        <x:v>0</x:v>
      </x:c>
      <x:c r="E1022" t="str">
        <x:v>Order:147:6</x:v>
      </x:c>
      <x:c r="F1022" t="str">
        <x:v>Дата</x:v>
      </x:c>
      <x:c r="G1022" t="str">
        <x:v>Medium</x:v>
      </x:c>
      <x:c r="H1022" t="str">
        <x:v>order_date</x:v>
      </x:c>
      <x:c r="I1022" t="str">
        <x:v>Сверить дату со срезом и исходной записью</x:v>
      </x:c>
      <x:c r="J1022" t="n">
        <x:f>IF(D1022=1,K1022,0)</x:f>
        <x:v>0</x:v>
      </x:c>
      <x:c r="K1022" t="n">
        <x:f>D1022+K1021</x:f>
        <x:v>12</x:v>
      </x:c>
    </x:row>
    <x:row r="1023">
      <x:c r="A1023" t="str">
        <x:v>Order</x:v>
      </x:c>
      <x:c r="B1023" t="n">
        <x:f>'04_checks'!B147</x:f>
        <x:v>1146</x:v>
      </x:c>
      <x:c r="C1023" t="n">
        <x:v>147</x:v>
      </x:c>
      <x:c r="D1023" t="n">
        <x:f>IF('04_checks'!I147="ERROR",1,0)</x:f>
        <x:v>0</x:v>
      </x:c>
      <x:c r="E1023" t="str">
        <x:v>Order:147:7</x:v>
      </x:c>
      <x:c r="F1023" t="str">
        <x:v>Статус</x:v>
      </x:c>
      <x:c r="G1023" t="str">
        <x:v>Medium</x:v>
      </x:c>
      <x:c r="H1023" t="str">
        <x:v>status</x:v>
      </x:c>
      <x:c r="I1023" t="str">
        <x:v>Выбрать допустимый статус</x:v>
      </x:c>
      <x:c r="J1023" t="n">
        <x:f>IF(D1023=1,K1023,0)</x:f>
        <x:v>0</x:v>
      </x:c>
      <x:c r="K1023" t="n">
        <x:f>D1023+K1022</x:f>
        <x:v>12</x:v>
      </x:c>
    </x:row>
    <x:row r="1024">
      <x:c r="A1024" t="str">
        <x:v>Order</x:v>
      </x:c>
      <x:c r="B1024" t="n">
        <x:f>'04_checks'!B148</x:f>
        <x:v>1147</x:v>
      </x:c>
      <x:c r="C1024" t="n">
        <x:v>148</x:v>
      </x:c>
      <x:c r="D1024" t="n">
        <x:f>IF('04_checks'!C148="ERROR",1,0)</x:f>
        <x:v>0</x:v>
      </x:c>
      <x:c r="E1024" t="str">
        <x:v>Order:148:1</x:v>
      </x:c>
      <x:c r="F1024" t="str">
        <x:v>Дубль</x:v>
      </x:c>
      <x:c r="G1024" t="str">
        <x:v>High</x:v>
      </x:c>
      <x:c r="H1024" t="str">
        <x:v>order_id</x:v>
      </x:c>
      <x:c r="I1024" t="str">
        <x:v>Проверить уникальность ID в источнике; не удалять записи автоматически</x:v>
      </x:c>
      <x:c r="J1024" t="n">
        <x:f>IF(D1024=1,K1024,0)</x:f>
        <x:v>0</x:v>
      </x:c>
      <x:c r="K1024" t="n">
        <x:f>D1024+K1023</x:f>
        <x:v>12</x:v>
      </x:c>
    </x:row>
    <x:row r="1025">
      <x:c r="A1025" t="str">
        <x:v>Order</x:v>
      </x:c>
      <x:c r="B1025" t="n">
        <x:f>'04_checks'!B148</x:f>
        <x:v>1147</x:v>
      </x:c>
      <x:c r="C1025" t="n">
        <x:v>148</x:v>
      </x:c>
      <x:c r="D1025" t="n">
        <x:f>IF('04_checks'!D148="ERROR",1,0)</x:f>
        <x:v>0</x:v>
      </x:c>
      <x:c r="E1025" t="str">
        <x:v>Order:148:2</x:v>
      </x:c>
      <x:c r="F1025" t="str">
        <x:v>Пустое поле</x:v>
      </x:c>
      <x:c r="G1025" t="str">
        <x:v>High</x:v>
      </x:c>
      <x:c r="H1025" t="str">
        <x:v>required_fields</x:v>
      </x:c>
      <x:c r="I1025" t="str">
        <x:v>Дополнить обязательные поля в источнике</x:v>
      </x:c>
      <x:c r="J1025" t="n">
        <x:f>IF(D1025=1,K1025,0)</x:f>
        <x:v>0</x:v>
      </x:c>
      <x:c r="K1025" t="n">
        <x:f>D1025+K1024</x:f>
        <x:v>12</x:v>
      </x:c>
    </x:row>
    <x:row r="1026">
      <x:c r="A1026" t="str">
        <x:v>Order</x:v>
      </x:c>
      <x:c r="B1026" t="n">
        <x:f>'04_checks'!B148</x:f>
        <x:v>1147</x:v>
      </x:c>
      <x:c r="C1026" t="n">
        <x:v>148</x:v>
      </x:c>
      <x:c r="D1026" t="n">
        <x:f>IF('04_checks'!E148="ERROR",1,0)</x:f>
        <x:v>0</x:v>
      </x:c>
      <x:c r="E1026" t="str">
        <x:v>Order:148:3</x:v>
      </x:c>
      <x:c r="F1026" t="str">
        <x:f>IF(COUNTIF('02_clients_raw'!$A$2:$A$67,'01_orders_raw'!C148)&gt;1,"Неоднозначная связь","Нет связи")</x:f>
        <x:v>Нет связи</x:v>
      </x:c>
      <x:c r="G1026" t="str">
        <x:v>High</x:v>
      </x:c>
      <x:c r="H1026" t="str">
        <x:v>client_id</x:v>
      </x:c>
      <x:c r="I1026" t="str">
        <x:v>Исправить ссылку или разрешить дубли связанного ID</x:v>
      </x:c>
      <x:c r="J1026" t="n">
        <x:f>IF(D1026=1,K1026,0)</x:f>
        <x:v>0</x:v>
      </x:c>
      <x:c r="K1026" t="n">
        <x:f>D1026+K1025</x:f>
        <x:v>12</x:v>
      </x:c>
    </x:row>
    <x:row r="1027">
      <x:c r="A1027" t="str">
        <x:v>Order</x:v>
      </x:c>
      <x:c r="B1027" t="n">
        <x:f>'04_checks'!B148</x:f>
        <x:v>1147</x:v>
      </x:c>
      <x:c r="C1027" t="n">
        <x:v>148</x:v>
      </x:c>
      <x:c r="D1027" t="n">
        <x:f>IF('04_checks'!F148="ERROR",1,0)</x:f>
        <x:v>0</x:v>
      </x:c>
      <x:c r="E1027" t="str">
        <x:v>Order:148:4</x:v>
      </x:c>
      <x:c r="F1027" t="str">
        <x:v>Ошибка расчета</x:v>
      </x:c>
      <x:c r="G1027" t="str">
        <x:v>High</x:v>
      </x:c>
      <x:c r="H1027" t="str">
        <x:v>quantity/price/order_sum</x:v>
      </x:c>
      <x:c r="I1027" t="str">
        <x:v>Сверить исходные значения и правило расчёта</x:v>
      </x:c>
      <x:c r="J1027" t="n">
        <x:f>IF(D1027=1,K1027,0)</x:f>
        <x:v>0</x:v>
      </x:c>
      <x:c r="K1027" t="n">
        <x:f>D1027+K1026</x:f>
        <x:v>12</x:v>
      </x:c>
    </x:row>
    <x:row r="1028">
      <x:c r="A1028" t="str">
        <x:v>Order</x:v>
      </x:c>
      <x:c r="B1028" t="n">
        <x:f>'04_checks'!B148</x:f>
        <x:v>1147</x:v>
      </x:c>
      <x:c r="C1028" t="n">
        <x:v>148</x:v>
      </x:c>
      <x:c r="D1028" t="n">
        <x:f>IF('04_checks'!G148="ERROR",1,0)</x:f>
        <x:v>0</x:v>
      </x:c>
      <x:c r="E1028" t="str">
        <x:v>Order:148:5</x:v>
      </x:c>
      <x:c r="F1028" t="str">
        <x:v>Отрицательная цена</x:v>
      </x:c>
      <x:c r="G1028" t="str">
        <x:v>High</x:v>
      </x:c>
      <x:c r="H1028" t="str">
        <x:v>price</x:v>
      </x:c>
      <x:c r="I1028" t="str">
        <x:v>Проверить цену в источнике</x:v>
      </x:c>
      <x:c r="J1028" t="n">
        <x:f>IF(D1028=1,K1028,0)</x:f>
        <x:v>0</x:v>
      </x:c>
      <x:c r="K1028" t="n">
        <x:f>D1028+K1027</x:f>
        <x:v>12</x:v>
      </x:c>
    </x:row>
    <x:row r="1029">
      <x:c r="A1029" t="str">
        <x:v>Order</x:v>
      </x:c>
      <x:c r="B1029" t="n">
        <x:f>'04_checks'!B148</x:f>
        <x:v>1147</x:v>
      </x:c>
      <x:c r="C1029" t="n">
        <x:v>148</x:v>
      </x:c>
      <x:c r="D1029" t="n">
        <x:f>IF('04_checks'!H148="ERROR",1,0)</x:f>
        <x:v>0</x:v>
      </x:c>
      <x:c r="E1029" t="str">
        <x:v>Order:148:6</x:v>
      </x:c>
      <x:c r="F1029" t="str">
        <x:v>Дата</x:v>
      </x:c>
      <x:c r="G1029" t="str">
        <x:v>Medium</x:v>
      </x:c>
      <x:c r="H1029" t="str">
        <x:v>order_date</x:v>
      </x:c>
      <x:c r="I1029" t="str">
        <x:v>Сверить дату со срезом и исходной записью</x:v>
      </x:c>
      <x:c r="J1029" t="n">
        <x:f>IF(D1029=1,K1029,0)</x:f>
        <x:v>0</x:v>
      </x:c>
      <x:c r="K1029" t="n">
        <x:f>D1029+K1028</x:f>
        <x:v>12</x:v>
      </x:c>
    </x:row>
    <x:row r="1030">
      <x:c r="A1030" t="str">
        <x:v>Order</x:v>
      </x:c>
      <x:c r="B1030" t="n">
        <x:f>'04_checks'!B148</x:f>
        <x:v>1147</x:v>
      </x:c>
      <x:c r="C1030" t="n">
        <x:v>148</x:v>
      </x:c>
      <x:c r="D1030" t="n">
        <x:f>IF('04_checks'!I148="ERROR",1,0)</x:f>
        <x:v>0</x:v>
      </x:c>
      <x:c r="E1030" t="str">
        <x:v>Order:148:7</x:v>
      </x:c>
      <x:c r="F1030" t="str">
        <x:v>Статус</x:v>
      </x:c>
      <x:c r="G1030" t="str">
        <x:v>Medium</x:v>
      </x:c>
      <x:c r="H1030" t="str">
        <x:v>status</x:v>
      </x:c>
      <x:c r="I1030" t="str">
        <x:v>Выбрать допустимый статус</x:v>
      </x:c>
      <x:c r="J1030" t="n">
        <x:f>IF(D1030=1,K1030,0)</x:f>
        <x:v>0</x:v>
      </x:c>
      <x:c r="K1030" t="n">
        <x:f>D1030+K1029</x:f>
        <x:v>12</x:v>
      </x:c>
    </x:row>
    <x:row r="1031">
      <x:c r="A1031" t="str">
        <x:v>Order</x:v>
      </x:c>
      <x:c r="B1031" t="n">
        <x:f>'04_checks'!B149</x:f>
        <x:v>1148</x:v>
      </x:c>
      <x:c r="C1031" t="n">
        <x:v>149</x:v>
      </x:c>
      <x:c r="D1031" t="n">
        <x:f>IF('04_checks'!C149="ERROR",1,0)</x:f>
        <x:v>0</x:v>
      </x:c>
      <x:c r="E1031" t="str">
        <x:v>Order:149:1</x:v>
      </x:c>
      <x:c r="F1031" t="str">
        <x:v>Дубль</x:v>
      </x:c>
      <x:c r="G1031" t="str">
        <x:v>High</x:v>
      </x:c>
      <x:c r="H1031" t="str">
        <x:v>order_id</x:v>
      </x:c>
      <x:c r="I1031" t="str">
        <x:v>Проверить уникальность ID в источнике; не удалять записи автоматически</x:v>
      </x:c>
      <x:c r="J1031" t="n">
        <x:f>IF(D1031=1,K1031,0)</x:f>
        <x:v>0</x:v>
      </x:c>
      <x:c r="K1031" t="n">
        <x:f>D1031+K1030</x:f>
        <x:v>12</x:v>
      </x:c>
    </x:row>
    <x:row r="1032">
      <x:c r="A1032" t="str">
        <x:v>Order</x:v>
      </x:c>
      <x:c r="B1032" t="n">
        <x:f>'04_checks'!B149</x:f>
        <x:v>1148</x:v>
      </x:c>
      <x:c r="C1032" t="n">
        <x:v>149</x:v>
      </x:c>
      <x:c r="D1032" t="n">
        <x:f>IF('04_checks'!D149="ERROR",1,0)</x:f>
        <x:v>0</x:v>
      </x:c>
      <x:c r="E1032" t="str">
        <x:v>Order:149:2</x:v>
      </x:c>
      <x:c r="F1032" t="str">
        <x:v>Пустое поле</x:v>
      </x:c>
      <x:c r="G1032" t="str">
        <x:v>High</x:v>
      </x:c>
      <x:c r="H1032" t="str">
        <x:v>required_fields</x:v>
      </x:c>
      <x:c r="I1032" t="str">
        <x:v>Дополнить обязательные поля в источнике</x:v>
      </x:c>
      <x:c r="J1032" t="n">
        <x:f>IF(D1032=1,K1032,0)</x:f>
        <x:v>0</x:v>
      </x:c>
      <x:c r="K1032" t="n">
        <x:f>D1032+K1031</x:f>
        <x:v>12</x:v>
      </x:c>
    </x:row>
    <x:row r="1033">
      <x:c r="A1033" t="str">
        <x:v>Order</x:v>
      </x:c>
      <x:c r="B1033" t="n">
        <x:f>'04_checks'!B149</x:f>
        <x:v>1148</x:v>
      </x:c>
      <x:c r="C1033" t="n">
        <x:v>149</x:v>
      </x:c>
      <x:c r="D1033" t="n">
        <x:f>IF('04_checks'!E149="ERROR",1,0)</x:f>
        <x:v>0</x:v>
      </x:c>
      <x:c r="E1033" t="str">
        <x:v>Order:149:3</x:v>
      </x:c>
      <x:c r="F1033" t="str">
        <x:f>IF(COUNTIF('02_clients_raw'!$A$2:$A$67,'01_orders_raw'!C149)&gt;1,"Неоднозначная связь","Нет связи")</x:f>
        <x:v>Нет связи</x:v>
      </x:c>
      <x:c r="G1033" t="str">
        <x:v>High</x:v>
      </x:c>
      <x:c r="H1033" t="str">
        <x:v>client_id</x:v>
      </x:c>
      <x:c r="I1033" t="str">
        <x:v>Исправить ссылку или разрешить дубли связанного ID</x:v>
      </x:c>
      <x:c r="J1033" t="n">
        <x:f>IF(D1033=1,K1033,0)</x:f>
        <x:v>0</x:v>
      </x:c>
      <x:c r="K1033" t="n">
        <x:f>D1033+K1032</x:f>
        <x:v>12</x:v>
      </x:c>
    </x:row>
    <x:row r="1034">
      <x:c r="A1034" t="str">
        <x:v>Order</x:v>
      </x:c>
      <x:c r="B1034" t="n">
        <x:f>'04_checks'!B149</x:f>
        <x:v>1148</x:v>
      </x:c>
      <x:c r="C1034" t="n">
        <x:v>149</x:v>
      </x:c>
      <x:c r="D1034" t="n">
        <x:f>IF('04_checks'!F149="ERROR",1,0)</x:f>
        <x:v>0</x:v>
      </x:c>
      <x:c r="E1034" t="str">
        <x:v>Order:149:4</x:v>
      </x:c>
      <x:c r="F1034" t="str">
        <x:v>Ошибка расчета</x:v>
      </x:c>
      <x:c r="G1034" t="str">
        <x:v>High</x:v>
      </x:c>
      <x:c r="H1034" t="str">
        <x:v>quantity/price/order_sum</x:v>
      </x:c>
      <x:c r="I1034" t="str">
        <x:v>Сверить исходные значения и правило расчёта</x:v>
      </x:c>
      <x:c r="J1034" t="n">
        <x:f>IF(D1034=1,K1034,0)</x:f>
        <x:v>0</x:v>
      </x:c>
      <x:c r="K1034" t="n">
        <x:f>D1034+K1033</x:f>
        <x:v>12</x:v>
      </x:c>
    </x:row>
    <x:row r="1035">
      <x:c r="A1035" t="str">
        <x:v>Order</x:v>
      </x:c>
      <x:c r="B1035" t="n">
        <x:f>'04_checks'!B149</x:f>
        <x:v>1148</x:v>
      </x:c>
      <x:c r="C1035" t="n">
        <x:v>149</x:v>
      </x:c>
      <x:c r="D1035" t="n">
        <x:f>IF('04_checks'!G149="ERROR",1,0)</x:f>
        <x:v>0</x:v>
      </x:c>
      <x:c r="E1035" t="str">
        <x:v>Order:149:5</x:v>
      </x:c>
      <x:c r="F1035" t="str">
        <x:v>Отрицательная цена</x:v>
      </x:c>
      <x:c r="G1035" t="str">
        <x:v>High</x:v>
      </x:c>
      <x:c r="H1035" t="str">
        <x:v>price</x:v>
      </x:c>
      <x:c r="I1035" t="str">
        <x:v>Проверить цену в источнике</x:v>
      </x:c>
      <x:c r="J1035" t="n">
        <x:f>IF(D1035=1,K1035,0)</x:f>
        <x:v>0</x:v>
      </x:c>
      <x:c r="K1035" t="n">
        <x:f>D1035+K1034</x:f>
        <x:v>12</x:v>
      </x:c>
    </x:row>
    <x:row r="1036">
      <x:c r="A1036" t="str">
        <x:v>Order</x:v>
      </x:c>
      <x:c r="B1036" t="n">
        <x:f>'04_checks'!B149</x:f>
        <x:v>1148</x:v>
      </x:c>
      <x:c r="C1036" t="n">
        <x:v>149</x:v>
      </x:c>
      <x:c r="D1036" t="n">
        <x:f>IF('04_checks'!H149="ERROR",1,0)</x:f>
        <x:v>0</x:v>
      </x:c>
      <x:c r="E1036" t="str">
        <x:v>Order:149:6</x:v>
      </x:c>
      <x:c r="F1036" t="str">
        <x:v>Дата</x:v>
      </x:c>
      <x:c r="G1036" t="str">
        <x:v>Medium</x:v>
      </x:c>
      <x:c r="H1036" t="str">
        <x:v>order_date</x:v>
      </x:c>
      <x:c r="I1036" t="str">
        <x:v>Сверить дату со срезом и исходной записью</x:v>
      </x:c>
      <x:c r="J1036" t="n">
        <x:f>IF(D1036=1,K1036,0)</x:f>
        <x:v>0</x:v>
      </x:c>
      <x:c r="K1036" t="n">
        <x:f>D1036+K1035</x:f>
        <x:v>12</x:v>
      </x:c>
    </x:row>
    <x:row r="1037">
      <x:c r="A1037" t="str">
        <x:v>Order</x:v>
      </x:c>
      <x:c r="B1037" t="n">
        <x:f>'04_checks'!B149</x:f>
        <x:v>1148</x:v>
      </x:c>
      <x:c r="C1037" t="n">
        <x:v>149</x:v>
      </x:c>
      <x:c r="D1037" t="n">
        <x:f>IF('04_checks'!I149="ERROR",1,0)</x:f>
        <x:v>0</x:v>
      </x:c>
      <x:c r="E1037" t="str">
        <x:v>Order:149:7</x:v>
      </x:c>
      <x:c r="F1037" t="str">
        <x:v>Статус</x:v>
      </x:c>
      <x:c r="G1037" t="str">
        <x:v>Medium</x:v>
      </x:c>
      <x:c r="H1037" t="str">
        <x:v>status</x:v>
      </x:c>
      <x:c r="I1037" t="str">
        <x:v>Выбрать допустимый статус</x:v>
      </x:c>
      <x:c r="J1037" t="n">
        <x:f>IF(D1037=1,K1037,0)</x:f>
        <x:v>0</x:v>
      </x:c>
      <x:c r="K1037" t="n">
        <x:f>D1037+K1036</x:f>
        <x:v>12</x:v>
      </x:c>
    </x:row>
    <x:row r="1038">
      <x:c r="A1038" t="str">
        <x:v>Order</x:v>
      </x:c>
      <x:c r="B1038" t="n">
        <x:f>'04_checks'!B150</x:f>
        <x:v>1149</x:v>
      </x:c>
      <x:c r="C1038" t="n">
        <x:v>150</x:v>
      </x:c>
      <x:c r="D1038" t="n">
        <x:f>IF('04_checks'!C150="ERROR",1,0)</x:f>
        <x:v>0</x:v>
      </x:c>
      <x:c r="E1038" t="str">
        <x:v>Order:150:1</x:v>
      </x:c>
      <x:c r="F1038" t="str">
        <x:v>Дубль</x:v>
      </x:c>
      <x:c r="G1038" t="str">
        <x:v>High</x:v>
      </x:c>
      <x:c r="H1038" t="str">
        <x:v>order_id</x:v>
      </x:c>
      <x:c r="I1038" t="str">
        <x:v>Проверить уникальность ID в источнике; не удалять записи автоматически</x:v>
      </x:c>
      <x:c r="J1038" t="n">
        <x:f>IF(D1038=1,K1038,0)</x:f>
        <x:v>0</x:v>
      </x:c>
      <x:c r="K1038" t="n">
        <x:f>D1038+K1037</x:f>
        <x:v>12</x:v>
      </x:c>
    </x:row>
    <x:row r="1039">
      <x:c r="A1039" t="str">
        <x:v>Order</x:v>
      </x:c>
      <x:c r="B1039" t="n">
        <x:f>'04_checks'!B150</x:f>
        <x:v>1149</x:v>
      </x:c>
      <x:c r="C1039" t="n">
        <x:v>150</x:v>
      </x:c>
      <x:c r="D1039" t="n">
        <x:f>IF('04_checks'!D150="ERROR",1,0)</x:f>
        <x:v>0</x:v>
      </x:c>
      <x:c r="E1039" t="str">
        <x:v>Order:150:2</x:v>
      </x:c>
      <x:c r="F1039" t="str">
        <x:v>Пустое поле</x:v>
      </x:c>
      <x:c r="G1039" t="str">
        <x:v>High</x:v>
      </x:c>
      <x:c r="H1039" t="str">
        <x:v>required_fields</x:v>
      </x:c>
      <x:c r="I1039" t="str">
        <x:v>Дополнить обязательные поля в источнике</x:v>
      </x:c>
      <x:c r="J1039" t="n">
        <x:f>IF(D1039=1,K1039,0)</x:f>
        <x:v>0</x:v>
      </x:c>
      <x:c r="K1039" t="n">
        <x:f>D1039+K1038</x:f>
        <x:v>12</x:v>
      </x:c>
    </x:row>
    <x:row r="1040">
      <x:c r="A1040" t="str">
        <x:v>Order</x:v>
      </x:c>
      <x:c r="B1040" t="n">
        <x:f>'04_checks'!B150</x:f>
        <x:v>1149</x:v>
      </x:c>
      <x:c r="C1040" t="n">
        <x:v>150</x:v>
      </x:c>
      <x:c r="D1040" t="n">
        <x:f>IF('04_checks'!E150="ERROR",1,0)</x:f>
        <x:v>0</x:v>
      </x:c>
      <x:c r="E1040" t="str">
        <x:v>Order:150:3</x:v>
      </x:c>
      <x:c r="F1040" t="str">
        <x:f>IF(COUNTIF('02_clients_raw'!$A$2:$A$67,'01_orders_raw'!C150)&gt;1,"Неоднозначная связь","Нет связи")</x:f>
        <x:v>Нет связи</x:v>
      </x:c>
      <x:c r="G1040" t="str">
        <x:v>High</x:v>
      </x:c>
      <x:c r="H1040" t="str">
        <x:v>client_id</x:v>
      </x:c>
      <x:c r="I1040" t="str">
        <x:v>Исправить ссылку или разрешить дубли связанного ID</x:v>
      </x:c>
      <x:c r="J1040" t="n">
        <x:f>IF(D1040=1,K1040,0)</x:f>
        <x:v>0</x:v>
      </x:c>
      <x:c r="K1040" t="n">
        <x:f>D1040+K1039</x:f>
        <x:v>12</x:v>
      </x:c>
    </x:row>
    <x:row r="1041">
      <x:c r="A1041" t="str">
        <x:v>Order</x:v>
      </x:c>
      <x:c r="B1041" t="n">
        <x:f>'04_checks'!B150</x:f>
        <x:v>1149</x:v>
      </x:c>
      <x:c r="C1041" t="n">
        <x:v>150</x:v>
      </x:c>
      <x:c r="D1041" t="n">
        <x:f>IF('04_checks'!F150="ERROR",1,0)</x:f>
        <x:v>0</x:v>
      </x:c>
      <x:c r="E1041" t="str">
        <x:v>Order:150:4</x:v>
      </x:c>
      <x:c r="F1041" t="str">
        <x:v>Ошибка расчета</x:v>
      </x:c>
      <x:c r="G1041" t="str">
        <x:v>High</x:v>
      </x:c>
      <x:c r="H1041" t="str">
        <x:v>quantity/price/order_sum</x:v>
      </x:c>
      <x:c r="I1041" t="str">
        <x:v>Сверить исходные значения и правило расчёта</x:v>
      </x:c>
      <x:c r="J1041" t="n">
        <x:f>IF(D1041=1,K1041,0)</x:f>
        <x:v>0</x:v>
      </x:c>
      <x:c r="K1041" t="n">
        <x:f>D1041+K1040</x:f>
        <x:v>12</x:v>
      </x:c>
    </x:row>
    <x:row r="1042">
      <x:c r="A1042" t="str">
        <x:v>Order</x:v>
      </x:c>
      <x:c r="B1042" t="n">
        <x:f>'04_checks'!B150</x:f>
        <x:v>1149</x:v>
      </x:c>
      <x:c r="C1042" t="n">
        <x:v>150</x:v>
      </x:c>
      <x:c r="D1042" t="n">
        <x:f>IF('04_checks'!G150="ERROR",1,0)</x:f>
        <x:v>0</x:v>
      </x:c>
      <x:c r="E1042" t="str">
        <x:v>Order:150:5</x:v>
      </x:c>
      <x:c r="F1042" t="str">
        <x:v>Отрицательная цена</x:v>
      </x:c>
      <x:c r="G1042" t="str">
        <x:v>High</x:v>
      </x:c>
      <x:c r="H1042" t="str">
        <x:v>price</x:v>
      </x:c>
      <x:c r="I1042" t="str">
        <x:v>Проверить цену в источнике</x:v>
      </x:c>
      <x:c r="J1042" t="n">
        <x:f>IF(D1042=1,K1042,0)</x:f>
        <x:v>0</x:v>
      </x:c>
      <x:c r="K1042" t="n">
        <x:f>D1042+K1041</x:f>
        <x:v>12</x:v>
      </x:c>
    </x:row>
    <x:row r="1043">
      <x:c r="A1043" t="str">
        <x:v>Order</x:v>
      </x:c>
      <x:c r="B1043" t="n">
        <x:f>'04_checks'!B150</x:f>
        <x:v>1149</x:v>
      </x:c>
      <x:c r="C1043" t="n">
        <x:v>150</x:v>
      </x:c>
      <x:c r="D1043" t="n">
        <x:f>IF('04_checks'!H150="ERROR",1,0)</x:f>
        <x:v>0</x:v>
      </x:c>
      <x:c r="E1043" t="str">
        <x:v>Order:150:6</x:v>
      </x:c>
      <x:c r="F1043" t="str">
        <x:v>Дата</x:v>
      </x:c>
      <x:c r="G1043" t="str">
        <x:v>Medium</x:v>
      </x:c>
      <x:c r="H1043" t="str">
        <x:v>order_date</x:v>
      </x:c>
      <x:c r="I1043" t="str">
        <x:v>Сверить дату со срезом и исходной записью</x:v>
      </x:c>
      <x:c r="J1043" t="n">
        <x:f>IF(D1043=1,K1043,0)</x:f>
        <x:v>0</x:v>
      </x:c>
      <x:c r="K1043" t="n">
        <x:f>D1043+K1042</x:f>
        <x:v>12</x:v>
      </x:c>
    </x:row>
    <x:row r="1044">
      <x:c r="A1044" t="str">
        <x:v>Order</x:v>
      </x:c>
      <x:c r="B1044" t="n">
        <x:f>'04_checks'!B150</x:f>
        <x:v>1149</x:v>
      </x:c>
      <x:c r="C1044" t="n">
        <x:v>150</x:v>
      </x:c>
      <x:c r="D1044" t="n">
        <x:f>IF('04_checks'!I150="ERROR",1,0)</x:f>
        <x:v>0</x:v>
      </x:c>
      <x:c r="E1044" t="str">
        <x:v>Order:150:7</x:v>
      </x:c>
      <x:c r="F1044" t="str">
        <x:v>Статус</x:v>
      </x:c>
      <x:c r="G1044" t="str">
        <x:v>Medium</x:v>
      </x:c>
      <x:c r="H1044" t="str">
        <x:v>status</x:v>
      </x:c>
      <x:c r="I1044" t="str">
        <x:v>Выбрать допустимый статус</x:v>
      </x:c>
      <x:c r="J1044" t="n">
        <x:f>IF(D1044=1,K1044,0)</x:f>
        <x:v>0</x:v>
      </x:c>
      <x:c r="K1044" t="n">
        <x:f>D1044+K1043</x:f>
        <x:v>12</x:v>
      </x:c>
    </x:row>
    <x:row r="1045">
      <x:c r="A1045" t="str">
        <x:v>Order</x:v>
      </x:c>
      <x:c r="B1045" t="n">
        <x:f>'04_checks'!B151</x:f>
        <x:v>1150</x:v>
      </x:c>
      <x:c r="C1045" t="n">
        <x:v>151</x:v>
      </x:c>
      <x:c r="D1045" t="n">
        <x:f>IF('04_checks'!C151="ERROR",1,0)</x:f>
        <x:v>0</x:v>
      </x:c>
      <x:c r="E1045" t="str">
        <x:v>Order:151:1</x:v>
      </x:c>
      <x:c r="F1045" t="str">
        <x:v>Дубль</x:v>
      </x:c>
      <x:c r="G1045" t="str">
        <x:v>High</x:v>
      </x:c>
      <x:c r="H1045" t="str">
        <x:v>order_id</x:v>
      </x:c>
      <x:c r="I1045" t="str">
        <x:v>Проверить уникальность ID в источнике; не удалять записи автоматически</x:v>
      </x:c>
      <x:c r="J1045" t="n">
        <x:f>IF(D1045=1,K1045,0)</x:f>
        <x:v>0</x:v>
      </x:c>
      <x:c r="K1045" t="n">
        <x:f>D1045+K1044</x:f>
        <x:v>12</x:v>
      </x:c>
    </x:row>
    <x:row r="1046">
      <x:c r="A1046" t="str">
        <x:v>Order</x:v>
      </x:c>
      <x:c r="B1046" t="n">
        <x:f>'04_checks'!B151</x:f>
        <x:v>1150</x:v>
      </x:c>
      <x:c r="C1046" t="n">
        <x:v>151</x:v>
      </x:c>
      <x:c r="D1046" t="n">
        <x:f>IF('04_checks'!D151="ERROR",1,0)</x:f>
        <x:v>0</x:v>
      </x:c>
      <x:c r="E1046" t="str">
        <x:v>Order:151:2</x:v>
      </x:c>
      <x:c r="F1046" t="str">
        <x:v>Пустое поле</x:v>
      </x:c>
      <x:c r="G1046" t="str">
        <x:v>High</x:v>
      </x:c>
      <x:c r="H1046" t="str">
        <x:v>required_fields</x:v>
      </x:c>
      <x:c r="I1046" t="str">
        <x:v>Дополнить обязательные поля в источнике</x:v>
      </x:c>
      <x:c r="J1046" t="n">
        <x:f>IF(D1046=1,K1046,0)</x:f>
        <x:v>0</x:v>
      </x:c>
      <x:c r="K1046" t="n">
        <x:f>D1046+K1045</x:f>
        <x:v>12</x:v>
      </x:c>
    </x:row>
    <x:row r="1047">
      <x:c r="A1047" t="str">
        <x:v>Order</x:v>
      </x:c>
      <x:c r="B1047" t="n">
        <x:f>'04_checks'!B151</x:f>
        <x:v>1150</x:v>
      </x:c>
      <x:c r="C1047" t="n">
        <x:v>151</x:v>
      </x:c>
      <x:c r="D1047" t="n">
        <x:f>IF('04_checks'!E151="ERROR",1,0)</x:f>
        <x:v>0</x:v>
      </x:c>
      <x:c r="E1047" t="str">
        <x:v>Order:151:3</x:v>
      </x:c>
      <x:c r="F1047" t="str">
        <x:f>IF(COUNTIF('02_clients_raw'!$A$2:$A$67,'01_orders_raw'!C151)&gt;1,"Неоднозначная связь","Нет связи")</x:f>
        <x:v>Нет связи</x:v>
      </x:c>
      <x:c r="G1047" t="str">
        <x:v>High</x:v>
      </x:c>
      <x:c r="H1047" t="str">
        <x:v>client_id</x:v>
      </x:c>
      <x:c r="I1047" t="str">
        <x:v>Исправить ссылку или разрешить дубли связанного ID</x:v>
      </x:c>
      <x:c r="J1047" t="n">
        <x:f>IF(D1047=1,K1047,0)</x:f>
        <x:v>0</x:v>
      </x:c>
      <x:c r="K1047" t="n">
        <x:f>D1047+K1046</x:f>
        <x:v>12</x:v>
      </x:c>
    </x:row>
    <x:row r="1048">
      <x:c r="A1048" t="str">
        <x:v>Order</x:v>
      </x:c>
      <x:c r="B1048" t="n">
        <x:f>'04_checks'!B151</x:f>
        <x:v>1150</x:v>
      </x:c>
      <x:c r="C1048" t="n">
        <x:v>151</x:v>
      </x:c>
      <x:c r="D1048" t="n">
        <x:f>IF('04_checks'!F151="ERROR",1,0)</x:f>
        <x:v>0</x:v>
      </x:c>
      <x:c r="E1048" t="str">
        <x:v>Order:151:4</x:v>
      </x:c>
      <x:c r="F1048" t="str">
        <x:v>Ошибка расчета</x:v>
      </x:c>
      <x:c r="G1048" t="str">
        <x:v>High</x:v>
      </x:c>
      <x:c r="H1048" t="str">
        <x:v>quantity/price/order_sum</x:v>
      </x:c>
      <x:c r="I1048" t="str">
        <x:v>Сверить исходные значения и правило расчёта</x:v>
      </x:c>
      <x:c r="J1048" t="n">
        <x:f>IF(D1048=1,K1048,0)</x:f>
        <x:v>0</x:v>
      </x:c>
      <x:c r="K1048" t="n">
        <x:f>D1048+K1047</x:f>
        <x:v>12</x:v>
      </x:c>
    </x:row>
    <x:row r="1049">
      <x:c r="A1049" t="str">
        <x:v>Order</x:v>
      </x:c>
      <x:c r="B1049" t="n">
        <x:f>'04_checks'!B151</x:f>
        <x:v>1150</x:v>
      </x:c>
      <x:c r="C1049" t="n">
        <x:v>151</x:v>
      </x:c>
      <x:c r="D1049" t="n">
        <x:f>IF('04_checks'!G151="ERROR",1,0)</x:f>
        <x:v>0</x:v>
      </x:c>
      <x:c r="E1049" t="str">
        <x:v>Order:151:5</x:v>
      </x:c>
      <x:c r="F1049" t="str">
        <x:v>Отрицательная цена</x:v>
      </x:c>
      <x:c r="G1049" t="str">
        <x:v>High</x:v>
      </x:c>
      <x:c r="H1049" t="str">
        <x:v>price</x:v>
      </x:c>
      <x:c r="I1049" t="str">
        <x:v>Проверить цену в источнике</x:v>
      </x:c>
      <x:c r="J1049" t="n">
        <x:f>IF(D1049=1,K1049,0)</x:f>
        <x:v>0</x:v>
      </x:c>
      <x:c r="K1049" t="n">
        <x:f>D1049+K1048</x:f>
        <x:v>12</x:v>
      </x:c>
    </x:row>
    <x:row r="1050">
      <x:c r="A1050" t="str">
        <x:v>Order</x:v>
      </x:c>
      <x:c r="B1050" t="n">
        <x:f>'04_checks'!B151</x:f>
        <x:v>1150</x:v>
      </x:c>
      <x:c r="C1050" t="n">
        <x:v>151</x:v>
      </x:c>
      <x:c r="D1050" t="n">
        <x:f>IF('04_checks'!H151="ERROR",1,0)</x:f>
        <x:v>0</x:v>
      </x:c>
      <x:c r="E1050" t="str">
        <x:v>Order:151:6</x:v>
      </x:c>
      <x:c r="F1050" t="str">
        <x:v>Дата</x:v>
      </x:c>
      <x:c r="G1050" t="str">
        <x:v>Medium</x:v>
      </x:c>
      <x:c r="H1050" t="str">
        <x:v>order_date</x:v>
      </x:c>
      <x:c r="I1050" t="str">
        <x:v>Сверить дату со срезом и исходной записью</x:v>
      </x:c>
      <x:c r="J1050" t="n">
        <x:f>IF(D1050=1,K1050,0)</x:f>
        <x:v>0</x:v>
      </x:c>
      <x:c r="K1050" t="n">
        <x:f>D1050+K1049</x:f>
        <x:v>12</x:v>
      </x:c>
    </x:row>
    <x:row r="1051">
      <x:c r="A1051" t="str">
        <x:v>Order</x:v>
      </x:c>
      <x:c r="B1051" t="n">
        <x:f>'04_checks'!B151</x:f>
        <x:v>1150</x:v>
      </x:c>
      <x:c r="C1051" t="n">
        <x:v>151</x:v>
      </x:c>
      <x:c r="D1051" t="n">
        <x:f>IF('04_checks'!I151="ERROR",1,0)</x:f>
        <x:v>0</x:v>
      </x:c>
      <x:c r="E1051" t="str">
        <x:v>Order:151:7</x:v>
      </x:c>
      <x:c r="F1051" t="str">
        <x:v>Статус</x:v>
      </x:c>
      <x:c r="G1051" t="str">
        <x:v>Medium</x:v>
      </x:c>
      <x:c r="H1051" t="str">
        <x:v>status</x:v>
      </x:c>
      <x:c r="I1051" t="str">
        <x:v>Выбрать допустимый статус</x:v>
      </x:c>
      <x:c r="J1051" t="n">
        <x:f>IF(D1051=1,K1051,0)</x:f>
        <x:v>0</x:v>
      </x:c>
      <x:c r="K1051" t="n">
        <x:f>D1051+K1050</x:f>
        <x:v>12</x:v>
      </x:c>
    </x:row>
    <x:row r="1052">
      <x:c r="A1052" t="str">
        <x:v>Order</x:v>
      </x:c>
      <x:c r="B1052" t="n">
        <x:f>'04_checks'!B152</x:f>
        <x:v>1151</x:v>
      </x:c>
      <x:c r="C1052" t="n">
        <x:v>152</x:v>
      </x:c>
      <x:c r="D1052" t="n">
        <x:f>IF('04_checks'!C152="ERROR",1,0)</x:f>
        <x:v>0</x:v>
      </x:c>
      <x:c r="E1052" t="str">
        <x:v>Order:152:1</x:v>
      </x:c>
      <x:c r="F1052" t="str">
        <x:v>Дубль</x:v>
      </x:c>
      <x:c r="G1052" t="str">
        <x:v>High</x:v>
      </x:c>
      <x:c r="H1052" t="str">
        <x:v>order_id</x:v>
      </x:c>
      <x:c r="I1052" t="str">
        <x:v>Проверить уникальность ID в источнике; не удалять записи автоматически</x:v>
      </x:c>
      <x:c r="J1052" t="n">
        <x:f>IF(D1052=1,K1052,0)</x:f>
        <x:v>0</x:v>
      </x:c>
      <x:c r="K1052" t="n">
        <x:f>D1052+K1051</x:f>
        <x:v>12</x:v>
      </x:c>
    </x:row>
    <x:row r="1053">
      <x:c r="A1053" t="str">
        <x:v>Order</x:v>
      </x:c>
      <x:c r="B1053" t="n">
        <x:f>'04_checks'!B152</x:f>
        <x:v>1151</x:v>
      </x:c>
      <x:c r="C1053" t="n">
        <x:v>152</x:v>
      </x:c>
      <x:c r="D1053" t="n">
        <x:f>IF('04_checks'!D152="ERROR",1,0)</x:f>
        <x:v>0</x:v>
      </x:c>
      <x:c r="E1053" t="str">
        <x:v>Order:152:2</x:v>
      </x:c>
      <x:c r="F1053" t="str">
        <x:v>Пустое поле</x:v>
      </x:c>
      <x:c r="G1053" t="str">
        <x:v>High</x:v>
      </x:c>
      <x:c r="H1053" t="str">
        <x:v>required_fields</x:v>
      </x:c>
      <x:c r="I1053" t="str">
        <x:v>Дополнить обязательные поля в источнике</x:v>
      </x:c>
      <x:c r="J1053" t="n">
        <x:f>IF(D1053=1,K1053,0)</x:f>
        <x:v>0</x:v>
      </x:c>
      <x:c r="K1053" t="n">
        <x:f>D1053+K1052</x:f>
        <x:v>12</x:v>
      </x:c>
    </x:row>
    <x:row r="1054">
      <x:c r="A1054" t="str">
        <x:v>Order</x:v>
      </x:c>
      <x:c r="B1054" t="n">
        <x:f>'04_checks'!B152</x:f>
        <x:v>1151</x:v>
      </x:c>
      <x:c r="C1054" t="n">
        <x:v>152</x:v>
      </x:c>
      <x:c r="D1054" t="n">
        <x:f>IF('04_checks'!E152="ERROR",1,0)</x:f>
        <x:v>0</x:v>
      </x:c>
      <x:c r="E1054" t="str">
        <x:v>Order:152:3</x:v>
      </x:c>
      <x:c r="F1054" t="str">
        <x:f>IF(COUNTIF('02_clients_raw'!$A$2:$A$67,'01_orders_raw'!C152)&gt;1,"Неоднозначная связь","Нет связи")</x:f>
        <x:v>Нет связи</x:v>
      </x:c>
      <x:c r="G1054" t="str">
        <x:v>High</x:v>
      </x:c>
      <x:c r="H1054" t="str">
        <x:v>client_id</x:v>
      </x:c>
      <x:c r="I1054" t="str">
        <x:v>Исправить ссылку или разрешить дубли связанного ID</x:v>
      </x:c>
      <x:c r="J1054" t="n">
        <x:f>IF(D1054=1,K1054,0)</x:f>
        <x:v>0</x:v>
      </x:c>
      <x:c r="K1054" t="n">
        <x:f>D1054+K1053</x:f>
        <x:v>12</x:v>
      </x:c>
    </x:row>
    <x:row r="1055">
      <x:c r="A1055" t="str">
        <x:v>Order</x:v>
      </x:c>
      <x:c r="B1055" t="n">
        <x:f>'04_checks'!B152</x:f>
        <x:v>1151</x:v>
      </x:c>
      <x:c r="C1055" t="n">
        <x:v>152</x:v>
      </x:c>
      <x:c r="D1055" t="n">
        <x:f>IF('04_checks'!F152="ERROR",1,0)</x:f>
        <x:v>0</x:v>
      </x:c>
      <x:c r="E1055" t="str">
        <x:v>Order:152:4</x:v>
      </x:c>
      <x:c r="F1055" t="str">
        <x:v>Ошибка расчета</x:v>
      </x:c>
      <x:c r="G1055" t="str">
        <x:v>High</x:v>
      </x:c>
      <x:c r="H1055" t="str">
        <x:v>quantity/price/order_sum</x:v>
      </x:c>
      <x:c r="I1055" t="str">
        <x:v>Сверить исходные значения и правило расчёта</x:v>
      </x:c>
      <x:c r="J1055" t="n">
        <x:f>IF(D1055=1,K1055,0)</x:f>
        <x:v>0</x:v>
      </x:c>
      <x:c r="K1055" t="n">
        <x:f>D1055+K1054</x:f>
        <x:v>12</x:v>
      </x:c>
    </x:row>
    <x:row r="1056">
      <x:c r="A1056" t="str">
        <x:v>Order</x:v>
      </x:c>
      <x:c r="B1056" t="n">
        <x:f>'04_checks'!B152</x:f>
        <x:v>1151</x:v>
      </x:c>
      <x:c r="C1056" t="n">
        <x:v>152</x:v>
      </x:c>
      <x:c r="D1056" t="n">
        <x:f>IF('04_checks'!G152="ERROR",1,0)</x:f>
        <x:v>0</x:v>
      </x:c>
      <x:c r="E1056" t="str">
        <x:v>Order:152:5</x:v>
      </x:c>
      <x:c r="F1056" t="str">
        <x:v>Отрицательная цена</x:v>
      </x:c>
      <x:c r="G1056" t="str">
        <x:v>High</x:v>
      </x:c>
      <x:c r="H1056" t="str">
        <x:v>price</x:v>
      </x:c>
      <x:c r="I1056" t="str">
        <x:v>Проверить цену в источнике</x:v>
      </x:c>
      <x:c r="J1056" t="n">
        <x:f>IF(D1056=1,K1056,0)</x:f>
        <x:v>0</x:v>
      </x:c>
      <x:c r="K1056" t="n">
        <x:f>D1056+K1055</x:f>
        <x:v>12</x:v>
      </x:c>
    </x:row>
    <x:row r="1057">
      <x:c r="A1057" t="str">
        <x:v>Order</x:v>
      </x:c>
      <x:c r="B1057" t="n">
        <x:f>'04_checks'!B152</x:f>
        <x:v>1151</x:v>
      </x:c>
      <x:c r="C1057" t="n">
        <x:v>152</x:v>
      </x:c>
      <x:c r="D1057" t="n">
        <x:f>IF('04_checks'!H152="ERROR",1,0)</x:f>
        <x:v>0</x:v>
      </x:c>
      <x:c r="E1057" t="str">
        <x:v>Order:152:6</x:v>
      </x:c>
      <x:c r="F1057" t="str">
        <x:v>Дата</x:v>
      </x:c>
      <x:c r="G1057" t="str">
        <x:v>Medium</x:v>
      </x:c>
      <x:c r="H1057" t="str">
        <x:v>order_date</x:v>
      </x:c>
      <x:c r="I1057" t="str">
        <x:v>Сверить дату со срезом и исходной записью</x:v>
      </x:c>
      <x:c r="J1057" t="n">
        <x:f>IF(D1057=1,K1057,0)</x:f>
        <x:v>0</x:v>
      </x:c>
      <x:c r="K1057" t="n">
        <x:f>D1057+K1056</x:f>
        <x:v>12</x:v>
      </x:c>
    </x:row>
    <x:row r="1058">
      <x:c r="A1058" t="str">
        <x:v>Order</x:v>
      </x:c>
      <x:c r="B1058" t="n">
        <x:f>'04_checks'!B152</x:f>
        <x:v>1151</x:v>
      </x:c>
      <x:c r="C1058" t="n">
        <x:v>152</x:v>
      </x:c>
      <x:c r="D1058" t="n">
        <x:f>IF('04_checks'!I152="ERROR",1,0)</x:f>
        <x:v>0</x:v>
      </x:c>
      <x:c r="E1058" t="str">
        <x:v>Order:152:7</x:v>
      </x:c>
      <x:c r="F1058" t="str">
        <x:v>Статус</x:v>
      </x:c>
      <x:c r="G1058" t="str">
        <x:v>Medium</x:v>
      </x:c>
      <x:c r="H1058" t="str">
        <x:v>status</x:v>
      </x:c>
      <x:c r="I1058" t="str">
        <x:v>Выбрать допустимый статус</x:v>
      </x:c>
      <x:c r="J1058" t="n">
        <x:f>IF(D1058=1,K1058,0)</x:f>
        <x:v>0</x:v>
      </x:c>
      <x:c r="K1058" t="n">
        <x:f>D1058+K1057</x:f>
        <x:v>12</x:v>
      </x:c>
    </x:row>
    <x:row r="1059">
      <x:c r="A1059" t="str">
        <x:v>Order</x:v>
      </x:c>
      <x:c r="B1059" t="n">
        <x:f>'04_checks'!B153</x:f>
        <x:v>1152</x:v>
      </x:c>
      <x:c r="C1059" t="n">
        <x:v>153</x:v>
      </x:c>
      <x:c r="D1059" t="n">
        <x:f>IF('04_checks'!C153="ERROR",1,0)</x:f>
        <x:v>0</x:v>
      </x:c>
      <x:c r="E1059" t="str">
        <x:v>Order:153:1</x:v>
      </x:c>
      <x:c r="F1059" t="str">
        <x:v>Дубль</x:v>
      </x:c>
      <x:c r="G1059" t="str">
        <x:v>High</x:v>
      </x:c>
      <x:c r="H1059" t="str">
        <x:v>order_id</x:v>
      </x:c>
      <x:c r="I1059" t="str">
        <x:v>Проверить уникальность ID в источнике; не удалять записи автоматически</x:v>
      </x:c>
      <x:c r="J1059" t="n">
        <x:f>IF(D1059=1,K1059,0)</x:f>
        <x:v>0</x:v>
      </x:c>
      <x:c r="K1059" t="n">
        <x:f>D1059+K1058</x:f>
        <x:v>12</x:v>
      </x:c>
    </x:row>
    <x:row r="1060">
      <x:c r="A1060" t="str">
        <x:v>Order</x:v>
      </x:c>
      <x:c r="B1060" t="n">
        <x:f>'04_checks'!B153</x:f>
        <x:v>1152</x:v>
      </x:c>
      <x:c r="C1060" t="n">
        <x:v>153</x:v>
      </x:c>
      <x:c r="D1060" t="n">
        <x:f>IF('04_checks'!D153="ERROR",1,0)</x:f>
        <x:v>0</x:v>
      </x:c>
      <x:c r="E1060" t="str">
        <x:v>Order:153:2</x:v>
      </x:c>
      <x:c r="F1060" t="str">
        <x:v>Пустое поле</x:v>
      </x:c>
      <x:c r="G1060" t="str">
        <x:v>High</x:v>
      </x:c>
      <x:c r="H1060" t="str">
        <x:v>required_fields</x:v>
      </x:c>
      <x:c r="I1060" t="str">
        <x:v>Дополнить обязательные поля в источнике</x:v>
      </x:c>
      <x:c r="J1060" t="n">
        <x:f>IF(D1060=1,K1060,0)</x:f>
        <x:v>0</x:v>
      </x:c>
      <x:c r="K1060" t="n">
        <x:f>D1060+K1059</x:f>
        <x:v>12</x:v>
      </x:c>
    </x:row>
    <x:row r="1061">
      <x:c r="A1061" t="str">
        <x:v>Order</x:v>
      </x:c>
      <x:c r="B1061" t="n">
        <x:f>'04_checks'!B153</x:f>
        <x:v>1152</x:v>
      </x:c>
      <x:c r="C1061" t="n">
        <x:v>153</x:v>
      </x:c>
      <x:c r="D1061" t="n">
        <x:f>IF('04_checks'!E153="ERROR",1,0)</x:f>
        <x:v>0</x:v>
      </x:c>
      <x:c r="E1061" t="str">
        <x:v>Order:153:3</x:v>
      </x:c>
      <x:c r="F1061" t="str">
        <x:f>IF(COUNTIF('02_clients_raw'!$A$2:$A$67,'01_orders_raw'!C153)&gt;1,"Неоднозначная связь","Нет связи")</x:f>
        <x:v>Нет связи</x:v>
      </x:c>
      <x:c r="G1061" t="str">
        <x:v>High</x:v>
      </x:c>
      <x:c r="H1061" t="str">
        <x:v>client_id</x:v>
      </x:c>
      <x:c r="I1061" t="str">
        <x:v>Исправить ссылку или разрешить дубли связанного ID</x:v>
      </x:c>
      <x:c r="J1061" t="n">
        <x:f>IF(D1061=1,K1061,0)</x:f>
        <x:v>0</x:v>
      </x:c>
      <x:c r="K1061" t="n">
        <x:f>D1061+K1060</x:f>
        <x:v>12</x:v>
      </x:c>
    </x:row>
    <x:row r="1062">
      <x:c r="A1062" t="str">
        <x:v>Order</x:v>
      </x:c>
      <x:c r="B1062" t="n">
        <x:f>'04_checks'!B153</x:f>
        <x:v>1152</x:v>
      </x:c>
      <x:c r="C1062" t="n">
        <x:v>153</x:v>
      </x:c>
      <x:c r="D1062" t="n">
        <x:f>IF('04_checks'!F153="ERROR",1,0)</x:f>
        <x:v>0</x:v>
      </x:c>
      <x:c r="E1062" t="str">
        <x:v>Order:153:4</x:v>
      </x:c>
      <x:c r="F1062" t="str">
        <x:v>Ошибка расчета</x:v>
      </x:c>
      <x:c r="G1062" t="str">
        <x:v>High</x:v>
      </x:c>
      <x:c r="H1062" t="str">
        <x:v>quantity/price/order_sum</x:v>
      </x:c>
      <x:c r="I1062" t="str">
        <x:v>Сверить исходные значения и правило расчёта</x:v>
      </x:c>
      <x:c r="J1062" t="n">
        <x:f>IF(D1062=1,K1062,0)</x:f>
        <x:v>0</x:v>
      </x:c>
      <x:c r="K1062" t="n">
        <x:f>D1062+K1061</x:f>
        <x:v>12</x:v>
      </x:c>
    </x:row>
    <x:row r="1063">
      <x:c r="A1063" t="str">
        <x:v>Order</x:v>
      </x:c>
      <x:c r="B1063" t="n">
        <x:f>'04_checks'!B153</x:f>
        <x:v>1152</x:v>
      </x:c>
      <x:c r="C1063" t="n">
        <x:v>153</x:v>
      </x:c>
      <x:c r="D1063" t="n">
        <x:f>IF('04_checks'!G153="ERROR",1,0)</x:f>
        <x:v>0</x:v>
      </x:c>
      <x:c r="E1063" t="str">
        <x:v>Order:153:5</x:v>
      </x:c>
      <x:c r="F1063" t="str">
        <x:v>Отрицательная цена</x:v>
      </x:c>
      <x:c r="G1063" t="str">
        <x:v>High</x:v>
      </x:c>
      <x:c r="H1063" t="str">
        <x:v>price</x:v>
      </x:c>
      <x:c r="I1063" t="str">
        <x:v>Проверить цену в источнике</x:v>
      </x:c>
      <x:c r="J1063" t="n">
        <x:f>IF(D1063=1,K1063,0)</x:f>
        <x:v>0</x:v>
      </x:c>
      <x:c r="K1063" t="n">
        <x:f>D1063+K1062</x:f>
        <x:v>12</x:v>
      </x:c>
    </x:row>
    <x:row r="1064">
      <x:c r="A1064" t="str">
        <x:v>Order</x:v>
      </x:c>
      <x:c r="B1064" t="n">
        <x:f>'04_checks'!B153</x:f>
        <x:v>1152</x:v>
      </x:c>
      <x:c r="C1064" t="n">
        <x:v>153</x:v>
      </x:c>
      <x:c r="D1064" t="n">
        <x:f>IF('04_checks'!H153="ERROR",1,0)</x:f>
        <x:v>0</x:v>
      </x:c>
      <x:c r="E1064" t="str">
        <x:v>Order:153:6</x:v>
      </x:c>
      <x:c r="F1064" t="str">
        <x:v>Дата</x:v>
      </x:c>
      <x:c r="G1064" t="str">
        <x:v>Medium</x:v>
      </x:c>
      <x:c r="H1064" t="str">
        <x:v>order_date</x:v>
      </x:c>
      <x:c r="I1064" t="str">
        <x:v>Сверить дату со срезом и исходной записью</x:v>
      </x:c>
      <x:c r="J1064" t="n">
        <x:f>IF(D1064=1,K1064,0)</x:f>
        <x:v>0</x:v>
      </x:c>
      <x:c r="K1064" t="n">
        <x:f>D1064+K1063</x:f>
        <x:v>12</x:v>
      </x:c>
    </x:row>
    <x:row r="1065">
      <x:c r="A1065" t="str">
        <x:v>Order</x:v>
      </x:c>
      <x:c r="B1065" t="n">
        <x:f>'04_checks'!B153</x:f>
        <x:v>1152</x:v>
      </x:c>
      <x:c r="C1065" t="n">
        <x:v>153</x:v>
      </x:c>
      <x:c r="D1065" t="n">
        <x:f>IF('04_checks'!I153="ERROR",1,0)</x:f>
        <x:v>0</x:v>
      </x:c>
      <x:c r="E1065" t="str">
        <x:v>Order:153:7</x:v>
      </x:c>
      <x:c r="F1065" t="str">
        <x:v>Статус</x:v>
      </x:c>
      <x:c r="G1065" t="str">
        <x:v>Medium</x:v>
      </x:c>
      <x:c r="H1065" t="str">
        <x:v>status</x:v>
      </x:c>
      <x:c r="I1065" t="str">
        <x:v>Выбрать допустимый статус</x:v>
      </x:c>
      <x:c r="J1065" t="n">
        <x:f>IF(D1065=1,K1065,0)</x:f>
        <x:v>0</x:v>
      </x:c>
      <x:c r="K1065" t="n">
        <x:f>D1065+K1064</x:f>
        <x:v>12</x:v>
      </x:c>
    </x:row>
    <x:row r="1066">
      <x:c r="A1066" t="str">
        <x:v>Order</x:v>
      </x:c>
      <x:c r="B1066" t="n">
        <x:f>'04_checks'!B154</x:f>
        <x:v>1153</x:v>
      </x:c>
      <x:c r="C1066" t="n">
        <x:v>154</x:v>
      </x:c>
      <x:c r="D1066" t="n">
        <x:f>IF('04_checks'!C154="ERROR",1,0)</x:f>
        <x:v>0</x:v>
      </x:c>
      <x:c r="E1066" t="str">
        <x:v>Order:154:1</x:v>
      </x:c>
      <x:c r="F1066" t="str">
        <x:v>Дубль</x:v>
      </x:c>
      <x:c r="G1066" t="str">
        <x:v>High</x:v>
      </x:c>
      <x:c r="H1066" t="str">
        <x:v>order_id</x:v>
      </x:c>
      <x:c r="I1066" t="str">
        <x:v>Проверить уникальность ID в источнике; не удалять записи автоматически</x:v>
      </x:c>
      <x:c r="J1066" t="n">
        <x:f>IF(D1066=1,K1066,0)</x:f>
        <x:v>0</x:v>
      </x:c>
      <x:c r="K1066" t="n">
        <x:f>D1066+K1065</x:f>
        <x:v>12</x:v>
      </x:c>
    </x:row>
    <x:row r="1067">
      <x:c r="A1067" t="str">
        <x:v>Order</x:v>
      </x:c>
      <x:c r="B1067" t="n">
        <x:f>'04_checks'!B154</x:f>
        <x:v>1153</x:v>
      </x:c>
      <x:c r="C1067" t="n">
        <x:v>154</x:v>
      </x:c>
      <x:c r="D1067" t="n">
        <x:f>IF('04_checks'!D154="ERROR",1,0)</x:f>
        <x:v>0</x:v>
      </x:c>
      <x:c r="E1067" t="str">
        <x:v>Order:154:2</x:v>
      </x:c>
      <x:c r="F1067" t="str">
        <x:v>Пустое поле</x:v>
      </x:c>
      <x:c r="G1067" t="str">
        <x:v>High</x:v>
      </x:c>
      <x:c r="H1067" t="str">
        <x:v>required_fields</x:v>
      </x:c>
      <x:c r="I1067" t="str">
        <x:v>Дополнить обязательные поля в источнике</x:v>
      </x:c>
      <x:c r="J1067" t="n">
        <x:f>IF(D1067=1,K1067,0)</x:f>
        <x:v>0</x:v>
      </x:c>
      <x:c r="K1067" t="n">
        <x:f>D1067+K1066</x:f>
        <x:v>12</x:v>
      </x:c>
    </x:row>
    <x:row r="1068">
      <x:c r="A1068" t="str">
        <x:v>Order</x:v>
      </x:c>
      <x:c r="B1068" t="n">
        <x:f>'04_checks'!B154</x:f>
        <x:v>1153</x:v>
      </x:c>
      <x:c r="C1068" t="n">
        <x:v>154</x:v>
      </x:c>
      <x:c r="D1068" t="n">
        <x:f>IF('04_checks'!E154="ERROR",1,0)</x:f>
        <x:v>1</x:v>
      </x:c>
      <x:c r="E1068" t="str">
        <x:v>Order:154:3</x:v>
      </x:c>
      <x:c r="F1068" t="str">
        <x:f>IF(COUNTIF('02_clients_raw'!$A$2:$A$67,'01_orders_raw'!C154)&gt;1,"Неоднозначная связь","Нет связи")</x:f>
        <x:v>Неоднозначная связь</x:v>
      </x:c>
      <x:c r="G1068" t="str">
        <x:v>High</x:v>
      </x:c>
      <x:c r="H1068" t="str">
        <x:v>client_id</x:v>
      </x:c>
      <x:c r="I1068" t="str">
        <x:v>Исправить ссылку или разрешить дубли связанного ID</x:v>
      </x:c>
      <x:c r="J1068" t="n">
        <x:f>IF(D1068=1,K1068,0)</x:f>
        <x:v>13</x:v>
      </x:c>
      <x:c r="K1068" t="n">
        <x:f>D1068+K1067</x:f>
        <x:v>13</x:v>
      </x:c>
    </x:row>
    <x:row r="1069">
      <x:c r="A1069" t="str">
        <x:v>Order</x:v>
      </x:c>
      <x:c r="B1069" t="n">
        <x:f>'04_checks'!B154</x:f>
        <x:v>1153</x:v>
      </x:c>
      <x:c r="C1069" t="n">
        <x:v>154</x:v>
      </x:c>
      <x:c r="D1069" t="n">
        <x:f>IF('04_checks'!F154="ERROR",1,0)</x:f>
        <x:v>0</x:v>
      </x:c>
      <x:c r="E1069" t="str">
        <x:v>Order:154:4</x:v>
      </x:c>
      <x:c r="F1069" t="str">
        <x:v>Ошибка расчета</x:v>
      </x:c>
      <x:c r="G1069" t="str">
        <x:v>High</x:v>
      </x:c>
      <x:c r="H1069" t="str">
        <x:v>quantity/price/order_sum</x:v>
      </x:c>
      <x:c r="I1069" t="str">
        <x:v>Сверить исходные значения и правило расчёта</x:v>
      </x:c>
      <x:c r="J1069" t="n">
        <x:f>IF(D1069=1,K1069,0)</x:f>
        <x:v>0</x:v>
      </x:c>
      <x:c r="K1069" t="n">
        <x:f>D1069+K1068</x:f>
        <x:v>13</x:v>
      </x:c>
    </x:row>
    <x:row r="1070">
      <x:c r="A1070" t="str">
        <x:v>Order</x:v>
      </x:c>
      <x:c r="B1070" t="n">
        <x:f>'04_checks'!B154</x:f>
        <x:v>1153</x:v>
      </x:c>
      <x:c r="C1070" t="n">
        <x:v>154</x:v>
      </x:c>
      <x:c r="D1070" t="n">
        <x:f>IF('04_checks'!G154="ERROR",1,0)</x:f>
        <x:v>0</x:v>
      </x:c>
      <x:c r="E1070" t="str">
        <x:v>Order:154:5</x:v>
      </x:c>
      <x:c r="F1070" t="str">
        <x:v>Отрицательная цена</x:v>
      </x:c>
      <x:c r="G1070" t="str">
        <x:v>High</x:v>
      </x:c>
      <x:c r="H1070" t="str">
        <x:v>price</x:v>
      </x:c>
      <x:c r="I1070" t="str">
        <x:v>Проверить цену в источнике</x:v>
      </x:c>
      <x:c r="J1070" t="n">
        <x:f>IF(D1070=1,K1070,0)</x:f>
        <x:v>0</x:v>
      </x:c>
      <x:c r="K1070" t="n">
        <x:f>D1070+K1069</x:f>
        <x:v>13</x:v>
      </x:c>
    </x:row>
    <x:row r="1071">
      <x:c r="A1071" t="str">
        <x:v>Order</x:v>
      </x:c>
      <x:c r="B1071" t="n">
        <x:f>'04_checks'!B154</x:f>
        <x:v>1153</x:v>
      </x:c>
      <x:c r="C1071" t="n">
        <x:v>154</x:v>
      </x:c>
      <x:c r="D1071" t="n">
        <x:f>IF('04_checks'!H154="ERROR",1,0)</x:f>
        <x:v>0</x:v>
      </x:c>
      <x:c r="E1071" t="str">
        <x:v>Order:154:6</x:v>
      </x:c>
      <x:c r="F1071" t="str">
        <x:v>Дата</x:v>
      </x:c>
      <x:c r="G1071" t="str">
        <x:v>Medium</x:v>
      </x:c>
      <x:c r="H1071" t="str">
        <x:v>order_date</x:v>
      </x:c>
      <x:c r="I1071" t="str">
        <x:v>Сверить дату со срезом и исходной записью</x:v>
      </x:c>
      <x:c r="J1071" t="n">
        <x:f>IF(D1071=1,K1071,0)</x:f>
        <x:v>0</x:v>
      </x:c>
      <x:c r="K1071" t="n">
        <x:f>D1071+K1070</x:f>
        <x:v>13</x:v>
      </x:c>
    </x:row>
    <x:row r="1072">
      <x:c r="A1072" t="str">
        <x:v>Order</x:v>
      </x:c>
      <x:c r="B1072" t="n">
        <x:f>'04_checks'!B154</x:f>
        <x:v>1153</x:v>
      </x:c>
      <x:c r="C1072" t="n">
        <x:v>154</x:v>
      </x:c>
      <x:c r="D1072" t="n">
        <x:f>IF('04_checks'!I154="ERROR",1,0)</x:f>
        <x:v>0</x:v>
      </x:c>
      <x:c r="E1072" t="str">
        <x:v>Order:154:7</x:v>
      </x:c>
      <x:c r="F1072" t="str">
        <x:v>Статус</x:v>
      </x:c>
      <x:c r="G1072" t="str">
        <x:v>Medium</x:v>
      </x:c>
      <x:c r="H1072" t="str">
        <x:v>status</x:v>
      </x:c>
      <x:c r="I1072" t="str">
        <x:v>Выбрать допустимый статус</x:v>
      </x:c>
      <x:c r="J1072" t="n">
        <x:f>IF(D1072=1,K1072,0)</x:f>
        <x:v>0</x:v>
      </x:c>
      <x:c r="K1072" t="n">
        <x:f>D1072+K1071</x:f>
        <x:v>13</x:v>
      </x:c>
    </x:row>
    <x:row r="1073">
      <x:c r="A1073" t="str">
        <x:v>Order</x:v>
      </x:c>
      <x:c r="B1073" t="n">
        <x:f>'04_checks'!B155</x:f>
        <x:v>1154</x:v>
      </x:c>
      <x:c r="C1073" t="n">
        <x:v>155</x:v>
      </x:c>
      <x:c r="D1073" t="n">
        <x:f>IF('04_checks'!C155="ERROR",1,0)</x:f>
        <x:v>0</x:v>
      </x:c>
      <x:c r="E1073" t="str">
        <x:v>Order:155:1</x:v>
      </x:c>
      <x:c r="F1073" t="str">
        <x:v>Дубль</x:v>
      </x:c>
      <x:c r="G1073" t="str">
        <x:v>High</x:v>
      </x:c>
      <x:c r="H1073" t="str">
        <x:v>order_id</x:v>
      </x:c>
      <x:c r="I1073" t="str">
        <x:v>Проверить уникальность ID в источнике; не удалять записи автоматически</x:v>
      </x:c>
      <x:c r="J1073" t="n">
        <x:f>IF(D1073=1,K1073,0)</x:f>
        <x:v>0</x:v>
      </x:c>
      <x:c r="K1073" t="n">
        <x:f>D1073+K1072</x:f>
        <x:v>13</x:v>
      </x:c>
    </x:row>
    <x:row r="1074">
      <x:c r="A1074" t="str">
        <x:v>Order</x:v>
      </x:c>
      <x:c r="B1074" t="n">
        <x:f>'04_checks'!B155</x:f>
        <x:v>1154</x:v>
      </x:c>
      <x:c r="C1074" t="n">
        <x:v>155</x:v>
      </x:c>
      <x:c r="D1074" t="n">
        <x:f>IF('04_checks'!D155="ERROR",1,0)</x:f>
        <x:v>0</x:v>
      </x:c>
      <x:c r="E1074" t="str">
        <x:v>Order:155:2</x:v>
      </x:c>
      <x:c r="F1074" t="str">
        <x:v>Пустое поле</x:v>
      </x:c>
      <x:c r="G1074" t="str">
        <x:v>High</x:v>
      </x:c>
      <x:c r="H1074" t="str">
        <x:v>required_fields</x:v>
      </x:c>
      <x:c r="I1074" t="str">
        <x:v>Дополнить обязательные поля в источнике</x:v>
      </x:c>
      <x:c r="J1074" t="n">
        <x:f>IF(D1074=1,K1074,0)</x:f>
        <x:v>0</x:v>
      </x:c>
      <x:c r="K1074" t="n">
        <x:f>D1074+K1073</x:f>
        <x:v>13</x:v>
      </x:c>
    </x:row>
    <x:row r="1075">
      <x:c r="A1075" t="str">
        <x:v>Order</x:v>
      </x:c>
      <x:c r="B1075" t="n">
        <x:f>'04_checks'!B155</x:f>
        <x:v>1154</x:v>
      </x:c>
      <x:c r="C1075" t="n">
        <x:v>155</x:v>
      </x:c>
      <x:c r="D1075" t="n">
        <x:f>IF('04_checks'!E155="ERROR",1,0)</x:f>
        <x:v>0</x:v>
      </x:c>
      <x:c r="E1075" t="str">
        <x:v>Order:155:3</x:v>
      </x:c>
      <x:c r="F1075" t="str">
        <x:f>IF(COUNTIF('02_clients_raw'!$A$2:$A$67,'01_orders_raw'!C155)&gt;1,"Неоднозначная связь","Нет связи")</x:f>
        <x:v>Нет связи</x:v>
      </x:c>
      <x:c r="G1075" t="str">
        <x:v>High</x:v>
      </x:c>
      <x:c r="H1075" t="str">
        <x:v>client_id</x:v>
      </x:c>
      <x:c r="I1075" t="str">
        <x:v>Исправить ссылку или разрешить дубли связанного ID</x:v>
      </x:c>
      <x:c r="J1075" t="n">
        <x:f>IF(D1075=1,K1075,0)</x:f>
        <x:v>0</x:v>
      </x:c>
      <x:c r="K1075" t="n">
        <x:f>D1075+K1074</x:f>
        <x:v>13</x:v>
      </x:c>
    </x:row>
    <x:row r="1076">
      <x:c r="A1076" t="str">
        <x:v>Order</x:v>
      </x:c>
      <x:c r="B1076" t="n">
        <x:f>'04_checks'!B155</x:f>
        <x:v>1154</x:v>
      </x:c>
      <x:c r="C1076" t="n">
        <x:v>155</x:v>
      </x:c>
      <x:c r="D1076" t="n">
        <x:f>IF('04_checks'!F155="ERROR",1,0)</x:f>
        <x:v>0</x:v>
      </x:c>
      <x:c r="E1076" t="str">
        <x:v>Order:155:4</x:v>
      </x:c>
      <x:c r="F1076" t="str">
        <x:v>Ошибка расчета</x:v>
      </x:c>
      <x:c r="G1076" t="str">
        <x:v>High</x:v>
      </x:c>
      <x:c r="H1076" t="str">
        <x:v>quantity/price/order_sum</x:v>
      </x:c>
      <x:c r="I1076" t="str">
        <x:v>Сверить исходные значения и правило расчёта</x:v>
      </x:c>
      <x:c r="J1076" t="n">
        <x:f>IF(D1076=1,K1076,0)</x:f>
        <x:v>0</x:v>
      </x:c>
      <x:c r="K1076" t="n">
        <x:f>D1076+K1075</x:f>
        <x:v>13</x:v>
      </x:c>
    </x:row>
    <x:row r="1077">
      <x:c r="A1077" t="str">
        <x:v>Order</x:v>
      </x:c>
      <x:c r="B1077" t="n">
        <x:f>'04_checks'!B155</x:f>
        <x:v>1154</x:v>
      </x:c>
      <x:c r="C1077" t="n">
        <x:v>155</x:v>
      </x:c>
      <x:c r="D1077" t="n">
        <x:f>IF('04_checks'!G155="ERROR",1,0)</x:f>
        <x:v>0</x:v>
      </x:c>
      <x:c r="E1077" t="str">
        <x:v>Order:155:5</x:v>
      </x:c>
      <x:c r="F1077" t="str">
        <x:v>Отрицательная цена</x:v>
      </x:c>
      <x:c r="G1077" t="str">
        <x:v>High</x:v>
      </x:c>
      <x:c r="H1077" t="str">
        <x:v>price</x:v>
      </x:c>
      <x:c r="I1077" t="str">
        <x:v>Проверить цену в источнике</x:v>
      </x:c>
      <x:c r="J1077" t="n">
        <x:f>IF(D1077=1,K1077,0)</x:f>
        <x:v>0</x:v>
      </x:c>
      <x:c r="K1077" t="n">
        <x:f>D1077+K1076</x:f>
        <x:v>13</x:v>
      </x:c>
    </x:row>
    <x:row r="1078">
      <x:c r="A1078" t="str">
        <x:v>Order</x:v>
      </x:c>
      <x:c r="B1078" t="n">
        <x:f>'04_checks'!B155</x:f>
        <x:v>1154</x:v>
      </x:c>
      <x:c r="C1078" t="n">
        <x:v>155</x:v>
      </x:c>
      <x:c r="D1078" t="n">
        <x:f>IF('04_checks'!H155="ERROR",1,0)</x:f>
        <x:v>0</x:v>
      </x:c>
      <x:c r="E1078" t="str">
        <x:v>Order:155:6</x:v>
      </x:c>
      <x:c r="F1078" t="str">
        <x:v>Дата</x:v>
      </x:c>
      <x:c r="G1078" t="str">
        <x:v>Medium</x:v>
      </x:c>
      <x:c r="H1078" t="str">
        <x:v>order_date</x:v>
      </x:c>
      <x:c r="I1078" t="str">
        <x:v>Сверить дату со срезом и исходной записью</x:v>
      </x:c>
      <x:c r="J1078" t="n">
        <x:f>IF(D1078=1,K1078,0)</x:f>
        <x:v>0</x:v>
      </x:c>
      <x:c r="K1078" t="n">
        <x:f>D1078+K1077</x:f>
        <x:v>13</x:v>
      </x:c>
    </x:row>
    <x:row r="1079">
      <x:c r="A1079" t="str">
        <x:v>Order</x:v>
      </x:c>
      <x:c r="B1079" t="n">
        <x:f>'04_checks'!B155</x:f>
        <x:v>1154</x:v>
      </x:c>
      <x:c r="C1079" t="n">
        <x:v>155</x:v>
      </x:c>
      <x:c r="D1079" t="n">
        <x:f>IF('04_checks'!I155="ERROR",1,0)</x:f>
        <x:v>0</x:v>
      </x:c>
      <x:c r="E1079" t="str">
        <x:v>Order:155:7</x:v>
      </x:c>
      <x:c r="F1079" t="str">
        <x:v>Статус</x:v>
      </x:c>
      <x:c r="G1079" t="str">
        <x:v>Medium</x:v>
      </x:c>
      <x:c r="H1079" t="str">
        <x:v>status</x:v>
      </x:c>
      <x:c r="I1079" t="str">
        <x:v>Выбрать допустимый статус</x:v>
      </x:c>
      <x:c r="J1079" t="n">
        <x:f>IF(D1079=1,K1079,0)</x:f>
        <x:v>0</x:v>
      </x:c>
      <x:c r="K1079" t="n">
        <x:f>D1079+K1078</x:f>
        <x:v>13</x:v>
      </x:c>
    </x:row>
    <x:row r="1080">
      <x:c r="A1080" t="str">
        <x:v>Order</x:v>
      </x:c>
      <x:c r="B1080" t="n">
        <x:f>'04_checks'!B156</x:f>
        <x:v>1155</x:v>
      </x:c>
      <x:c r="C1080" t="n">
        <x:v>156</x:v>
      </x:c>
      <x:c r="D1080" t="n">
        <x:f>IF('04_checks'!C156="ERROR",1,0)</x:f>
        <x:v>0</x:v>
      </x:c>
      <x:c r="E1080" t="str">
        <x:v>Order:156:1</x:v>
      </x:c>
      <x:c r="F1080" t="str">
        <x:v>Дубль</x:v>
      </x:c>
      <x:c r="G1080" t="str">
        <x:v>High</x:v>
      </x:c>
      <x:c r="H1080" t="str">
        <x:v>order_id</x:v>
      </x:c>
      <x:c r="I1080" t="str">
        <x:v>Проверить уникальность ID в источнике; не удалять записи автоматически</x:v>
      </x:c>
      <x:c r="J1080" t="n">
        <x:f>IF(D1080=1,K1080,0)</x:f>
        <x:v>0</x:v>
      </x:c>
      <x:c r="K1080" t="n">
        <x:f>D1080+K1079</x:f>
        <x:v>13</x:v>
      </x:c>
    </x:row>
    <x:row r="1081">
      <x:c r="A1081" t="str">
        <x:v>Order</x:v>
      </x:c>
      <x:c r="B1081" t="n">
        <x:f>'04_checks'!B156</x:f>
        <x:v>1155</x:v>
      </x:c>
      <x:c r="C1081" t="n">
        <x:v>156</x:v>
      </x:c>
      <x:c r="D1081" t="n">
        <x:f>IF('04_checks'!D156="ERROR",1,0)</x:f>
        <x:v>0</x:v>
      </x:c>
      <x:c r="E1081" t="str">
        <x:v>Order:156:2</x:v>
      </x:c>
      <x:c r="F1081" t="str">
        <x:v>Пустое поле</x:v>
      </x:c>
      <x:c r="G1081" t="str">
        <x:v>High</x:v>
      </x:c>
      <x:c r="H1081" t="str">
        <x:v>required_fields</x:v>
      </x:c>
      <x:c r="I1081" t="str">
        <x:v>Дополнить обязательные поля в источнике</x:v>
      </x:c>
      <x:c r="J1081" t="n">
        <x:f>IF(D1081=1,K1081,0)</x:f>
        <x:v>0</x:v>
      </x:c>
      <x:c r="K1081" t="n">
        <x:f>D1081+K1080</x:f>
        <x:v>13</x:v>
      </x:c>
    </x:row>
    <x:row r="1082">
      <x:c r="A1082" t="str">
        <x:v>Order</x:v>
      </x:c>
      <x:c r="B1082" t="n">
        <x:f>'04_checks'!B156</x:f>
        <x:v>1155</x:v>
      </x:c>
      <x:c r="C1082" t="n">
        <x:v>156</x:v>
      </x:c>
      <x:c r="D1082" t="n">
        <x:f>IF('04_checks'!E156="ERROR",1,0)</x:f>
        <x:v>0</x:v>
      </x:c>
      <x:c r="E1082" t="str">
        <x:v>Order:156:3</x:v>
      </x:c>
      <x:c r="F1082" t="str">
        <x:f>IF(COUNTIF('02_clients_raw'!$A$2:$A$67,'01_orders_raw'!C156)&gt;1,"Неоднозначная связь","Нет связи")</x:f>
        <x:v>Нет связи</x:v>
      </x:c>
      <x:c r="G1082" t="str">
        <x:v>High</x:v>
      </x:c>
      <x:c r="H1082" t="str">
        <x:v>client_id</x:v>
      </x:c>
      <x:c r="I1082" t="str">
        <x:v>Исправить ссылку или разрешить дубли связанного ID</x:v>
      </x:c>
      <x:c r="J1082" t="n">
        <x:f>IF(D1082=1,K1082,0)</x:f>
        <x:v>0</x:v>
      </x:c>
      <x:c r="K1082" t="n">
        <x:f>D1082+K1081</x:f>
        <x:v>13</x:v>
      </x:c>
    </x:row>
    <x:row r="1083">
      <x:c r="A1083" t="str">
        <x:v>Order</x:v>
      </x:c>
      <x:c r="B1083" t="n">
        <x:f>'04_checks'!B156</x:f>
        <x:v>1155</x:v>
      </x:c>
      <x:c r="C1083" t="n">
        <x:v>156</x:v>
      </x:c>
      <x:c r="D1083" t="n">
        <x:f>IF('04_checks'!F156="ERROR",1,0)</x:f>
        <x:v>0</x:v>
      </x:c>
      <x:c r="E1083" t="str">
        <x:v>Order:156:4</x:v>
      </x:c>
      <x:c r="F1083" t="str">
        <x:v>Ошибка расчета</x:v>
      </x:c>
      <x:c r="G1083" t="str">
        <x:v>High</x:v>
      </x:c>
      <x:c r="H1083" t="str">
        <x:v>quantity/price/order_sum</x:v>
      </x:c>
      <x:c r="I1083" t="str">
        <x:v>Сверить исходные значения и правило расчёта</x:v>
      </x:c>
      <x:c r="J1083" t="n">
        <x:f>IF(D1083=1,K1083,0)</x:f>
        <x:v>0</x:v>
      </x:c>
      <x:c r="K1083" t="n">
        <x:f>D1083+K1082</x:f>
        <x:v>13</x:v>
      </x:c>
    </x:row>
    <x:row r="1084">
      <x:c r="A1084" t="str">
        <x:v>Order</x:v>
      </x:c>
      <x:c r="B1084" t="n">
        <x:f>'04_checks'!B156</x:f>
        <x:v>1155</x:v>
      </x:c>
      <x:c r="C1084" t="n">
        <x:v>156</x:v>
      </x:c>
      <x:c r="D1084" t="n">
        <x:f>IF('04_checks'!G156="ERROR",1,0)</x:f>
        <x:v>0</x:v>
      </x:c>
      <x:c r="E1084" t="str">
        <x:v>Order:156:5</x:v>
      </x:c>
      <x:c r="F1084" t="str">
        <x:v>Отрицательная цена</x:v>
      </x:c>
      <x:c r="G1084" t="str">
        <x:v>High</x:v>
      </x:c>
      <x:c r="H1084" t="str">
        <x:v>price</x:v>
      </x:c>
      <x:c r="I1084" t="str">
        <x:v>Проверить цену в источнике</x:v>
      </x:c>
      <x:c r="J1084" t="n">
        <x:f>IF(D1084=1,K1084,0)</x:f>
        <x:v>0</x:v>
      </x:c>
      <x:c r="K1084" t="n">
        <x:f>D1084+K1083</x:f>
        <x:v>13</x:v>
      </x:c>
    </x:row>
    <x:row r="1085">
      <x:c r="A1085" t="str">
        <x:v>Order</x:v>
      </x:c>
      <x:c r="B1085" t="n">
        <x:f>'04_checks'!B156</x:f>
        <x:v>1155</x:v>
      </x:c>
      <x:c r="C1085" t="n">
        <x:v>156</x:v>
      </x:c>
      <x:c r="D1085" t="n">
        <x:f>IF('04_checks'!H156="ERROR",1,0)</x:f>
        <x:v>0</x:v>
      </x:c>
      <x:c r="E1085" t="str">
        <x:v>Order:156:6</x:v>
      </x:c>
      <x:c r="F1085" t="str">
        <x:v>Дата</x:v>
      </x:c>
      <x:c r="G1085" t="str">
        <x:v>Medium</x:v>
      </x:c>
      <x:c r="H1085" t="str">
        <x:v>order_date</x:v>
      </x:c>
      <x:c r="I1085" t="str">
        <x:v>Сверить дату со срезом и исходной записью</x:v>
      </x:c>
      <x:c r="J1085" t="n">
        <x:f>IF(D1085=1,K1085,0)</x:f>
        <x:v>0</x:v>
      </x:c>
      <x:c r="K1085" t="n">
        <x:f>D1085+K1084</x:f>
        <x:v>13</x:v>
      </x:c>
    </x:row>
    <x:row r="1086">
      <x:c r="A1086" t="str">
        <x:v>Order</x:v>
      </x:c>
      <x:c r="B1086" t="n">
        <x:f>'04_checks'!B156</x:f>
        <x:v>1155</x:v>
      </x:c>
      <x:c r="C1086" t="n">
        <x:v>156</x:v>
      </x:c>
      <x:c r="D1086" t="n">
        <x:f>IF('04_checks'!I156="ERROR",1,0)</x:f>
        <x:v>0</x:v>
      </x:c>
      <x:c r="E1086" t="str">
        <x:v>Order:156:7</x:v>
      </x:c>
      <x:c r="F1086" t="str">
        <x:v>Статус</x:v>
      </x:c>
      <x:c r="G1086" t="str">
        <x:v>Medium</x:v>
      </x:c>
      <x:c r="H1086" t="str">
        <x:v>status</x:v>
      </x:c>
      <x:c r="I1086" t="str">
        <x:v>Выбрать допустимый статус</x:v>
      </x:c>
      <x:c r="J1086" t="n">
        <x:f>IF(D1086=1,K1086,0)</x:f>
        <x:v>0</x:v>
      </x:c>
      <x:c r="K1086" t="n">
        <x:f>D1086+K1085</x:f>
        <x:v>13</x:v>
      </x:c>
    </x:row>
    <x:row r="1087">
      <x:c r="A1087" t="str">
        <x:v>Order</x:v>
      </x:c>
      <x:c r="B1087" t="n">
        <x:f>'04_checks'!B157</x:f>
        <x:v>1156</x:v>
      </x:c>
      <x:c r="C1087" t="n">
        <x:v>157</x:v>
      </x:c>
      <x:c r="D1087" t="n">
        <x:f>IF('04_checks'!C157="ERROR",1,0)</x:f>
        <x:v>0</x:v>
      </x:c>
      <x:c r="E1087" t="str">
        <x:v>Order:157:1</x:v>
      </x:c>
      <x:c r="F1087" t="str">
        <x:v>Дубль</x:v>
      </x:c>
      <x:c r="G1087" t="str">
        <x:v>High</x:v>
      </x:c>
      <x:c r="H1087" t="str">
        <x:v>order_id</x:v>
      </x:c>
      <x:c r="I1087" t="str">
        <x:v>Проверить уникальность ID в источнике; не удалять записи автоматически</x:v>
      </x:c>
      <x:c r="J1087" t="n">
        <x:f>IF(D1087=1,K1087,0)</x:f>
        <x:v>0</x:v>
      </x:c>
      <x:c r="K1087" t="n">
        <x:f>D1087+K1086</x:f>
        <x:v>13</x:v>
      </x:c>
    </x:row>
    <x:row r="1088">
      <x:c r="A1088" t="str">
        <x:v>Order</x:v>
      </x:c>
      <x:c r="B1088" t="n">
        <x:f>'04_checks'!B157</x:f>
        <x:v>1156</x:v>
      </x:c>
      <x:c r="C1088" t="n">
        <x:v>157</x:v>
      </x:c>
      <x:c r="D1088" t="n">
        <x:f>IF('04_checks'!D157="ERROR",1,0)</x:f>
        <x:v>0</x:v>
      </x:c>
      <x:c r="E1088" t="str">
        <x:v>Order:157:2</x:v>
      </x:c>
      <x:c r="F1088" t="str">
        <x:v>Пустое поле</x:v>
      </x:c>
      <x:c r="G1088" t="str">
        <x:v>High</x:v>
      </x:c>
      <x:c r="H1088" t="str">
        <x:v>required_fields</x:v>
      </x:c>
      <x:c r="I1088" t="str">
        <x:v>Дополнить обязательные поля в источнике</x:v>
      </x:c>
      <x:c r="J1088" t="n">
        <x:f>IF(D1088=1,K1088,0)</x:f>
        <x:v>0</x:v>
      </x:c>
      <x:c r="K1088" t="n">
        <x:f>D1088+K1087</x:f>
        <x:v>13</x:v>
      </x:c>
    </x:row>
    <x:row r="1089">
      <x:c r="A1089" t="str">
        <x:v>Order</x:v>
      </x:c>
      <x:c r="B1089" t="n">
        <x:f>'04_checks'!B157</x:f>
        <x:v>1156</x:v>
      </x:c>
      <x:c r="C1089" t="n">
        <x:v>157</x:v>
      </x:c>
      <x:c r="D1089" t="n">
        <x:f>IF('04_checks'!E157="ERROR",1,0)</x:f>
        <x:v>0</x:v>
      </x:c>
      <x:c r="E1089" t="str">
        <x:v>Order:157:3</x:v>
      </x:c>
      <x:c r="F1089" t="str">
        <x:f>IF(COUNTIF('02_clients_raw'!$A$2:$A$67,'01_orders_raw'!C157)&gt;1,"Неоднозначная связь","Нет связи")</x:f>
        <x:v>Нет связи</x:v>
      </x:c>
      <x:c r="G1089" t="str">
        <x:v>High</x:v>
      </x:c>
      <x:c r="H1089" t="str">
        <x:v>client_id</x:v>
      </x:c>
      <x:c r="I1089" t="str">
        <x:v>Исправить ссылку или разрешить дубли связанного ID</x:v>
      </x:c>
      <x:c r="J1089" t="n">
        <x:f>IF(D1089=1,K1089,0)</x:f>
        <x:v>0</x:v>
      </x:c>
      <x:c r="K1089" t="n">
        <x:f>D1089+K1088</x:f>
        <x:v>13</x:v>
      </x:c>
    </x:row>
    <x:row r="1090">
      <x:c r="A1090" t="str">
        <x:v>Order</x:v>
      </x:c>
      <x:c r="B1090" t="n">
        <x:f>'04_checks'!B157</x:f>
        <x:v>1156</x:v>
      </x:c>
      <x:c r="C1090" t="n">
        <x:v>157</x:v>
      </x:c>
      <x:c r="D1090" t="n">
        <x:f>IF('04_checks'!F157="ERROR",1,0)</x:f>
        <x:v>0</x:v>
      </x:c>
      <x:c r="E1090" t="str">
        <x:v>Order:157:4</x:v>
      </x:c>
      <x:c r="F1090" t="str">
        <x:v>Ошибка расчета</x:v>
      </x:c>
      <x:c r="G1090" t="str">
        <x:v>High</x:v>
      </x:c>
      <x:c r="H1090" t="str">
        <x:v>quantity/price/order_sum</x:v>
      </x:c>
      <x:c r="I1090" t="str">
        <x:v>Сверить исходные значения и правило расчёта</x:v>
      </x:c>
      <x:c r="J1090" t="n">
        <x:f>IF(D1090=1,K1090,0)</x:f>
        <x:v>0</x:v>
      </x:c>
      <x:c r="K1090" t="n">
        <x:f>D1090+K1089</x:f>
        <x:v>13</x:v>
      </x:c>
    </x:row>
    <x:row r="1091">
      <x:c r="A1091" t="str">
        <x:v>Order</x:v>
      </x:c>
      <x:c r="B1091" t="n">
        <x:f>'04_checks'!B157</x:f>
        <x:v>1156</x:v>
      </x:c>
      <x:c r="C1091" t="n">
        <x:v>157</x:v>
      </x:c>
      <x:c r="D1091" t="n">
        <x:f>IF('04_checks'!G157="ERROR",1,0)</x:f>
        <x:v>0</x:v>
      </x:c>
      <x:c r="E1091" t="str">
        <x:v>Order:157:5</x:v>
      </x:c>
      <x:c r="F1091" t="str">
        <x:v>Отрицательная цена</x:v>
      </x:c>
      <x:c r="G1091" t="str">
        <x:v>High</x:v>
      </x:c>
      <x:c r="H1091" t="str">
        <x:v>price</x:v>
      </x:c>
      <x:c r="I1091" t="str">
        <x:v>Проверить цену в источнике</x:v>
      </x:c>
      <x:c r="J1091" t="n">
        <x:f>IF(D1091=1,K1091,0)</x:f>
        <x:v>0</x:v>
      </x:c>
      <x:c r="K1091" t="n">
        <x:f>D1091+K1090</x:f>
        <x:v>13</x:v>
      </x:c>
    </x:row>
    <x:row r="1092">
      <x:c r="A1092" t="str">
        <x:v>Order</x:v>
      </x:c>
      <x:c r="B1092" t="n">
        <x:f>'04_checks'!B157</x:f>
        <x:v>1156</x:v>
      </x:c>
      <x:c r="C1092" t="n">
        <x:v>157</x:v>
      </x:c>
      <x:c r="D1092" t="n">
        <x:f>IF('04_checks'!H157="ERROR",1,0)</x:f>
        <x:v>0</x:v>
      </x:c>
      <x:c r="E1092" t="str">
        <x:v>Order:157:6</x:v>
      </x:c>
      <x:c r="F1092" t="str">
        <x:v>Дата</x:v>
      </x:c>
      <x:c r="G1092" t="str">
        <x:v>Medium</x:v>
      </x:c>
      <x:c r="H1092" t="str">
        <x:v>order_date</x:v>
      </x:c>
      <x:c r="I1092" t="str">
        <x:v>Сверить дату со срезом и исходной записью</x:v>
      </x:c>
      <x:c r="J1092" t="n">
        <x:f>IF(D1092=1,K1092,0)</x:f>
        <x:v>0</x:v>
      </x:c>
      <x:c r="K1092" t="n">
        <x:f>D1092+K1091</x:f>
        <x:v>13</x:v>
      </x:c>
    </x:row>
    <x:row r="1093">
      <x:c r="A1093" t="str">
        <x:v>Order</x:v>
      </x:c>
      <x:c r="B1093" t="n">
        <x:f>'04_checks'!B157</x:f>
        <x:v>1156</x:v>
      </x:c>
      <x:c r="C1093" t="n">
        <x:v>157</x:v>
      </x:c>
      <x:c r="D1093" t="n">
        <x:f>IF('04_checks'!I157="ERROR",1,0)</x:f>
        <x:v>0</x:v>
      </x:c>
      <x:c r="E1093" t="str">
        <x:v>Order:157:7</x:v>
      </x:c>
      <x:c r="F1093" t="str">
        <x:v>Статус</x:v>
      </x:c>
      <x:c r="G1093" t="str">
        <x:v>Medium</x:v>
      </x:c>
      <x:c r="H1093" t="str">
        <x:v>status</x:v>
      </x:c>
      <x:c r="I1093" t="str">
        <x:v>Выбрать допустимый статус</x:v>
      </x:c>
      <x:c r="J1093" t="n">
        <x:f>IF(D1093=1,K1093,0)</x:f>
        <x:v>0</x:v>
      </x:c>
      <x:c r="K1093" t="n">
        <x:f>D1093+K1092</x:f>
        <x:v>13</x:v>
      </x:c>
    </x:row>
    <x:row r="1094">
      <x:c r="A1094" t="str">
        <x:v>Order</x:v>
      </x:c>
      <x:c r="B1094" t="n">
        <x:f>'04_checks'!B158</x:f>
        <x:v>1157</x:v>
      </x:c>
      <x:c r="C1094" t="n">
        <x:v>158</x:v>
      </x:c>
      <x:c r="D1094" t="n">
        <x:f>IF('04_checks'!C158="ERROR",1,0)</x:f>
        <x:v>0</x:v>
      </x:c>
      <x:c r="E1094" t="str">
        <x:v>Order:158:1</x:v>
      </x:c>
      <x:c r="F1094" t="str">
        <x:v>Дубль</x:v>
      </x:c>
      <x:c r="G1094" t="str">
        <x:v>High</x:v>
      </x:c>
      <x:c r="H1094" t="str">
        <x:v>order_id</x:v>
      </x:c>
      <x:c r="I1094" t="str">
        <x:v>Проверить уникальность ID в источнике; не удалять записи автоматически</x:v>
      </x:c>
      <x:c r="J1094" t="n">
        <x:f>IF(D1094=1,K1094,0)</x:f>
        <x:v>0</x:v>
      </x:c>
      <x:c r="K1094" t="n">
        <x:f>D1094+K1093</x:f>
        <x:v>13</x:v>
      </x:c>
    </x:row>
    <x:row r="1095">
      <x:c r="A1095" t="str">
        <x:v>Order</x:v>
      </x:c>
      <x:c r="B1095" t="n">
        <x:f>'04_checks'!B158</x:f>
        <x:v>1157</x:v>
      </x:c>
      <x:c r="C1095" t="n">
        <x:v>158</x:v>
      </x:c>
      <x:c r="D1095" t="n">
        <x:f>IF('04_checks'!D158="ERROR",1,0)</x:f>
        <x:v>0</x:v>
      </x:c>
      <x:c r="E1095" t="str">
        <x:v>Order:158:2</x:v>
      </x:c>
      <x:c r="F1095" t="str">
        <x:v>Пустое поле</x:v>
      </x:c>
      <x:c r="G1095" t="str">
        <x:v>High</x:v>
      </x:c>
      <x:c r="H1095" t="str">
        <x:v>required_fields</x:v>
      </x:c>
      <x:c r="I1095" t="str">
        <x:v>Дополнить обязательные поля в источнике</x:v>
      </x:c>
      <x:c r="J1095" t="n">
        <x:f>IF(D1095=1,K1095,0)</x:f>
        <x:v>0</x:v>
      </x:c>
      <x:c r="K1095" t="n">
        <x:f>D1095+K1094</x:f>
        <x:v>13</x:v>
      </x:c>
    </x:row>
    <x:row r="1096">
      <x:c r="A1096" t="str">
        <x:v>Order</x:v>
      </x:c>
      <x:c r="B1096" t="n">
        <x:f>'04_checks'!B158</x:f>
        <x:v>1157</x:v>
      </x:c>
      <x:c r="C1096" t="n">
        <x:v>158</x:v>
      </x:c>
      <x:c r="D1096" t="n">
        <x:f>IF('04_checks'!E158="ERROR",1,0)</x:f>
        <x:v>0</x:v>
      </x:c>
      <x:c r="E1096" t="str">
        <x:v>Order:158:3</x:v>
      </x:c>
      <x:c r="F1096" t="str">
        <x:f>IF(COUNTIF('02_clients_raw'!$A$2:$A$67,'01_orders_raw'!C158)&gt;1,"Неоднозначная связь","Нет связи")</x:f>
        <x:v>Нет связи</x:v>
      </x:c>
      <x:c r="G1096" t="str">
        <x:v>High</x:v>
      </x:c>
      <x:c r="H1096" t="str">
        <x:v>client_id</x:v>
      </x:c>
      <x:c r="I1096" t="str">
        <x:v>Исправить ссылку или разрешить дубли связанного ID</x:v>
      </x:c>
      <x:c r="J1096" t="n">
        <x:f>IF(D1096=1,K1096,0)</x:f>
        <x:v>0</x:v>
      </x:c>
      <x:c r="K1096" t="n">
        <x:f>D1096+K1095</x:f>
        <x:v>13</x:v>
      </x:c>
    </x:row>
    <x:row r="1097">
      <x:c r="A1097" t="str">
        <x:v>Order</x:v>
      </x:c>
      <x:c r="B1097" t="n">
        <x:f>'04_checks'!B158</x:f>
        <x:v>1157</x:v>
      </x:c>
      <x:c r="C1097" t="n">
        <x:v>158</x:v>
      </x:c>
      <x:c r="D1097" t="n">
        <x:f>IF('04_checks'!F158="ERROR",1,0)</x:f>
        <x:v>0</x:v>
      </x:c>
      <x:c r="E1097" t="str">
        <x:v>Order:158:4</x:v>
      </x:c>
      <x:c r="F1097" t="str">
        <x:v>Ошибка расчета</x:v>
      </x:c>
      <x:c r="G1097" t="str">
        <x:v>High</x:v>
      </x:c>
      <x:c r="H1097" t="str">
        <x:v>quantity/price/order_sum</x:v>
      </x:c>
      <x:c r="I1097" t="str">
        <x:v>Сверить исходные значения и правило расчёта</x:v>
      </x:c>
      <x:c r="J1097" t="n">
        <x:f>IF(D1097=1,K1097,0)</x:f>
        <x:v>0</x:v>
      </x:c>
      <x:c r="K1097" t="n">
        <x:f>D1097+K1096</x:f>
        <x:v>13</x:v>
      </x:c>
    </x:row>
    <x:row r="1098">
      <x:c r="A1098" t="str">
        <x:v>Order</x:v>
      </x:c>
      <x:c r="B1098" t="n">
        <x:f>'04_checks'!B158</x:f>
        <x:v>1157</x:v>
      </x:c>
      <x:c r="C1098" t="n">
        <x:v>158</x:v>
      </x:c>
      <x:c r="D1098" t="n">
        <x:f>IF('04_checks'!G158="ERROR",1,0)</x:f>
        <x:v>0</x:v>
      </x:c>
      <x:c r="E1098" t="str">
        <x:v>Order:158:5</x:v>
      </x:c>
      <x:c r="F1098" t="str">
        <x:v>Отрицательная цена</x:v>
      </x:c>
      <x:c r="G1098" t="str">
        <x:v>High</x:v>
      </x:c>
      <x:c r="H1098" t="str">
        <x:v>price</x:v>
      </x:c>
      <x:c r="I1098" t="str">
        <x:v>Проверить цену в источнике</x:v>
      </x:c>
      <x:c r="J1098" t="n">
        <x:f>IF(D1098=1,K1098,0)</x:f>
        <x:v>0</x:v>
      </x:c>
      <x:c r="K1098" t="n">
        <x:f>D1098+K1097</x:f>
        <x:v>13</x:v>
      </x:c>
    </x:row>
    <x:row r="1099">
      <x:c r="A1099" t="str">
        <x:v>Order</x:v>
      </x:c>
      <x:c r="B1099" t="n">
        <x:f>'04_checks'!B158</x:f>
        <x:v>1157</x:v>
      </x:c>
      <x:c r="C1099" t="n">
        <x:v>158</x:v>
      </x:c>
      <x:c r="D1099" t="n">
        <x:f>IF('04_checks'!H158="ERROR",1,0)</x:f>
        <x:v>0</x:v>
      </x:c>
      <x:c r="E1099" t="str">
        <x:v>Order:158:6</x:v>
      </x:c>
      <x:c r="F1099" t="str">
        <x:v>Дата</x:v>
      </x:c>
      <x:c r="G1099" t="str">
        <x:v>Medium</x:v>
      </x:c>
      <x:c r="H1099" t="str">
        <x:v>order_date</x:v>
      </x:c>
      <x:c r="I1099" t="str">
        <x:v>Сверить дату со срезом и исходной записью</x:v>
      </x:c>
      <x:c r="J1099" t="n">
        <x:f>IF(D1099=1,K1099,0)</x:f>
        <x:v>0</x:v>
      </x:c>
      <x:c r="K1099" t="n">
        <x:f>D1099+K1098</x:f>
        <x:v>13</x:v>
      </x:c>
    </x:row>
    <x:row r="1100">
      <x:c r="A1100" t="str">
        <x:v>Order</x:v>
      </x:c>
      <x:c r="B1100" t="n">
        <x:f>'04_checks'!B158</x:f>
        <x:v>1157</x:v>
      </x:c>
      <x:c r="C1100" t="n">
        <x:v>158</x:v>
      </x:c>
      <x:c r="D1100" t="n">
        <x:f>IF('04_checks'!I158="ERROR",1,0)</x:f>
        <x:v>0</x:v>
      </x:c>
      <x:c r="E1100" t="str">
        <x:v>Order:158:7</x:v>
      </x:c>
      <x:c r="F1100" t="str">
        <x:v>Статус</x:v>
      </x:c>
      <x:c r="G1100" t="str">
        <x:v>Medium</x:v>
      </x:c>
      <x:c r="H1100" t="str">
        <x:v>status</x:v>
      </x:c>
      <x:c r="I1100" t="str">
        <x:v>Выбрать допустимый статус</x:v>
      </x:c>
      <x:c r="J1100" t="n">
        <x:f>IF(D1100=1,K1100,0)</x:f>
        <x:v>0</x:v>
      </x:c>
      <x:c r="K1100" t="n">
        <x:f>D1100+K1099</x:f>
        <x:v>13</x:v>
      </x:c>
    </x:row>
    <x:row r="1101">
      <x:c r="A1101" t="str">
        <x:v>Order</x:v>
      </x:c>
      <x:c r="B1101" t="n">
        <x:f>'04_checks'!B159</x:f>
        <x:v>1158</x:v>
      </x:c>
      <x:c r="C1101" t="n">
        <x:v>159</x:v>
      </x:c>
      <x:c r="D1101" t="n">
        <x:f>IF('04_checks'!C159="ERROR",1,0)</x:f>
        <x:v>0</x:v>
      </x:c>
      <x:c r="E1101" t="str">
        <x:v>Order:159:1</x:v>
      </x:c>
      <x:c r="F1101" t="str">
        <x:v>Дубль</x:v>
      </x:c>
      <x:c r="G1101" t="str">
        <x:v>High</x:v>
      </x:c>
      <x:c r="H1101" t="str">
        <x:v>order_id</x:v>
      </x:c>
      <x:c r="I1101" t="str">
        <x:v>Проверить уникальность ID в источнике; не удалять записи автоматически</x:v>
      </x:c>
      <x:c r="J1101" t="n">
        <x:f>IF(D1101=1,K1101,0)</x:f>
        <x:v>0</x:v>
      </x:c>
      <x:c r="K1101" t="n">
        <x:f>D1101+K1100</x:f>
        <x:v>13</x:v>
      </x:c>
    </x:row>
    <x:row r="1102">
      <x:c r="A1102" t="str">
        <x:v>Order</x:v>
      </x:c>
      <x:c r="B1102" t="n">
        <x:f>'04_checks'!B159</x:f>
        <x:v>1158</x:v>
      </x:c>
      <x:c r="C1102" t="n">
        <x:v>159</x:v>
      </x:c>
      <x:c r="D1102" t="n">
        <x:f>IF('04_checks'!D159="ERROR",1,0)</x:f>
        <x:v>0</x:v>
      </x:c>
      <x:c r="E1102" t="str">
        <x:v>Order:159:2</x:v>
      </x:c>
      <x:c r="F1102" t="str">
        <x:v>Пустое поле</x:v>
      </x:c>
      <x:c r="G1102" t="str">
        <x:v>High</x:v>
      </x:c>
      <x:c r="H1102" t="str">
        <x:v>required_fields</x:v>
      </x:c>
      <x:c r="I1102" t="str">
        <x:v>Дополнить обязательные поля в источнике</x:v>
      </x:c>
      <x:c r="J1102" t="n">
        <x:f>IF(D1102=1,K1102,0)</x:f>
        <x:v>0</x:v>
      </x:c>
      <x:c r="K1102" t="n">
        <x:f>D1102+K1101</x:f>
        <x:v>13</x:v>
      </x:c>
    </x:row>
    <x:row r="1103">
      <x:c r="A1103" t="str">
        <x:v>Order</x:v>
      </x:c>
      <x:c r="B1103" t="n">
        <x:f>'04_checks'!B159</x:f>
        <x:v>1158</x:v>
      </x:c>
      <x:c r="C1103" t="n">
        <x:v>159</x:v>
      </x:c>
      <x:c r="D1103" t="n">
        <x:f>IF('04_checks'!E159="ERROR",1,0)</x:f>
        <x:v>0</x:v>
      </x:c>
      <x:c r="E1103" t="str">
        <x:v>Order:159:3</x:v>
      </x:c>
      <x:c r="F1103" t="str">
        <x:f>IF(COUNTIF('02_clients_raw'!$A$2:$A$67,'01_orders_raw'!C159)&gt;1,"Неоднозначная связь","Нет связи")</x:f>
        <x:v>Нет связи</x:v>
      </x:c>
      <x:c r="G1103" t="str">
        <x:v>High</x:v>
      </x:c>
      <x:c r="H1103" t="str">
        <x:v>client_id</x:v>
      </x:c>
      <x:c r="I1103" t="str">
        <x:v>Исправить ссылку или разрешить дубли связанного ID</x:v>
      </x:c>
      <x:c r="J1103" t="n">
        <x:f>IF(D1103=1,K1103,0)</x:f>
        <x:v>0</x:v>
      </x:c>
      <x:c r="K1103" t="n">
        <x:f>D1103+K1102</x:f>
        <x:v>13</x:v>
      </x:c>
    </x:row>
    <x:row r="1104">
      <x:c r="A1104" t="str">
        <x:v>Order</x:v>
      </x:c>
      <x:c r="B1104" t="n">
        <x:f>'04_checks'!B159</x:f>
        <x:v>1158</x:v>
      </x:c>
      <x:c r="C1104" t="n">
        <x:v>159</x:v>
      </x:c>
      <x:c r="D1104" t="n">
        <x:f>IF('04_checks'!F159="ERROR",1,0)</x:f>
        <x:v>0</x:v>
      </x:c>
      <x:c r="E1104" t="str">
        <x:v>Order:159:4</x:v>
      </x:c>
      <x:c r="F1104" t="str">
        <x:v>Ошибка расчета</x:v>
      </x:c>
      <x:c r="G1104" t="str">
        <x:v>High</x:v>
      </x:c>
      <x:c r="H1104" t="str">
        <x:v>quantity/price/order_sum</x:v>
      </x:c>
      <x:c r="I1104" t="str">
        <x:v>Сверить исходные значения и правило расчёта</x:v>
      </x:c>
      <x:c r="J1104" t="n">
        <x:f>IF(D1104=1,K1104,0)</x:f>
        <x:v>0</x:v>
      </x:c>
      <x:c r="K1104" t="n">
        <x:f>D1104+K1103</x:f>
        <x:v>13</x:v>
      </x:c>
    </x:row>
    <x:row r="1105">
      <x:c r="A1105" t="str">
        <x:v>Order</x:v>
      </x:c>
      <x:c r="B1105" t="n">
        <x:f>'04_checks'!B159</x:f>
        <x:v>1158</x:v>
      </x:c>
      <x:c r="C1105" t="n">
        <x:v>159</x:v>
      </x:c>
      <x:c r="D1105" t="n">
        <x:f>IF('04_checks'!G159="ERROR",1,0)</x:f>
        <x:v>0</x:v>
      </x:c>
      <x:c r="E1105" t="str">
        <x:v>Order:159:5</x:v>
      </x:c>
      <x:c r="F1105" t="str">
        <x:v>Отрицательная цена</x:v>
      </x:c>
      <x:c r="G1105" t="str">
        <x:v>High</x:v>
      </x:c>
      <x:c r="H1105" t="str">
        <x:v>price</x:v>
      </x:c>
      <x:c r="I1105" t="str">
        <x:v>Проверить цену в источнике</x:v>
      </x:c>
      <x:c r="J1105" t="n">
        <x:f>IF(D1105=1,K1105,0)</x:f>
        <x:v>0</x:v>
      </x:c>
      <x:c r="K1105" t="n">
        <x:f>D1105+K1104</x:f>
        <x:v>13</x:v>
      </x:c>
    </x:row>
    <x:row r="1106">
      <x:c r="A1106" t="str">
        <x:v>Order</x:v>
      </x:c>
      <x:c r="B1106" t="n">
        <x:f>'04_checks'!B159</x:f>
        <x:v>1158</x:v>
      </x:c>
      <x:c r="C1106" t="n">
        <x:v>159</x:v>
      </x:c>
      <x:c r="D1106" t="n">
        <x:f>IF('04_checks'!H159="ERROR",1,0)</x:f>
        <x:v>0</x:v>
      </x:c>
      <x:c r="E1106" t="str">
        <x:v>Order:159:6</x:v>
      </x:c>
      <x:c r="F1106" t="str">
        <x:v>Дата</x:v>
      </x:c>
      <x:c r="G1106" t="str">
        <x:v>Medium</x:v>
      </x:c>
      <x:c r="H1106" t="str">
        <x:v>order_date</x:v>
      </x:c>
      <x:c r="I1106" t="str">
        <x:v>Сверить дату со срезом и исходной записью</x:v>
      </x:c>
      <x:c r="J1106" t="n">
        <x:f>IF(D1106=1,K1106,0)</x:f>
        <x:v>0</x:v>
      </x:c>
      <x:c r="K1106" t="n">
        <x:f>D1106+K1105</x:f>
        <x:v>13</x:v>
      </x:c>
    </x:row>
    <x:row r="1107">
      <x:c r="A1107" t="str">
        <x:v>Order</x:v>
      </x:c>
      <x:c r="B1107" t="n">
        <x:f>'04_checks'!B159</x:f>
        <x:v>1158</x:v>
      </x:c>
      <x:c r="C1107" t="n">
        <x:v>159</x:v>
      </x:c>
      <x:c r="D1107" t="n">
        <x:f>IF('04_checks'!I159="ERROR",1,0)</x:f>
        <x:v>0</x:v>
      </x:c>
      <x:c r="E1107" t="str">
        <x:v>Order:159:7</x:v>
      </x:c>
      <x:c r="F1107" t="str">
        <x:v>Статус</x:v>
      </x:c>
      <x:c r="G1107" t="str">
        <x:v>Medium</x:v>
      </x:c>
      <x:c r="H1107" t="str">
        <x:v>status</x:v>
      </x:c>
      <x:c r="I1107" t="str">
        <x:v>Выбрать допустимый статус</x:v>
      </x:c>
      <x:c r="J1107" t="n">
        <x:f>IF(D1107=1,K1107,0)</x:f>
        <x:v>0</x:v>
      </x:c>
      <x:c r="K1107" t="n">
        <x:f>D1107+K1106</x:f>
        <x:v>13</x:v>
      </x:c>
    </x:row>
    <x:row r="1108">
      <x:c r="A1108" t="str">
        <x:v>Order</x:v>
      </x:c>
      <x:c r="B1108" t="n">
        <x:f>'04_checks'!B160</x:f>
        <x:v>1159</x:v>
      </x:c>
      <x:c r="C1108" t="n">
        <x:v>160</x:v>
      </x:c>
      <x:c r="D1108" t="n">
        <x:f>IF('04_checks'!C160="ERROR",1,0)</x:f>
        <x:v>0</x:v>
      </x:c>
      <x:c r="E1108" t="str">
        <x:v>Order:160:1</x:v>
      </x:c>
      <x:c r="F1108" t="str">
        <x:v>Дубль</x:v>
      </x:c>
      <x:c r="G1108" t="str">
        <x:v>High</x:v>
      </x:c>
      <x:c r="H1108" t="str">
        <x:v>order_id</x:v>
      </x:c>
      <x:c r="I1108" t="str">
        <x:v>Проверить уникальность ID в источнике; не удалять записи автоматически</x:v>
      </x:c>
      <x:c r="J1108" t="n">
        <x:f>IF(D1108=1,K1108,0)</x:f>
        <x:v>0</x:v>
      </x:c>
      <x:c r="K1108" t="n">
        <x:f>D1108+K1107</x:f>
        <x:v>13</x:v>
      </x:c>
    </x:row>
    <x:row r="1109">
      <x:c r="A1109" t="str">
        <x:v>Order</x:v>
      </x:c>
      <x:c r="B1109" t="n">
        <x:f>'04_checks'!B160</x:f>
        <x:v>1159</x:v>
      </x:c>
      <x:c r="C1109" t="n">
        <x:v>160</x:v>
      </x:c>
      <x:c r="D1109" t="n">
        <x:f>IF('04_checks'!D160="ERROR",1,0)</x:f>
        <x:v>0</x:v>
      </x:c>
      <x:c r="E1109" t="str">
        <x:v>Order:160:2</x:v>
      </x:c>
      <x:c r="F1109" t="str">
        <x:v>Пустое поле</x:v>
      </x:c>
      <x:c r="G1109" t="str">
        <x:v>High</x:v>
      </x:c>
      <x:c r="H1109" t="str">
        <x:v>required_fields</x:v>
      </x:c>
      <x:c r="I1109" t="str">
        <x:v>Дополнить обязательные поля в источнике</x:v>
      </x:c>
      <x:c r="J1109" t="n">
        <x:f>IF(D1109=1,K1109,0)</x:f>
        <x:v>0</x:v>
      </x:c>
      <x:c r="K1109" t="n">
        <x:f>D1109+K1108</x:f>
        <x:v>13</x:v>
      </x:c>
    </x:row>
    <x:row r="1110">
      <x:c r="A1110" t="str">
        <x:v>Order</x:v>
      </x:c>
      <x:c r="B1110" t="n">
        <x:f>'04_checks'!B160</x:f>
        <x:v>1159</x:v>
      </x:c>
      <x:c r="C1110" t="n">
        <x:v>160</x:v>
      </x:c>
      <x:c r="D1110" t="n">
        <x:f>IF('04_checks'!E160="ERROR",1,0)</x:f>
        <x:v>0</x:v>
      </x:c>
      <x:c r="E1110" t="str">
        <x:v>Order:160:3</x:v>
      </x:c>
      <x:c r="F1110" t="str">
        <x:f>IF(COUNTIF('02_clients_raw'!$A$2:$A$67,'01_orders_raw'!C160)&gt;1,"Неоднозначная связь","Нет связи")</x:f>
        <x:v>Нет связи</x:v>
      </x:c>
      <x:c r="G1110" t="str">
        <x:v>High</x:v>
      </x:c>
      <x:c r="H1110" t="str">
        <x:v>client_id</x:v>
      </x:c>
      <x:c r="I1110" t="str">
        <x:v>Исправить ссылку или разрешить дубли связанного ID</x:v>
      </x:c>
      <x:c r="J1110" t="n">
        <x:f>IF(D1110=1,K1110,0)</x:f>
        <x:v>0</x:v>
      </x:c>
      <x:c r="K1110" t="n">
        <x:f>D1110+K1109</x:f>
        <x:v>13</x:v>
      </x:c>
    </x:row>
    <x:row r="1111">
      <x:c r="A1111" t="str">
        <x:v>Order</x:v>
      </x:c>
      <x:c r="B1111" t="n">
        <x:f>'04_checks'!B160</x:f>
        <x:v>1159</x:v>
      </x:c>
      <x:c r="C1111" t="n">
        <x:v>160</x:v>
      </x:c>
      <x:c r="D1111" t="n">
        <x:f>IF('04_checks'!F160="ERROR",1,0)</x:f>
        <x:v>0</x:v>
      </x:c>
      <x:c r="E1111" t="str">
        <x:v>Order:160:4</x:v>
      </x:c>
      <x:c r="F1111" t="str">
        <x:v>Ошибка расчета</x:v>
      </x:c>
      <x:c r="G1111" t="str">
        <x:v>High</x:v>
      </x:c>
      <x:c r="H1111" t="str">
        <x:v>quantity/price/order_sum</x:v>
      </x:c>
      <x:c r="I1111" t="str">
        <x:v>Сверить исходные значения и правило расчёта</x:v>
      </x:c>
      <x:c r="J1111" t="n">
        <x:f>IF(D1111=1,K1111,0)</x:f>
        <x:v>0</x:v>
      </x:c>
      <x:c r="K1111" t="n">
        <x:f>D1111+K1110</x:f>
        <x:v>13</x:v>
      </x:c>
    </x:row>
    <x:row r="1112">
      <x:c r="A1112" t="str">
        <x:v>Order</x:v>
      </x:c>
      <x:c r="B1112" t="n">
        <x:f>'04_checks'!B160</x:f>
        <x:v>1159</x:v>
      </x:c>
      <x:c r="C1112" t="n">
        <x:v>160</x:v>
      </x:c>
      <x:c r="D1112" t="n">
        <x:f>IF('04_checks'!G160="ERROR",1,0)</x:f>
        <x:v>0</x:v>
      </x:c>
      <x:c r="E1112" t="str">
        <x:v>Order:160:5</x:v>
      </x:c>
      <x:c r="F1112" t="str">
        <x:v>Отрицательная цена</x:v>
      </x:c>
      <x:c r="G1112" t="str">
        <x:v>High</x:v>
      </x:c>
      <x:c r="H1112" t="str">
        <x:v>price</x:v>
      </x:c>
      <x:c r="I1112" t="str">
        <x:v>Проверить цену в источнике</x:v>
      </x:c>
      <x:c r="J1112" t="n">
        <x:f>IF(D1112=1,K1112,0)</x:f>
        <x:v>0</x:v>
      </x:c>
      <x:c r="K1112" t="n">
        <x:f>D1112+K1111</x:f>
        <x:v>13</x:v>
      </x:c>
    </x:row>
    <x:row r="1113">
      <x:c r="A1113" t="str">
        <x:v>Order</x:v>
      </x:c>
      <x:c r="B1113" t="n">
        <x:f>'04_checks'!B160</x:f>
        <x:v>1159</x:v>
      </x:c>
      <x:c r="C1113" t="n">
        <x:v>160</x:v>
      </x:c>
      <x:c r="D1113" t="n">
        <x:f>IF('04_checks'!H160="ERROR",1,0)</x:f>
        <x:v>0</x:v>
      </x:c>
      <x:c r="E1113" t="str">
        <x:v>Order:160:6</x:v>
      </x:c>
      <x:c r="F1113" t="str">
        <x:v>Дата</x:v>
      </x:c>
      <x:c r="G1113" t="str">
        <x:v>Medium</x:v>
      </x:c>
      <x:c r="H1113" t="str">
        <x:v>order_date</x:v>
      </x:c>
      <x:c r="I1113" t="str">
        <x:v>Сверить дату со срезом и исходной записью</x:v>
      </x:c>
      <x:c r="J1113" t="n">
        <x:f>IF(D1113=1,K1113,0)</x:f>
        <x:v>0</x:v>
      </x:c>
      <x:c r="K1113" t="n">
        <x:f>D1113+K1112</x:f>
        <x:v>13</x:v>
      </x:c>
    </x:row>
    <x:row r="1114">
      <x:c r="A1114" t="str">
        <x:v>Order</x:v>
      </x:c>
      <x:c r="B1114" t="n">
        <x:f>'04_checks'!B160</x:f>
        <x:v>1159</x:v>
      </x:c>
      <x:c r="C1114" t="n">
        <x:v>160</x:v>
      </x:c>
      <x:c r="D1114" t="n">
        <x:f>IF('04_checks'!I160="ERROR",1,0)</x:f>
        <x:v>0</x:v>
      </x:c>
      <x:c r="E1114" t="str">
        <x:v>Order:160:7</x:v>
      </x:c>
      <x:c r="F1114" t="str">
        <x:v>Статус</x:v>
      </x:c>
      <x:c r="G1114" t="str">
        <x:v>Medium</x:v>
      </x:c>
      <x:c r="H1114" t="str">
        <x:v>status</x:v>
      </x:c>
      <x:c r="I1114" t="str">
        <x:v>Выбрать допустимый статус</x:v>
      </x:c>
      <x:c r="J1114" t="n">
        <x:f>IF(D1114=1,K1114,0)</x:f>
        <x:v>0</x:v>
      </x:c>
      <x:c r="K1114" t="n">
        <x:f>D1114+K1113</x:f>
        <x:v>13</x:v>
      </x:c>
    </x:row>
    <x:row r="1115">
      <x:c r="A1115" t="str">
        <x:v>Order</x:v>
      </x:c>
      <x:c r="B1115" t="n">
        <x:f>'04_checks'!B161</x:f>
        <x:v>1160</x:v>
      </x:c>
      <x:c r="C1115" t="n">
        <x:v>161</x:v>
      </x:c>
      <x:c r="D1115" t="n">
        <x:f>IF('04_checks'!C161="ERROR",1,0)</x:f>
        <x:v>0</x:v>
      </x:c>
      <x:c r="E1115" t="str">
        <x:v>Order:161:1</x:v>
      </x:c>
      <x:c r="F1115" t="str">
        <x:v>Дубль</x:v>
      </x:c>
      <x:c r="G1115" t="str">
        <x:v>High</x:v>
      </x:c>
      <x:c r="H1115" t="str">
        <x:v>order_id</x:v>
      </x:c>
      <x:c r="I1115" t="str">
        <x:v>Проверить уникальность ID в источнике; не удалять записи автоматически</x:v>
      </x:c>
      <x:c r="J1115" t="n">
        <x:f>IF(D1115=1,K1115,0)</x:f>
        <x:v>0</x:v>
      </x:c>
      <x:c r="K1115" t="n">
        <x:f>D1115+K1114</x:f>
        <x:v>13</x:v>
      </x:c>
    </x:row>
    <x:row r="1116">
      <x:c r="A1116" t="str">
        <x:v>Order</x:v>
      </x:c>
      <x:c r="B1116" t="n">
        <x:f>'04_checks'!B161</x:f>
        <x:v>1160</x:v>
      </x:c>
      <x:c r="C1116" t="n">
        <x:v>161</x:v>
      </x:c>
      <x:c r="D1116" t="n">
        <x:f>IF('04_checks'!D161="ERROR",1,0)</x:f>
        <x:v>0</x:v>
      </x:c>
      <x:c r="E1116" t="str">
        <x:v>Order:161:2</x:v>
      </x:c>
      <x:c r="F1116" t="str">
        <x:v>Пустое поле</x:v>
      </x:c>
      <x:c r="G1116" t="str">
        <x:v>High</x:v>
      </x:c>
      <x:c r="H1116" t="str">
        <x:v>required_fields</x:v>
      </x:c>
      <x:c r="I1116" t="str">
        <x:v>Дополнить обязательные поля в источнике</x:v>
      </x:c>
      <x:c r="J1116" t="n">
        <x:f>IF(D1116=1,K1116,0)</x:f>
        <x:v>0</x:v>
      </x:c>
      <x:c r="K1116" t="n">
        <x:f>D1116+K1115</x:f>
        <x:v>13</x:v>
      </x:c>
    </x:row>
    <x:row r="1117">
      <x:c r="A1117" t="str">
        <x:v>Order</x:v>
      </x:c>
      <x:c r="B1117" t="n">
        <x:f>'04_checks'!B161</x:f>
        <x:v>1160</x:v>
      </x:c>
      <x:c r="C1117" t="n">
        <x:v>161</x:v>
      </x:c>
      <x:c r="D1117" t="n">
        <x:f>IF('04_checks'!E161="ERROR",1,0)</x:f>
        <x:v>0</x:v>
      </x:c>
      <x:c r="E1117" t="str">
        <x:v>Order:161:3</x:v>
      </x:c>
      <x:c r="F1117" t="str">
        <x:f>IF(COUNTIF('02_clients_raw'!$A$2:$A$67,'01_orders_raw'!C161)&gt;1,"Неоднозначная связь","Нет связи")</x:f>
        <x:v>Нет связи</x:v>
      </x:c>
      <x:c r="G1117" t="str">
        <x:v>High</x:v>
      </x:c>
      <x:c r="H1117" t="str">
        <x:v>client_id</x:v>
      </x:c>
      <x:c r="I1117" t="str">
        <x:v>Исправить ссылку или разрешить дубли связанного ID</x:v>
      </x:c>
      <x:c r="J1117" t="n">
        <x:f>IF(D1117=1,K1117,0)</x:f>
        <x:v>0</x:v>
      </x:c>
      <x:c r="K1117" t="n">
        <x:f>D1117+K1116</x:f>
        <x:v>13</x:v>
      </x:c>
    </x:row>
    <x:row r="1118">
      <x:c r="A1118" t="str">
        <x:v>Order</x:v>
      </x:c>
      <x:c r="B1118" t="n">
        <x:f>'04_checks'!B161</x:f>
        <x:v>1160</x:v>
      </x:c>
      <x:c r="C1118" t="n">
        <x:v>161</x:v>
      </x:c>
      <x:c r="D1118" t="n">
        <x:f>IF('04_checks'!F161="ERROR",1,0)</x:f>
        <x:v>0</x:v>
      </x:c>
      <x:c r="E1118" t="str">
        <x:v>Order:161:4</x:v>
      </x:c>
      <x:c r="F1118" t="str">
        <x:v>Ошибка расчета</x:v>
      </x:c>
      <x:c r="G1118" t="str">
        <x:v>High</x:v>
      </x:c>
      <x:c r="H1118" t="str">
        <x:v>quantity/price/order_sum</x:v>
      </x:c>
      <x:c r="I1118" t="str">
        <x:v>Сверить исходные значения и правило расчёта</x:v>
      </x:c>
      <x:c r="J1118" t="n">
        <x:f>IF(D1118=1,K1118,0)</x:f>
        <x:v>0</x:v>
      </x:c>
      <x:c r="K1118" t="n">
        <x:f>D1118+K1117</x:f>
        <x:v>13</x:v>
      </x:c>
    </x:row>
    <x:row r="1119">
      <x:c r="A1119" t="str">
        <x:v>Order</x:v>
      </x:c>
      <x:c r="B1119" t="n">
        <x:f>'04_checks'!B161</x:f>
        <x:v>1160</x:v>
      </x:c>
      <x:c r="C1119" t="n">
        <x:v>161</x:v>
      </x:c>
      <x:c r="D1119" t="n">
        <x:f>IF('04_checks'!G161="ERROR",1,0)</x:f>
        <x:v>0</x:v>
      </x:c>
      <x:c r="E1119" t="str">
        <x:v>Order:161:5</x:v>
      </x:c>
      <x:c r="F1119" t="str">
        <x:v>Отрицательная цена</x:v>
      </x:c>
      <x:c r="G1119" t="str">
        <x:v>High</x:v>
      </x:c>
      <x:c r="H1119" t="str">
        <x:v>price</x:v>
      </x:c>
      <x:c r="I1119" t="str">
        <x:v>Проверить цену в источнике</x:v>
      </x:c>
      <x:c r="J1119" t="n">
        <x:f>IF(D1119=1,K1119,0)</x:f>
        <x:v>0</x:v>
      </x:c>
      <x:c r="K1119" t="n">
        <x:f>D1119+K1118</x:f>
        <x:v>13</x:v>
      </x:c>
    </x:row>
    <x:row r="1120">
      <x:c r="A1120" t="str">
        <x:v>Order</x:v>
      </x:c>
      <x:c r="B1120" t="n">
        <x:f>'04_checks'!B161</x:f>
        <x:v>1160</x:v>
      </x:c>
      <x:c r="C1120" t="n">
        <x:v>161</x:v>
      </x:c>
      <x:c r="D1120" t="n">
        <x:f>IF('04_checks'!H161="ERROR",1,0)</x:f>
        <x:v>0</x:v>
      </x:c>
      <x:c r="E1120" t="str">
        <x:v>Order:161:6</x:v>
      </x:c>
      <x:c r="F1120" t="str">
        <x:v>Дата</x:v>
      </x:c>
      <x:c r="G1120" t="str">
        <x:v>Medium</x:v>
      </x:c>
      <x:c r="H1120" t="str">
        <x:v>order_date</x:v>
      </x:c>
      <x:c r="I1120" t="str">
        <x:v>Сверить дату со срезом и исходной записью</x:v>
      </x:c>
      <x:c r="J1120" t="n">
        <x:f>IF(D1120=1,K1120,0)</x:f>
        <x:v>0</x:v>
      </x:c>
      <x:c r="K1120" t="n">
        <x:f>D1120+K1119</x:f>
        <x:v>13</x:v>
      </x:c>
    </x:row>
    <x:row r="1121">
      <x:c r="A1121" t="str">
        <x:v>Order</x:v>
      </x:c>
      <x:c r="B1121" t="n">
        <x:f>'04_checks'!B161</x:f>
        <x:v>1160</x:v>
      </x:c>
      <x:c r="C1121" t="n">
        <x:v>161</x:v>
      </x:c>
      <x:c r="D1121" t="n">
        <x:f>IF('04_checks'!I161="ERROR",1,0)</x:f>
        <x:v>0</x:v>
      </x:c>
      <x:c r="E1121" t="str">
        <x:v>Order:161:7</x:v>
      </x:c>
      <x:c r="F1121" t="str">
        <x:v>Статус</x:v>
      </x:c>
      <x:c r="G1121" t="str">
        <x:v>Medium</x:v>
      </x:c>
      <x:c r="H1121" t="str">
        <x:v>status</x:v>
      </x:c>
      <x:c r="I1121" t="str">
        <x:v>Выбрать допустимый статус</x:v>
      </x:c>
      <x:c r="J1121" t="n">
        <x:f>IF(D1121=1,K1121,0)</x:f>
        <x:v>0</x:v>
      </x:c>
      <x:c r="K1121" t="n">
        <x:f>D1121+K1120</x:f>
        <x:v>13</x:v>
      </x:c>
    </x:row>
    <x:row r="1122">
      <x:c r="A1122" t="str">
        <x:v>Order</x:v>
      </x:c>
      <x:c r="B1122" t="str">
        <x:f>'04_checks'!B162</x:f>
      </x:c>
      <x:c r="C1122" t="n">
        <x:v>162</x:v>
      </x:c>
      <x:c r="D1122" t="n">
        <x:f>IF('04_checks'!C162="ERROR",1,0)</x:f>
        <x:v>0</x:v>
      </x:c>
      <x:c r="E1122" t="str">
        <x:v>Order:162:1</x:v>
      </x:c>
      <x:c r="F1122" t="str">
        <x:v>Дубль</x:v>
      </x:c>
      <x:c r="G1122" t="str">
        <x:v>High</x:v>
      </x:c>
      <x:c r="H1122" t="str">
        <x:v>order_id</x:v>
      </x:c>
      <x:c r="I1122" t="str">
        <x:v>Проверить уникальность ID в источнике; не удалять записи автоматически</x:v>
      </x:c>
      <x:c r="J1122" t="n">
        <x:f>IF(D1122=1,K1122,0)</x:f>
        <x:v>0</x:v>
      </x:c>
      <x:c r="K1122" t="n">
        <x:f>D1122+K1121</x:f>
        <x:v>13</x:v>
      </x:c>
    </x:row>
    <x:row r="1123">
      <x:c r="A1123" t="str">
        <x:v>Order</x:v>
      </x:c>
      <x:c r="B1123" t="str">
        <x:f>'04_checks'!B162</x:f>
      </x:c>
      <x:c r="C1123" t="n">
        <x:v>162</x:v>
      </x:c>
      <x:c r="D1123" t="n">
        <x:f>IF('04_checks'!D162="ERROR",1,0)</x:f>
        <x:v>0</x:v>
      </x:c>
      <x:c r="E1123" t="str">
        <x:v>Order:162:2</x:v>
      </x:c>
      <x:c r="F1123" t="str">
        <x:v>Пустое поле</x:v>
      </x:c>
      <x:c r="G1123" t="str">
        <x:v>High</x:v>
      </x:c>
      <x:c r="H1123" t="str">
        <x:v>required_fields</x:v>
      </x:c>
      <x:c r="I1123" t="str">
        <x:v>Дополнить обязательные поля в источнике</x:v>
      </x:c>
      <x:c r="J1123" t="n">
        <x:f>IF(D1123=1,K1123,0)</x:f>
        <x:v>0</x:v>
      </x:c>
      <x:c r="K1123" t="n">
        <x:f>D1123+K1122</x:f>
        <x:v>13</x:v>
      </x:c>
    </x:row>
    <x:row r="1124">
      <x:c r="A1124" t="str">
        <x:v>Order</x:v>
      </x:c>
      <x:c r="B1124" t="str">
        <x:f>'04_checks'!B162</x:f>
      </x:c>
      <x:c r="C1124" t="n">
        <x:v>162</x:v>
      </x:c>
      <x:c r="D1124" t="n">
        <x:f>IF('04_checks'!E162="ERROR",1,0)</x:f>
        <x:v>0</x:v>
      </x:c>
      <x:c r="E1124" t="str">
        <x:v>Order:162:3</x:v>
      </x:c>
      <x:c r="F1124" t="str">
        <x:f>IF(COUNTIF('02_clients_raw'!$A$2:$A$67,'01_orders_raw'!C162)&gt;1,"Неоднозначная связь","Нет связи")</x:f>
        <x:v>Нет связи</x:v>
      </x:c>
      <x:c r="G1124" t="str">
        <x:v>High</x:v>
      </x:c>
      <x:c r="H1124" t="str">
        <x:v>client_id</x:v>
      </x:c>
      <x:c r="I1124" t="str">
        <x:v>Исправить ссылку или разрешить дубли связанного ID</x:v>
      </x:c>
      <x:c r="J1124" t="n">
        <x:f>IF(D1124=1,K1124,0)</x:f>
        <x:v>0</x:v>
      </x:c>
      <x:c r="K1124" t="n">
        <x:f>D1124+K1123</x:f>
        <x:v>13</x:v>
      </x:c>
    </x:row>
    <x:row r="1125">
      <x:c r="A1125" t="str">
        <x:v>Order</x:v>
      </x:c>
      <x:c r="B1125" t="str">
        <x:f>'04_checks'!B162</x:f>
      </x:c>
      <x:c r="C1125" t="n">
        <x:v>162</x:v>
      </x:c>
      <x:c r="D1125" t="n">
        <x:f>IF('04_checks'!F162="ERROR",1,0)</x:f>
        <x:v>0</x:v>
      </x:c>
      <x:c r="E1125" t="str">
        <x:v>Order:162:4</x:v>
      </x:c>
      <x:c r="F1125" t="str">
        <x:v>Ошибка расчета</x:v>
      </x:c>
      <x:c r="G1125" t="str">
        <x:v>High</x:v>
      </x:c>
      <x:c r="H1125" t="str">
        <x:v>quantity/price/order_sum</x:v>
      </x:c>
      <x:c r="I1125" t="str">
        <x:v>Сверить исходные значения и правило расчёта</x:v>
      </x:c>
      <x:c r="J1125" t="n">
        <x:f>IF(D1125=1,K1125,0)</x:f>
        <x:v>0</x:v>
      </x:c>
      <x:c r="K1125" t="n">
        <x:f>D1125+K1124</x:f>
        <x:v>13</x:v>
      </x:c>
    </x:row>
    <x:row r="1126">
      <x:c r="A1126" t="str">
        <x:v>Order</x:v>
      </x:c>
      <x:c r="B1126" t="str">
        <x:f>'04_checks'!B162</x:f>
      </x:c>
      <x:c r="C1126" t="n">
        <x:v>162</x:v>
      </x:c>
      <x:c r="D1126" t="n">
        <x:f>IF('04_checks'!G162="ERROR",1,0)</x:f>
        <x:v>0</x:v>
      </x:c>
      <x:c r="E1126" t="str">
        <x:v>Order:162:5</x:v>
      </x:c>
      <x:c r="F1126" t="str">
        <x:v>Отрицательная цена</x:v>
      </x:c>
      <x:c r="G1126" t="str">
        <x:v>High</x:v>
      </x:c>
      <x:c r="H1126" t="str">
        <x:v>price</x:v>
      </x:c>
      <x:c r="I1126" t="str">
        <x:v>Проверить цену в источнике</x:v>
      </x:c>
      <x:c r="J1126" t="n">
        <x:f>IF(D1126=1,K1126,0)</x:f>
        <x:v>0</x:v>
      </x:c>
      <x:c r="K1126" t="n">
        <x:f>D1126+K1125</x:f>
        <x:v>13</x:v>
      </x:c>
    </x:row>
    <x:row r="1127">
      <x:c r="A1127" t="str">
        <x:v>Order</x:v>
      </x:c>
      <x:c r="B1127" t="str">
        <x:f>'04_checks'!B162</x:f>
      </x:c>
      <x:c r="C1127" t="n">
        <x:v>162</x:v>
      </x:c>
      <x:c r="D1127" t="n">
        <x:f>IF('04_checks'!H162="ERROR",1,0)</x:f>
        <x:v>0</x:v>
      </x:c>
      <x:c r="E1127" t="str">
        <x:v>Order:162:6</x:v>
      </x:c>
      <x:c r="F1127" t="str">
        <x:v>Дата</x:v>
      </x:c>
      <x:c r="G1127" t="str">
        <x:v>Medium</x:v>
      </x:c>
      <x:c r="H1127" t="str">
        <x:v>order_date</x:v>
      </x:c>
      <x:c r="I1127" t="str">
        <x:v>Сверить дату со срезом и исходной записью</x:v>
      </x:c>
      <x:c r="J1127" t="n">
        <x:f>IF(D1127=1,K1127,0)</x:f>
        <x:v>0</x:v>
      </x:c>
      <x:c r="K1127" t="n">
        <x:f>D1127+K1126</x:f>
        <x:v>13</x:v>
      </x:c>
    </x:row>
    <x:row r="1128">
      <x:c r="A1128" t="str">
        <x:v>Order</x:v>
      </x:c>
      <x:c r="B1128" t="str">
        <x:f>'04_checks'!B162</x:f>
      </x:c>
      <x:c r="C1128" t="n">
        <x:v>162</x:v>
      </x:c>
      <x:c r="D1128" t="n">
        <x:f>IF('04_checks'!I162="ERROR",1,0)</x:f>
        <x:v>0</x:v>
      </x:c>
      <x:c r="E1128" t="str">
        <x:v>Order:162:7</x:v>
      </x:c>
      <x:c r="F1128" t="str">
        <x:v>Статус</x:v>
      </x:c>
      <x:c r="G1128" t="str">
        <x:v>Medium</x:v>
      </x:c>
      <x:c r="H1128" t="str">
        <x:v>status</x:v>
      </x:c>
      <x:c r="I1128" t="str">
        <x:v>Выбрать допустимый статус</x:v>
      </x:c>
      <x:c r="J1128" t="n">
        <x:f>IF(D1128=1,K1128,0)</x:f>
        <x:v>0</x:v>
      </x:c>
      <x:c r="K1128" t="n">
        <x:f>D1128+K1127</x:f>
        <x:v>13</x:v>
      </x:c>
    </x:row>
    <x:row r="1129">
      <x:c r="A1129" t="str">
        <x:v>Order</x:v>
      </x:c>
      <x:c r="B1129" t="str">
        <x:f>'04_checks'!B163</x:f>
      </x:c>
      <x:c r="C1129" t="n">
        <x:v>163</x:v>
      </x:c>
      <x:c r="D1129" t="n">
        <x:f>IF('04_checks'!C163="ERROR",1,0)</x:f>
        <x:v>0</x:v>
      </x:c>
      <x:c r="E1129" t="str">
        <x:v>Order:163:1</x:v>
      </x:c>
      <x:c r="F1129" t="str">
        <x:v>Дубль</x:v>
      </x:c>
      <x:c r="G1129" t="str">
        <x:v>High</x:v>
      </x:c>
      <x:c r="H1129" t="str">
        <x:v>order_id</x:v>
      </x:c>
      <x:c r="I1129" t="str">
        <x:v>Проверить уникальность ID в источнике; не удалять записи автоматически</x:v>
      </x:c>
      <x:c r="J1129" t="n">
        <x:f>IF(D1129=1,K1129,0)</x:f>
        <x:v>0</x:v>
      </x:c>
      <x:c r="K1129" t="n">
        <x:f>D1129+K1128</x:f>
        <x:v>13</x:v>
      </x:c>
    </x:row>
    <x:row r="1130">
      <x:c r="A1130" t="str">
        <x:v>Order</x:v>
      </x:c>
      <x:c r="B1130" t="str">
        <x:f>'04_checks'!B163</x:f>
      </x:c>
      <x:c r="C1130" t="n">
        <x:v>163</x:v>
      </x:c>
      <x:c r="D1130" t="n">
        <x:f>IF('04_checks'!D163="ERROR",1,0)</x:f>
        <x:v>0</x:v>
      </x:c>
      <x:c r="E1130" t="str">
        <x:v>Order:163:2</x:v>
      </x:c>
      <x:c r="F1130" t="str">
        <x:v>Пустое поле</x:v>
      </x:c>
      <x:c r="G1130" t="str">
        <x:v>High</x:v>
      </x:c>
      <x:c r="H1130" t="str">
        <x:v>required_fields</x:v>
      </x:c>
      <x:c r="I1130" t="str">
        <x:v>Дополнить обязательные поля в источнике</x:v>
      </x:c>
      <x:c r="J1130" t="n">
        <x:f>IF(D1130=1,K1130,0)</x:f>
        <x:v>0</x:v>
      </x:c>
      <x:c r="K1130" t="n">
        <x:f>D1130+K1129</x:f>
        <x:v>13</x:v>
      </x:c>
    </x:row>
    <x:row r="1131">
      <x:c r="A1131" t="str">
        <x:v>Order</x:v>
      </x:c>
      <x:c r="B1131" t="str">
        <x:f>'04_checks'!B163</x:f>
      </x:c>
      <x:c r="C1131" t="n">
        <x:v>163</x:v>
      </x:c>
      <x:c r="D1131" t="n">
        <x:f>IF('04_checks'!E163="ERROR",1,0)</x:f>
        <x:v>0</x:v>
      </x:c>
      <x:c r="E1131" t="str">
        <x:v>Order:163:3</x:v>
      </x:c>
      <x:c r="F1131" t="str">
        <x:f>IF(COUNTIF('02_clients_raw'!$A$2:$A$67,'01_orders_raw'!C163)&gt;1,"Неоднозначная связь","Нет связи")</x:f>
        <x:v>Нет связи</x:v>
      </x:c>
      <x:c r="G1131" t="str">
        <x:v>High</x:v>
      </x:c>
      <x:c r="H1131" t="str">
        <x:v>client_id</x:v>
      </x:c>
      <x:c r="I1131" t="str">
        <x:v>Исправить ссылку или разрешить дубли связанного ID</x:v>
      </x:c>
      <x:c r="J1131" t="n">
        <x:f>IF(D1131=1,K1131,0)</x:f>
        <x:v>0</x:v>
      </x:c>
      <x:c r="K1131" t="n">
        <x:f>D1131+K1130</x:f>
        <x:v>13</x:v>
      </x:c>
    </x:row>
    <x:row r="1132">
      <x:c r="A1132" t="str">
        <x:v>Order</x:v>
      </x:c>
      <x:c r="B1132" t="str">
        <x:f>'04_checks'!B163</x:f>
      </x:c>
      <x:c r="C1132" t="n">
        <x:v>163</x:v>
      </x:c>
      <x:c r="D1132" t="n">
        <x:f>IF('04_checks'!F163="ERROR",1,0)</x:f>
        <x:v>0</x:v>
      </x:c>
      <x:c r="E1132" t="str">
        <x:v>Order:163:4</x:v>
      </x:c>
      <x:c r="F1132" t="str">
        <x:v>Ошибка расчета</x:v>
      </x:c>
      <x:c r="G1132" t="str">
        <x:v>High</x:v>
      </x:c>
      <x:c r="H1132" t="str">
        <x:v>quantity/price/order_sum</x:v>
      </x:c>
      <x:c r="I1132" t="str">
        <x:v>Сверить исходные значения и правило расчёта</x:v>
      </x:c>
      <x:c r="J1132" t="n">
        <x:f>IF(D1132=1,K1132,0)</x:f>
        <x:v>0</x:v>
      </x:c>
      <x:c r="K1132" t="n">
        <x:f>D1132+K1131</x:f>
        <x:v>13</x:v>
      </x:c>
    </x:row>
    <x:row r="1133">
      <x:c r="A1133" t="str">
        <x:v>Order</x:v>
      </x:c>
      <x:c r="B1133" t="str">
        <x:f>'04_checks'!B163</x:f>
      </x:c>
      <x:c r="C1133" t="n">
        <x:v>163</x:v>
      </x:c>
      <x:c r="D1133" t="n">
        <x:f>IF('04_checks'!G163="ERROR",1,0)</x:f>
        <x:v>0</x:v>
      </x:c>
      <x:c r="E1133" t="str">
        <x:v>Order:163:5</x:v>
      </x:c>
      <x:c r="F1133" t="str">
        <x:v>Отрицательная цена</x:v>
      </x:c>
      <x:c r="G1133" t="str">
        <x:v>High</x:v>
      </x:c>
      <x:c r="H1133" t="str">
        <x:v>price</x:v>
      </x:c>
      <x:c r="I1133" t="str">
        <x:v>Проверить цену в источнике</x:v>
      </x:c>
      <x:c r="J1133" t="n">
        <x:f>IF(D1133=1,K1133,0)</x:f>
        <x:v>0</x:v>
      </x:c>
      <x:c r="K1133" t="n">
        <x:f>D1133+K1132</x:f>
        <x:v>13</x:v>
      </x:c>
    </x:row>
    <x:row r="1134">
      <x:c r="A1134" t="str">
        <x:v>Order</x:v>
      </x:c>
      <x:c r="B1134" t="str">
        <x:f>'04_checks'!B163</x:f>
      </x:c>
      <x:c r="C1134" t="n">
        <x:v>163</x:v>
      </x:c>
      <x:c r="D1134" t="n">
        <x:f>IF('04_checks'!H163="ERROR",1,0)</x:f>
        <x:v>0</x:v>
      </x:c>
      <x:c r="E1134" t="str">
        <x:v>Order:163:6</x:v>
      </x:c>
      <x:c r="F1134" t="str">
        <x:v>Дата</x:v>
      </x:c>
      <x:c r="G1134" t="str">
        <x:v>Medium</x:v>
      </x:c>
      <x:c r="H1134" t="str">
        <x:v>order_date</x:v>
      </x:c>
      <x:c r="I1134" t="str">
        <x:v>Сверить дату со срезом и исходной записью</x:v>
      </x:c>
      <x:c r="J1134" t="n">
        <x:f>IF(D1134=1,K1134,0)</x:f>
        <x:v>0</x:v>
      </x:c>
      <x:c r="K1134" t="n">
        <x:f>D1134+K1133</x:f>
        <x:v>13</x:v>
      </x:c>
    </x:row>
    <x:row r="1135">
      <x:c r="A1135" t="str">
        <x:v>Order</x:v>
      </x:c>
      <x:c r="B1135" t="str">
        <x:f>'04_checks'!B163</x:f>
      </x:c>
      <x:c r="C1135" t="n">
        <x:v>163</x:v>
      </x:c>
      <x:c r="D1135" t="n">
        <x:f>IF('04_checks'!I163="ERROR",1,0)</x:f>
        <x:v>0</x:v>
      </x:c>
      <x:c r="E1135" t="str">
        <x:v>Order:163:7</x:v>
      </x:c>
      <x:c r="F1135" t="str">
        <x:v>Статус</x:v>
      </x:c>
      <x:c r="G1135" t="str">
        <x:v>Medium</x:v>
      </x:c>
      <x:c r="H1135" t="str">
        <x:v>status</x:v>
      </x:c>
      <x:c r="I1135" t="str">
        <x:v>Выбрать допустимый статус</x:v>
      </x:c>
      <x:c r="J1135" t="n">
        <x:f>IF(D1135=1,K1135,0)</x:f>
        <x:v>0</x:v>
      </x:c>
      <x:c r="K1135" t="n">
        <x:f>D1135+K1134</x:f>
        <x:v>13</x:v>
      </x:c>
    </x:row>
    <x:row r="1136">
      <x:c r="A1136" t="str">
        <x:v>Order</x:v>
      </x:c>
      <x:c r="B1136" t="str">
        <x:f>'04_checks'!B164</x:f>
      </x:c>
      <x:c r="C1136" t="n">
        <x:v>164</x:v>
      </x:c>
      <x:c r="D1136" t="n">
        <x:f>IF('04_checks'!C164="ERROR",1,0)</x:f>
        <x:v>0</x:v>
      </x:c>
      <x:c r="E1136" t="str">
        <x:v>Order:164:1</x:v>
      </x:c>
      <x:c r="F1136" t="str">
        <x:v>Дубль</x:v>
      </x:c>
      <x:c r="G1136" t="str">
        <x:v>High</x:v>
      </x:c>
      <x:c r="H1136" t="str">
        <x:v>order_id</x:v>
      </x:c>
      <x:c r="I1136" t="str">
        <x:v>Проверить уникальность ID в источнике; не удалять записи автоматически</x:v>
      </x:c>
      <x:c r="J1136" t="n">
        <x:f>IF(D1136=1,K1136,0)</x:f>
        <x:v>0</x:v>
      </x:c>
      <x:c r="K1136" t="n">
        <x:f>D1136+K1135</x:f>
        <x:v>13</x:v>
      </x:c>
    </x:row>
    <x:row r="1137">
      <x:c r="A1137" t="str">
        <x:v>Order</x:v>
      </x:c>
      <x:c r="B1137" t="str">
        <x:f>'04_checks'!B164</x:f>
      </x:c>
      <x:c r="C1137" t="n">
        <x:v>164</x:v>
      </x:c>
      <x:c r="D1137" t="n">
        <x:f>IF('04_checks'!D164="ERROR",1,0)</x:f>
        <x:v>0</x:v>
      </x:c>
      <x:c r="E1137" t="str">
        <x:v>Order:164:2</x:v>
      </x:c>
      <x:c r="F1137" t="str">
        <x:v>Пустое поле</x:v>
      </x:c>
      <x:c r="G1137" t="str">
        <x:v>High</x:v>
      </x:c>
      <x:c r="H1137" t="str">
        <x:v>required_fields</x:v>
      </x:c>
      <x:c r="I1137" t="str">
        <x:v>Дополнить обязательные поля в источнике</x:v>
      </x:c>
      <x:c r="J1137" t="n">
        <x:f>IF(D1137=1,K1137,0)</x:f>
        <x:v>0</x:v>
      </x:c>
      <x:c r="K1137" t="n">
        <x:f>D1137+K1136</x:f>
        <x:v>13</x:v>
      </x:c>
    </x:row>
    <x:row r="1138">
      <x:c r="A1138" t="str">
        <x:v>Order</x:v>
      </x:c>
      <x:c r="B1138" t="str">
        <x:f>'04_checks'!B164</x:f>
      </x:c>
      <x:c r="C1138" t="n">
        <x:v>164</x:v>
      </x:c>
      <x:c r="D1138" t="n">
        <x:f>IF('04_checks'!E164="ERROR",1,0)</x:f>
        <x:v>0</x:v>
      </x:c>
      <x:c r="E1138" t="str">
        <x:v>Order:164:3</x:v>
      </x:c>
      <x:c r="F1138" t="str">
        <x:f>IF(COUNTIF('02_clients_raw'!$A$2:$A$67,'01_orders_raw'!C164)&gt;1,"Неоднозначная связь","Нет связи")</x:f>
        <x:v>Нет связи</x:v>
      </x:c>
      <x:c r="G1138" t="str">
        <x:v>High</x:v>
      </x:c>
      <x:c r="H1138" t="str">
        <x:v>client_id</x:v>
      </x:c>
      <x:c r="I1138" t="str">
        <x:v>Исправить ссылку или разрешить дубли связанного ID</x:v>
      </x:c>
      <x:c r="J1138" t="n">
        <x:f>IF(D1138=1,K1138,0)</x:f>
        <x:v>0</x:v>
      </x:c>
      <x:c r="K1138" t="n">
        <x:f>D1138+K1137</x:f>
        <x:v>13</x:v>
      </x:c>
    </x:row>
    <x:row r="1139">
      <x:c r="A1139" t="str">
        <x:v>Order</x:v>
      </x:c>
      <x:c r="B1139" t="str">
        <x:f>'04_checks'!B164</x:f>
      </x:c>
      <x:c r="C1139" t="n">
        <x:v>164</x:v>
      </x:c>
      <x:c r="D1139" t="n">
        <x:f>IF('04_checks'!F164="ERROR",1,0)</x:f>
        <x:v>0</x:v>
      </x:c>
      <x:c r="E1139" t="str">
        <x:v>Order:164:4</x:v>
      </x:c>
      <x:c r="F1139" t="str">
        <x:v>Ошибка расчета</x:v>
      </x:c>
      <x:c r="G1139" t="str">
        <x:v>High</x:v>
      </x:c>
      <x:c r="H1139" t="str">
        <x:v>quantity/price/order_sum</x:v>
      </x:c>
      <x:c r="I1139" t="str">
        <x:v>Сверить исходные значения и правило расчёта</x:v>
      </x:c>
      <x:c r="J1139" t="n">
        <x:f>IF(D1139=1,K1139,0)</x:f>
        <x:v>0</x:v>
      </x:c>
      <x:c r="K1139" t="n">
        <x:f>D1139+K1138</x:f>
        <x:v>13</x:v>
      </x:c>
    </x:row>
    <x:row r="1140">
      <x:c r="A1140" t="str">
        <x:v>Order</x:v>
      </x:c>
      <x:c r="B1140" t="str">
        <x:f>'04_checks'!B164</x:f>
      </x:c>
      <x:c r="C1140" t="n">
        <x:v>164</x:v>
      </x:c>
      <x:c r="D1140" t="n">
        <x:f>IF('04_checks'!G164="ERROR",1,0)</x:f>
        <x:v>0</x:v>
      </x:c>
      <x:c r="E1140" t="str">
        <x:v>Order:164:5</x:v>
      </x:c>
      <x:c r="F1140" t="str">
        <x:v>Отрицательная цена</x:v>
      </x:c>
      <x:c r="G1140" t="str">
        <x:v>High</x:v>
      </x:c>
      <x:c r="H1140" t="str">
        <x:v>price</x:v>
      </x:c>
      <x:c r="I1140" t="str">
        <x:v>Проверить цену в источнике</x:v>
      </x:c>
      <x:c r="J1140" t="n">
        <x:f>IF(D1140=1,K1140,0)</x:f>
        <x:v>0</x:v>
      </x:c>
      <x:c r="K1140" t="n">
        <x:f>D1140+K1139</x:f>
        <x:v>13</x:v>
      </x:c>
    </x:row>
    <x:row r="1141">
      <x:c r="A1141" t="str">
        <x:v>Order</x:v>
      </x:c>
      <x:c r="B1141" t="str">
        <x:f>'04_checks'!B164</x:f>
      </x:c>
      <x:c r="C1141" t="n">
        <x:v>164</x:v>
      </x:c>
      <x:c r="D1141" t="n">
        <x:f>IF('04_checks'!H164="ERROR",1,0)</x:f>
        <x:v>0</x:v>
      </x:c>
      <x:c r="E1141" t="str">
        <x:v>Order:164:6</x:v>
      </x:c>
      <x:c r="F1141" t="str">
        <x:v>Дата</x:v>
      </x:c>
      <x:c r="G1141" t="str">
        <x:v>Medium</x:v>
      </x:c>
      <x:c r="H1141" t="str">
        <x:v>order_date</x:v>
      </x:c>
      <x:c r="I1141" t="str">
        <x:v>Сверить дату со срезом и исходной записью</x:v>
      </x:c>
      <x:c r="J1141" t="n">
        <x:f>IF(D1141=1,K1141,0)</x:f>
        <x:v>0</x:v>
      </x:c>
      <x:c r="K1141" t="n">
        <x:f>D1141+K1140</x:f>
        <x:v>13</x:v>
      </x:c>
    </x:row>
    <x:row r="1142">
      <x:c r="A1142" t="str">
        <x:v>Order</x:v>
      </x:c>
      <x:c r="B1142" t="str">
        <x:f>'04_checks'!B164</x:f>
      </x:c>
      <x:c r="C1142" t="n">
        <x:v>164</x:v>
      </x:c>
      <x:c r="D1142" t="n">
        <x:f>IF('04_checks'!I164="ERROR",1,0)</x:f>
        <x:v>0</x:v>
      </x:c>
      <x:c r="E1142" t="str">
        <x:v>Order:164:7</x:v>
      </x:c>
      <x:c r="F1142" t="str">
        <x:v>Статус</x:v>
      </x:c>
      <x:c r="G1142" t="str">
        <x:v>Medium</x:v>
      </x:c>
      <x:c r="H1142" t="str">
        <x:v>status</x:v>
      </x:c>
      <x:c r="I1142" t="str">
        <x:v>Выбрать допустимый статус</x:v>
      </x:c>
      <x:c r="J1142" t="n">
        <x:f>IF(D1142=1,K1142,0)</x:f>
        <x:v>0</x:v>
      </x:c>
      <x:c r="K1142" t="n">
        <x:f>D1142+K1141</x:f>
        <x:v>13</x:v>
      </x:c>
    </x:row>
    <x:row r="1143">
      <x:c r="A1143" t="str">
        <x:v>Order</x:v>
      </x:c>
      <x:c r="B1143" t="str">
        <x:f>'04_checks'!B165</x:f>
      </x:c>
      <x:c r="C1143" t="n">
        <x:v>165</x:v>
      </x:c>
      <x:c r="D1143" t="n">
        <x:f>IF('04_checks'!C165="ERROR",1,0)</x:f>
        <x:v>0</x:v>
      </x:c>
      <x:c r="E1143" t="str">
        <x:v>Order:165:1</x:v>
      </x:c>
      <x:c r="F1143" t="str">
        <x:v>Дубль</x:v>
      </x:c>
      <x:c r="G1143" t="str">
        <x:v>High</x:v>
      </x:c>
      <x:c r="H1143" t="str">
        <x:v>order_id</x:v>
      </x:c>
      <x:c r="I1143" t="str">
        <x:v>Проверить уникальность ID в источнике; не удалять записи автоматически</x:v>
      </x:c>
      <x:c r="J1143" t="n">
        <x:f>IF(D1143=1,K1143,0)</x:f>
        <x:v>0</x:v>
      </x:c>
      <x:c r="K1143" t="n">
        <x:f>D1143+K1142</x:f>
        <x:v>13</x:v>
      </x:c>
    </x:row>
    <x:row r="1144">
      <x:c r="A1144" t="str">
        <x:v>Order</x:v>
      </x:c>
      <x:c r="B1144" t="str">
        <x:f>'04_checks'!B165</x:f>
      </x:c>
      <x:c r="C1144" t="n">
        <x:v>165</x:v>
      </x:c>
      <x:c r="D1144" t="n">
        <x:f>IF('04_checks'!D165="ERROR",1,0)</x:f>
        <x:v>0</x:v>
      </x:c>
      <x:c r="E1144" t="str">
        <x:v>Order:165:2</x:v>
      </x:c>
      <x:c r="F1144" t="str">
        <x:v>Пустое поле</x:v>
      </x:c>
      <x:c r="G1144" t="str">
        <x:v>High</x:v>
      </x:c>
      <x:c r="H1144" t="str">
        <x:v>required_fields</x:v>
      </x:c>
      <x:c r="I1144" t="str">
        <x:v>Дополнить обязательные поля в источнике</x:v>
      </x:c>
      <x:c r="J1144" t="n">
        <x:f>IF(D1144=1,K1144,0)</x:f>
        <x:v>0</x:v>
      </x:c>
      <x:c r="K1144" t="n">
        <x:f>D1144+K1143</x:f>
        <x:v>13</x:v>
      </x:c>
    </x:row>
    <x:row r="1145">
      <x:c r="A1145" t="str">
        <x:v>Order</x:v>
      </x:c>
      <x:c r="B1145" t="str">
        <x:f>'04_checks'!B165</x:f>
      </x:c>
      <x:c r="C1145" t="n">
        <x:v>165</x:v>
      </x:c>
      <x:c r="D1145" t="n">
        <x:f>IF('04_checks'!E165="ERROR",1,0)</x:f>
        <x:v>0</x:v>
      </x:c>
      <x:c r="E1145" t="str">
        <x:v>Order:165:3</x:v>
      </x:c>
      <x:c r="F1145" t="str">
        <x:f>IF(COUNTIF('02_clients_raw'!$A$2:$A$67,'01_orders_raw'!C165)&gt;1,"Неоднозначная связь","Нет связи")</x:f>
        <x:v>Нет связи</x:v>
      </x:c>
      <x:c r="G1145" t="str">
        <x:v>High</x:v>
      </x:c>
      <x:c r="H1145" t="str">
        <x:v>client_id</x:v>
      </x:c>
      <x:c r="I1145" t="str">
        <x:v>Исправить ссылку или разрешить дубли связанного ID</x:v>
      </x:c>
      <x:c r="J1145" t="n">
        <x:f>IF(D1145=1,K1145,0)</x:f>
        <x:v>0</x:v>
      </x:c>
      <x:c r="K1145" t="n">
        <x:f>D1145+K1144</x:f>
        <x:v>13</x:v>
      </x:c>
    </x:row>
    <x:row r="1146">
      <x:c r="A1146" t="str">
        <x:v>Order</x:v>
      </x:c>
      <x:c r="B1146" t="str">
        <x:f>'04_checks'!B165</x:f>
      </x:c>
      <x:c r="C1146" t="n">
        <x:v>165</x:v>
      </x:c>
      <x:c r="D1146" t="n">
        <x:f>IF('04_checks'!F165="ERROR",1,0)</x:f>
        <x:v>0</x:v>
      </x:c>
      <x:c r="E1146" t="str">
        <x:v>Order:165:4</x:v>
      </x:c>
      <x:c r="F1146" t="str">
        <x:v>Ошибка расчета</x:v>
      </x:c>
      <x:c r="G1146" t="str">
        <x:v>High</x:v>
      </x:c>
      <x:c r="H1146" t="str">
        <x:v>quantity/price/order_sum</x:v>
      </x:c>
      <x:c r="I1146" t="str">
        <x:v>Сверить исходные значения и правило расчёта</x:v>
      </x:c>
      <x:c r="J1146" t="n">
        <x:f>IF(D1146=1,K1146,0)</x:f>
        <x:v>0</x:v>
      </x:c>
      <x:c r="K1146" t="n">
        <x:f>D1146+K1145</x:f>
        <x:v>13</x:v>
      </x:c>
    </x:row>
    <x:row r="1147">
      <x:c r="A1147" t="str">
        <x:v>Order</x:v>
      </x:c>
      <x:c r="B1147" t="str">
        <x:f>'04_checks'!B165</x:f>
      </x:c>
      <x:c r="C1147" t="n">
        <x:v>165</x:v>
      </x:c>
      <x:c r="D1147" t="n">
        <x:f>IF('04_checks'!G165="ERROR",1,0)</x:f>
        <x:v>0</x:v>
      </x:c>
      <x:c r="E1147" t="str">
        <x:v>Order:165:5</x:v>
      </x:c>
      <x:c r="F1147" t="str">
        <x:v>Отрицательная цена</x:v>
      </x:c>
      <x:c r="G1147" t="str">
        <x:v>High</x:v>
      </x:c>
      <x:c r="H1147" t="str">
        <x:v>price</x:v>
      </x:c>
      <x:c r="I1147" t="str">
        <x:v>Проверить цену в источнике</x:v>
      </x:c>
      <x:c r="J1147" t="n">
        <x:f>IF(D1147=1,K1147,0)</x:f>
        <x:v>0</x:v>
      </x:c>
      <x:c r="K1147" t="n">
        <x:f>D1147+K1146</x:f>
        <x:v>13</x:v>
      </x:c>
    </x:row>
    <x:row r="1148">
      <x:c r="A1148" t="str">
        <x:v>Order</x:v>
      </x:c>
      <x:c r="B1148" t="str">
        <x:f>'04_checks'!B165</x:f>
      </x:c>
      <x:c r="C1148" t="n">
        <x:v>165</x:v>
      </x:c>
      <x:c r="D1148" t="n">
        <x:f>IF('04_checks'!H165="ERROR",1,0)</x:f>
        <x:v>0</x:v>
      </x:c>
      <x:c r="E1148" t="str">
        <x:v>Order:165:6</x:v>
      </x:c>
      <x:c r="F1148" t="str">
        <x:v>Дата</x:v>
      </x:c>
      <x:c r="G1148" t="str">
        <x:v>Medium</x:v>
      </x:c>
      <x:c r="H1148" t="str">
        <x:v>order_date</x:v>
      </x:c>
      <x:c r="I1148" t="str">
        <x:v>Сверить дату со срезом и исходной записью</x:v>
      </x:c>
      <x:c r="J1148" t="n">
        <x:f>IF(D1148=1,K1148,0)</x:f>
        <x:v>0</x:v>
      </x:c>
      <x:c r="K1148" t="n">
        <x:f>D1148+K1147</x:f>
        <x:v>13</x:v>
      </x:c>
    </x:row>
    <x:row r="1149">
      <x:c r="A1149" t="str">
        <x:v>Order</x:v>
      </x:c>
      <x:c r="B1149" t="str">
        <x:f>'04_checks'!B165</x:f>
      </x:c>
      <x:c r="C1149" t="n">
        <x:v>165</x:v>
      </x:c>
      <x:c r="D1149" t="n">
        <x:f>IF('04_checks'!I165="ERROR",1,0)</x:f>
        <x:v>0</x:v>
      </x:c>
      <x:c r="E1149" t="str">
        <x:v>Order:165:7</x:v>
      </x:c>
      <x:c r="F1149" t="str">
        <x:v>Статус</x:v>
      </x:c>
      <x:c r="G1149" t="str">
        <x:v>Medium</x:v>
      </x:c>
      <x:c r="H1149" t="str">
        <x:v>status</x:v>
      </x:c>
      <x:c r="I1149" t="str">
        <x:v>Выбрать допустимый статус</x:v>
      </x:c>
      <x:c r="J1149" t="n">
        <x:f>IF(D1149=1,K1149,0)</x:f>
        <x:v>0</x:v>
      </x:c>
      <x:c r="K1149" t="n">
        <x:f>D1149+K1148</x:f>
        <x:v>13</x:v>
      </x:c>
    </x:row>
    <x:row r="1150">
      <x:c r="A1150" t="str">
        <x:v>Order</x:v>
      </x:c>
      <x:c r="B1150" t="str">
        <x:f>'04_checks'!B166</x:f>
      </x:c>
      <x:c r="C1150" t="n">
        <x:v>166</x:v>
      </x:c>
      <x:c r="D1150" t="n">
        <x:f>IF('04_checks'!C166="ERROR",1,0)</x:f>
        <x:v>0</x:v>
      </x:c>
      <x:c r="E1150" t="str">
        <x:v>Order:166:1</x:v>
      </x:c>
      <x:c r="F1150" t="str">
        <x:v>Дубль</x:v>
      </x:c>
      <x:c r="G1150" t="str">
        <x:v>High</x:v>
      </x:c>
      <x:c r="H1150" t="str">
        <x:v>order_id</x:v>
      </x:c>
      <x:c r="I1150" t="str">
        <x:v>Проверить уникальность ID в источнике; не удалять записи автоматически</x:v>
      </x:c>
      <x:c r="J1150" t="n">
        <x:f>IF(D1150=1,K1150,0)</x:f>
        <x:v>0</x:v>
      </x:c>
      <x:c r="K1150" t="n">
        <x:f>D1150+K1149</x:f>
        <x:v>13</x:v>
      </x:c>
    </x:row>
    <x:row r="1151">
      <x:c r="A1151" t="str">
        <x:v>Order</x:v>
      </x:c>
      <x:c r="B1151" t="str">
        <x:f>'04_checks'!B166</x:f>
      </x:c>
      <x:c r="C1151" t="n">
        <x:v>166</x:v>
      </x:c>
      <x:c r="D1151" t="n">
        <x:f>IF('04_checks'!D166="ERROR",1,0)</x:f>
        <x:v>0</x:v>
      </x:c>
      <x:c r="E1151" t="str">
        <x:v>Order:166:2</x:v>
      </x:c>
      <x:c r="F1151" t="str">
        <x:v>Пустое поле</x:v>
      </x:c>
      <x:c r="G1151" t="str">
        <x:v>High</x:v>
      </x:c>
      <x:c r="H1151" t="str">
        <x:v>required_fields</x:v>
      </x:c>
      <x:c r="I1151" t="str">
        <x:v>Дополнить обязательные поля в источнике</x:v>
      </x:c>
      <x:c r="J1151" t="n">
        <x:f>IF(D1151=1,K1151,0)</x:f>
        <x:v>0</x:v>
      </x:c>
      <x:c r="K1151" t="n">
        <x:f>D1151+K1150</x:f>
        <x:v>13</x:v>
      </x:c>
    </x:row>
    <x:row r="1152">
      <x:c r="A1152" t="str">
        <x:v>Order</x:v>
      </x:c>
      <x:c r="B1152" t="str">
        <x:f>'04_checks'!B166</x:f>
      </x:c>
      <x:c r="C1152" t="n">
        <x:v>166</x:v>
      </x:c>
      <x:c r="D1152" t="n">
        <x:f>IF('04_checks'!E166="ERROR",1,0)</x:f>
        <x:v>0</x:v>
      </x:c>
      <x:c r="E1152" t="str">
        <x:v>Order:166:3</x:v>
      </x:c>
      <x:c r="F1152" t="str">
        <x:f>IF(COUNTIF('02_clients_raw'!$A$2:$A$67,'01_orders_raw'!C166)&gt;1,"Неоднозначная связь","Нет связи")</x:f>
        <x:v>Нет связи</x:v>
      </x:c>
      <x:c r="G1152" t="str">
        <x:v>High</x:v>
      </x:c>
      <x:c r="H1152" t="str">
        <x:v>client_id</x:v>
      </x:c>
      <x:c r="I1152" t="str">
        <x:v>Исправить ссылку или разрешить дубли связанного ID</x:v>
      </x:c>
      <x:c r="J1152" t="n">
        <x:f>IF(D1152=1,K1152,0)</x:f>
        <x:v>0</x:v>
      </x:c>
      <x:c r="K1152" t="n">
        <x:f>D1152+K1151</x:f>
        <x:v>13</x:v>
      </x:c>
    </x:row>
    <x:row r="1153">
      <x:c r="A1153" t="str">
        <x:v>Order</x:v>
      </x:c>
      <x:c r="B1153" t="str">
        <x:f>'04_checks'!B166</x:f>
      </x:c>
      <x:c r="C1153" t="n">
        <x:v>166</x:v>
      </x:c>
      <x:c r="D1153" t="n">
        <x:f>IF('04_checks'!F166="ERROR",1,0)</x:f>
        <x:v>0</x:v>
      </x:c>
      <x:c r="E1153" t="str">
        <x:v>Order:166:4</x:v>
      </x:c>
      <x:c r="F1153" t="str">
        <x:v>Ошибка расчета</x:v>
      </x:c>
      <x:c r="G1153" t="str">
        <x:v>High</x:v>
      </x:c>
      <x:c r="H1153" t="str">
        <x:v>quantity/price/order_sum</x:v>
      </x:c>
      <x:c r="I1153" t="str">
        <x:v>Сверить исходные значения и правило расчёта</x:v>
      </x:c>
      <x:c r="J1153" t="n">
        <x:f>IF(D1153=1,K1153,0)</x:f>
        <x:v>0</x:v>
      </x:c>
      <x:c r="K1153" t="n">
        <x:f>D1153+K1152</x:f>
        <x:v>13</x:v>
      </x:c>
    </x:row>
    <x:row r="1154">
      <x:c r="A1154" t="str">
        <x:v>Order</x:v>
      </x:c>
      <x:c r="B1154" t="str">
        <x:f>'04_checks'!B166</x:f>
      </x:c>
      <x:c r="C1154" t="n">
        <x:v>166</x:v>
      </x:c>
      <x:c r="D1154" t="n">
        <x:f>IF('04_checks'!G166="ERROR",1,0)</x:f>
        <x:v>0</x:v>
      </x:c>
      <x:c r="E1154" t="str">
        <x:v>Order:166:5</x:v>
      </x:c>
      <x:c r="F1154" t="str">
        <x:v>Отрицательная цена</x:v>
      </x:c>
      <x:c r="G1154" t="str">
        <x:v>High</x:v>
      </x:c>
      <x:c r="H1154" t="str">
        <x:v>price</x:v>
      </x:c>
      <x:c r="I1154" t="str">
        <x:v>Проверить цену в источнике</x:v>
      </x:c>
      <x:c r="J1154" t="n">
        <x:f>IF(D1154=1,K1154,0)</x:f>
        <x:v>0</x:v>
      </x:c>
      <x:c r="K1154" t="n">
        <x:f>D1154+K1153</x:f>
        <x:v>13</x:v>
      </x:c>
    </x:row>
    <x:row r="1155">
      <x:c r="A1155" t="str">
        <x:v>Order</x:v>
      </x:c>
      <x:c r="B1155" t="str">
        <x:f>'04_checks'!B166</x:f>
      </x:c>
      <x:c r="C1155" t="n">
        <x:v>166</x:v>
      </x:c>
      <x:c r="D1155" t="n">
        <x:f>IF('04_checks'!H166="ERROR",1,0)</x:f>
        <x:v>0</x:v>
      </x:c>
      <x:c r="E1155" t="str">
        <x:v>Order:166:6</x:v>
      </x:c>
      <x:c r="F1155" t="str">
        <x:v>Дата</x:v>
      </x:c>
      <x:c r="G1155" t="str">
        <x:v>Medium</x:v>
      </x:c>
      <x:c r="H1155" t="str">
        <x:v>order_date</x:v>
      </x:c>
      <x:c r="I1155" t="str">
        <x:v>Сверить дату со срезом и исходной записью</x:v>
      </x:c>
      <x:c r="J1155" t="n">
        <x:f>IF(D1155=1,K1155,0)</x:f>
        <x:v>0</x:v>
      </x:c>
      <x:c r="K1155" t="n">
        <x:f>D1155+K1154</x:f>
        <x:v>13</x:v>
      </x:c>
    </x:row>
    <x:row r="1156">
      <x:c r="A1156" t="str">
        <x:v>Order</x:v>
      </x:c>
      <x:c r="B1156" t="str">
        <x:f>'04_checks'!B166</x:f>
      </x:c>
      <x:c r="C1156" t="n">
        <x:v>166</x:v>
      </x:c>
      <x:c r="D1156" t="n">
        <x:f>IF('04_checks'!I166="ERROR",1,0)</x:f>
        <x:v>0</x:v>
      </x:c>
      <x:c r="E1156" t="str">
        <x:v>Order:166:7</x:v>
      </x:c>
      <x:c r="F1156" t="str">
        <x:v>Статус</x:v>
      </x:c>
      <x:c r="G1156" t="str">
        <x:v>Medium</x:v>
      </x:c>
      <x:c r="H1156" t="str">
        <x:v>status</x:v>
      </x:c>
      <x:c r="I1156" t="str">
        <x:v>Выбрать допустимый статус</x:v>
      </x:c>
      <x:c r="J1156" t="n">
        <x:f>IF(D1156=1,K1156,0)</x:f>
        <x:v>0</x:v>
      </x:c>
      <x:c r="K1156" t="n">
        <x:f>D1156+K1155</x:f>
        <x:v>13</x:v>
      </x:c>
    </x:row>
    <x:row r="1157">
      <x:c r="A1157" t="str">
        <x:v>Order</x:v>
      </x:c>
      <x:c r="B1157" t="str">
        <x:f>'04_checks'!B167</x:f>
      </x:c>
      <x:c r="C1157" t="n">
        <x:v>167</x:v>
      </x:c>
      <x:c r="D1157" t="n">
        <x:f>IF('04_checks'!C167="ERROR",1,0)</x:f>
        <x:v>0</x:v>
      </x:c>
      <x:c r="E1157" t="str">
        <x:v>Order:167:1</x:v>
      </x:c>
      <x:c r="F1157" t="str">
        <x:v>Дубль</x:v>
      </x:c>
      <x:c r="G1157" t="str">
        <x:v>High</x:v>
      </x:c>
      <x:c r="H1157" t="str">
        <x:v>order_id</x:v>
      </x:c>
      <x:c r="I1157" t="str">
        <x:v>Проверить уникальность ID в источнике; не удалять записи автоматически</x:v>
      </x:c>
      <x:c r="J1157" t="n">
        <x:f>IF(D1157=1,K1157,0)</x:f>
        <x:v>0</x:v>
      </x:c>
      <x:c r="K1157" t="n">
        <x:f>D1157+K1156</x:f>
        <x:v>13</x:v>
      </x:c>
    </x:row>
    <x:row r="1158">
      <x:c r="A1158" t="str">
        <x:v>Order</x:v>
      </x:c>
      <x:c r="B1158" t="str">
        <x:f>'04_checks'!B167</x:f>
      </x:c>
      <x:c r="C1158" t="n">
        <x:v>167</x:v>
      </x:c>
      <x:c r="D1158" t="n">
        <x:f>IF('04_checks'!D167="ERROR",1,0)</x:f>
        <x:v>0</x:v>
      </x:c>
      <x:c r="E1158" t="str">
        <x:v>Order:167:2</x:v>
      </x:c>
      <x:c r="F1158" t="str">
        <x:v>Пустое поле</x:v>
      </x:c>
      <x:c r="G1158" t="str">
        <x:v>High</x:v>
      </x:c>
      <x:c r="H1158" t="str">
        <x:v>required_fields</x:v>
      </x:c>
      <x:c r="I1158" t="str">
        <x:v>Дополнить обязательные поля в источнике</x:v>
      </x:c>
      <x:c r="J1158" t="n">
        <x:f>IF(D1158=1,K1158,0)</x:f>
        <x:v>0</x:v>
      </x:c>
      <x:c r="K1158" t="n">
        <x:f>D1158+K1157</x:f>
        <x:v>13</x:v>
      </x:c>
    </x:row>
    <x:row r="1159">
      <x:c r="A1159" t="str">
        <x:v>Order</x:v>
      </x:c>
      <x:c r="B1159" t="str">
        <x:f>'04_checks'!B167</x:f>
      </x:c>
      <x:c r="C1159" t="n">
        <x:v>167</x:v>
      </x:c>
      <x:c r="D1159" t="n">
        <x:f>IF('04_checks'!E167="ERROR",1,0)</x:f>
        <x:v>0</x:v>
      </x:c>
      <x:c r="E1159" t="str">
        <x:v>Order:167:3</x:v>
      </x:c>
      <x:c r="F1159" t="str">
        <x:f>IF(COUNTIF('02_clients_raw'!$A$2:$A$67,'01_orders_raw'!C167)&gt;1,"Неоднозначная связь","Нет связи")</x:f>
        <x:v>Нет связи</x:v>
      </x:c>
      <x:c r="G1159" t="str">
        <x:v>High</x:v>
      </x:c>
      <x:c r="H1159" t="str">
        <x:v>client_id</x:v>
      </x:c>
      <x:c r="I1159" t="str">
        <x:v>Исправить ссылку или разрешить дубли связанного ID</x:v>
      </x:c>
      <x:c r="J1159" t="n">
        <x:f>IF(D1159=1,K1159,0)</x:f>
        <x:v>0</x:v>
      </x:c>
      <x:c r="K1159" t="n">
        <x:f>D1159+K1158</x:f>
        <x:v>13</x:v>
      </x:c>
    </x:row>
    <x:row r="1160">
      <x:c r="A1160" t="str">
        <x:v>Order</x:v>
      </x:c>
      <x:c r="B1160" t="str">
        <x:f>'04_checks'!B167</x:f>
      </x:c>
      <x:c r="C1160" t="n">
        <x:v>167</x:v>
      </x:c>
      <x:c r="D1160" t="n">
        <x:f>IF('04_checks'!F167="ERROR",1,0)</x:f>
        <x:v>0</x:v>
      </x:c>
      <x:c r="E1160" t="str">
        <x:v>Order:167:4</x:v>
      </x:c>
      <x:c r="F1160" t="str">
        <x:v>Ошибка расчета</x:v>
      </x:c>
      <x:c r="G1160" t="str">
        <x:v>High</x:v>
      </x:c>
      <x:c r="H1160" t="str">
        <x:v>quantity/price/order_sum</x:v>
      </x:c>
      <x:c r="I1160" t="str">
        <x:v>Сверить исходные значения и правило расчёта</x:v>
      </x:c>
      <x:c r="J1160" t="n">
        <x:f>IF(D1160=1,K1160,0)</x:f>
        <x:v>0</x:v>
      </x:c>
      <x:c r="K1160" t="n">
        <x:f>D1160+K1159</x:f>
        <x:v>13</x:v>
      </x:c>
    </x:row>
    <x:row r="1161">
      <x:c r="A1161" t="str">
        <x:v>Order</x:v>
      </x:c>
      <x:c r="B1161" t="str">
        <x:f>'04_checks'!B167</x:f>
      </x:c>
      <x:c r="C1161" t="n">
        <x:v>167</x:v>
      </x:c>
      <x:c r="D1161" t="n">
        <x:f>IF('04_checks'!G167="ERROR",1,0)</x:f>
        <x:v>0</x:v>
      </x:c>
      <x:c r="E1161" t="str">
        <x:v>Order:167:5</x:v>
      </x:c>
      <x:c r="F1161" t="str">
        <x:v>Отрицательная цена</x:v>
      </x:c>
      <x:c r="G1161" t="str">
        <x:v>High</x:v>
      </x:c>
      <x:c r="H1161" t="str">
        <x:v>price</x:v>
      </x:c>
      <x:c r="I1161" t="str">
        <x:v>Проверить цену в источнике</x:v>
      </x:c>
      <x:c r="J1161" t="n">
        <x:f>IF(D1161=1,K1161,0)</x:f>
        <x:v>0</x:v>
      </x:c>
      <x:c r="K1161" t="n">
        <x:f>D1161+K1160</x:f>
        <x:v>13</x:v>
      </x:c>
    </x:row>
    <x:row r="1162">
      <x:c r="A1162" t="str">
        <x:v>Order</x:v>
      </x:c>
      <x:c r="B1162" t="str">
        <x:f>'04_checks'!B167</x:f>
      </x:c>
      <x:c r="C1162" t="n">
        <x:v>167</x:v>
      </x:c>
      <x:c r="D1162" t="n">
        <x:f>IF('04_checks'!H167="ERROR",1,0)</x:f>
        <x:v>0</x:v>
      </x:c>
      <x:c r="E1162" t="str">
        <x:v>Order:167:6</x:v>
      </x:c>
      <x:c r="F1162" t="str">
        <x:v>Дата</x:v>
      </x:c>
      <x:c r="G1162" t="str">
        <x:v>Medium</x:v>
      </x:c>
      <x:c r="H1162" t="str">
        <x:v>order_date</x:v>
      </x:c>
      <x:c r="I1162" t="str">
        <x:v>Сверить дату со срезом и исходной записью</x:v>
      </x:c>
      <x:c r="J1162" t="n">
        <x:f>IF(D1162=1,K1162,0)</x:f>
        <x:v>0</x:v>
      </x:c>
      <x:c r="K1162" t="n">
        <x:f>D1162+K1161</x:f>
        <x:v>13</x:v>
      </x:c>
    </x:row>
    <x:row r="1163">
      <x:c r="A1163" t="str">
        <x:v>Order</x:v>
      </x:c>
      <x:c r="B1163" t="str">
        <x:f>'04_checks'!B167</x:f>
      </x:c>
      <x:c r="C1163" t="n">
        <x:v>167</x:v>
      </x:c>
      <x:c r="D1163" t="n">
        <x:f>IF('04_checks'!I167="ERROR",1,0)</x:f>
        <x:v>0</x:v>
      </x:c>
      <x:c r="E1163" t="str">
        <x:v>Order:167:7</x:v>
      </x:c>
      <x:c r="F1163" t="str">
        <x:v>Статус</x:v>
      </x:c>
      <x:c r="G1163" t="str">
        <x:v>Medium</x:v>
      </x:c>
      <x:c r="H1163" t="str">
        <x:v>status</x:v>
      </x:c>
      <x:c r="I1163" t="str">
        <x:v>Выбрать допустимый статус</x:v>
      </x:c>
      <x:c r="J1163" t="n">
        <x:f>IF(D1163=1,K1163,0)</x:f>
        <x:v>0</x:v>
      </x:c>
      <x:c r="K1163" t="n">
        <x:f>D1163+K1162</x:f>
        <x:v>13</x:v>
      </x:c>
    </x:row>
    <x:row r="1164">
      <x:c r="A1164" t="str">
        <x:v>Order</x:v>
      </x:c>
      <x:c r="B1164" t="str">
        <x:f>'04_checks'!B168</x:f>
      </x:c>
      <x:c r="C1164" t="n">
        <x:v>168</x:v>
      </x:c>
      <x:c r="D1164" t="n">
        <x:f>IF('04_checks'!C168="ERROR",1,0)</x:f>
        <x:v>0</x:v>
      </x:c>
      <x:c r="E1164" t="str">
        <x:v>Order:168:1</x:v>
      </x:c>
      <x:c r="F1164" t="str">
        <x:v>Дубль</x:v>
      </x:c>
      <x:c r="G1164" t="str">
        <x:v>High</x:v>
      </x:c>
      <x:c r="H1164" t="str">
        <x:v>order_id</x:v>
      </x:c>
      <x:c r="I1164" t="str">
        <x:v>Проверить уникальность ID в источнике; не удалять записи автоматически</x:v>
      </x:c>
      <x:c r="J1164" t="n">
        <x:f>IF(D1164=1,K1164,0)</x:f>
        <x:v>0</x:v>
      </x:c>
      <x:c r="K1164" t="n">
        <x:f>D1164+K1163</x:f>
        <x:v>13</x:v>
      </x:c>
    </x:row>
    <x:row r="1165">
      <x:c r="A1165" t="str">
        <x:v>Order</x:v>
      </x:c>
      <x:c r="B1165" t="str">
        <x:f>'04_checks'!B168</x:f>
      </x:c>
      <x:c r="C1165" t="n">
        <x:v>168</x:v>
      </x:c>
      <x:c r="D1165" t="n">
        <x:f>IF('04_checks'!D168="ERROR",1,0)</x:f>
        <x:v>0</x:v>
      </x:c>
      <x:c r="E1165" t="str">
        <x:v>Order:168:2</x:v>
      </x:c>
      <x:c r="F1165" t="str">
        <x:v>Пустое поле</x:v>
      </x:c>
      <x:c r="G1165" t="str">
        <x:v>High</x:v>
      </x:c>
      <x:c r="H1165" t="str">
        <x:v>required_fields</x:v>
      </x:c>
      <x:c r="I1165" t="str">
        <x:v>Дополнить обязательные поля в источнике</x:v>
      </x:c>
      <x:c r="J1165" t="n">
        <x:f>IF(D1165=1,K1165,0)</x:f>
        <x:v>0</x:v>
      </x:c>
      <x:c r="K1165" t="n">
        <x:f>D1165+K1164</x:f>
        <x:v>13</x:v>
      </x:c>
    </x:row>
    <x:row r="1166">
      <x:c r="A1166" t="str">
        <x:v>Order</x:v>
      </x:c>
      <x:c r="B1166" t="str">
        <x:f>'04_checks'!B168</x:f>
      </x:c>
      <x:c r="C1166" t="n">
        <x:v>168</x:v>
      </x:c>
      <x:c r="D1166" t="n">
        <x:f>IF('04_checks'!E168="ERROR",1,0)</x:f>
        <x:v>0</x:v>
      </x:c>
      <x:c r="E1166" t="str">
        <x:v>Order:168:3</x:v>
      </x:c>
      <x:c r="F1166" t="str">
        <x:f>IF(COUNTIF('02_clients_raw'!$A$2:$A$67,'01_orders_raw'!C168)&gt;1,"Неоднозначная связь","Нет связи")</x:f>
        <x:v>Нет связи</x:v>
      </x:c>
      <x:c r="G1166" t="str">
        <x:v>High</x:v>
      </x:c>
      <x:c r="H1166" t="str">
        <x:v>client_id</x:v>
      </x:c>
      <x:c r="I1166" t="str">
        <x:v>Исправить ссылку или разрешить дубли связанного ID</x:v>
      </x:c>
      <x:c r="J1166" t="n">
        <x:f>IF(D1166=1,K1166,0)</x:f>
        <x:v>0</x:v>
      </x:c>
      <x:c r="K1166" t="n">
        <x:f>D1166+K1165</x:f>
        <x:v>13</x:v>
      </x:c>
    </x:row>
    <x:row r="1167">
      <x:c r="A1167" t="str">
        <x:v>Order</x:v>
      </x:c>
      <x:c r="B1167" t="str">
        <x:f>'04_checks'!B168</x:f>
      </x:c>
      <x:c r="C1167" t="n">
        <x:v>168</x:v>
      </x:c>
      <x:c r="D1167" t="n">
        <x:f>IF('04_checks'!F168="ERROR",1,0)</x:f>
        <x:v>0</x:v>
      </x:c>
      <x:c r="E1167" t="str">
        <x:v>Order:168:4</x:v>
      </x:c>
      <x:c r="F1167" t="str">
        <x:v>Ошибка расчета</x:v>
      </x:c>
      <x:c r="G1167" t="str">
        <x:v>High</x:v>
      </x:c>
      <x:c r="H1167" t="str">
        <x:v>quantity/price/order_sum</x:v>
      </x:c>
      <x:c r="I1167" t="str">
        <x:v>Сверить исходные значения и правило расчёта</x:v>
      </x:c>
      <x:c r="J1167" t="n">
        <x:f>IF(D1167=1,K1167,0)</x:f>
        <x:v>0</x:v>
      </x:c>
      <x:c r="K1167" t="n">
        <x:f>D1167+K1166</x:f>
        <x:v>13</x:v>
      </x:c>
    </x:row>
    <x:row r="1168">
      <x:c r="A1168" t="str">
        <x:v>Order</x:v>
      </x:c>
      <x:c r="B1168" t="str">
        <x:f>'04_checks'!B168</x:f>
      </x:c>
      <x:c r="C1168" t="n">
        <x:v>168</x:v>
      </x:c>
      <x:c r="D1168" t="n">
        <x:f>IF('04_checks'!G168="ERROR",1,0)</x:f>
        <x:v>0</x:v>
      </x:c>
      <x:c r="E1168" t="str">
        <x:v>Order:168:5</x:v>
      </x:c>
      <x:c r="F1168" t="str">
        <x:v>Отрицательная цена</x:v>
      </x:c>
      <x:c r="G1168" t="str">
        <x:v>High</x:v>
      </x:c>
      <x:c r="H1168" t="str">
        <x:v>price</x:v>
      </x:c>
      <x:c r="I1168" t="str">
        <x:v>Проверить цену в источнике</x:v>
      </x:c>
      <x:c r="J1168" t="n">
        <x:f>IF(D1168=1,K1168,0)</x:f>
        <x:v>0</x:v>
      </x:c>
      <x:c r="K1168" t="n">
        <x:f>D1168+K1167</x:f>
        <x:v>13</x:v>
      </x:c>
    </x:row>
    <x:row r="1169">
      <x:c r="A1169" t="str">
        <x:v>Order</x:v>
      </x:c>
      <x:c r="B1169" t="str">
        <x:f>'04_checks'!B168</x:f>
      </x:c>
      <x:c r="C1169" t="n">
        <x:v>168</x:v>
      </x:c>
      <x:c r="D1169" t="n">
        <x:f>IF('04_checks'!H168="ERROR",1,0)</x:f>
        <x:v>0</x:v>
      </x:c>
      <x:c r="E1169" t="str">
        <x:v>Order:168:6</x:v>
      </x:c>
      <x:c r="F1169" t="str">
        <x:v>Дата</x:v>
      </x:c>
      <x:c r="G1169" t="str">
        <x:v>Medium</x:v>
      </x:c>
      <x:c r="H1169" t="str">
        <x:v>order_date</x:v>
      </x:c>
      <x:c r="I1169" t="str">
        <x:v>Сверить дату со срезом и исходной записью</x:v>
      </x:c>
      <x:c r="J1169" t="n">
        <x:f>IF(D1169=1,K1169,0)</x:f>
        <x:v>0</x:v>
      </x:c>
      <x:c r="K1169" t="n">
        <x:f>D1169+K1168</x:f>
        <x:v>13</x:v>
      </x:c>
    </x:row>
    <x:row r="1170">
      <x:c r="A1170" t="str">
        <x:v>Order</x:v>
      </x:c>
      <x:c r="B1170" t="str">
        <x:f>'04_checks'!B168</x:f>
      </x:c>
      <x:c r="C1170" t="n">
        <x:v>168</x:v>
      </x:c>
      <x:c r="D1170" t="n">
        <x:f>IF('04_checks'!I168="ERROR",1,0)</x:f>
        <x:v>0</x:v>
      </x:c>
      <x:c r="E1170" t="str">
        <x:v>Order:168:7</x:v>
      </x:c>
      <x:c r="F1170" t="str">
        <x:v>Статус</x:v>
      </x:c>
      <x:c r="G1170" t="str">
        <x:v>Medium</x:v>
      </x:c>
      <x:c r="H1170" t="str">
        <x:v>status</x:v>
      </x:c>
      <x:c r="I1170" t="str">
        <x:v>Выбрать допустимый статус</x:v>
      </x:c>
      <x:c r="J1170" t="n">
        <x:f>IF(D1170=1,K1170,0)</x:f>
        <x:v>0</x:v>
      </x:c>
      <x:c r="K1170" t="n">
        <x:f>D1170+K1169</x:f>
        <x:v>13</x:v>
      </x:c>
    </x:row>
    <x:row r="1171">
      <x:c r="A1171" t="str">
        <x:v>Order</x:v>
      </x:c>
      <x:c r="B1171" t="str">
        <x:f>'04_checks'!B169</x:f>
      </x:c>
      <x:c r="C1171" t="n">
        <x:v>169</x:v>
      </x:c>
      <x:c r="D1171" t="n">
        <x:f>IF('04_checks'!C169="ERROR",1,0)</x:f>
        <x:v>0</x:v>
      </x:c>
      <x:c r="E1171" t="str">
        <x:v>Order:169:1</x:v>
      </x:c>
      <x:c r="F1171" t="str">
        <x:v>Дубль</x:v>
      </x:c>
      <x:c r="G1171" t="str">
        <x:v>High</x:v>
      </x:c>
      <x:c r="H1171" t="str">
        <x:v>order_id</x:v>
      </x:c>
      <x:c r="I1171" t="str">
        <x:v>Проверить уникальность ID в источнике; не удалять записи автоматически</x:v>
      </x:c>
      <x:c r="J1171" t="n">
        <x:f>IF(D1171=1,K1171,0)</x:f>
        <x:v>0</x:v>
      </x:c>
      <x:c r="K1171" t="n">
        <x:f>D1171+K1170</x:f>
        <x:v>13</x:v>
      </x:c>
    </x:row>
    <x:row r="1172">
      <x:c r="A1172" t="str">
        <x:v>Order</x:v>
      </x:c>
      <x:c r="B1172" t="str">
        <x:f>'04_checks'!B169</x:f>
      </x:c>
      <x:c r="C1172" t="n">
        <x:v>169</x:v>
      </x:c>
      <x:c r="D1172" t="n">
        <x:f>IF('04_checks'!D169="ERROR",1,0)</x:f>
        <x:v>0</x:v>
      </x:c>
      <x:c r="E1172" t="str">
        <x:v>Order:169:2</x:v>
      </x:c>
      <x:c r="F1172" t="str">
        <x:v>Пустое поле</x:v>
      </x:c>
      <x:c r="G1172" t="str">
        <x:v>High</x:v>
      </x:c>
      <x:c r="H1172" t="str">
        <x:v>required_fields</x:v>
      </x:c>
      <x:c r="I1172" t="str">
        <x:v>Дополнить обязательные поля в источнике</x:v>
      </x:c>
      <x:c r="J1172" t="n">
        <x:f>IF(D1172=1,K1172,0)</x:f>
        <x:v>0</x:v>
      </x:c>
      <x:c r="K1172" t="n">
        <x:f>D1172+K1171</x:f>
        <x:v>13</x:v>
      </x:c>
    </x:row>
    <x:row r="1173">
      <x:c r="A1173" t="str">
        <x:v>Order</x:v>
      </x:c>
      <x:c r="B1173" t="str">
        <x:f>'04_checks'!B169</x:f>
      </x:c>
      <x:c r="C1173" t="n">
        <x:v>169</x:v>
      </x:c>
      <x:c r="D1173" t="n">
        <x:f>IF('04_checks'!E169="ERROR",1,0)</x:f>
        <x:v>0</x:v>
      </x:c>
      <x:c r="E1173" t="str">
        <x:v>Order:169:3</x:v>
      </x:c>
      <x:c r="F1173" t="str">
        <x:f>IF(COUNTIF('02_clients_raw'!$A$2:$A$67,'01_orders_raw'!C169)&gt;1,"Неоднозначная связь","Нет связи")</x:f>
        <x:v>Нет связи</x:v>
      </x:c>
      <x:c r="G1173" t="str">
        <x:v>High</x:v>
      </x:c>
      <x:c r="H1173" t="str">
        <x:v>client_id</x:v>
      </x:c>
      <x:c r="I1173" t="str">
        <x:v>Исправить ссылку или разрешить дубли связанного ID</x:v>
      </x:c>
      <x:c r="J1173" t="n">
        <x:f>IF(D1173=1,K1173,0)</x:f>
        <x:v>0</x:v>
      </x:c>
      <x:c r="K1173" t="n">
        <x:f>D1173+K1172</x:f>
        <x:v>13</x:v>
      </x:c>
    </x:row>
    <x:row r="1174">
      <x:c r="A1174" t="str">
        <x:v>Order</x:v>
      </x:c>
      <x:c r="B1174" t="str">
        <x:f>'04_checks'!B169</x:f>
      </x:c>
      <x:c r="C1174" t="n">
        <x:v>169</x:v>
      </x:c>
      <x:c r="D1174" t="n">
        <x:f>IF('04_checks'!F169="ERROR",1,0)</x:f>
        <x:v>0</x:v>
      </x:c>
      <x:c r="E1174" t="str">
        <x:v>Order:169:4</x:v>
      </x:c>
      <x:c r="F1174" t="str">
        <x:v>Ошибка расчета</x:v>
      </x:c>
      <x:c r="G1174" t="str">
        <x:v>High</x:v>
      </x:c>
      <x:c r="H1174" t="str">
        <x:v>quantity/price/order_sum</x:v>
      </x:c>
      <x:c r="I1174" t="str">
        <x:v>Сверить исходные значения и правило расчёта</x:v>
      </x:c>
      <x:c r="J1174" t="n">
        <x:f>IF(D1174=1,K1174,0)</x:f>
        <x:v>0</x:v>
      </x:c>
      <x:c r="K1174" t="n">
        <x:f>D1174+K1173</x:f>
        <x:v>13</x:v>
      </x:c>
    </x:row>
    <x:row r="1175">
      <x:c r="A1175" t="str">
        <x:v>Order</x:v>
      </x:c>
      <x:c r="B1175" t="str">
        <x:f>'04_checks'!B169</x:f>
      </x:c>
      <x:c r="C1175" t="n">
        <x:v>169</x:v>
      </x:c>
      <x:c r="D1175" t="n">
        <x:f>IF('04_checks'!G169="ERROR",1,0)</x:f>
        <x:v>0</x:v>
      </x:c>
      <x:c r="E1175" t="str">
        <x:v>Order:169:5</x:v>
      </x:c>
      <x:c r="F1175" t="str">
        <x:v>Отрицательная цена</x:v>
      </x:c>
      <x:c r="G1175" t="str">
        <x:v>High</x:v>
      </x:c>
      <x:c r="H1175" t="str">
        <x:v>price</x:v>
      </x:c>
      <x:c r="I1175" t="str">
        <x:v>Проверить цену в источнике</x:v>
      </x:c>
      <x:c r="J1175" t="n">
        <x:f>IF(D1175=1,K1175,0)</x:f>
        <x:v>0</x:v>
      </x:c>
      <x:c r="K1175" t="n">
        <x:f>D1175+K1174</x:f>
        <x:v>13</x:v>
      </x:c>
    </x:row>
    <x:row r="1176">
      <x:c r="A1176" t="str">
        <x:v>Order</x:v>
      </x:c>
      <x:c r="B1176" t="str">
        <x:f>'04_checks'!B169</x:f>
      </x:c>
      <x:c r="C1176" t="n">
        <x:v>169</x:v>
      </x:c>
      <x:c r="D1176" t="n">
        <x:f>IF('04_checks'!H169="ERROR",1,0)</x:f>
        <x:v>0</x:v>
      </x:c>
      <x:c r="E1176" t="str">
        <x:v>Order:169:6</x:v>
      </x:c>
      <x:c r="F1176" t="str">
        <x:v>Дата</x:v>
      </x:c>
      <x:c r="G1176" t="str">
        <x:v>Medium</x:v>
      </x:c>
      <x:c r="H1176" t="str">
        <x:v>order_date</x:v>
      </x:c>
      <x:c r="I1176" t="str">
        <x:v>Сверить дату со срезом и исходной записью</x:v>
      </x:c>
      <x:c r="J1176" t="n">
        <x:f>IF(D1176=1,K1176,0)</x:f>
        <x:v>0</x:v>
      </x:c>
      <x:c r="K1176" t="n">
        <x:f>D1176+K1175</x:f>
        <x:v>13</x:v>
      </x:c>
    </x:row>
    <x:row r="1177">
      <x:c r="A1177" t="str">
        <x:v>Order</x:v>
      </x:c>
      <x:c r="B1177" t="str">
        <x:f>'04_checks'!B169</x:f>
      </x:c>
      <x:c r="C1177" t="n">
        <x:v>169</x:v>
      </x:c>
      <x:c r="D1177" t="n">
        <x:f>IF('04_checks'!I169="ERROR",1,0)</x:f>
        <x:v>0</x:v>
      </x:c>
      <x:c r="E1177" t="str">
        <x:v>Order:169:7</x:v>
      </x:c>
      <x:c r="F1177" t="str">
        <x:v>Статус</x:v>
      </x:c>
      <x:c r="G1177" t="str">
        <x:v>Medium</x:v>
      </x:c>
      <x:c r="H1177" t="str">
        <x:v>status</x:v>
      </x:c>
      <x:c r="I1177" t="str">
        <x:v>Выбрать допустимый статус</x:v>
      </x:c>
      <x:c r="J1177" t="n">
        <x:f>IF(D1177=1,K1177,0)</x:f>
        <x:v>0</x:v>
      </x:c>
      <x:c r="K1177" t="n">
        <x:f>D1177+K1176</x:f>
        <x:v>13</x:v>
      </x:c>
    </x:row>
    <x:row r="1178">
      <x:c r="A1178" t="str">
        <x:v>Order</x:v>
      </x:c>
      <x:c r="B1178" t="str">
        <x:f>'04_checks'!B170</x:f>
      </x:c>
      <x:c r="C1178" t="n">
        <x:v>170</x:v>
      </x:c>
      <x:c r="D1178" t="n">
        <x:f>IF('04_checks'!C170="ERROR",1,0)</x:f>
        <x:v>0</x:v>
      </x:c>
      <x:c r="E1178" t="str">
        <x:v>Order:170:1</x:v>
      </x:c>
      <x:c r="F1178" t="str">
        <x:v>Дубль</x:v>
      </x:c>
      <x:c r="G1178" t="str">
        <x:v>High</x:v>
      </x:c>
      <x:c r="H1178" t="str">
        <x:v>order_id</x:v>
      </x:c>
      <x:c r="I1178" t="str">
        <x:v>Проверить уникальность ID в источнике; не удалять записи автоматически</x:v>
      </x:c>
      <x:c r="J1178" t="n">
        <x:f>IF(D1178=1,K1178,0)</x:f>
        <x:v>0</x:v>
      </x:c>
      <x:c r="K1178" t="n">
        <x:f>D1178+K1177</x:f>
        <x:v>13</x:v>
      </x:c>
    </x:row>
    <x:row r="1179">
      <x:c r="A1179" t="str">
        <x:v>Order</x:v>
      </x:c>
      <x:c r="B1179" t="str">
        <x:f>'04_checks'!B170</x:f>
      </x:c>
      <x:c r="C1179" t="n">
        <x:v>170</x:v>
      </x:c>
      <x:c r="D1179" t="n">
        <x:f>IF('04_checks'!D170="ERROR",1,0)</x:f>
        <x:v>0</x:v>
      </x:c>
      <x:c r="E1179" t="str">
        <x:v>Order:170:2</x:v>
      </x:c>
      <x:c r="F1179" t="str">
        <x:v>Пустое поле</x:v>
      </x:c>
      <x:c r="G1179" t="str">
        <x:v>High</x:v>
      </x:c>
      <x:c r="H1179" t="str">
        <x:v>required_fields</x:v>
      </x:c>
      <x:c r="I1179" t="str">
        <x:v>Дополнить обязательные поля в источнике</x:v>
      </x:c>
      <x:c r="J1179" t="n">
        <x:f>IF(D1179=1,K1179,0)</x:f>
        <x:v>0</x:v>
      </x:c>
      <x:c r="K1179" t="n">
        <x:f>D1179+K1178</x:f>
        <x:v>13</x:v>
      </x:c>
    </x:row>
    <x:row r="1180">
      <x:c r="A1180" t="str">
        <x:v>Order</x:v>
      </x:c>
      <x:c r="B1180" t="str">
        <x:f>'04_checks'!B170</x:f>
      </x:c>
      <x:c r="C1180" t="n">
        <x:v>170</x:v>
      </x:c>
      <x:c r="D1180" t="n">
        <x:f>IF('04_checks'!E170="ERROR",1,0)</x:f>
        <x:v>0</x:v>
      </x:c>
      <x:c r="E1180" t="str">
        <x:v>Order:170:3</x:v>
      </x:c>
      <x:c r="F1180" t="str">
        <x:f>IF(COUNTIF('02_clients_raw'!$A$2:$A$67,'01_orders_raw'!C170)&gt;1,"Неоднозначная связь","Нет связи")</x:f>
        <x:v>Нет связи</x:v>
      </x:c>
      <x:c r="G1180" t="str">
        <x:v>High</x:v>
      </x:c>
      <x:c r="H1180" t="str">
        <x:v>client_id</x:v>
      </x:c>
      <x:c r="I1180" t="str">
        <x:v>Исправить ссылку или разрешить дубли связанного ID</x:v>
      </x:c>
      <x:c r="J1180" t="n">
        <x:f>IF(D1180=1,K1180,0)</x:f>
        <x:v>0</x:v>
      </x:c>
      <x:c r="K1180" t="n">
        <x:f>D1180+K1179</x:f>
        <x:v>13</x:v>
      </x:c>
    </x:row>
    <x:row r="1181">
      <x:c r="A1181" t="str">
        <x:v>Order</x:v>
      </x:c>
      <x:c r="B1181" t="str">
        <x:f>'04_checks'!B170</x:f>
      </x:c>
      <x:c r="C1181" t="n">
        <x:v>170</x:v>
      </x:c>
      <x:c r="D1181" t="n">
        <x:f>IF('04_checks'!F170="ERROR",1,0)</x:f>
        <x:v>0</x:v>
      </x:c>
      <x:c r="E1181" t="str">
        <x:v>Order:170:4</x:v>
      </x:c>
      <x:c r="F1181" t="str">
        <x:v>Ошибка расчета</x:v>
      </x:c>
      <x:c r="G1181" t="str">
        <x:v>High</x:v>
      </x:c>
      <x:c r="H1181" t="str">
        <x:v>quantity/price/order_sum</x:v>
      </x:c>
      <x:c r="I1181" t="str">
        <x:v>Сверить исходные значения и правило расчёта</x:v>
      </x:c>
      <x:c r="J1181" t="n">
        <x:f>IF(D1181=1,K1181,0)</x:f>
        <x:v>0</x:v>
      </x:c>
      <x:c r="K1181" t="n">
        <x:f>D1181+K1180</x:f>
        <x:v>13</x:v>
      </x:c>
    </x:row>
    <x:row r="1182">
      <x:c r="A1182" t="str">
        <x:v>Order</x:v>
      </x:c>
      <x:c r="B1182" t="str">
        <x:f>'04_checks'!B170</x:f>
      </x:c>
      <x:c r="C1182" t="n">
        <x:v>170</x:v>
      </x:c>
      <x:c r="D1182" t="n">
        <x:f>IF('04_checks'!G170="ERROR",1,0)</x:f>
        <x:v>0</x:v>
      </x:c>
      <x:c r="E1182" t="str">
        <x:v>Order:170:5</x:v>
      </x:c>
      <x:c r="F1182" t="str">
        <x:v>Отрицательная цена</x:v>
      </x:c>
      <x:c r="G1182" t="str">
        <x:v>High</x:v>
      </x:c>
      <x:c r="H1182" t="str">
        <x:v>price</x:v>
      </x:c>
      <x:c r="I1182" t="str">
        <x:v>Проверить цену в источнике</x:v>
      </x:c>
      <x:c r="J1182" t="n">
        <x:f>IF(D1182=1,K1182,0)</x:f>
        <x:v>0</x:v>
      </x:c>
      <x:c r="K1182" t="n">
        <x:f>D1182+K1181</x:f>
        <x:v>13</x:v>
      </x:c>
    </x:row>
    <x:row r="1183">
      <x:c r="A1183" t="str">
        <x:v>Order</x:v>
      </x:c>
      <x:c r="B1183" t="str">
        <x:f>'04_checks'!B170</x:f>
      </x:c>
      <x:c r="C1183" t="n">
        <x:v>170</x:v>
      </x:c>
      <x:c r="D1183" t="n">
        <x:f>IF('04_checks'!H170="ERROR",1,0)</x:f>
        <x:v>0</x:v>
      </x:c>
      <x:c r="E1183" t="str">
        <x:v>Order:170:6</x:v>
      </x:c>
      <x:c r="F1183" t="str">
        <x:v>Дата</x:v>
      </x:c>
      <x:c r="G1183" t="str">
        <x:v>Medium</x:v>
      </x:c>
      <x:c r="H1183" t="str">
        <x:v>order_date</x:v>
      </x:c>
      <x:c r="I1183" t="str">
        <x:v>Сверить дату со срезом и исходной записью</x:v>
      </x:c>
      <x:c r="J1183" t="n">
        <x:f>IF(D1183=1,K1183,0)</x:f>
        <x:v>0</x:v>
      </x:c>
      <x:c r="K1183" t="n">
        <x:f>D1183+K1182</x:f>
        <x:v>13</x:v>
      </x:c>
    </x:row>
    <x:row r="1184">
      <x:c r="A1184" t="str">
        <x:v>Order</x:v>
      </x:c>
      <x:c r="B1184" t="str">
        <x:f>'04_checks'!B170</x:f>
      </x:c>
      <x:c r="C1184" t="n">
        <x:v>170</x:v>
      </x:c>
      <x:c r="D1184" t="n">
        <x:f>IF('04_checks'!I170="ERROR",1,0)</x:f>
        <x:v>0</x:v>
      </x:c>
      <x:c r="E1184" t="str">
        <x:v>Order:170:7</x:v>
      </x:c>
      <x:c r="F1184" t="str">
        <x:v>Статус</x:v>
      </x:c>
      <x:c r="G1184" t="str">
        <x:v>Medium</x:v>
      </x:c>
      <x:c r="H1184" t="str">
        <x:v>status</x:v>
      </x:c>
      <x:c r="I1184" t="str">
        <x:v>Выбрать допустимый статус</x:v>
      </x:c>
      <x:c r="J1184" t="n">
        <x:f>IF(D1184=1,K1184,0)</x:f>
        <x:v>0</x:v>
      </x:c>
      <x:c r="K1184" t="n">
        <x:f>D1184+K1183</x:f>
        <x:v>13</x:v>
      </x:c>
    </x:row>
    <x:row r="1185">
      <x:c r="A1185" t="str">
        <x:v>Order</x:v>
      </x:c>
      <x:c r="B1185" t="str">
        <x:f>'04_checks'!B171</x:f>
      </x:c>
      <x:c r="C1185" t="n">
        <x:v>171</x:v>
      </x:c>
      <x:c r="D1185" t="n">
        <x:f>IF('04_checks'!C171="ERROR",1,0)</x:f>
        <x:v>0</x:v>
      </x:c>
      <x:c r="E1185" t="str">
        <x:v>Order:171:1</x:v>
      </x:c>
      <x:c r="F1185" t="str">
        <x:v>Дубль</x:v>
      </x:c>
      <x:c r="G1185" t="str">
        <x:v>High</x:v>
      </x:c>
      <x:c r="H1185" t="str">
        <x:v>order_id</x:v>
      </x:c>
      <x:c r="I1185" t="str">
        <x:v>Проверить уникальность ID в источнике; не удалять записи автоматически</x:v>
      </x:c>
      <x:c r="J1185" t="n">
        <x:f>IF(D1185=1,K1185,0)</x:f>
        <x:v>0</x:v>
      </x:c>
      <x:c r="K1185" t="n">
        <x:f>D1185+K1184</x:f>
        <x:v>13</x:v>
      </x:c>
    </x:row>
    <x:row r="1186">
      <x:c r="A1186" t="str">
        <x:v>Order</x:v>
      </x:c>
      <x:c r="B1186" t="str">
        <x:f>'04_checks'!B171</x:f>
      </x:c>
      <x:c r="C1186" t="n">
        <x:v>171</x:v>
      </x:c>
      <x:c r="D1186" t="n">
        <x:f>IF('04_checks'!D171="ERROR",1,0)</x:f>
        <x:v>0</x:v>
      </x:c>
      <x:c r="E1186" t="str">
        <x:v>Order:171:2</x:v>
      </x:c>
      <x:c r="F1186" t="str">
        <x:v>Пустое поле</x:v>
      </x:c>
      <x:c r="G1186" t="str">
        <x:v>High</x:v>
      </x:c>
      <x:c r="H1186" t="str">
        <x:v>required_fields</x:v>
      </x:c>
      <x:c r="I1186" t="str">
        <x:v>Дополнить обязательные поля в источнике</x:v>
      </x:c>
      <x:c r="J1186" t="n">
        <x:f>IF(D1186=1,K1186,0)</x:f>
        <x:v>0</x:v>
      </x:c>
      <x:c r="K1186" t="n">
        <x:f>D1186+K1185</x:f>
        <x:v>13</x:v>
      </x:c>
    </x:row>
    <x:row r="1187">
      <x:c r="A1187" t="str">
        <x:v>Order</x:v>
      </x:c>
      <x:c r="B1187" t="str">
        <x:f>'04_checks'!B171</x:f>
      </x:c>
      <x:c r="C1187" t="n">
        <x:v>171</x:v>
      </x:c>
      <x:c r="D1187" t="n">
        <x:f>IF('04_checks'!E171="ERROR",1,0)</x:f>
        <x:v>0</x:v>
      </x:c>
      <x:c r="E1187" t="str">
        <x:v>Order:171:3</x:v>
      </x:c>
      <x:c r="F1187" t="str">
        <x:f>IF(COUNTIF('02_clients_raw'!$A$2:$A$67,'01_orders_raw'!C171)&gt;1,"Неоднозначная связь","Нет связи")</x:f>
        <x:v>Нет связи</x:v>
      </x:c>
      <x:c r="G1187" t="str">
        <x:v>High</x:v>
      </x:c>
      <x:c r="H1187" t="str">
        <x:v>client_id</x:v>
      </x:c>
      <x:c r="I1187" t="str">
        <x:v>Исправить ссылку или разрешить дубли связанного ID</x:v>
      </x:c>
      <x:c r="J1187" t="n">
        <x:f>IF(D1187=1,K1187,0)</x:f>
        <x:v>0</x:v>
      </x:c>
      <x:c r="K1187" t="n">
        <x:f>D1187+K1186</x:f>
        <x:v>13</x:v>
      </x:c>
    </x:row>
    <x:row r="1188">
      <x:c r="A1188" t="str">
        <x:v>Order</x:v>
      </x:c>
      <x:c r="B1188" t="str">
        <x:f>'04_checks'!B171</x:f>
      </x:c>
      <x:c r="C1188" t="n">
        <x:v>171</x:v>
      </x:c>
      <x:c r="D1188" t="n">
        <x:f>IF('04_checks'!F171="ERROR",1,0)</x:f>
        <x:v>0</x:v>
      </x:c>
      <x:c r="E1188" t="str">
        <x:v>Order:171:4</x:v>
      </x:c>
      <x:c r="F1188" t="str">
        <x:v>Ошибка расчета</x:v>
      </x:c>
      <x:c r="G1188" t="str">
        <x:v>High</x:v>
      </x:c>
      <x:c r="H1188" t="str">
        <x:v>quantity/price/order_sum</x:v>
      </x:c>
      <x:c r="I1188" t="str">
        <x:v>Сверить исходные значения и правило расчёта</x:v>
      </x:c>
      <x:c r="J1188" t="n">
        <x:f>IF(D1188=1,K1188,0)</x:f>
        <x:v>0</x:v>
      </x:c>
      <x:c r="K1188" t="n">
        <x:f>D1188+K1187</x:f>
        <x:v>13</x:v>
      </x:c>
    </x:row>
    <x:row r="1189">
      <x:c r="A1189" t="str">
        <x:v>Order</x:v>
      </x:c>
      <x:c r="B1189" t="str">
        <x:f>'04_checks'!B171</x:f>
      </x:c>
      <x:c r="C1189" t="n">
        <x:v>171</x:v>
      </x:c>
      <x:c r="D1189" t="n">
        <x:f>IF('04_checks'!G171="ERROR",1,0)</x:f>
        <x:v>0</x:v>
      </x:c>
      <x:c r="E1189" t="str">
        <x:v>Order:171:5</x:v>
      </x:c>
      <x:c r="F1189" t="str">
        <x:v>Отрицательная цена</x:v>
      </x:c>
      <x:c r="G1189" t="str">
        <x:v>High</x:v>
      </x:c>
      <x:c r="H1189" t="str">
        <x:v>price</x:v>
      </x:c>
      <x:c r="I1189" t="str">
        <x:v>Проверить цену в источнике</x:v>
      </x:c>
      <x:c r="J1189" t="n">
        <x:f>IF(D1189=1,K1189,0)</x:f>
        <x:v>0</x:v>
      </x:c>
      <x:c r="K1189" t="n">
        <x:f>D1189+K1188</x:f>
        <x:v>13</x:v>
      </x:c>
    </x:row>
    <x:row r="1190">
      <x:c r="A1190" t="str">
        <x:v>Order</x:v>
      </x:c>
      <x:c r="B1190" t="str">
        <x:f>'04_checks'!B171</x:f>
      </x:c>
      <x:c r="C1190" t="n">
        <x:v>171</x:v>
      </x:c>
      <x:c r="D1190" t="n">
        <x:f>IF('04_checks'!H171="ERROR",1,0)</x:f>
        <x:v>0</x:v>
      </x:c>
      <x:c r="E1190" t="str">
        <x:v>Order:171:6</x:v>
      </x:c>
      <x:c r="F1190" t="str">
        <x:v>Дата</x:v>
      </x:c>
      <x:c r="G1190" t="str">
        <x:v>Medium</x:v>
      </x:c>
      <x:c r="H1190" t="str">
        <x:v>order_date</x:v>
      </x:c>
      <x:c r="I1190" t="str">
        <x:v>Сверить дату со срезом и исходной записью</x:v>
      </x:c>
      <x:c r="J1190" t="n">
        <x:f>IF(D1190=1,K1190,0)</x:f>
        <x:v>0</x:v>
      </x:c>
      <x:c r="K1190" t="n">
        <x:f>D1190+K1189</x:f>
        <x:v>13</x:v>
      </x:c>
    </x:row>
    <x:row r="1191">
      <x:c r="A1191" t="str">
        <x:v>Order</x:v>
      </x:c>
      <x:c r="B1191" t="str">
        <x:f>'04_checks'!B171</x:f>
      </x:c>
      <x:c r="C1191" t="n">
        <x:v>171</x:v>
      </x:c>
      <x:c r="D1191" t="n">
        <x:f>IF('04_checks'!I171="ERROR",1,0)</x:f>
        <x:v>0</x:v>
      </x:c>
      <x:c r="E1191" t="str">
        <x:v>Order:171:7</x:v>
      </x:c>
      <x:c r="F1191" t="str">
        <x:v>Статус</x:v>
      </x:c>
      <x:c r="G1191" t="str">
        <x:v>Medium</x:v>
      </x:c>
      <x:c r="H1191" t="str">
        <x:v>status</x:v>
      </x:c>
      <x:c r="I1191" t="str">
        <x:v>Выбрать допустимый статус</x:v>
      </x:c>
      <x:c r="J1191" t="n">
        <x:f>IF(D1191=1,K1191,0)</x:f>
        <x:v>0</x:v>
      </x:c>
      <x:c r="K1191" t="n">
        <x:f>D1191+K1190</x:f>
        <x:v>13</x:v>
      </x:c>
    </x:row>
    <x:row r="1192">
      <x:c r="A1192" t="str">
        <x:v>Order</x:v>
      </x:c>
      <x:c r="B1192" t="str">
        <x:f>'04_checks'!B172</x:f>
      </x:c>
      <x:c r="C1192" t="n">
        <x:v>172</x:v>
      </x:c>
      <x:c r="D1192" t="n">
        <x:f>IF('04_checks'!C172="ERROR",1,0)</x:f>
        <x:v>0</x:v>
      </x:c>
      <x:c r="E1192" t="str">
        <x:v>Order:172:1</x:v>
      </x:c>
      <x:c r="F1192" t="str">
        <x:v>Дубль</x:v>
      </x:c>
      <x:c r="G1192" t="str">
        <x:v>High</x:v>
      </x:c>
      <x:c r="H1192" t="str">
        <x:v>order_id</x:v>
      </x:c>
      <x:c r="I1192" t="str">
        <x:v>Проверить уникальность ID в источнике; не удалять записи автоматически</x:v>
      </x:c>
      <x:c r="J1192" t="n">
        <x:f>IF(D1192=1,K1192,0)</x:f>
        <x:v>0</x:v>
      </x:c>
      <x:c r="K1192" t="n">
        <x:f>D1192+K1191</x:f>
        <x:v>13</x:v>
      </x:c>
    </x:row>
    <x:row r="1193">
      <x:c r="A1193" t="str">
        <x:v>Order</x:v>
      </x:c>
      <x:c r="B1193" t="str">
        <x:f>'04_checks'!B172</x:f>
      </x:c>
      <x:c r="C1193" t="n">
        <x:v>172</x:v>
      </x:c>
      <x:c r="D1193" t="n">
        <x:f>IF('04_checks'!D172="ERROR",1,0)</x:f>
        <x:v>0</x:v>
      </x:c>
      <x:c r="E1193" t="str">
        <x:v>Order:172:2</x:v>
      </x:c>
      <x:c r="F1193" t="str">
        <x:v>Пустое поле</x:v>
      </x:c>
      <x:c r="G1193" t="str">
        <x:v>High</x:v>
      </x:c>
      <x:c r="H1193" t="str">
        <x:v>required_fields</x:v>
      </x:c>
      <x:c r="I1193" t="str">
        <x:v>Дополнить обязательные поля в источнике</x:v>
      </x:c>
      <x:c r="J1193" t="n">
        <x:f>IF(D1193=1,K1193,0)</x:f>
        <x:v>0</x:v>
      </x:c>
      <x:c r="K1193" t="n">
        <x:f>D1193+K1192</x:f>
        <x:v>13</x:v>
      </x:c>
    </x:row>
    <x:row r="1194">
      <x:c r="A1194" t="str">
        <x:v>Order</x:v>
      </x:c>
      <x:c r="B1194" t="str">
        <x:f>'04_checks'!B172</x:f>
      </x:c>
      <x:c r="C1194" t="n">
        <x:v>172</x:v>
      </x:c>
      <x:c r="D1194" t="n">
        <x:f>IF('04_checks'!E172="ERROR",1,0)</x:f>
        <x:v>0</x:v>
      </x:c>
      <x:c r="E1194" t="str">
        <x:v>Order:172:3</x:v>
      </x:c>
      <x:c r="F1194" t="str">
        <x:f>IF(COUNTIF('02_clients_raw'!$A$2:$A$67,'01_orders_raw'!C172)&gt;1,"Неоднозначная связь","Нет связи")</x:f>
        <x:v>Нет связи</x:v>
      </x:c>
      <x:c r="G1194" t="str">
        <x:v>High</x:v>
      </x:c>
      <x:c r="H1194" t="str">
        <x:v>client_id</x:v>
      </x:c>
      <x:c r="I1194" t="str">
        <x:v>Исправить ссылку или разрешить дубли связанного ID</x:v>
      </x:c>
      <x:c r="J1194" t="n">
        <x:f>IF(D1194=1,K1194,0)</x:f>
        <x:v>0</x:v>
      </x:c>
      <x:c r="K1194" t="n">
        <x:f>D1194+K1193</x:f>
        <x:v>13</x:v>
      </x:c>
    </x:row>
    <x:row r="1195">
      <x:c r="A1195" t="str">
        <x:v>Order</x:v>
      </x:c>
      <x:c r="B1195" t="str">
        <x:f>'04_checks'!B172</x:f>
      </x:c>
      <x:c r="C1195" t="n">
        <x:v>172</x:v>
      </x:c>
      <x:c r="D1195" t="n">
        <x:f>IF('04_checks'!F172="ERROR",1,0)</x:f>
        <x:v>0</x:v>
      </x:c>
      <x:c r="E1195" t="str">
        <x:v>Order:172:4</x:v>
      </x:c>
      <x:c r="F1195" t="str">
        <x:v>Ошибка расчета</x:v>
      </x:c>
      <x:c r="G1195" t="str">
        <x:v>High</x:v>
      </x:c>
      <x:c r="H1195" t="str">
        <x:v>quantity/price/order_sum</x:v>
      </x:c>
      <x:c r="I1195" t="str">
        <x:v>Сверить исходные значения и правило расчёта</x:v>
      </x:c>
      <x:c r="J1195" t="n">
        <x:f>IF(D1195=1,K1195,0)</x:f>
        <x:v>0</x:v>
      </x:c>
      <x:c r="K1195" t="n">
        <x:f>D1195+K1194</x:f>
        <x:v>13</x:v>
      </x:c>
    </x:row>
    <x:row r="1196">
      <x:c r="A1196" t="str">
        <x:v>Order</x:v>
      </x:c>
      <x:c r="B1196" t="str">
        <x:f>'04_checks'!B172</x:f>
      </x:c>
      <x:c r="C1196" t="n">
        <x:v>172</x:v>
      </x:c>
      <x:c r="D1196" t="n">
        <x:f>IF('04_checks'!G172="ERROR",1,0)</x:f>
        <x:v>0</x:v>
      </x:c>
      <x:c r="E1196" t="str">
        <x:v>Order:172:5</x:v>
      </x:c>
      <x:c r="F1196" t="str">
        <x:v>Отрицательная цена</x:v>
      </x:c>
      <x:c r="G1196" t="str">
        <x:v>High</x:v>
      </x:c>
      <x:c r="H1196" t="str">
        <x:v>price</x:v>
      </x:c>
      <x:c r="I1196" t="str">
        <x:v>Проверить цену в источнике</x:v>
      </x:c>
      <x:c r="J1196" t="n">
        <x:f>IF(D1196=1,K1196,0)</x:f>
        <x:v>0</x:v>
      </x:c>
      <x:c r="K1196" t="n">
        <x:f>D1196+K1195</x:f>
        <x:v>13</x:v>
      </x:c>
    </x:row>
    <x:row r="1197">
      <x:c r="A1197" t="str">
        <x:v>Order</x:v>
      </x:c>
      <x:c r="B1197" t="str">
        <x:f>'04_checks'!B172</x:f>
      </x:c>
      <x:c r="C1197" t="n">
        <x:v>172</x:v>
      </x:c>
      <x:c r="D1197" t="n">
        <x:f>IF('04_checks'!H172="ERROR",1,0)</x:f>
        <x:v>0</x:v>
      </x:c>
      <x:c r="E1197" t="str">
        <x:v>Order:172:6</x:v>
      </x:c>
      <x:c r="F1197" t="str">
        <x:v>Дата</x:v>
      </x:c>
      <x:c r="G1197" t="str">
        <x:v>Medium</x:v>
      </x:c>
      <x:c r="H1197" t="str">
        <x:v>order_date</x:v>
      </x:c>
      <x:c r="I1197" t="str">
        <x:v>Сверить дату со срезом и исходной записью</x:v>
      </x:c>
      <x:c r="J1197" t="n">
        <x:f>IF(D1197=1,K1197,0)</x:f>
        <x:v>0</x:v>
      </x:c>
      <x:c r="K1197" t="n">
        <x:f>D1197+K1196</x:f>
        <x:v>13</x:v>
      </x:c>
    </x:row>
    <x:row r="1198">
      <x:c r="A1198" t="str">
        <x:v>Order</x:v>
      </x:c>
      <x:c r="B1198" t="str">
        <x:f>'04_checks'!B172</x:f>
      </x:c>
      <x:c r="C1198" t="n">
        <x:v>172</x:v>
      </x:c>
      <x:c r="D1198" t="n">
        <x:f>IF('04_checks'!I172="ERROR",1,0)</x:f>
        <x:v>0</x:v>
      </x:c>
      <x:c r="E1198" t="str">
        <x:v>Order:172:7</x:v>
      </x:c>
      <x:c r="F1198" t="str">
        <x:v>Статус</x:v>
      </x:c>
      <x:c r="G1198" t="str">
        <x:v>Medium</x:v>
      </x:c>
      <x:c r="H1198" t="str">
        <x:v>status</x:v>
      </x:c>
      <x:c r="I1198" t="str">
        <x:v>Выбрать допустимый статус</x:v>
      </x:c>
      <x:c r="J1198" t="n">
        <x:f>IF(D1198=1,K1198,0)</x:f>
        <x:v>0</x:v>
      </x:c>
      <x:c r="K1198" t="n">
        <x:f>D1198+K1197</x:f>
        <x:v>13</x:v>
      </x:c>
    </x:row>
    <x:row r="1199">
      <x:c r="A1199" t="str">
        <x:v>Order</x:v>
      </x:c>
      <x:c r="B1199" t="str">
        <x:f>'04_checks'!B173</x:f>
      </x:c>
      <x:c r="C1199" t="n">
        <x:v>173</x:v>
      </x:c>
      <x:c r="D1199" t="n">
        <x:f>IF('04_checks'!C173="ERROR",1,0)</x:f>
        <x:v>0</x:v>
      </x:c>
      <x:c r="E1199" t="str">
        <x:v>Order:173:1</x:v>
      </x:c>
      <x:c r="F1199" t="str">
        <x:v>Дубль</x:v>
      </x:c>
      <x:c r="G1199" t="str">
        <x:v>High</x:v>
      </x:c>
      <x:c r="H1199" t="str">
        <x:v>order_id</x:v>
      </x:c>
      <x:c r="I1199" t="str">
        <x:v>Проверить уникальность ID в источнике; не удалять записи автоматически</x:v>
      </x:c>
      <x:c r="J1199" t="n">
        <x:f>IF(D1199=1,K1199,0)</x:f>
        <x:v>0</x:v>
      </x:c>
      <x:c r="K1199" t="n">
        <x:f>D1199+K1198</x:f>
        <x:v>13</x:v>
      </x:c>
    </x:row>
    <x:row r="1200">
      <x:c r="A1200" t="str">
        <x:v>Order</x:v>
      </x:c>
      <x:c r="B1200" t="str">
        <x:f>'04_checks'!B173</x:f>
      </x:c>
      <x:c r="C1200" t="n">
        <x:v>173</x:v>
      </x:c>
      <x:c r="D1200" t="n">
        <x:f>IF('04_checks'!D173="ERROR",1,0)</x:f>
        <x:v>0</x:v>
      </x:c>
      <x:c r="E1200" t="str">
        <x:v>Order:173:2</x:v>
      </x:c>
      <x:c r="F1200" t="str">
        <x:v>Пустое поле</x:v>
      </x:c>
      <x:c r="G1200" t="str">
        <x:v>High</x:v>
      </x:c>
      <x:c r="H1200" t="str">
        <x:v>required_fields</x:v>
      </x:c>
      <x:c r="I1200" t="str">
        <x:v>Дополнить обязательные поля в источнике</x:v>
      </x:c>
      <x:c r="J1200" t="n">
        <x:f>IF(D1200=1,K1200,0)</x:f>
        <x:v>0</x:v>
      </x:c>
      <x:c r="K1200" t="n">
        <x:f>D1200+K1199</x:f>
        <x:v>13</x:v>
      </x:c>
    </x:row>
    <x:row r="1201">
      <x:c r="A1201" t="str">
        <x:v>Order</x:v>
      </x:c>
      <x:c r="B1201" t="str">
        <x:f>'04_checks'!B173</x:f>
      </x:c>
      <x:c r="C1201" t="n">
        <x:v>173</x:v>
      </x:c>
      <x:c r="D1201" t="n">
        <x:f>IF('04_checks'!E173="ERROR",1,0)</x:f>
        <x:v>0</x:v>
      </x:c>
      <x:c r="E1201" t="str">
        <x:v>Order:173:3</x:v>
      </x:c>
      <x:c r="F1201" t="str">
        <x:f>IF(COUNTIF('02_clients_raw'!$A$2:$A$67,'01_orders_raw'!C173)&gt;1,"Неоднозначная связь","Нет связи")</x:f>
        <x:v>Нет связи</x:v>
      </x:c>
      <x:c r="G1201" t="str">
        <x:v>High</x:v>
      </x:c>
      <x:c r="H1201" t="str">
        <x:v>client_id</x:v>
      </x:c>
      <x:c r="I1201" t="str">
        <x:v>Исправить ссылку или разрешить дубли связанного ID</x:v>
      </x:c>
      <x:c r="J1201" t="n">
        <x:f>IF(D1201=1,K1201,0)</x:f>
        <x:v>0</x:v>
      </x:c>
      <x:c r="K1201" t="n">
        <x:f>D1201+K1200</x:f>
        <x:v>13</x:v>
      </x:c>
    </x:row>
    <x:row r="1202">
      <x:c r="A1202" t="str">
        <x:v>Order</x:v>
      </x:c>
      <x:c r="B1202" t="str">
        <x:f>'04_checks'!B173</x:f>
      </x:c>
      <x:c r="C1202" t="n">
        <x:v>173</x:v>
      </x:c>
      <x:c r="D1202" t="n">
        <x:f>IF('04_checks'!F173="ERROR",1,0)</x:f>
        <x:v>0</x:v>
      </x:c>
      <x:c r="E1202" t="str">
        <x:v>Order:173:4</x:v>
      </x:c>
      <x:c r="F1202" t="str">
        <x:v>Ошибка расчета</x:v>
      </x:c>
      <x:c r="G1202" t="str">
        <x:v>High</x:v>
      </x:c>
      <x:c r="H1202" t="str">
        <x:v>quantity/price/order_sum</x:v>
      </x:c>
      <x:c r="I1202" t="str">
        <x:v>Сверить исходные значения и правило расчёта</x:v>
      </x:c>
      <x:c r="J1202" t="n">
        <x:f>IF(D1202=1,K1202,0)</x:f>
        <x:v>0</x:v>
      </x:c>
      <x:c r="K1202" t="n">
        <x:f>D1202+K1201</x:f>
        <x:v>13</x:v>
      </x:c>
    </x:row>
    <x:row r="1203">
      <x:c r="A1203" t="str">
        <x:v>Order</x:v>
      </x:c>
      <x:c r="B1203" t="str">
        <x:f>'04_checks'!B173</x:f>
      </x:c>
      <x:c r="C1203" t="n">
        <x:v>173</x:v>
      </x:c>
      <x:c r="D1203" t="n">
        <x:f>IF('04_checks'!G173="ERROR",1,0)</x:f>
        <x:v>0</x:v>
      </x:c>
      <x:c r="E1203" t="str">
        <x:v>Order:173:5</x:v>
      </x:c>
      <x:c r="F1203" t="str">
        <x:v>Отрицательная цена</x:v>
      </x:c>
      <x:c r="G1203" t="str">
        <x:v>High</x:v>
      </x:c>
      <x:c r="H1203" t="str">
        <x:v>price</x:v>
      </x:c>
      <x:c r="I1203" t="str">
        <x:v>Проверить цену в источнике</x:v>
      </x:c>
      <x:c r="J1203" t="n">
        <x:f>IF(D1203=1,K1203,0)</x:f>
        <x:v>0</x:v>
      </x:c>
      <x:c r="K1203" t="n">
        <x:f>D1203+K1202</x:f>
        <x:v>13</x:v>
      </x:c>
    </x:row>
    <x:row r="1204">
      <x:c r="A1204" t="str">
        <x:v>Order</x:v>
      </x:c>
      <x:c r="B1204" t="str">
        <x:f>'04_checks'!B173</x:f>
      </x:c>
      <x:c r="C1204" t="n">
        <x:v>173</x:v>
      </x:c>
      <x:c r="D1204" t="n">
        <x:f>IF('04_checks'!H173="ERROR",1,0)</x:f>
        <x:v>0</x:v>
      </x:c>
      <x:c r="E1204" t="str">
        <x:v>Order:173:6</x:v>
      </x:c>
      <x:c r="F1204" t="str">
        <x:v>Дата</x:v>
      </x:c>
      <x:c r="G1204" t="str">
        <x:v>Medium</x:v>
      </x:c>
      <x:c r="H1204" t="str">
        <x:v>order_date</x:v>
      </x:c>
      <x:c r="I1204" t="str">
        <x:v>Сверить дату со срезом и исходной записью</x:v>
      </x:c>
      <x:c r="J1204" t="n">
        <x:f>IF(D1204=1,K1204,0)</x:f>
        <x:v>0</x:v>
      </x:c>
      <x:c r="K1204" t="n">
        <x:f>D1204+K1203</x:f>
        <x:v>13</x:v>
      </x:c>
    </x:row>
    <x:row r="1205">
      <x:c r="A1205" t="str">
        <x:v>Order</x:v>
      </x:c>
      <x:c r="B1205" t="str">
        <x:f>'04_checks'!B173</x:f>
      </x:c>
      <x:c r="C1205" t="n">
        <x:v>173</x:v>
      </x:c>
      <x:c r="D1205" t="n">
        <x:f>IF('04_checks'!I173="ERROR",1,0)</x:f>
        <x:v>0</x:v>
      </x:c>
      <x:c r="E1205" t="str">
        <x:v>Order:173:7</x:v>
      </x:c>
      <x:c r="F1205" t="str">
        <x:v>Статус</x:v>
      </x:c>
      <x:c r="G1205" t="str">
        <x:v>Medium</x:v>
      </x:c>
      <x:c r="H1205" t="str">
        <x:v>status</x:v>
      </x:c>
      <x:c r="I1205" t="str">
        <x:v>Выбрать допустимый статус</x:v>
      </x:c>
      <x:c r="J1205" t="n">
        <x:f>IF(D1205=1,K1205,0)</x:f>
        <x:v>0</x:v>
      </x:c>
      <x:c r="K1205" t="n">
        <x:f>D1205+K1204</x:f>
        <x:v>13</x:v>
      </x:c>
    </x:row>
    <x:row r="1206">
      <x:c r="A1206" t="str">
        <x:v>Order</x:v>
      </x:c>
      <x:c r="B1206" t="str">
        <x:f>'04_checks'!B174</x:f>
      </x:c>
      <x:c r="C1206" t="n">
        <x:v>174</x:v>
      </x:c>
      <x:c r="D1206" t="n">
        <x:f>IF('04_checks'!C174="ERROR",1,0)</x:f>
        <x:v>0</x:v>
      </x:c>
      <x:c r="E1206" t="str">
        <x:v>Order:174:1</x:v>
      </x:c>
      <x:c r="F1206" t="str">
        <x:v>Дубль</x:v>
      </x:c>
      <x:c r="G1206" t="str">
        <x:v>High</x:v>
      </x:c>
      <x:c r="H1206" t="str">
        <x:v>order_id</x:v>
      </x:c>
      <x:c r="I1206" t="str">
        <x:v>Проверить уникальность ID в источнике; не удалять записи автоматически</x:v>
      </x:c>
      <x:c r="J1206" t="n">
        <x:f>IF(D1206=1,K1206,0)</x:f>
        <x:v>0</x:v>
      </x:c>
      <x:c r="K1206" t="n">
        <x:f>D1206+K1205</x:f>
        <x:v>13</x:v>
      </x:c>
    </x:row>
    <x:row r="1207">
      <x:c r="A1207" t="str">
        <x:v>Order</x:v>
      </x:c>
      <x:c r="B1207" t="str">
        <x:f>'04_checks'!B174</x:f>
      </x:c>
      <x:c r="C1207" t="n">
        <x:v>174</x:v>
      </x:c>
      <x:c r="D1207" t="n">
        <x:f>IF('04_checks'!D174="ERROR",1,0)</x:f>
        <x:v>0</x:v>
      </x:c>
      <x:c r="E1207" t="str">
        <x:v>Order:174:2</x:v>
      </x:c>
      <x:c r="F1207" t="str">
        <x:v>Пустое поле</x:v>
      </x:c>
      <x:c r="G1207" t="str">
        <x:v>High</x:v>
      </x:c>
      <x:c r="H1207" t="str">
        <x:v>required_fields</x:v>
      </x:c>
      <x:c r="I1207" t="str">
        <x:v>Дополнить обязательные поля в источнике</x:v>
      </x:c>
      <x:c r="J1207" t="n">
        <x:f>IF(D1207=1,K1207,0)</x:f>
        <x:v>0</x:v>
      </x:c>
      <x:c r="K1207" t="n">
        <x:f>D1207+K1206</x:f>
        <x:v>13</x:v>
      </x:c>
    </x:row>
    <x:row r="1208">
      <x:c r="A1208" t="str">
        <x:v>Order</x:v>
      </x:c>
      <x:c r="B1208" t="str">
        <x:f>'04_checks'!B174</x:f>
      </x:c>
      <x:c r="C1208" t="n">
        <x:v>174</x:v>
      </x:c>
      <x:c r="D1208" t="n">
        <x:f>IF('04_checks'!E174="ERROR",1,0)</x:f>
        <x:v>0</x:v>
      </x:c>
      <x:c r="E1208" t="str">
        <x:v>Order:174:3</x:v>
      </x:c>
      <x:c r="F1208" t="str">
        <x:f>IF(COUNTIF('02_clients_raw'!$A$2:$A$67,'01_orders_raw'!C174)&gt;1,"Неоднозначная связь","Нет связи")</x:f>
        <x:v>Нет связи</x:v>
      </x:c>
      <x:c r="G1208" t="str">
        <x:v>High</x:v>
      </x:c>
      <x:c r="H1208" t="str">
        <x:v>client_id</x:v>
      </x:c>
      <x:c r="I1208" t="str">
        <x:v>Исправить ссылку или разрешить дубли связанного ID</x:v>
      </x:c>
      <x:c r="J1208" t="n">
        <x:f>IF(D1208=1,K1208,0)</x:f>
        <x:v>0</x:v>
      </x:c>
      <x:c r="K1208" t="n">
        <x:f>D1208+K1207</x:f>
        <x:v>13</x:v>
      </x:c>
    </x:row>
    <x:row r="1209">
      <x:c r="A1209" t="str">
        <x:v>Order</x:v>
      </x:c>
      <x:c r="B1209" t="str">
        <x:f>'04_checks'!B174</x:f>
      </x:c>
      <x:c r="C1209" t="n">
        <x:v>174</x:v>
      </x:c>
      <x:c r="D1209" t="n">
        <x:f>IF('04_checks'!F174="ERROR",1,0)</x:f>
        <x:v>0</x:v>
      </x:c>
      <x:c r="E1209" t="str">
        <x:v>Order:174:4</x:v>
      </x:c>
      <x:c r="F1209" t="str">
        <x:v>Ошибка расчета</x:v>
      </x:c>
      <x:c r="G1209" t="str">
        <x:v>High</x:v>
      </x:c>
      <x:c r="H1209" t="str">
        <x:v>quantity/price/order_sum</x:v>
      </x:c>
      <x:c r="I1209" t="str">
        <x:v>Сверить исходные значения и правило расчёта</x:v>
      </x:c>
      <x:c r="J1209" t="n">
        <x:f>IF(D1209=1,K1209,0)</x:f>
        <x:v>0</x:v>
      </x:c>
      <x:c r="K1209" t="n">
        <x:f>D1209+K1208</x:f>
        <x:v>13</x:v>
      </x:c>
    </x:row>
    <x:row r="1210">
      <x:c r="A1210" t="str">
        <x:v>Order</x:v>
      </x:c>
      <x:c r="B1210" t="str">
        <x:f>'04_checks'!B174</x:f>
      </x:c>
      <x:c r="C1210" t="n">
        <x:v>174</x:v>
      </x:c>
      <x:c r="D1210" t="n">
        <x:f>IF('04_checks'!G174="ERROR",1,0)</x:f>
        <x:v>0</x:v>
      </x:c>
      <x:c r="E1210" t="str">
        <x:v>Order:174:5</x:v>
      </x:c>
      <x:c r="F1210" t="str">
        <x:v>Отрицательная цена</x:v>
      </x:c>
      <x:c r="G1210" t="str">
        <x:v>High</x:v>
      </x:c>
      <x:c r="H1210" t="str">
        <x:v>price</x:v>
      </x:c>
      <x:c r="I1210" t="str">
        <x:v>Проверить цену в источнике</x:v>
      </x:c>
      <x:c r="J1210" t="n">
        <x:f>IF(D1210=1,K1210,0)</x:f>
        <x:v>0</x:v>
      </x:c>
      <x:c r="K1210" t="n">
        <x:f>D1210+K1209</x:f>
        <x:v>13</x:v>
      </x:c>
    </x:row>
    <x:row r="1211">
      <x:c r="A1211" t="str">
        <x:v>Order</x:v>
      </x:c>
      <x:c r="B1211" t="str">
        <x:f>'04_checks'!B174</x:f>
      </x:c>
      <x:c r="C1211" t="n">
        <x:v>174</x:v>
      </x:c>
      <x:c r="D1211" t="n">
        <x:f>IF('04_checks'!H174="ERROR",1,0)</x:f>
        <x:v>0</x:v>
      </x:c>
      <x:c r="E1211" t="str">
        <x:v>Order:174:6</x:v>
      </x:c>
      <x:c r="F1211" t="str">
        <x:v>Дата</x:v>
      </x:c>
      <x:c r="G1211" t="str">
        <x:v>Medium</x:v>
      </x:c>
      <x:c r="H1211" t="str">
        <x:v>order_date</x:v>
      </x:c>
      <x:c r="I1211" t="str">
        <x:v>Сверить дату со срезом и исходной записью</x:v>
      </x:c>
      <x:c r="J1211" t="n">
        <x:f>IF(D1211=1,K1211,0)</x:f>
        <x:v>0</x:v>
      </x:c>
      <x:c r="K1211" t="n">
        <x:f>D1211+K1210</x:f>
        <x:v>13</x:v>
      </x:c>
    </x:row>
    <x:row r="1212">
      <x:c r="A1212" t="str">
        <x:v>Order</x:v>
      </x:c>
      <x:c r="B1212" t="str">
        <x:f>'04_checks'!B174</x:f>
      </x:c>
      <x:c r="C1212" t="n">
        <x:v>174</x:v>
      </x:c>
      <x:c r="D1212" t="n">
        <x:f>IF('04_checks'!I174="ERROR",1,0)</x:f>
        <x:v>0</x:v>
      </x:c>
      <x:c r="E1212" t="str">
        <x:v>Order:174:7</x:v>
      </x:c>
      <x:c r="F1212" t="str">
        <x:v>Статус</x:v>
      </x:c>
      <x:c r="G1212" t="str">
        <x:v>Medium</x:v>
      </x:c>
      <x:c r="H1212" t="str">
        <x:v>status</x:v>
      </x:c>
      <x:c r="I1212" t="str">
        <x:v>Выбрать допустимый статус</x:v>
      </x:c>
      <x:c r="J1212" t="n">
        <x:f>IF(D1212=1,K1212,0)</x:f>
        <x:v>0</x:v>
      </x:c>
      <x:c r="K1212" t="n">
        <x:f>D1212+K1211</x:f>
        <x:v>13</x:v>
      </x:c>
    </x:row>
    <x:row r="1213">
      <x:c r="A1213" t="str">
        <x:v>Order</x:v>
      </x:c>
      <x:c r="B1213" t="str">
        <x:f>'04_checks'!B175</x:f>
      </x:c>
      <x:c r="C1213" t="n">
        <x:v>175</x:v>
      </x:c>
      <x:c r="D1213" t="n">
        <x:f>IF('04_checks'!C175="ERROR",1,0)</x:f>
        <x:v>0</x:v>
      </x:c>
      <x:c r="E1213" t="str">
        <x:v>Order:175:1</x:v>
      </x:c>
      <x:c r="F1213" t="str">
        <x:v>Дубль</x:v>
      </x:c>
      <x:c r="G1213" t="str">
        <x:v>High</x:v>
      </x:c>
      <x:c r="H1213" t="str">
        <x:v>order_id</x:v>
      </x:c>
      <x:c r="I1213" t="str">
        <x:v>Проверить уникальность ID в источнике; не удалять записи автоматически</x:v>
      </x:c>
      <x:c r="J1213" t="n">
        <x:f>IF(D1213=1,K1213,0)</x:f>
        <x:v>0</x:v>
      </x:c>
      <x:c r="K1213" t="n">
        <x:f>D1213+K1212</x:f>
        <x:v>13</x:v>
      </x:c>
    </x:row>
    <x:row r="1214">
      <x:c r="A1214" t="str">
        <x:v>Order</x:v>
      </x:c>
      <x:c r="B1214" t="str">
        <x:f>'04_checks'!B175</x:f>
      </x:c>
      <x:c r="C1214" t="n">
        <x:v>175</x:v>
      </x:c>
      <x:c r="D1214" t="n">
        <x:f>IF('04_checks'!D175="ERROR",1,0)</x:f>
        <x:v>0</x:v>
      </x:c>
      <x:c r="E1214" t="str">
        <x:v>Order:175:2</x:v>
      </x:c>
      <x:c r="F1214" t="str">
        <x:v>Пустое поле</x:v>
      </x:c>
      <x:c r="G1214" t="str">
        <x:v>High</x:v>
      </x:c>
      <x:c r="H1214" t="str">
        <x:v>required_fields</x:v>
      </x:c>
      <x:c r="I1214" t="str">
        <x:v>Дополнить обязательные поля в источнике</x:v>
      </x:c>
      <x:c r="J1214" t="n">
        <x:f>IF(D1214=1,K1214,0)</x:f>
        <x:v>0</x:v>
      </x:c>
      <x:c r="K1214" t="n">
        <x:f>D1214+K1213</x:f>
        <x:v>13</x:v>
      </x:c>
    </x:row>
    <x:row r="1215">
      <x:c r="A1215" t="str">
        <x:v>Order</x:v>
      </x:c>
      <x:c r="B1215" t="str">
        <x:f>'04_checks'!B175</x:f>
      </x:c>
      <x:c r="C1215" t="n">
        <x:v>175</x:v>
      </x:c>
      <x:c r="D1215" t="n">
        <x:f>IF('04_checks'!E175="ERROR",1,0)</x:f>
        <x:v>0</x:v>
      </x:c>
      <x:c r="E1215" t="str">
        <x:v>Order:175:3</x:v>
      </x:c>
      <x:c r="F1215" t="str">
        <x:f>IF(COUNTIF('02_clients_raw'!$A$2:$A$67,'01_orders_raw'!C175)&gt;1,"Неоднозначная связь","Нет связи")</x:f>
        <x:v>Нет связи</x:v>
      </x:c>
      <x:c r="G1215" t="str">
        <x:v>High</x:v>
      </x:c>
      <x:c r="H1215" t="str">
        <x:v>client_id</x:v>
      </x:c>
      <x:c r="I1215" t="str">
        <x:v>Исправить ссылку или разрешить дубли связанного ID</x:v>
      </x:c>
      <x:c r="J1215" t="n">
        <x:f>IF(D1215=1,K1215,0)</x:f>
        <x:v>0</x:v>
      </x:c>
      <x:c r="K1215" t="n">
        <x:f>D1215+K1214</x:f>
        <x:v>13</x:v>
      </x:c>
    </x:row>
    <x:row r="1216">
      <x:c r="A1216" t="str">
        <x:v>Order</x:v>
      </x:c>
      <x:c r="B1216" t="str">
        <x:f>'04_checks'!B175</x:f>
      </x:c>
      <x:c r="C1216" t="n">
        <x:v>175</x:v>
      </x:c>
      <x:c r="D1216" t="n">
        <x:f>IF('04_checks'!F175="ERROR",1,0)</x:f>
        <x:v>0</x:v>
      </x:c>
      <x:c r="E1216" t="str">
        <x:v>Order:175:4</x:v>
      </x:c>
      <x:c r="F1216" t="str">
        <x:v>Ошибка расчета</x:v>
      </x:c>
      <x:c r="G1216" t="str">
        <x:v>High</x:v>
      </x:c>
      <x:c r="H1216" t="str">
        <x:v>quantity/price/order_sum</x:v>
      </x:c>
      <x:c r="I1216" t="str">
        <x:v>Сверить исходные значения и правило расчёта</x:v>
      </x:c>
      <x:c r="J1216" t="n">
        <x:f>IF(D1216=1,K1216,0)</x:f>
        <x:v>0</x:v>
      </x:c>
      <x:c r="K1216" t="n">
        <x:f>D1216+K1215</x:f>
        <x:v>13</x:v>
      </x:c>
    </x:row>
    <x:row r="1217">
      <x:c r="A1217" t="str">
        <x:v>Order</x:v>
      </x:c>
      <x:c r="B1217" t="str">
        <x:f>'04_checks'!B175</x:f>
      </x:c>
      <x:c r="C1217" t="n">
        <x:v>175</x:v>
      </x:c>
      <x:c r="D1217" t="n">
        <x:f>IF('04_checks'!G175="ERROR",1,0)</x:f>
        <x:v>0</x:v>
      </x:c>
      <x:c r="E1217" t="str">
        <x:v>Order:175:5</x:v>
      </x:c>
      <x:c r="F1217" t="str">
        <x:v>Отрицательная цена</x:v>
      </x:c>
      <x:c r="G1217" t="str">
        <x:v>High</x:v>
      </x:c>
      <x:c r="H1217" t="str">
        <x:v>price</x:v>
      </x:c>
      <x:c r="I1217" t="str">
        <x:v>Проверить цену в источнике</x:v>
      </x:c>
      <x:c r="J1217" t="n">
        <x:f>IF(D1217=1,K1217,0)</x:f>
        <x:v>0</x:v>
      </x:c>
      <x:c r="K1217" t="n">
        <x:f>D1217+K1216</x:f>
        <x:v>13</x:v>
      </x:c>
    </x:row>
    <x:row r="1218">
      <x:c r="A1218" t="str">
        <x:v>Order</x:v>
      </x:c>
      <x:c r="B1218" t="str">
        <x:f>'04_checks'!B175</x:f>
      </x:c>
      <x:c r="C1218" t="n">
        <x:v>175</x:v>
      </x:c>
      <x:c r="D1218" t="n">
        <x:f>IF('04_checks'!H175="ERROR",1,0)</x:f>
        <x:v>0</x:v>
      </x:c>
      <x:c r="E1218" t="str">
        <x:v>Order:175:6</x:v>
      </x:c>
      <x:c r="F1218" t="str">
        <x:v>Дата</x:v>
      </x:c>
      <x:c r="G1218" t="str">
        <x:v>Medium</x:v>
      </x:c>
      <x:c r="H1218" t="str">
        <x:v>order_date</x:v>
      </x:c>
      <x:c r="I1218" t="str">
        <x:v>Сверить дату со срезом и исходной записью</x:v>
      </x:c>
      <x:c r="J1218" t="n">
        <x:f>IF(D1218=1,K1218,0)</x:f>
        <x:v>0</x:v>
      </x:c>
      <x:c r="K1218" t="n">
        <x:f>D1218+K1217</x:f>
        <x:v>13</x:v>
      </x:c>
    </x:row>
    <x:row r="1219">
      <x:c r="A1219" t="str">
        <x:v>Order</x:v>
      </x:c>
      <x:c r="B1219" t="str">
        <x:f>'04_checks'!B175</x:f>
      </x:c>
      <x:c r="C1219" t="n">
        <x:v>175</x:v>
      </x:c>
      <x:c r="D1219" t="n">
        <x:f>IF('04_checks'!I175="ERROR",1,0)</x:f>
        <x:v>0</x:v>
      </x:c>
      <x:c r="E1219" t="str">
        <x:v>Order:175:7</x:v>
      </x:c>
      <x:c r="F1219" t="str">
        <x:v>Статус</x:v>
      </x:c>
      <x:c r="G1219" t="str">
        <x:v>Medium</x:v>
      </x:c>
      <x:c r="H1219" t="str">
        <x:v>status</x:v>
      </x:c>
      <x:c r="I1219" t="str">
        <x:v>Выбрать допустимый статус</x:v>
      </x:c>
      <x:c r="J1219" t="n">
        <x:f>IF(D1219=1,K1219,0)</x:f>
        <x:v>0</x:v>
      </x:c>
      <x:c r="K1219" t="n">
        <x:f>D1219+K1218</x:f>
        <x:v>13</x:v>
      </x:c>
    </x:row>
    <x:row r="1220">
      <x:c r="A1220" t="str">
        <x:v>Order</x:v>
      </x:c>
      <x:c r="B1220" t="str">
        <x:f>'04_checks'!B176</x:f>
      </x:c>
      <x:c r="C1220" t="n">
        <x:v>176</x:v>
      </x:c>
      <x:c r="D1220" t="n">
        <x:f>IF('04_checks'!C176="ERROR",1,0)</x:f>
        <x:v>0</x:v>
      </x:c>
      <x:c r="E1220" t="str">
        <x:v>Order:176:1</x:v>
      </x:c>
      <x:c r="F1220" t="str">
        <x:v>Дубль</x:v>
      </x:c>
      <x:c r="G1220" t="str">
        <x:v>High</x:v>
      </x:c>
      <x:c r="H1220" t="str">
        <x:v>order_id</x:v>
      </x:c>
      <x:c r="I1220" t="str">
        <x:v>Проверить уникальность ID в источнике; не удалять записи автоматически</x:v>
      </x:c>
      <x:c r="J1220" t="n">
        <x:f>IF(D1220=1,K1220,0)</x:f>
        <x:v>0</x:v>
      </x:c>
      <x:c r="K1220" t="n">
        <x:f>D1220+K1219</x:f>
        <x:v>13</x:v>
      </x:c>
    </x:row>
    <x:row r="1221">
      <x:c r="A1221" t="str">
        <x:v>Order</x:v>
      </x:c>
      <x:c r="B1221" t="str">
        <x:f>'04_checks'!B176</x:f>
      </x:c>
      <x:c r="C1221" t="n">
        <x:v>176</x:v>
      </x:c>
      <x:c r="D1221" t="n">
        <x:f>IF('04_checks'!D176="ERROR",1,0)</x:f>
        <x:v>0</x:v>
      </x:c>
      <x:c r="E1221" t="str">
        <x:v>Order:176:2</x:v>
      </x:c>
      <x:c r="F1221" t="str">
        <x:v>Пустое поле</x:v>
      </x:c>
      <x:c r="G1221" t="str">
        <x:v>High</x:v>
      </x:c>
      <x:c r="H1221" t="str">
        <x:v>required_fields</x:v>
      </x:c>
      <x:c r="I1221" t="str">
        <x:v>Дополнить обязательные поля в источнике</x:v>
      </x:c>
      <x:c r="J1221" t="n">
        <x:f>IF(D1221=1,K1221,0)</x:f>
        <x:v>0</x:v>
      </x:c>
      <x:c r="K1221" t="n">
        <x:f>D1221+K1220</x:f>
        <x:v>13</x:v>
      </x:c>
    </x:row>
    <x:row r="1222">
      <x:c r="A1222" t="str">
        <x:v>Order</x:v>
      </x:c>
      <x:c r="B1222" t="str">
        <x:f>'04_checks'!B176</x:f>
      </x:c>
      <x:c r="C1222" t="n">
        <x:v>176</x:v>
      </x:c>
      <x:c r="D1222" t="n">
        <x:f>IF('04_checks'!E176="ERROR",1,0)</x:f>
        <x:v>0</x:v>
      </x:c>
      <x:c r="E1222" t="str">
        <x:v>Order:176:3</x:v>
      </x:c>
      <x:c r="F1222" t="str">
        <x:f>IF(COUNTIF('02_clients_raw'!$A$2:$A$67,'01_orders_raw'!C176)&gt;1,"Неоднозначная связь","Нет связи")</x:f>
        <x:v>Нет связи</x:v>
      </x:c>
      <x:c r="G1222" t="str">
        <x:v>High</x:v>
      </x:c>
      <x:c r="H1222" t="str">
        <x:v>client_id</x:v>
      </x:c>
      <x:c r="I1222" t="str">
        <x:v>Исправить ссылку или разрешить дубли связанного ID</x:v>
      </x:c>
      <x:c r="J1222" t="n">
        <x:f>IF(D1222=1,K1222,0)</x:f>
        <x:v>0</x:v>
      </x:c>
      <x:c r="K1222" t="n">
        <x:f>D1222+K1221</x:f>
        <x:v>13</x:v>
      </x:c>
    </x:row>
    <x:row r="1223">
      <x:c r="A1223" t="str">
        <x:v>Order</x:v>
      </x:c>
      <x:c r="B1223" t="str">
        <x:f>'04_checks'!B176</x:f>
      </x:c>
      <x:c r="C1223" t="n">
        <x:v>176</x:v>
      </x:c>
      <x:c r="D1223" t="n">
        <x:f>IF('04_checks'!F176="ERROR",1,0)</x:f>
        <x:v>0</x:v>
      </x:c>
      <x:c r="E1223" t="str">
        <x:v>Order:176:4</x:v>
      </x:c>
      <x:c r="F1223" t="str">
        <x:v>Ошибка расчета</x:v>
      </x:c>
      <x:c r="G1223" t="str">
        <x:v>High</x:v>
      </x:c>
      <x:c r="H1223" t="str">
        <x:v>quantity/price/order_sum</x:v>
      </x:c>
      <x:c r="I1223" t="str">
        <x:v>Сверить исходные значения и правило расчёта</x:v>
      </x:c>
      <x:c r="J1223" t="n">
        <x:f>IF(D1223=1,K1223,0)</x:f>
        <x:v>0</x:v>
      </x:c>
      <x:c r="K1223" t="n">
        <x:f>D1223+K1222</x:f>
        <x:v>13</x:v>
      </x:c>
    </x:row>
    <x:row r="1224">
      <x:c r="A1224" t="str">
        <x:v>Order</x:v>
      </x:c>
      <x:c r="B1224" t="str">
        <x:f>'04_checks'!B176</x:f>
      </x:c>
      <x:c r="C1224" t="n">
        <x:v>176</x:v>
      </x:c>
      <x:c r="D1224" t="n">
        <x:f>IF('04_checks'!G176="ERROR",1,0)</x:f>
        <x:v>0</x:v>
      </x:c>
      <x:c r="E1224" t="str">
        <x:v>Order:176:5</x:v>
      </x:c>
      <x:c r="F1224" t="str">
        <x:v>Отрицательная цена</x:v>
      </x:c>
      <x:c r="G1224" t="str">
        <x:v>High</x:v>
      </x:c>
      <x:c r="H1224" t="str">
        <x:v>price</x:v>
      </x:c>
      <x:c r="I1224" t="str">
        <x:v>Проверить цену в источнике</x:v>
      </x:c>
      <x:c r="J1224" t="n">
        <x:f>IF(D1224=1,K1224,0)</x:f>
        <x:v>0</x:v>
      </x:c>
      <x:c r="K1224" t="n">
        <x:f>D1224+K1223</x:f>
        <x:v>13</x:v>
      </x:c>
    </x:row>
    <x:row r="1225">
      <x:c r="A1225" t="str">
        <x:v>Order</x:v>
      </x:c>
      <x:c r="B1225" t="str">
        <x:f>'04_checks'!B176</x:f>
      </x:c>
      <x:c r="C1225" t="n">
        <x:v>176</x:v>
      </x:c>
      <x:c r="D1225" t="n">
        <x:f>IF('04_checks'!H176="ERROR",1,0)</x:f>
        <x:v>0</x:v>
      </x:c>
      <x:c r="E1225" t="str">
        <x:v>Order:176:6</x:v>
      </x:c>
      <x:c r="F1225" t="str">
        <x:v>Дата</x:v>
      </x:c>
      <x:c r="G1225" t="str">
        <x:v>Medium</x:v>
      </x:c>
      <x:c r="H1225" t="str">
        <x:v>order_date</x:v>
      </x:c>
      <x:c r="I1225" t="str">
        <x:v>Сверить дату со срезом и исходной записью</x:v>
      </x:c>
      <x:c r="J1225" t="n">
        <x:f>IF(D1225=1,K1225,0)</x:f>
        <x:v>0</x:v>
      </x:c>
      <x:c r="K1225" t="n">
        <x:f>D1225+K1224</x:f>
        <x:v>13</x:v>
      </x:c>
    </x:row>
    <x:row r="1226">
      <x:c r="A1226" t="str">
        <x:v>Order</x:v>
      </x:c>
      <x:c r="B1226" t="str">
        <x:f>'04_checks'!B176</x:f>
      </x:c>
      <x:c r="C1226" t="n">
        <x:v>176</x:v>
      </x:c>
      <x:c r="D1226" t="n">
        <x:f>IF('04_checks'!I176="ERROR",1,0)</x:f>
        <x:v>0</x:v>
      </x:c>
      <x:c r="E1226" t="str">
        <x:v>Order:176:7</x:v>
      </x:c>
      <x:c r="F1226" t="str">
        <x:v>Статус</x:v>
      </x:c>
      <x:c r="G1226" t="str">
        <x:v>Medium</x:v>
      </x:c>
      <x:c r="H1226" t="str">
        <x:v>status</x:v>
      </x:c>
      <x:c r="I1226" t="str">
        <x:v>Выбрать допустимый статус</x:v>
      </x:c>
      <x:c r="J1226" t="n">
        <x:f>IF(D1226=1,K1226,0)</x:f>
        <x:v>0</x:v>
      </x:c>
      <x:c r="K1226" t="n">
        <x:f>D1226+K1225</x:f>
        <x:v>13</x:v>
      </x:c>
    </x:row>
    <x:row r="1227">
      <x:c r="A1227" t="str">
        <x:v>Order</x:v>
      </x:c>
      <x:c r="B1227" t="str">
        <x:f>'04_checks'!B177</x:f>
      </x:c>
      <x:c r="C1227" t="n">
        <x:v>177</x:v>
      </x:c>
      <x:c r="D1227" t="n">
        <x:f>IF('04_checks'!C177="ERROR",1,0)</x:f>
        <x:v>0</x:v>
      </x:c>
      <x:c r="E1227" t="str">
        <x:v>Order:177:1</x:v>
      </x:c>
      <x:c r="F1227" t="str">
        <x:v>Дубль</x:v>
      </x:c>
      <x:c r="G1227" t="str">
        <x:v>High</x:v>
      </x:c>
      <x:c r="H1227" t="str">
        <x:v>order_id</x:v>
      </x:c>
      <x:c r="I1227" t="str">
        <x:v>Проверить уникальность ID в источнике; не удалять записи автоматически</x:v>
      </x:c>
      <x:c r="J1227" t="n">
        <x:f>IF(D1227=1,K1227,0)</x:f>
        <x:v>0</x:v>
      </x:c>
      <x:c r="K1227" t="n">
        <x:f>D1227+K1226</x:f>
        <x:v>13</x:v>
      </x:c>
    </x:row>
    <x:row r="1228">
      <x:c r="A1228" t="str">
        <x:v>Order</x:v>
      </x:c>
      <x:c r="B1228" t="str">
        <x:f>'04_checks'!B177</x:f>
      </x:c>
      <x:c r="C1228" t="n">
        <x:v>177</x:v>
      </x:c>
      <x:c r="D1228" t="n">
        <x:f>IF('04_checks'!D177="ERROR",1,0)</x:f>
        <x:v>0</x:v>
      </x:c>
      <x:c r="E1228" t="str">
        <x:v>Order:177:2</x:v>
      </x:c>
      <x:c r="F1228" t="str">
        <x:v>Пустое поле</x:v>
      </x:c>
      <x:c r="G1228" t="str">
        <x:v>High</x:v>
      </x:c>
      <x:c r="H1228" t="str">
        <x:v>required_fields</x:v>
      </x:c>
      <x:c r="I1228" t="str">
        <x:v>Дополнить обязательные поля в источнике</x:v>
      </x:c>
      <x:c r="J1228" t="n">
        <x:f>IF(D1228=1,K1228,0)</x:f>
        <x:v>0</x:v>
      </x:c>
      <x:c r="K1228" t="n">
        <x:f>D1228+K1227</x:f>
        <x:v>13</x:v>
      </x:c>
    </x:row>
    <x:row r="1229">
      <x:c r="A1229" t="str">
        <x:v>Order</x:v>
      </x:c>
      <x:c r="B1229" t="str">
        <x:f>'04_checks'!B177</x:f>
      </x:c>
      <x:c r="C1229" t="n">
        <x:v>177</x:v>
      </x:c>
      <x:c r="D1229" t="n">
        <x:f>IF('04_checks'!E177="ERROR",1,0)</x:f>
        <x:v>0</x:v>
      </x:c>
      <x:c r="E1229" t="str">
        <x:v>Order:177:3</x:v>
      </x:c>
      <x:c r="F1229" t="str">
        <x:f>IF(COUNTIF('02_clients_raw'!$A$2:$A$67,'01_orders_raw'!C177)&gt;1,"Неоднозначная связь","Нет связи")</x:f>
        <x:v>Нет связи</x:v>
      </x:c>
      <x:c r="G1229" t="str">
        <x:v>High</x:v>
      </x:c>
      <x:c r="H1229" t="str">
        <x:v>client_id</x:v>
      </x:c>
      <x:c r="I1229" t="str">
        <x:v>Исправить ссылку или разрешить дубли связанного ID</x:v>
      </x:c>
      <x:c r="J1229" t="n">
        <x:f>IF(D1229=1,K1229,0)</x:f>
        <x:v>0</x:v>
      </x:c>
      <x:c r="K1229" t="n">
        <x:f>D1229+K1228</x:f>
        <x:v>13</x:v>
      </x:c>
    </x:row>
    <x:row r="1230">
      <x:c r="A1230" t="str">
        <x:v>Order</x:v>
      </x:c>
      <x:c r="B1230" t="str">
        <x:f>'04_checks'!B177</x:f>
      </x:c>
      <x:c r="C1230" t="n">
        <x:v>177</x:v>
      </x:c>
      <x:c r="D1230" t="n">
        <x:f>IF('04_checks'!F177="ERROR",1,0)</x:f>
        <x:v>0</x:v>
      </x:c>
      <x:c r="E1230" t="str">
        <x:v>Order:177:4</x:v>
      </x:c>
      <x:c r="F1230" t="str">
        <x:v>Ошибка расчета</x:v>
      </x:c>
      <x:c r="G1230" t="str">
        <x:v>High</x:v>
      </x:c>
      <x:c r="H1230" t="str">
        <x:v>quantity/price/order_sum</x:v>
      </x:c>
      <x:c r="I1230" t="str">
        <x:v>Сверить исходные значения и правило расчёта</x:v>
      </x:c>
      <x:c r="J1230" t="n">
        <x:f>IF(D1230=1,K1230,0)</x:f>
        <x:v>0</x:v>
      </x:c>
      <x:c r="K1230" t="n">
        <x:f>D1230+K1229</x:f>
        <x:v>13</x:v>
      </x:c>
    </x:row>
    <x:row r="1231">
      <x:c r="A1231" t="str">
        <x:v>Order</x:v>
      </x:c>
      <x:c r="B1231" t="str">
        <x:f>'04_checks'!B177</x:f>
      </x:c>
      <x:c r="C1231" t="n">
        <x:v>177</x:v>
      </x:c>
      <x:c r="D1231" t="n">
        <x:f>IF('04_checks'!G177="ERROR",1,0)</x:f>
        <x:v>0</x:v>
      </x:c>
      <x:c r="E1231" t="str">
        <x:v>Order:177:5</x:v>
      </x:c>
      <x:c r="F1231" t="str">
        <x:v>Отрицательная цена</x:v>
      </x:c>
      <x:c r="G1231" t="str">
        <x:v>High</x:v>
      </x:c>
      <x:c r="H1231" t="str">
        <x:v>price</x:v>
      </x:c>
      <x:c r="I1231" t="str">
        <x:v>Проверить цену в источнике</x:v>
      </x:c>
      <x:c r="J1231" t="n">
        <x:f>IF(D1231=1,K1231,0)</x:f>
        <x:v>0</x:v>
      </x:c>
      <x:c r="K1231" t="n">
        <x:f>D1231+K1230</x:f>
        <x:v>13</x:v>
      </x:c>
    </x:row>
    <x:row r="1232">
      <x:c r="A1232" t="str">
        <x:v>Order</x:v>
      </x:c>
      <x:c r="B1232" t="str">
        <x:f>'04_checks'!B177</x:f>
      </x:c>
      <x:c r="C1232" t="n">
        <x:v>177</x:v>
      </x:c>
      <x:c r="D1232" t="n">
        <x:f>IF('04_checks'!H177="ERROR",1,0)</x:f>
        <x:v>0</x:v>
      </x:c>
      <x:c r="E1232" t="str">
        <x:v>Order:177:6</x:v>
      </x:c>
      <x:c r="F1232" t="str">
        <x:v>Дата</x:v>
      </x:c>
      <x:c r="G1232" t="str">
        <x:v>Medium</x:v>
      </x:c>
      <x:c r="H1232" t="str">
        <x:v>order_date</x:v>
      </x:c>
      <x:c r="I1232" t="str">
        <x:v>Сверить дату со срезом и исходной записью</x:v>
      </x:c>
      <x:c r="J1232" t="n">
        <x:f>IF(D1232=1,K1232,0)</x:f>
        <x:v>0</x:v>
      </x:c>
      <x:c r="K1232" t="n">
        <x:f>D1232+K1231</x:f>
        <x:v>13</x:v>
      </x:c>
    </x:row>
    <x:row r="1233">
      <x:c r="A1233" t="str">
        <x:v>Order</x:v>
      </x:c>
      <x:c r="B1233" t="str">
        <x:f>'04_checks'!B177</x:f>
      </x:c>
      <x:c r="C1233" t="n">
        <x:v>177</x:v>
      </x:c>
      <x:c r="D1233" t="n">
        <x:f>IF('04_checks'!I177="ERROR",1,0)</x:f>
        <x:v>0</x:v>
      </x:c>
      <x:c r="E1233" t="str">
        <x:v>Order:177:7</x:v>
      </x:c>
      <x:c r="F1233" t="str">
        <x:v>Статус</x:v>
      </x:c>
      <x:c r="G1233" t="str">
        <x:v>Medium</x:v>
      </x:c>
      <x:c r="H1233" t="str">
        <x:v>status</x:v>
      </x:c>
      <x:c r="I1233" t="str">
        <x:v>Выбрать допустимый статус</x:v>
      </x:c>
      <x:c r="J1233" t="n">
        <x:f>IF(D1233=1,K1233,0)</x:f>
        <x:v>0</x:v>
      </x:c>
      <x:c r="K1233" t="n">
        <x:f>D1233+K1232</x:f>
        <x:v>13</x:v>
      </x:c>
    </x:row>
    <x:row r="1234">
      <x:c r="A1234" t="str">
        <x:v>Order</x:v>
      </x:c>
      <x:c r="B1234" t="str">
        <x:f>'04_checks'!B178</x:f>
      </x:c>
      <x:c r="C1234" t="n">
        <x:v>178</x:v>
      </x:c>
      <x:c r="D1234" t="n">
        <x:f>IF('04_checks'!C178="ERROR",1,0)</x:f>
        <x:v>0</x:v>
      </x:c>
      <x:c r="E1234" t="str">
        <x:v>Order:178:1</x:v>
      </x:c>
      <x:c r="F1234" t="str">
        <x:v>Дубль</x:v>
      </x:c>
      <x:c r="G1234" t="str">
        <x:v>High</x:v>
      </x:c>
      <x:c r="H1234" t="str">
        <x:v>order_id</x:v>
      </x:c>
      <x:c r="I1234" t="str">
        <x:v>Проверить уникальность ID в источнике; не удалять записи автоматически</x:v>
      </x:c>
      <x:c r="J1234" t="n">
        <x:f>IF(D1234=1,K1234,0)</x:f>
        <x:v>0</x:v>
      </x:c>
      <x:c r="K1234" t="n">
        <x:f>D1234+K1233</x:f>
        <x:v>13</x:v>
      </x:c>
    </x:row>
    <x:row r="1235">
      <x:c r="A1235" t="str">
        <x:v>Order</x:v>
      </x:c>
      <x:c r="B1235" t="str">
        <x:f>'04_checks'!B178</x:f>
      </x:c>
      <x:c r="C1235" t="n">
        <x:v>178</x:v>
      </x:c>
      <x:c r="D1235" t="n">
        <x:f>IF('04_checks'!D178="ERROR",1,0)</x:f>
        <x:v>0</x:v>
      </x:c>
      <x:c r="E1235" t="str">
        <x:v>Order:178:2</x:v>
      </x:c>
      <x:c r="F1235" t="str">
        <x:v>Пустое поле</x:v>
      </x:c>
      <x:c r="G1235" t="str">
        <x:v>High</x:v>
      </x:c>
      <x:c r="H1235" t="str">
        <x:v>required_fields</x:v>
      </x:c>
      <x:c r="I1235" t="str">
        <x:v>Дополнить обязательные поля в источнике</x:v>
      </x:c>
      <x:c r="J1235" t="n">
        <x:f>IF(D1235=1,K1235,0)</x:f>
        <x:v>0</x:v>
      </x:c>
      <x:c r="K1235" t="n">
        <x:f>D1235+K1234</x:f>
        <x:v>13</x:v>
      </x:c>
    </x:row>
    <x:row r="1236">
      <x:c r="A1236" t="str">
        <x:v>Order</x:v>
      </x:c>
      <x:c r="B1236" t="str">
        <x:f>'04_checks'!B178</x:f>
      </x:c>
      <x:c r="C1236" t="n">
        <x:v>178</x:v>
      </x:c>
      <x:c r="D1236" t="n">
        <x:f>IF('04_checks'!E178="ERROR",1,0)</x:f>
        <x:v>0</x:v>
      </x:c>
      <x:c r="E1236" t="str">
        <x:v>Order:178:3</x:v>
      </x:c>
      <x:c r="F1236" t="str">
        <x:f>IF(COUNTIF('02_clients_raw'!$A$2:$A$67,'01_orders_raw'!C178)&gt;1,"Неоднозначная связь","Нет связи")</x:f>
        <x:v>Нет связи</x:v>
      </x:c>
      <x:c r="G1236" t="str">
        <x:v>High</x:v>
      </x:c>
      <x:c r="H1236" t="str">
        <x:v>client_id</x:v>
      </x:c>
      <x:c r="I1236" t="str">
        <x:v>Исправить ссылку или разрешить дубли связанного ID</x:v>
      </x:c>
      <x:c r="J1236" t="n">
        <x:f>IF(D1236=1,K1236,0)</x:f>
        <x:v>0</x:v>
      </x:c>
      <x:c r="K1236" t="n">
        <x:f>D1236+K1235</x:f>
        <x:v>13</x:v>
      </x:c>
    </x:row>
    <x:row r="1237">
      <x:c r="A1237" t="str">
        <x:v>Order</x:v>
      </x:c>
      <x:c r="B1237" t="str">
        <x:f>'04_checks'!B178</x:f>
      </x:c>
      <x:c r="C1237" t="n">
        <x:v>178</x:v>
      </x:c>
      <x:c r="D1237" t="n">
        <x:f>IF('04_checks'!F178="ERROR",1,0)</x:f>
        <x:v>0</x:v>
      </x:c>
      <x:c r="E1237" t="str">
        <x:v>Order:178:4</x:v>
      </x:c>
      <x:c r="F1237" t="str">
        <x:v>Ошибка расчета</x:v>
      </x:c>
      <x:c r="G1237" t="str">
        <x:v>High</x:v>
      </x:c>
      <x:c r="H1237" t="str">
        <x:v>quantity/price/order_sum</x:v>
      </x:c>
      <x:c r="I1237" t="str">
        <x:v>Сверить исходные значения и правило расчёта</x:v>
      </x:c>
      <x:c r="J1237" t="n">
        <x:f>IF(D1237=1,K1237,0)</x:f>
        <x:v>0</x:v>
      </x:c>
      <x:c r="K1237" t="n">
        <x:f>D1237+K1236</x:f>
        <x:v>13</x:v>
      </x:c>
    </x:row>
    <x:row r="1238">
      <x:c r="A1238" t="str">
        <x:v>Order</x:v>
      </x:c>
      <x:c r="B1238" t="str">
        <x:f>'04_checks'!B178</x:f>
      </x:c>
      <x:c r="C1238" t="n">
        <x:v>178</x:v>
      </x:c>
      <x:c r="D1238" t="n">
        <x:f>IF('04_checks'!G178="ERROR",1,0)</x:f>
        <x:v>0</x:v>
      </x:c>
      <x:c r="E1238" t="str">
        <x:v>Order:178:5</x:v>
      </x:c>
      <x:c r="F1238" t="str">
        <x:v>Отрицательная цена</x:v>
      </x:c>
      <x:c r="G1238" t="str">
        <x:v>High</x:v>
      </x:c>
      <x:c r="H1238" t="str">
        <x:v>price</x:v>
      </x:c>
      <x:c r="I1238" t="str">
        <x:v>Проверить цену в источнике</x:v>
      </x:c>
      <x:c r="J1238" t="n">
        <x:f>IF(D1238=1,K1238,0)</x:f>
        <x:v>0</x:v>
      </x:c>
      <x:c r="K1238" t="n">
        <x:f>D1238+K1237</x:f>
        <x:v>13</x:v>
      </x:c>
    </x:row>
    <x:row r="1239">
      <x:c r="A1239" t="str">
        <x:v>Order</x:v>
      </x:c>
      <x:c r="B1239" t="str">
        <x:f>'04_checks'!B178</x:f>
      </x:c>
      <x:c r="C1239" t="n">
        <x:v>178</x:v>
      </x:c>
      <x:c r="D1239" t="n">
        <x:f>IF('04_checks'!H178="ERROR",1,0)</x:f>
        <x:v>0</x:v>
      </x:c>
      <x:c r="E1239" t="str">
        <x:v>Order:178:6</x:v>
      </x:c>
      <x:c r="F1239" t="str">
        <x:v>Дата</x:v>
      </x:c>
      <x:c r="G1239" t="str">
        <x:v>Medium</x:v>
      </x:c>
      <x:c r="H1239" t="str">
        <x:v>order_date</x:v>
      </x:c>
      <x:c r="I1239" t="str">
        <x:v>Сверить дату со срезом и исходной записью</x:v>
      </x:c>
      <x:c r="J1239" t="n">
        <x:f>IF(D1239=1,K1239,0)</x:f>
        <x:v>0</x:v>
      </x:c>
      <x:c r="K1239" t="n">
        <x:f>D1239+K1238</x:f>
        <x:v>13</x:v>
      </x:c>
    </x:row>
    <x:row r="1240">
      <x:c r="A1240" t="str">
        <x:v>Order</x:v>
      </x:c>
      <x:c r="B1240" t="str">
        <x:f>'04_checks'!B178</x:f>
      </x:c>
      <x:c r="C1240" t="n">
        <x:v>178</x:v>
      </x:c>
      <x:c r="D1240" t="n">
        <x:f>IF('04_checks'!I178="ERROR",1,0)</x:f>
        <x:v>0</x:v>
      </x:c>
      <x:c r="E1240" t="str">
        <x:v>Order:178:7</x:v>
      </x:c>
      <x:c r="F1240" t="str">
        <x:v>Статус</x:v>
      </x:c>
      <x:c r="G1240" t="str">
        <x:v>Medium</x:v>
      </x:c>
      <x:c r="H1240" t="str">
        <x:v>status</x:v>
      </x:c>
      <x:c r="I1240" t="str">
        <x:v>Выбрать допустимый статус</x:v>
      </x:c>
      <x:c r="J1240" t="n">
        <x:f>IF(D1240=1,K1240,0)</x:f>
        <x:v>0</x:v>
      </x:c>
      <x:c r="K1240" t="n">
        <x:f>D1240+K1239</x:f>
        <x:v>13</x:v>
      </x:c>
    </x:row>
    <x:row r="1241">
      <x:c r="A1241" t="str">
        <x:v>Order</x:v>
      </x:c>
      <x:c r="B1241" t="str">
        <x:f>'04_checks'!B179</x:f>
      </x:c>
      <x:c r="C1241" t="n">
        <x:v>179</x:v>
      </x:c>
      <x:c r="D1241" t="n">
        <x:f>IF('04_checks'!C179="ERROR",1,0)</x:f>
        <x:v>0</x:v>
      </x:c>
      <x:c r="E1241" t="str">
        <x:v>Order:179:1</x:v>
      </x:c>
      <x:c r="F1241" t="str">
        <x:v>Дубль</x:v>
      </x:c>
      <x:c r="G1241" t="str">
        <x:v>High</x:v>
      </x:c>
      <x:c r="H1241" t="str">
        <x:v>order_id</x:v>
      </x:c>
      <x:c r="I1241" t="str">
        <x:v>Проверить уникальность ID в источнике; не удалять записи автоматически</x:v>
      </x:c>
      <x:c r="J1241" t="n">
        <x:f>IF(D1241=1,K1241,0)</x:f>
        <x:v>0</x:v>
      </x:c>
      <x:c r="K1241" t="n">
        <x:f>D1241+K1240</x:f>
        <x:v>13</x:v>
      </x:c>
    </x:row>
    <x:row r="1242">
      <x:c r="A1242" t="str">
        <x:v>Order</x:v>
      </x:c>
      <x:c r="B1242" t="str">
        <x:f>'04_checks'!B179</x:f>
      </x:c>
      <x:c r="C1242" t="n">
        <x:v>179</x:v>
      </x:c>
      <x:c r="D1242" t="n">
        <x:f>IF('04_checks'!D179="ERROR",1,0)</x:f>
        <x:v>0</x:v>
      </x:c>
      <x:c r="E1242" t="str">
        <x:v>Order:179:2</x:v>
      </x:c>
      <x:c r="F1242" t="str">
        <x:v>Пустое поле</x:v>
      </x:c>
      <x:c r="G1242" t="str">
        <x:v>High</x:v>
      </x:c>
      <x:c r="H1242" t="str">
        <x:v>required_fields</x:v>
      </x:c>
      <x:c r="I1242" t="str">
        <x:v>Дополнить обязательные поля в источнике</x:v>
      </x:c>
      <x:c r="J1242" t="n">
        <x:f>IF(D1242=1,K1242,0)</x:f>
        <x:v>0</x:v>
      </x:c>
      <x:c r="K1242" t="n">
        <x:f>D1242+K1241</x:f>
        <x:v>13</x:v>
      </x:c>
    </x:row>
    <x:row r="1243">
      <x:c r="A1243" t="str">
        <x:v>Order</x:v>
      </x:c>
      <x:c r="B1243" t="str">
        <x:f>'04_checks'!B179</x:f>
      </x:c>
      <x:c r="C1243" t="n">
        <x:v>179</x:v>
      </x:c>
      <x:c r="D1243" t="n">
        <x:f>IF('04_checks'!E179="ERROR",1,0)</x:f>
        <x:v>0</x:v>
      </x:c>
      <x:c r="E1243" t="str">
        <x:v>Order:179:3</x:v>
      </x:c>
      <x:c r="F1243" t="str">
        <x:f>IF(COUNTIF('02_clients_raw'!$A$2:$A$67,'01_orders_raw'!C179)&gt;1,"Неоднозначная связь","Нет связи")</x:f>
        <x:v>Нет связи</x:v>
      </x:c>
      <x:c r="G1243" t="str">
        <x:v>High</x:v>
      </x:c>
      <x:c r="H1243" t="str">
        <x:v>client_id</x:v>
      </x:c>
      <x:c r="I1243" t="str">
        <x:v>Исправить ссылку или разрешить дубли связанного ID</x:v>
      </x:c>
      <x:c r="J1243" t="n">
        <x:f>IF(D1243=1,K1243,0)</x:f>
        <x:v>0</x:v>
      </x:c>
      <x:c r="K1243" t="n">
        <x:f>D1243+K1242</x:f>
        <x:v>13</x:v>
      </x:c>
    </x:row>
    <x:row r="1244">
      <x:c r="A1244" t="str">
        <x:v>Order</x:v>
      </x:c>
      <x:c r="B1244" t="str">
        <x:f>'04_checks'!B179</x:f>
      </x:c>
      <x:c r="C1244" t="n">
        <x:v>179</x:v>
      </x:c>
      <x:c r="D1244" t="n">
        <x:f>IF('04_checks'!F179="ERROR",1,0)</x:f>
        <x:v>0</x:v>
      </x:c>
      <x:c r="E1244" t="str">
        <x:v>Order:179:4</x:v>
      </x:c>
      <x:c r="F1244" t="str">
        <x:v>Ошибка расчета</x:v>
      </x:c>
      <x:c r="G1244" t="str">
        <x:v>High</x:v>
      </x:c>
      <x:c r="H1244" t="str">
        <x:v>quantity/price/order_sum</x:v>
      </x:c>
      <x:c r="I1244" t="str">
        <x:v>Сверить исходные значения и правило расчёта</x:v>
      </x:c>
      <x:c r="J1244" t="n">
        <x:f>IF(D1244=1,K1244,0)</x:f>
        <x:v>0</x:v>
      </x:c>
      <x:c r="K1244" t="n">
        <x:f>D1244+K1243</x:f>
        <x:v>13</x:v>
      </x:c>
    </x:row>
    <x:row r="1245">
      <x:c r="A1245" t="str">
        <x:v>Order</x:v>
      </x:c>
      <x:c r="B1245" t="str">
        <x:f>'04_checks'!B179</x:f>
      </x:c>
      <x:c r="C1245" t="n">
        <x:v>179</x:v>
      </x:c>
      <x:c r="D1245" t="n">
        <x:f>IF('04_checks'!G179="ERROR",1,0)</x:f>
        <x:v>0</x:v>
      </x:c>
      <x:c r="E1245" t="str">
        <x:v>Order:179:5</x:v>
      </x:c>
      <x:c r="F1245" t="str">
        <x:v>Отрицательная цена</x:v>
      </x:c>
      <x:c r="G1245" t="str">
        <x:v>High</x:v>
      </x:c>
      <x:c r="H1245" t="str">
        <x:v>price</x:v>
      </x:c>
      <x:c r="I1245" t="str">
        <x:v>Проверить цену в источнике</x:v>
      </x:c>
      <x:c r="J1245" t="n">
        <x:f>IF(D1245=1,K1245,0)</x:f>
        <x:v>0</x:v>
      </x:c>
      <x:c r="K1245" t="n">
        <x:f>D1245+K1244</x:f>
        <x:v>13</x:v>
      </x:c>
    </x:row>
    <x:row r="1246">
      <x:c r="A1246" t="str">
        <x:v>Order</x:v>
      </x:c>
      <x:c r="B1246" t="str">
        <x:f>'04_checks'!B179</x:f>
      </x:c>
      <x:c r="C1246" t="n">
        <x:v>179</x:v>
      </x:c>
      <x:c r="D1246" t="n">
        <x:f>IF('04_checks'!H179="ERROR",1,0)</x:f>
        <x:v>0</x:v>
      </x:c>
      <x:c r="E1246" t="str">
        <x:v>Order:179:6</x:v>
      </x:c>
      <x:c r="F1246" t="str">
        <x:v>Дата</x:v>
      </x:c>
      <x:c r="G1246" t="str">
        <x:v>Medium</x:v>
      </x:c>
      <x:c r="H1246" t="str">
        <x:v>order_date</x:v>
      </x:c>
      <x:c r="I1246" t="str">
        <x:v>Сверить дату со срезом и исходной записью</x:v>
      </x:c>
      <x:c r="J1246" t="n">
        <x:f>IF(D1246=1,K1246,0)</x:f>
        <x:v>0</x:v>
      </x:c>
      <x:c r="K1246" t="n">
        <x:f>D1246+K1245</x:f>
        <x:v>13</x:v>
      </x:c>
    </x:row>
    <x:row r="1247">
      <x:c r="A1247" t="str">
        <x:v>Order</x:v>
      </x:c>
      <x:c r="B1247" t="str">
        <x:f>'04_checks'!B179</x:f>
      </x:c>
      <x:c r="C1247" t="n">
        <x:v>179</x:v>
      </x:c>
      <x:c r="D1247" t="n">
        <x:f>IF('04_checks'!I179="ERROR",1,0)</x:f>
        <x:v>0</x:v>
      </x:c>
      <x:c r="E1247" t="str">
        <x:v>Order:179:7</x:v>
      </x:c>
      <x:c r="F1247" t="str">
        <x:v>Статус</x:v>
      </x:c>
      <x:c r="G1247" t="str">
        <x:v>Medium</x:v>
      </x:c>
      <x:c r="H1247" t="str">
        <x:v>status</x:v>
      </x:c>
      <x:c r="I1247" t="str">
        <x:v>Выбрать допустимый статус</x:v>
      </x:c>
      <x:c r="J1247" t="n">
        <x:f>IF(D1247=1,K1247,0)</x:f>
        <x:v>0</x:v>
      </x:c>
      <x:c r="K1247" t="n">
        <x:f>D1247+K1246</x:f>
        <x:v>13</x:v>
      </x:c>
    </x:row>
    <x:row r="1248">
      <x:c r="A1248" t="str">
        <x:v>Order</x:v>
      </x:c>
      <x:c r="B1248" t="str">
        <x:f>'04_checks'!B180</x:f>
      </x:c>
      <x:c r="C1248" t="n">
        <x:v>180</x:v>
      </x:c>
      <x:c r="D1248" t="n">
        <x:f>IF('04_checks'!C180="ERROR",1,0)</x:f>
        <x:v>0</x:v>
      </x:c>
      <x:c r="E1248" t="str">
        <x:v>Order:180:1</x:v>
      </x:c>
      <x:c r="F1248" t="str">
        <x:v>Дубль</x:v>
      </x:c>
      <x:c r="G1248" t="str">
        <x:v>High</x:v>
      </x:c>
      <x:c r="H1248" t="str">
        <x:v>order_id</x:v>
      </x:c>
      <x:c r="I1248" t="str">
        <x:v>Проверить уникальность ID в источнике; не удалять записи автоматически</x:v>
      </x:c>
      <x:c r="J1248" t="n">
        <x:f>IF(D1248=1,K1248,0)</x:f>
        <x:v>0</x:v>
      </x:c>
      <x:c r="K1248" t="n">
        <x:f>D1248+K1247</x:f>
        <x:v>13</x:v>
      </x:c>
    </x:row>
    <x:row r="1249">
      <x:c r="A1249" t="str">
        <x:v>Order</x:v>
      </x:c>
      <x:c r="B1249" t="str">
        <x:f>'04_checks'!B180</x:f>
      </x:c>
      <x:c r="C1249" t="n">
        <x:v>180</x:v>
      </x:c>
      <x:c r="D1249" t="n">
        <x:f>IF('04_checks'!D180="ERROR",1,0)</x:f>
        <x:v>0</x:v>
      </x:c>
      <x:c r="E1249" t="str">
        <x:v>Order:180:2</x:v>
      </x:c>
      <x:c r="F1249" t="str">
        <x:v>Пустое поле</x:v>
      </x:c>
      <x:c r="G1249" t="str">
        <x:v>High</x:v>
      </x:c>
      <x:c r="H1249" t="str">
        <x:v>required_fields</x:v>
      </x:c>
      <x:c r="I1249" t="str">
        <x:v>Дополнить обязательные поля в источнике</x:v>
      </x:c>
      <x:c r="J1249" t="n">
        <x:f>IF(D1249=1,K1249,0)</x:f>
        <x:v>0</x:v>
      </x:c>
      <x:c r="K1249" t="n">
        <x:f>D1249+K1248</x:f>
        <x:v>13</x:v>
      </x:c>
    </x:row>
    <x:row r="1250">
      <x:c r="A1250" t="str">
        <x:v>Order</x:v>
      </x:c>
      <x:c r="B1250" t="str">
        <x:f>'04_checks'!B180</x:f>
      </x:c>
      <x:c r="C1250" t="n">
        <x:v>180</x:v>
      </x:c>
      <x:c r="D1250" t="n">
        <x:f>IF('04_checks'!E180="ERROR",1,0)</x:f>
        <x:v>0</x:v>
      </x:c>
      <x:c r="E1250" t="str">
        <x:v>Order:180:3</x:v>
      </x:c>
      <x:c r="F1250" t="str">
        <x:f>IF(COUNTIF('02_clients_raw'!$A$2:$A$67,'01_orders_raw'!C180)&gt;1,"Неоднозначная связь","Нет связи")</x:f>
        <x:v>Нет связи</x:v>
      </x:c>
      <x:c r="G1250" t="str">
        <x:v>High</x:v>
      </x:c>
      <x:c r="H1250" t="str">
        <x:v>client_id</x:v>
      </x:c>
      <x:c r="I1250" t="str">
        <x:v>Исправить ссылку или разрешить дубли связанного ID</x:v>
      </x:c>
      <x:c r="J1250" t="n">
        <x:f>IF(D1250=1,K1250,0)</x:f>
        <x:v>0</x:v>
      </x:c>
      <x:c r="K1250" t="n">
        <x:f>D1250+K1249</x:f>
        <x:v>13</x:v>
      </x:c>
    </x:row>
    <x:row r="1251">
      <x:c r="A1251" t="str">
        <x:v>Order</x:v>
      </x:c>
      <x:c r="B1251" t="str">
        <x:f>'04_checks'!B180</x:f>
      </x:c>
      <x:c r="C1251" t="n">
        <x:v>180</x:v>
      </x:c>
      <x:c r="D1251" t="n">
        <x:f>IF('04_checks'!F180="ERROR",1,0)</x:f>
        <x:v>0</x:v>
      </x:c>
      <x:c r="E1251" t="str">
        <x:v>Order:180:4</x:v>
      </x:c>
      <x:c r="F1251" t="str">
        <x:v>Ошибка расчета</x:v>
      </x:c>
      <x:c r="G1251" t="str">
        <x:v>High</x:v>
      </x:c>
      <x:c r="H1251" t="str">
        <x:v>quantity/price/order_sum</x:v>
      </x:c>
      <x:c r="I1251" t="str">
        <x:v>Сверить исходные значения и правило расчёта</x:v>
      </x:c>
      <x:c r="J1251" t="n">
        <x:f>IF(D1251=1,K1251,0)</x:f>
        <x:v>0</x:v>
      </x:c>
      <x:c r="K1251" t="n">
        <x:f>D1251+K1250</x:f>
        <x:v>13</x:v>
      </x:c>
    </x:row>
    <x:row r="1252">
      <x:c r="A1252" t="str">
        <x:v>Order</x:v>
      </x:c>
      <x:c r="B1252" t="str">
        <x:f>'04_checks'!B180</x:f>
      </x:c>
      <x:c r="C1252" t="n">
        <x:v>180</x:v>
      </x:c>
      <x:c r="D1252" t="n">
        <x:f>IF('04_checks'!G180="ERROR",1,0)</x:f>
        <x:v>0</x:v>
      </x:c>
      <x:c r="E1252" t="str">
        <x:v>Order:180:5</x:v>
      </x:c>
      <x:c r="F1252" t="str">
        <x:v>Отрицательная цена</x:v>
      </x:c>
      <x:c r="G1252" t="str">
        <x:v>High</x:v>
      </x:c>
      <x:c r="H1252" t="str">
        <x:v>price</x:v>
      </x:c>
      <x:c r="I1252" t="str">
        <x:v>Проверить цену в источнике</x:v>
      </x:c>
      <x:c r="J1252" t="n">
        <x:f>IF(D1252=1,K1252,0)</x:f>
        <x:v>0</x:v>
      </x:c>
      <x:c r="K1252" t="n">
        <x:f>D1252+K1251</x:f>
        <x:v>13</x:v>
      </x:c>
    </x:row>
    <x:row r="1253">
      <x:c r="A1253" t="str">
        <x:v>Order</x:v>
      </x:c>
      <x:c r="B1253" t="str">
        <x:f>'04_checks'!B180</x:f>
      </x:c>
      <x:c r="C1253" t="n">
        <x:v>180</x:v>
      </x:c>
      <x:c r="D1253" t="n">
        <x:f>IF('04_checks'!H180="ERROR",1,0)</x:f>
        <x:v>0</x:v>
      </x:c>
      <x:c r="E1253" t="str">
        <x:v>Order:180:6</x:v>
      </x:c>
      <x:c r="F1253" t="str">
        <x:v>Дата</x:v>
      </x:c>
      <x:c r="G1253" t="str">
        <x:v>Medium</x:v>
      </x:c>
      <x:c r="H1253" t="str">
        <x:v>order_date</x:v>
      </x:c>
      <x:c r="I1253" t="str">
        <x:v>Сверить дату со срезом и исходной записью</x:v>
      </x:c>
      <x:c r="J1253" t="n">
        <x:f>IF(D1253=1,K1253,0)</x:f>
        <x:v>0</x:v>
      </x:c>
      <x:c r="K1253" t="n">
        <x:f>D1253+K1252</x:f>
        <x:v>13</x:v>
      </x:c>
    </x:row>
    <x:row r="1254">
      <x:c r="A1254" t="str">
        <x:v>Order</x:v>
      </x:c>
      <x:c r="B1254" t="str">
        <x:f>'04_checks'!B180</x:f>
      </x:c>
      <x:c r="C1254" t="n">
        <x:v>180</x:v>
      </x:c>
      <x:c r="D1254" t="n">
        <x:f>IF('04_checks'!I180="ERROR",1,0)</x:f>
        <x:v>0</x:v>
      </x:c>
      <x:c r="E1254" t="str">
        <x:v>Order:180:7</x:v>
      </x:c>
      <x:c r="F1254" t="str">
        <x:v>Статус</x:v>
      </x:c>
      <x:c r="G1254" t="str">
        <x:v>Medium</x:v>
      </x:c>
      <x:c r="H1254" t="str">
        <x:v>status</x:v>
      </x:c>
      <x:c r="I1254" t="str">
        <x:v>Выбрать допустимый статус</x:v>
      </x:c>
      <x:c r="J1254" t="n">
        <x:f>IF(D1254=1,K1254,0)</x:f>
        <x:v>0</x:v>
      </x:c>
      <x:c r="K1254" t="n">
        <x:f>D1254+K1253</x:f>
        <x:v>13</x:v>
      </x:c>
    </x:row>
    <x:row r="1255">
      <x:c r="A1255" t="str">
        <x:v>Order</x:v>
      </x:c>
      <x:c r="B1255" t="str">
        <x:f>'04_checks'!B181</x:f>
      </x:c>
      <x:c r="C1255" t="n">
        <x:v>181</x:v>
      </x:c>
      <x:c r="D1255" t="n">
        <x:f>IF('04_checks'!C181="ERROR",1,0)</x:f>
        <x:v>0</x:v>
      </x:c>
      <x:c r="E1255" t="str">
        <x:v>Order:181:1</x:v>
      </x:c>
      <x:c r="F1255" t="str">
        <x:v>Дубль</x:v>
      </x:c>
      <x:c r="G1255" t="str">
        <x:v>High</x:v>
      </x:c>
      <x:c r="H1255" t="str">
        <x:v>order_id</x:v>
      </x:c>
      <x:c r="I1255" t="str">
        <x:v>Проверить уникальность ID в источнике; не удалять записи автоматически</x:v>
      </x:c>
      <x:c r="J1255" t="n">
        <x:f>IF(D1255=1,K1255,0)</x:f>
        <x:v>0</x:v>
      </x:c>
      <x:c r="K1255" t="n">
        <x:f>D1255+K1254</x:f>
        <x:v>13</x:v>
      </x:c>
    </x:row>
    <x:row r="1256">
      <x:c r="A1256" t="str">
        <x:v>Order</x:v>
      </x:c>
      <x:c r="B1256" t="str">
        <x:f>'04_checks'!B181</x:f>
      </x:c>
      <x:c r="C1256" t="n">
        <x:v>181</x:v>
      </x:c>
      <x:c r="D1256" t="n">
        <x:f>IF('04_checks'!D181="ERROR",1,0)</x:f>
        <x:v>0</x:v>
      </x:c>
      <x:c r="E1256" t="str">
        <x:v>Order:181:2</x:v>
      </x:c>
      <x:c r="F1256" t="str">
        <x:v>Пустое поле</x:v>
      </x:c>
      <x:c r="G1256" t="str">
        <x:v>High</x:v>
      </x:c>
      <x:c r="H1256" t="str">
        <x:v>required_fields</x:v>
      </x:c>
      <x:c r="I1256" t="str">
        <x:v>Дополнить обязательные поля в источнике</x:v>
      </x:c>
      <x:c r="J1256" t="n">
        <x:f>IF(D1256=1,K1256,0)</x:f>
        <x:v>0</x:v>
      </x:c>
      <x:c r="K1256" t="n">
        <x:f>D1256+K1255</x:f>
        <x:v>13</x:v>
      </x:c>
    </x:row>
    <x:row r="1257">
      <x:c r="A1257" t="str">
        <x:v>Order</x:v>
      </x:c>
      <x:c r="B1257" t="str">
        <x:f>'04_checks'!B181</x:f>
      </x:c>
      <x:c r="C1257" t="n">
        <x:v>181</x:v>
      </x:c>
      <x:c r="D1257" t="n">
        <x:f>IF('04_checks'!E181="ERROR",1,0)</x:f>
        <x:v>0</x:v>
      </x:c>
      <x:c r="E1257" t="str">
        <x:v>Order:181:3</x:v>
      </x:c>
      <x:c r="F1257" t="str">
        <x:f>IF(COUNTIF('02_clients_raw'!$A$2:$A$67,'01_orders_raw'!C181)&gt;1,"Неоднозначная связь","Нет связи")</x:f>
        <x:v>Нет связи</x:v>
      </x:c>
      <x:c r="G1257" t="str">
        <x:v>High</x:v>
      </x:c>
      <x:c r="H1257" t="str">
        <x:v>client_id</x:v>
      </x:c>
      <x:c r="I1257" t="str">
        <x:v>Исправить ссылку или разрешить дубли связанного ID</x:v>
      </x:c>
      <x:c r="J1257" t="n">
        <x:f>IF(D1257=1,K1257,0)</x:f>
        <x:v>0</x:v>
      </x:c>
      <x:c r="K1257" t="n">
        <x:f>D1257+K1256</x:f>
        <x:v>13</x:v>
      </x:c>
    </x:row>
    <x:row r="1258">
      <x:c r="A1258" t="str">
        <x:v>Order</x:v>
      </x:c>
      <x:c r="B1258" t="str">
        <x:f>'04_checks'!B181</x:f>
      </x:c>
      <x:c r="C1258" t="n">
        <x:v>181</x:v>
      </x:c>
      <x:c r="D1258" t="n">
        <x:f>IF('04_checks'!F181="ERROR",1,0)</x:f>
        <x:v>0</x:v>
      </x:c>
      <x:c r="E1258" t="str">
        <x:v>Order:181:4</x:v>
      </x:c>
      <x:c r="F1258" t="str">
        <x:v>Ошибка расчета</x:v>
      </x:c>
      <x:c r="G1258" t="str">
        <x:v>High</x:v>
      </x:c>
      <x:c r="H1258" t="str">
        <x:v>quantity/price/order_sum</x:v>
      </x:c>
      <x:c r="I1258" t="str">
        <x:v>Сверить исходные значения и правило расчёта</x:v>
      </x:c>
      <x:c r="J1258" t="n">
        <x:f>IF(D1258=1,K1258,0)</x:f>
        <x:v>0</x:v>
      </x:c>
      <x:c r="K1258" t="n">
        <x:f>D1258+K1257</x:f>
        <x:v>13</x:v>
      </x:c>
    </x:row>
    <x:row r="1259">
      <x:c r="A1259" t="str">
        <x:v>Order</x:v>
      </x:c>
      <x:c r="B1259" t="str">
        <x:f>'04_checks'!B181</x:f>
      </x:c>
      <x:c r="C1259" t="n">
        <x:v>181</x:v>
      </x:c>
      <x:c r="D1259" t="n">
        <x:f>IF('04_checks'!G181="ERROR",1,0)</x:f>
        <x:v>0</x:v>
      </x:c>
      <x:c r="E1259" t="str">
        <x:v>Order:181:5</x:v>
      </x:c>
      <x:c r="F1259" t="str">
        <x:v>Отрицательная цена</x:v>
      </x:c>
      <x:c r="G1259" t="str">
        <x:v>High</x:v>
      </x:c>
      <x:c r="H1259" t="str">
        <x:v>price</x:v>
      </x:c>
      <x:c r="I1259" t="str">
        <x:v>Проверить цену в источнике</x:v>
      </x:c>
      <x:c r="J1259" t="n">
        <x:f>IF(D1259=1,K1259,0)</x:f>
        <x:v>0</x:v>
      </x:c>
      <x:c r="K1259" t="n">
        <x:f>D1259+K1258</x:f>
        <x:v>13</x:v>
      </x:c>
    </x:row>
    <x:row r="1260">
      <x:c r="A1260" t="str">
        <x:v>Order</x:v>
      </x:c>
      <x:c r="B1260" t="str">
        <x:f>'04_checks'!B181</x:f>
      </x:c>
      <x:c r="C1260" t="n">
        <x:v>181</x:v>
      </x:c>
      <x:c r="D1260" t="n">
        <x:f>IF('04_checks'!H181="ERROR",1,0)</x:f>
        <x:v>0</x:v>
      </x:c>
      <x:c r="E1260" t="str">
        <x:v>Order:181:6</x:v>
      </x:c>
      <x:c r="F1260" t="str">
        <x:v>Дата</x:v>
      </x:c>
      <x:c r="G1260" t="str">
        <x:v>Medium</x:v>
      </x:c>
      <x:c r="H1260" t="str">
        <x:v>order_date</x:v>
      </x:c>
      <x:c r="I1260" t="str">
        <x:v>Сверить дату со срезом и исходной записью</x:v>
      </x:c>
      <x:c r="J1260" t="n">
        <x:f>IF(D1260=1,K1260,0)</x:f>
        <x:v>0</x:v>
      </x:c>
      <x:c r="K1260" t="n">
        <x:f>D1260+K1259</x:f>
        <x:v>13</x:v>
      </x:c>
    </x:row>
    <x:row r="1261">
      <x:c r="A1261" t="str">
        <x:v>Order</x:v>
      </x:c>
      <x:c r="B1261" t="str">
        <x:f>'04_checks'!B181</x:f>
      </x:c>
      <x:c r="C1261" t="n">
        <x:v>181</x:v>
      </x:c>
      <x:c r="D1261" t="n">
        <x:f>IF('04_checks'!I181="ERROR",1,0)</x:f>
        <x:v>0</x:v>
      </x:c>
      <x:c r="E1261" t="str">
        <x:v>Order:181:7</x:v>
      </x:c>
      <x:c r="F1261" t="str">
        <x:v>Статус</x:v>
      </x:c>
      <x:c r="G1261" t="str">
        <x:v>Medium</x:v>
      </x:c>
      <x:c r="H1261" t="str">
        <x:v>status</x:v>
      </x:c>
      <x:c r="I1261" t="str">
        <x:v>Выбрать допустимый статус</x:v>
      </x:c>
      <x:c r="J1261" t="n">
        <x:f>IF(D1261=1,K1261,0)</x:f>
        <x:v>0</x:v>
      </x:c>
      <x:c r="K1261" t="n">
        <x:f>D1261+K1260</x:f>
        <x:v>13</x:v>
      </x:c>
    </x:row>
    <x:row r="1262">
      <x:c r="A1262" t="str">
        <x:v>Client</x:v>
      </x:c>
      <x:c r="B1262" t="str">
        <x:f>'04_checks'!B182</x:f>
        <x:v>C001</x:v>
      </x:c>
      <x:c r="C1262" t="n">
        <x:v>2</x:v>
      </x:c>
      <x:c r="D1262" t="n">
        <x:f>IF('04_checks'!C182="ERROR",1,0)</x:f>
        <x:v>0</x:v>
      </x:c>
      <x:c r="E1262" t="str">
        <x:v>Client:2:1</x:v>
      </x:c>
      <x:c r="F1262" t="str">
        <x:v>Дубль</x:v>
      </x:c>
      <x:c r="G1262" t="str">
        <x:v>High</x:v>
      </x:c>
      <x:c r="H1262" t="str">
        <x:v>client_id</x:v>
      </x:c>
      <x:c r="I1262" t="str">
        <x:v>Проверить уникальность ID в источнике; не удалять записи автоматически</x:v>
      </x:c>
      <x:c r="J1262" t="n">
        <x:f>IF(D1262=1,K1262,0)</x:f>
        <x:v>0</x:v>
      </x:c>
      <x:c r="K1262" t="n">
        <x:f>D1262+K1261</x:f>
        <x:v>13</x:v>
      </x:c>
    </x:row>
    <x:row r="1263">
      <x:c r="A1263" t="str">
        <x:v>Client</x:v>
      </x:c>
      <x:c r="B1263" t="str">
        <x:f>'04_checks'!B182</x:f>
        <x:v>C001</x:v>
      </x:c>
      <x:c r="C1263" t="n">
        <x:v>2</x:v>
      </x:c>
      <x:c r="D1263" t="n">
        <x:f>IF('04_checks'!D182="ERROR",1,0)</x:f>
        <x:v>0</x:v>
      </x:c>
      <x:c r="E1263" t="str">
        <x:v>Client:2:2</x:v>
      </x:c>
      <x:c r="F1263" t="str">
        <x:v>Пустое поле</x:v>
      </x:c>
      <x:c r="G1263" t="str">
        <x:v>High</x:v>
      </x:c>
      <x:c r="H1263" t="str">
        <x:v>required_fields</x:v>
      </x:c>
      <x:c r="I1263" t="str">
        <x:v>Дополнить обязательные поля в источнике</x:v>
      </x:c>
      <x:c r="J1263" t="n">
        <x:f>IF(D1263=1,K1263,0)</x:f>
        <x:v>0</x:v>
      </x:c>
      <x:c r="K1263" t="n">
        <x:f>D1263+K1262</x:f>
        <x:v>13</x:v>
      </x:c>
    </x:row>
    <x:row r="1264">
      <x:c r="A1264" t="str">
        <x:v>Client</x:v>
      </x:c>
      <x:c r="B1264" t="str">
        <x:f>'04_checks'!B182</x:f>
        <x:v>C001</x:v>
      </x:c>
      <x:c r="C1264" t="n">
        <x:v>2</x:v>
      </x:c>
      <x:c r="D1264" t="n">
        <x:f>IF('04_checks'!E182="ERROR",1,0)</x:f>
        <x:v>0</x:v>
      </x:c>
      <x:c r="E1264" t="str">
        <x:v>Client:2:3</x:v>
      </x:c>
      <x:c r="F1264" t="str">
        <x:v>Нет связи</x:v>
      </x:c>
      <x:c r="G1264" t="str">
        <x:v>High</x:v>
      </x:c>
      <x:c r="H1264" t="str">
        <x:v>client_id</x:v>
      </x:c>
      <x:c r="I1264" t="str">
        <x:v>Исправить ссылку или разрешить дубли связанного ID</x:v>
      </x:c>
      <x:c r="J1264" t="n">
        <x:f>IF(D1264=1,K1264,0)</x:f>
        <x:v>0</x:v>
      </x:c>
      <x:c r="K1264" t="n">
        <x:f>D1264+K1263</x:f>
        <x:v>13</x:v>
      </x:c>
    </x:row>
    <x:row r="1265">
      <x:c r="A1265" t="str">
        <x:v>Client</x:v>
      </x:c>
      <x:c r="B1265" t="str">
        <x:f>'04_checks'!B182</x:f>
        <x:v>C001</x:v>
      </x:c>
      <x:c r="C1265" t="n">
        <x:v>2</x:v>
      </x:c>
      <x:c r="D1265" t="n">
        <x:f>IF('04_checks'!F182="ERROR",1,0)</x:f>
        <x:v>0</x:v>
      </x:c>
      <x:c r="E1265" t="str">
        <x:v>Client:2:4</x:v>
      </x:c>
      <x:c r="F1265" t="str">
        <x:v>Формат ИНН</x:v>
      </x:c>
      <x:c r="G1265" t="str">
        <x:v>High</x:v>
      </x:c>
      <x:c r="H1265" t="str">
        <x:v>inn</x:v>
      </x:c>
      <x:c r="I1265" t="str">
        <x:v>Сверить длину ИНН 10/12 цифр с источником</x:v>
      </x:c>
      <x:c r="J1265" t="n">
        <x:f>IF(D1265=1,K1265,0)</x:f>
        <x:v>0</x:v>
      </x:c>
      <x:c r="K1265" t="n">
        <x:f>D1265+K1264</x:f>
        <x:v>13</x:v>
      </x:c>
    </x:row>
    <x:row r="1266">
      <x:c r="A1266" t="str">
        <x:v>Client</x:v>
      </x:c>
      <x:c r="B1266" t="str">
        <x:f>'04_checks'!B182</x:f>
        <x:v>C001</x:v>
      </x:c>
      <x:c r="C1266" t="n">
        <x:v>2</x:v>
      </x:c>
      <x:c r="D1266" t="n">
        <x:f>IF('04_checks'!G182="ERROR",1,0)</x:f>
        <x:v>0</x:v>
      </x:c>
      <x:c r="E1266" t="str">
        <x:v>Client:2:5</x:v>
      </x:c>
      <x:c r="F1266" t="str">
        <x:v>Отрицательная цена</x:v>
      </x:c>
      <x:c r="G1266" t="str">
        <x:v>High</x:v>
      </x:c>
      <x:c r="H1266" t="str">
        <x:v>N/A</x:v>
      </x:c>
      <x:c r="I1266" t="str">
        <x:v>Проверить цену в источнике</x:v>
      </x:c>
      <x:c r="J1266" t="n">
        <x:f>IF(D1266=1,K1266,0)</x:f>
        <x:v>0</x:v>
      </x:c>
      <x:c r="K1266" t="n">
        <x:f>D1266+K1265</x:f>
        <x:v>13</x:v>
      </x:c>
    </x:row>
    <x:row r="1267">
      <x:c r="A1267" t="str">
        <x:v>Client</x:v>
      </x:c>
      <x:c r="B1267" t="str">
        <x:f>'04_checks'!B182</x:f>
        <x:v>C001</x:v>
      </x:c>
      <x:c r="C1267" t="n">
        <x:v>2</x:v>
      </x:c>
      <x:c r="D1267" t="n">
        <x:f>IF('04_checks'!H182="ERROR",1,0)</x:f>
        <x:v>0</x:v>
      </x:c>
      <x:c r="E1267" t="str">
        <x:v>Client:2:6</x:v>
      </x:c>
      <x:c r="F1267" t="str">
        <x:v>Дата</x:v>
      </x:c>
      <x:c r="G1267" t="str">
        <x:v>Medium</x:v>
      </x:c>
      <x:c r="H1267" t="str">
        <x:v>registration_date</x:v>
      </x:c>
      <x:c r="I1267" t="str">
        <x:v>Сверить дату со срезом и исходной записью</x:v>
      </x:c>
      <x:c r="J1267" t="n">
        <x:f>IF(D1267=1,K1267,0)</x:f>
        <x:v>0</x:v>
      </x:c>
      <x:c r="K1267" t="n">
        <x:f>D1267+K1266</x:f>
        <x:v>13</x:v>
      </x:c>
    </x:row>
    <x:row r="1268">
      <x:c r="A1268" t="str">
        <x:v>Client</x:v>
      </x:c>
      <x:c r="B1268" t="str">
        <x:f>'04_checks'!B182</x:f>
        <x:v>C001</x:v>
      </x:c>
      <x:c r="C1268" t="n">
        <x:v>2</x:v>
      </x:c>
      <x:c r="D1268" t="n">
        <x:f>IF('04_checks'!I182="ERROR",1,0)</x:f>
        <x:v>0</x:v>
      </x:c>
      <x:c r="E1268" t="str">
        <x:v>Client:2:7</x:v>
      </x:c>
      <x:c r="F1268" t="str">
        <x:v>Статус</x:v>
      </x:c>
      <x:c r="G1268" t="str">
        <x:v>Medium</x:v>
      </x:c>
      <x:c r="H1268" t="str">
        <x:v>N/A</x:v>
      </x:c>
      <x:c r="I1268" t="str">
        <x:v>Выбрать допустимый статус</x:v>
      </x:c>
      <x:c r="J1268" t="n">
        <x:f>IF(D1268=1,K1268,0)</x:f>
        <x:v>0</x:v>
      </x:c>
      <x:c r="K1268" t="n">
        <x:f>D1268+K1267</x:f>
        <x:v>13</x:v>
      </x:c>
    </x:row>
    <x:row r="1269">
      <x:c r="A1269" t="str">
        <x:v>Client</x:v>
      </x:c>
      <x:c r="B1269" t="str">
        <x:f>'04_checks'!B183</x:f>
        <x:v>C002</x:v>
      </x:c>
      <x:c r="C1269" t="n">
        <x:v>3</x:v>
      </x:c>
      <x:c r="D1269" t="n">
        <x:f>IF('04_checks'!C183="ERROR",1,0)</x:f>
        <x:v>0</x:v>
      </x:c>
      <x:c r="E1269" t="str">
        <x:v>Client:3:1</x:v>
      </x:c>
      <x:c r="F1269" t="str">
        <x:v>Дубль</x:v>
      </x:c>
      <x:c r="G1269" t="str">
        <x:v>High</x:v>
      </x:c>
      <x:c r="H1269" t="str">
        <x:v>client_id</x:v>
      </x:c>
      <x:c r="I1269" t="str">
        <x:v>Проверить уникальность ID в источнике; не удалять записи автоматически</x:v>
      </x:c>
      <x:c r="J1269" t="n">
        <x:f>IF(D1269=1,K1269,0)</x:f>
        <x:v>0</x:v>
      </x:c>
      <x:c r="K1269" t="n">
        <x:f>D1269+K1268</x:f>
        <x:v>13</x:v>
      </x:c>
    </x:row>
    <x:row r="1270">
      <x:c r="A1270" t="str">
        <x:v>Client</x:v>
      </x:c>
      <x:c r="B1270" t="str">
        <x:f>'04_checks'!B183</x:f>
        <x:v>C002</x:v>
      </x:c>
      <x:c r="C1270" t="n">
        <x:v>3</x:v>
      </x:c>
      <x:c r="D1270" t="n">
        <x:f>IF('04_checks'!D183="ERROR",1,0)</x:f>
        <x:v>0</x:v>
      </x:c>
      <x:c r="E1270" t="str">
        <x:v>Client:3:2</x:v>
      </x:c>
      <x:c r="F1270" t="str">
        <x:v>Пустое поле</x:v>
      </x:c>
      <x:c r="G1270" t="str">
        <x:v>High</x:v>
      </x:c>
      <x:c r="H1270" t="str">
        <x:v>required_fields</x:v>
      </x:c>
      <x:c r="I1270" t="str">
        <x:v>Дополнить обязательные поля в источнике</x:v>
      </x:c>
      <x:c r="J1270" t="n">
        <x:f>IF(D1270=1,K1270,0)</x:f>
        <x:v>0</x:v>
      </x:c>
      <x:c r="K1270" t="n">
        <x:f>D1270+K1269</x:f>
        <x:v>13</x:v>
      </x:c>
    </x:row>
    <x:row r="1271">
      <x:c r="A1271" t="str">
        <x:v>Client</x:v>
      </x:c>
      <x:c r="B1271" t="str">
        <x:f>'04_checks'!B183</x:f>
        <x:v>C002</x:v>
      </x:c>
      <x:c r="C1271" t="n">
        <x:v>3</x:v>
      </x:c>
      <x:c r="D1271" t="n">
        <x:f>IF('04_checks'!E183="ERROR",1,0)</x:f>
        <x:v>0</x:v>
      </x:c>
      <x:c r="E1271" t="str">
        <x:v>Client:3:3</x:v>
      </x:c>
      <x:c r="F1271" t="str">
        <x:v>Нет связи</x:v>
      </x:c>
      <x:c r="G1271" t="str">
        <x:v>High</x:v>
      </x:c>
      <x:c r="H1271" t="str">
        <x:v>client_id</x:v>
      </x:c>
      <x:c r="I1271" t="str">
        <x:v>Исправить ссылку или разрешить дубли связанного ID</x:v>
      </x:c>
      <x:c r="J1271" t="n">
        <x:f>IF(D1271=1,K1271,0)</x:f>
        <x:v>0</x:v>
      </x:c>
      <x:c r="K1271" t="n">
        <x:f>D1271+K1270</x:f>
        <x:v>13</x:v>
      </x:c>
    </x:row>
    <x:row r="1272">
      <x:c r="A1272" t="str">
        <x:v>Client</x:v>
      </x:c>
      <x:c r="B1272" t="str">
        <x:f>'04_checks'!B183</x:f>
        <x:v>C002</x:v>
      </x:c>
      <x:c r="C1272" t="n">
        <x:v>3</x:v>
      </x:c>
      <x:c r="D1272" t="n">
        <x:f>IF('04_checks'!F183="ERROR",1,0)</x:f>
        <x:v>0</x:v>
      </x:c>
      <x:c r="E1272" t="str">
        <x:v>Client:3:4</x:v>
      </x:c>
      <x:c r="F1272" t="str">
        <x:v>Формат ИНН</x:v>
      </x:c>
      <x:c r="G1272" t="str">
        <x:v>High</x:v>
      </x:c>
      <x:c r="H1272" t="str">
        <x:v>inn</x:v>
      </x:c>
      <x:c r="I1272" t="str">
        <x:v>Сверить длину ИНН 10/12 цифр с источником</x:v>
      </x:c>
      <x:c r="J1272" t="n">
        <x:f>IF(D1272=1,K1272,0)</x:f>
        <x:v>0</x:v>
      </x:c>
      <x:c r="K1272" t="n">
        <x:f>D1272+K1271</x:f>
        <x:v>13</x:v>
      </x:c>
    </x:row>
    <x:row r="1273">
      <x:c r="A1273" t="str">
        <x:v>Client</x:v>
      </x:c>
      <x:c r="B1273" t="str">
        <x:f>'04_checks'!B183</x:f>
        <x:v>C002</x:v>
      </x:c>
      <x:c r="C1273" t="n">
        <x:v>3</x:v>
      </x:c>
      <x:c r="D1273" t="n">
        <x:f>IF('04_checks'!G183="ERROR",1,0)</x:f>
        <x:v>0</x:v>
      </x:c>
      <x:c r="E1273" t="str">
        <x:v>Client:3:5</x:v>
      </x:c>
      <x:c r="F1273" t="str">
        <x:v>Отрицательная цена</x:v>
      </x:c>
      <x:c r="G1273" t="str">
        <x:v>High</x:v>
      </x:c>
      <x:c r="H1273" t="str">
        <x:v>N/A</x:v>
      </x:c>
      <x:c r="I1273" t="str">
        <x:v>Проверить цену в источнике</x:v>
      </x:c>
      <x:c r="J1273" t="n">
        <x:f>IF(D1273=1,K1273,0)</x:f>
        <x:v>0</x:v>
      </x:c>
      <x:c r="K1273" t="n">
        <x:f>D1273+K1272</x:f>
        <x:v>13</x:v>
      </x:c>
    </x:row>
    <x:row r="1274">
      <x:c r="A1274" t="str">
        <x:v>Client</x:v>
      </x:c>
      <x:c r="B1274" t="str">
        <x:f>'04_checks'!B183</x:f>
        <x:v>C002</x:v>
      </x:c>
      <x:c r="C1274" t="n">
        <x:v>3</x:v>
      </x:c>
      <x:c r="D1274" t="n">
        <x:f>IF('04_checks'!H183="ERROR",1,0)</x:f>
        <x:v>0</x:v>
      </x:c>
      <x:c r="E1274" t="str">
        <x:v>Client:3:6</x:v>
      </x:c>
      <x:c r="F1274" t="str">
        <x:v>Дата</x:v>
      </x:c>
      <x:c r="G1274" t="str">
        <x:v>Medium</x:v>
      </x:c>
      <x:c r="H1274" t="str">
        <x:v>registration_date</x:v>
      </x:c>
      <x:c r="I1274" t="str">
        <x:v>Сверить дату со срезом и исходной записью</x:v>
      </x:c>
      <x:c r="J1274" t="n">
        <x:f>IF(D1274=1,K1274,0)</x:f>
        <x:v>0</x:v>
      </x:c>
      <x:c r="K1274" t="n">
        <x:f>D1274+K1273</x:f>
        <x:v>13</x:v>
      </x:c>
    </x:row>
    <x:row r="1275">
      <x:c r="A1275" t="str">
        <x:v>Client</x:v>
      </x:c>
      <x:c r="B1275" t="str">
        <x:f>'04_checks'!B183</x:f>
        <x:v>C002</x:v>
      </x:c>
      <x:c r="C1275" t="n">
        <x:v>3</x:v>
      </x:c>
      <x:c r="D1275" t="n">
        <x:f>IF('04_checks'!I183="ERROR",1,0)</x:f>
        <x:v>0</x:v>
      </x:c>
      <x:c r="E1275" t="str">
        <x:v>Client:3:7</x:v>
      </x:c>
      <x:c r="F1275" t="str">
        <x:v>Статус</x:v>
      </x:c>
      <x:c r="G1275" t="str">
        <x:v>Medium</x:v>
      </x:c>
      <x:c r="H1275" t="str">
        <x:v>N/A</x:v>
      </x:c>
      <x:c r="I1275" t="str">
        <x:v>Выбрать допустимый статус</x:v>
      </x:c>
      <x:c r="J1275" t="n">
        <x:f>IF(D1275=1,K1275,0)</x:f>
        <x:v>0</x:v>
      </x:c>
      <x:c r="K1275" t="n">
        <x:f>D1275+K1274</x:f>
        <x:v>13</x:v>
      </x:c>
    </x:row>
    <x:row r="1276">
      <x:c r="A1276" t="str">
        <x:v>Client</x:v>
      </x:c>
      <x:c r="B1276" t="str">
        <x:f>'04_checks'!B184</x:f>
        <x:v>C003</x:v>
      </x:c>
      <x:c r="C1276" t="n">
        <x:v>4</x:v>
      </x:c>
      <x:c r="D1276" t="n">
        <x:f>IF('04_checks'!C184="ERROR",1,0)</x:f>
        <x:v>0</x:v>
      </x:c>
      <x:c r="E1276" t="str">
        <x:v>Client:4:1</x:v>
      </x:c>
      <x:c r="F1276" t="str">
        <x:v>Дубль</x:v>
      </x:c>
      <x:c r="G1276" t="str">
        <x:v>High</x:v>
      </x:c>
      <x:c r="H1276" t="str">
        <x:v>client_id</x:v>
      </x:c>
      <x:c r="I1276" t="str">
        <x:v>Проверить уникальность ID в источнике; не удалять записи автоматически</x:v>
      </x:c>
      <x:c r="J1276" t="n">
        <x:f>IF(D1276=1,K1276,0)</x:f>
        <x:v>0</x:v>
      </x:c>
      <x:c r="K1276" t="n">
        <x:f>D1276+K1275</x:f>
        <x:v>13</x:v>
      </x:c>
    </x:row>
    <x:row r="1277">
      <x:c r="A1277" t="str">
        <x:v>Client</x:v>
      </x:c>
      <x:c r="B1277" t="str">
        <x:f>'04_checks'!B184</x:f>
        <x:v>C003</x:v>
      </x:c>
      <x:c r="C1277" t="n">
        <x:v>4</x:v>
      </x:c>
      <x:c r="D1277" t="n">
        <x:f>IF('04_checks'!D184="ERROR",1,0)</x:f>
        <x:v>0</x:v>
      </x:c>
      <x:c r="E1277" t="str">
        <x:v>Client:4:2</x:v>
      </x:c>
      <x:c r="F1277" t="str">
        <x:v>Пустое поле</x:v>
      </x:c>
      <x:c r="G1277" t="str">
        <x:v>High</x:v>
      </x:c>
      <x:c r="H1277" t="str">
        <x:v>required_fields</x:v>
      </x:c>
      <x:c r="I1277" t="str">
        <x:v>Дополнить обязательные поля в источнике</x:v>
      </x:c>
      <x:c r="J1277" t="n">
        <x:f>IF(D1277=1,K1277,0)</x:f>
        <x:v>0</x:v>
      </x:c>
      <x:c r="K1277" t="n">
        <x:f>D1277+K1276</x:f>
        <x:v>13</x:v>
      </x:c>
    </x:row>
    <x:row r="1278">
      <x:c r="A1278" t="str">
        <x:v>Client</x:v>
      </x:c>
      <x:c r="B1278" t="str">
        <x:f>'04_checks'!B184</x:f>
        <x:v>C003</x:v>
      </x:c>
      <x:c r="C1278" t="n">
        <x:v>4</x:v>
      </x:c>
      <x:c r="D1278" t="n">
        <x:f>IF('04_checks'!E184="ERROR",1,0)</x:f>
        <x:v>0</x:v>
      </x:c>
      <x:c r="E1278" t="str">
        <x:v>Client:4:3</x:v>
      </x:c>
      <x:c r="F1278" t="str">
        <x:v>Нет связи</x:v>
      </x:c>
      <x:c r="G1278" t="str">
        <x:v>High</x:v>
      </x:c>
      <x:c r="H1278" t="str">
        <x:v>client_id</x:v>
      </x:c>
      <x:c r="I1278" t="str">
        <x:v>Исправить ссылку или разрешить дубли связанного ID</x:v>
      </x:c>
      <x:c r="J1278" t="n">
        <x:f>IF(D1278=1,K1278,0)</x:f>
        <x:v>0</x:v>
      </x:c>
      <x:c r="K1278" t="n">
        <x:f>D1278+K1277</x:f>
        <x:v>13</x:v>
      </x:c>
    </x:row>
    <x:row r="1279">
      <x:c r="A1279" t="str">
        <x:v>Client</x:v>
      </x:c>
      <x:c r="B1279" t="str">
        <x:f>'04_checks'!B184</x:f>
        <x:v>C003</x:v>
      </x:c>
      <x:c r="C1279" t="n">
        <x:v>4</x:v>
      </x:c>
      <x:c r="D1279" t="n">
        <x:f>IF('04_checks'!F184="ERROR",1,0)</x:f>
        <x:v>0</x:v>
      </x:c>
      <x:c r="E1279" t="str">
        <x:v>Client:4:4</x:v>
      </x:c>
      <x:c r="F1279" t="str">
        <x:v>Формат ИНН</x:v>
      </x:c>
      <x:c r="G1279" t="str">
        <x:v>High</x:v>
      </x:c>
      <x:c r="H1279" t="str">
        <x:v>inn</x:v>
      </x:c>
      <x:c r="I1279" t="str">
        <x:v>Сверить длину ИНН 10/12 цифр с источником</x:v>
      </x:c>
      <x:c r="J1279" t="n">
        <x:f>IF(D1279=1,K1279,0)</x:f>
        <x:v>0</x:v>
      </x:c>
      <x:c r="K1279" t="n">
        <x:f>D1279+K1278</x:f>
        <x:v>13</x:v>
      </x:c>
    </x:row>
    <x:row r="1280">
      <x:c r="A1280" t="str">
        <x:v>Client</x:v>
      </x:c>
      <x:c r="B1280" t="str">
        <x:f>'04_checks'!B184</x:f>
        <x:v>C003</x:v>
      </x:c>
      <x:c r="C1280" t="n">
        <x:v>4</x:v>
      </x:c>
      <x:c r="D1280" t="n">
        <x:f>IF('04_checks'!G184="ERROR",1,0)</x:f>
        <x:v>0</x:v>
      </x:c>
      <x:c r="E1280" t="str">
        <x:v>Client:4:5</x:v>
      </x:c>
      <x:c r="F1280" t="str">
        <x:v>Отрицательная цена</x:v>
      </x:c>
      <x:c r="G1280" t="str">
        <x:v>High</x:v>
      </x:c>
      <x:c r="H1280" t="str">
        <x:v>N/A</x:v>
      </x:c>
      <x:c r="I1280" t="str">
        <x:v>Проверить цену в источнике</x:v>
      </x:c>
      <x:c r="J1280" t="n">
        <x:f>IF(D1280=1,K1280,0)</x:f>
        <x:v>0</x:v>
      </x:c>
      <x:c r="K1280" t="n">
        <x:f>D1280+K1279</x:f>
        <x:v>13</x:v>
      </x:c>
    </x:row>
    <x:row r="1281">
      <x:c r="A1281" t="str">
        <x:v>Client</x:v>
      </x:c>
      <x:c r="B1281" t="str">
        <x:f>'04_checks'!B184</x:f>
        <x:v>C003</x:v>
      </x:c>
      <x:c r="C1281" t="n">
        <x:v>4</x:v>
      </x:c>
      <x:c r="D1281" t="n">
        <x:f>IF('04_checks'!H184="ERROR",1,0)</x:f>
        <x:v>0</x:v>
      </x:c>
      <x:c r="E1281" t="str">
        <x:v>Client:4:6</x:v>
      </x:c>
      <x:c r="F1281" t="str">
        <x:v>Дата</x:v>
      </x:c>
      <x:c r="G1281" t="str">
        <x:v>Medium</x:v>
      </x:c>
      <x:c r="H1281" t="str">
        <x:v>registration_date</x:v>
      </x:c>
      <x:c r="I1281" t="str">
        <x:v>Сверить дату со срезом и исходной записью</x:v>
      </x:c>
      <x:c r="J1281" t="n">
        <x:f>IF(D1281=1,K1281,0)</x:f>
        <x:v>0</x:v>
      </x:c>
      <x:c r="K1281" t="n">
        <x:f>D1281+K1280</x:f>
        <x:v>13</x:v>
      </x:c>
    </x:row>
    <x:row r="1282">
      <x:c r="A1282" t="str">
        <x:v>Client</x:v>
      </x:c>
      <x:c r="B1282" t="str">
        <x:f>'04_checks'!B184</x:f>
        <x:v>C003</x:v>
      </x:c>
      <x:c r="C1282" t="n">
        <x:v>4</x:v>
      </x:c>
      <x:c r="D1282" t="n">
        <x:f>IF('04_checks'!I184="ERROR",1,0)</x:f>
        <x:v>0</x:v>
      </x:c>
      <x:c r="E1282" t="str">
        <x:v>Client:4:7</x:v>
      </x:c>
      <x:c r="F1282" t="str">
        <x:v>Статус</x:v>
      </x:c>
      <x:c r="G1282" t="str">
        <x:v>Medium</x:v>
      </x:c>
      <x:c r="H1282" t="str">
        <x:v>N/A</x:v>
      </x:c>
      <x:c r="I1282" t="str">
        <x:v>Выбрать допустимый статус</x:v>
      </x:c>
      <x:c r="J1282" t="n">
        <x:f>IF(D1282=1,K1282,0)</x:f>
        <x:v>0</x:v>
      </x:c>
      <x:c r="K1282" t="n">
        <x:f>D1282+K1281</x:f>
        <x:v>13</x:v>
      </x:c>
    </x:row>
    <x:row r="1283">
      <x:c r="A1283" t="str">
        <x:v>Client</x:v>
      </x:c>
      <x:c r="B1283" t="str">
        <x:f>'04_checks'!B185</x:f>
        <x:v>C004</x:v>
      </x:c>
      <x:c r="C1283" t="n">
        <x:v>5</x:v>
      </x:c>
      <x:c r="D1283" t="n">
        <x:f>IF('04_checks'!C185="ERROR",1,0)</x:f>
        <x:v>0</x:v>
      </x:c>
      <x:c r="E1283" t="str">
        <x:v>Client:5:1</x:v>
      </x:c>
      <x:c r="F1283" t="str">
        <x:v>Дубль</x:v>
      </x:c>
      <x:c r="G1283" t="str">
        <x:v>High</x:v>
      </x:c>
      <x:c r="H1283" t="str">
        <x:v>client_id</x:v>
      </x:c>
      <x:c r="I1283" t="str">
        <x:v>Проверить уникальность ID в источнике; не удалять записи автоматически</x:v>
      </x:c>
      <x:c r="J1283" t="n">
        <x:f>IF(D1283=1,K1283,0)</x:f>
        <x:v>0</x:v>
      </x:c>
      <x:c r="K1283" t="n">
        <x:f>D1283+K1282</x:f>
        <x:v>13</x:v>
      </x:c>
    </x:row>
    <x:row r="1284">
      <x:c r="A1284" t="str">
        <x:v>Client</x:v>
      </x:c>
      <x:c r="B1284" t="str">
        <x:f>'04_checks'!B185</x:f>
        <x:v>C004</x:v>
      </x:c>
      <x:c r="C1284" t="n">
        <x:v>5</x:v>
      </x:c>
      <x:c r="D1284" t="n">
        <x:f>IF('04_checks'!D185="ERROR",1,0)</x:f>
        <x:v>0</x:v>
      </x:c>
      <x:c r="E1284" t="str">
        <x:v>Client:5:2</x:v>
      </x:c>
      <x:c r="F1284" t="str">
        <x:v>Пустое поле</x:v>
      </x:c>
      <x:c r="G1284" t="str">
        <x:v>High</x:v>
      </x:c>
      <x:c r="H1284" t="str">
        <x:v>required_fields</x:v>
      </x:c>
      <x:c r="I1284" t="str">
        <x:v>Дополнить обязательные поля в источнике</x:v>
      </x:c>
      <x:c r="J1284" t="n">
        <x:f>IF(D1284=1,K1284,0)</x:f>
        <x:v>0</x:v>
      </x:c>
      <x:c r="K1284" t="n">
        <x:f>D1284+K1283</x:f>
        <x:v>13</x:v>
      </x:c>
    </x:row>
    <x:row r="1285">
      <x:c r="A1285" t="str">
        <x:v>Client</x:v>
      </x:c>
      <x:c r="B1285" t="str">
        <x:f>'04_checks'!B185</x:f>
        <x:v>C004</x:v>
      </x:c>
      <x:c r="C1285" t="n">
        <x:v>5</x:v>
      </x:c>
      <x:c r="D1285" t="n">
        <x:f>IF('04_checks'!E185="ERROR",1,0)</x:f>
        <x:v>0</x:v>
      </x:c>
      <x:c r="E1285" t="str">
        <x:v>Client:5:3</x:v>
      </x:c>
      <x:c r="F1285" t="str">
        <x:v>Нет связи</x:v>
      </x:c>
      <x:c r="G1285" t="str">
        <x:v>High</x:v>
      </x:c>
      <x:c r="H1285" t="str">
        <x:v>client_id</x:v>
      </x:c>
      <x:c r="I1285" t="str">
        <x:v>Исправить ссылку или разрешить дубли связанного ID</x:v>
      </x:c>
      <x:c r="J1285" t="n">
        <x:f>IF(D1285=1,K1285,0)</x:f>
        <x:v>0</x:v>
      </x:c>
      <x:c r="K1285" t="n">
        <x:f>D1285+K1284</x:f>
        <x:v>13</x:v>
      </x:c>
    </x:row>
    <x:row r="1286">
      <x:c r="A1286" t="str">
        <x:v>Client</x:v>
      </x:c>
      <x:c r="B1286" t="str">
        <x:f>'04_checks'!B185</x:f>
        <x:v>C004</x:v>
      </x:c>
      <x:c r="C1286" t="n">
        <x:v>5</x:v>
      </x:c>
      <x:c r="D1286" t="n">
        <x:f>IF('04_checks'!F185="ERROR",1,0)</x:f>
        <x:v>0</x:v>
      </x:c>
      <x:c r="E1286" t="str">
        <x:v>Client:5:4</x:v>
      </x:c>
      <x:c r="F1286" t="str">
        <x:v>Формат ИНН</x:v>
      </x:c>
      <x:c r="G1286" t="str">
        <x:v>High</x:v>
      </x:c>
      <x:c r="H1286" t="str">
        <x:v>inn</x:v>
      </x:c>
      <x:c r="I1286" t="str">
        <x:v>Сверить длину ИНН 10/12 цифр с источником</x:v>
      </x:c>
      <x:c r="J1286" t="n">
        <x:f>IF(D1286=1,K1286,0)</x:f>
        <x:v>0</x:v>
      </x:c>
      <x:c r="K1286" t="n">
        <x:f>D1286+K1285</x:f>
        <x:v>13</x:v>
      </x:c>
    </x:row>
    <x:row r="1287">
      <x:c r="A1287" t="str">
        <x:v>Client</x:v>
      </x:c>
      <x:c r="B1287" t="str">
        <x:f>'04_checks'!B185</x:f>
        <x:v>C004</x:v>
      </x:c>
      <x:c r="C1287" t="n">
        <x:v>5</x:v>
      </x:c>
      <x:c r="D1287" t="n">
        <x:f>IF('04_checks'!G185="ERROR",1,0)</x:f>
        <x:v>0</x:v>
      </x:c>
      <x:c r="E1287" t="str">
        <x:v>Client:5:5</x:v>
      </x:c>
      <x:c r="F1287" t="str">
        <x:v>Отрицательная цена</x:v>
      </x:c>
      <x:c r="G1287" t="str">
        <x:v>High</x:v>
      </x:c>
      <x:c r="H1287" t="str">
        <x:v>N/A</x:v>
      </x:c>
      <x:c r="I1287" t="str">
        <x:v>Проверить цену в источнике</x:v>
      </x:c>
      <x:c r="J1287" t="n">
        <x:f>IF(D1287=1,K1287,0)</x:f>
        <x:v>0</x:v>
      </x:c>
      <x:c r="K1287" t="n">
        <x:f>D1287+K1286</x:f>
        <x:v>13</x:v>
      </x:c>
    </x:row>
    <x:row r="1288">
      <x:c r="A1288" t="str">
        <x:v>Client</x:v>
      </x:c>
      <x:c r="B1288" t="str">
        <x:f>'04_checks'!B185</x:f>
        <x:v>C004</x:v>
      </x:c>
      <x:c r="C1288" t="n">
        <x:v>5</x:v>
      </x:c>
      <x:c r="D1288" t="n">
        <x:f>IF('04_checks'!H185="ERROR",1,0)</x:f>
        <x:v>0</x:v>
      </x:c>
      <x:c r="E1288" t="str">
        <x:v>Client:5:6</x:v>
      </x:c>
      <x:c r="F1288" t="str">
        <x:v>Дата</x:v>
      </x:c>
      <x:c r="G1288" t="str">
        <x:v>Medium</x:v>
      </x:c>
      <x:c r="H1288" t="str">
        <x:v>registration_date</x:v>
      </x:c>
      <x:c r="I1288" t="str">
        <x:v>Сверить дату со срезом и исходной записью</x:v>
      </x:c>
      <x:c r="J1288" t="n">
        <x:f>IF(D1288=1,K1288,0)</x:f>
        <x:v>0</x:v>
      </x:c>
      <x:c r="K1288" t="n">
        <x:f>D1288+K1287</x:f>
        <x:v>13</x:v>
      </x:c>
    </x:row>
    <x:row r="1289">
      <x:c r="A1289" t="str">
        <x:v>Client</x:v>
      </x:c>
      <x:c r="B1289" t="str">
        <x:f>'04_checks'!B185</x:f>
        <x:v>C004</x:v>
      </x:c>
      <x:c r="C1289" t="n">
        <x:v>5</x:v>
      </x:c>
      <x:c r="D1289" t="n">
        <x:f>IF('04_checks'!I185="ERROR",1,0)</x:f>
        <x:v>0</x:v>
      </x:c>
      <x:c r="E1289" t="str">
        <x:v>Client:5:7</x:v>
      </x:c>
      <x:c r="F1289" t="str">
        <x:v>Статус</x:v>
      </x:c>
      <x:c r="G1289" t="str">
        <x:v>Medium</x:v>
      </x:c>
      <x:c r="H1289" t="str">
        <x:v>N/A</x:v>
      </x:c>
      <x:c r="I1289" t="str">
        <x:v>Выбрать допустимый статус</x:v>
      </x:c>
      <x:c r="J1289" t="n">
        <x:f>IF(D1289=1,K1289,0)</x:f>
        <x:v>0</x:v>
      </x:c>
      <x:c r="K1289" t="n">
        <x:f>D1289+K1288</x:f>
        <x:v>13</x:v>
      </x:c>
    </x:row>
    <x:row r="1290">
      <x:c r="A1290" t="str">
        <x:v>Client</x:v>
      </x:c>
      <x:c r="B1290" t="str">
        <x:f>'04_checks'!B186</x:f>
        <x:v>C005</x:v>
      </x:c>
      <x:c r="C1290" t="n">
        <x:v>6</x:v>
      </x:c>
      <x:c r="D1290" t="n">
        <x:f>IF('04_checks'!C186="ERROR",1,0)</x:f>
        <x:v>0</x:v>
      </x:c>
      <x:c r="E1290" t="str">
        <x:v>Client:6:1</x:v>
      </x:c>
      <x:c r="F1290" t="str">
        <x:v>Дубль</x:v>
      </x:c>
      <x:c r="G1290" t="str">
        <x:v>High</x:v>
      </x:c>
      <x:c r="H1290" t="str">
        <x:v>client_id</x:v>
      </x:c>
      <x:c r="I1290" t="str">
        <x:v>Проверить уникальность ID в источнике; не удалять записи автоматически</x:v>
      </x:c>
      <x:c r="J1290" t="n">
        <x:f>IF(D1290=1,K1290,0)</x:f>
        <x:v>0</x:v>
      </x:c>
      <x:c r="K1290" t="n">
        <x:f>D1290+K1289</x:f>
        <x:v>13</x:v>
      </x:c>
    </x:row>
    <x:row r="1291">
      <x:c r="A1291" t="str">
        <x:v>Client</x:v>
      </x:c>
      <x:c r="B1291" t="str">
        <x:f>'04_checks'!B186</x:f>
        <x:v>C005</x:v>
      </x:c>
      <x:c r="C1291" t="n">
        <x:v>6</x:v>
      </x:c>
      <x:c r="D1291" t="n">
        <x:f>IF('04_checks'!D186="ERROR",1,0)</x:f>
        <x:v>1</x:v>
      </x:c>
      <x:c r="E1291" t="str">
        <x:v>Client:6:2</x:v>
      </x:c>
      <x:c r="F1291" t="str">
        <x:v>Пустое поле</x:v>
      </x:c>
      <x:c r="G1291" t="str">
        <x:v>High</x:v>
      </x:c>
      <x:c r="H1291" t="str">
        <x:v>required_fields</x:v>
      </x:c>
      <x:c r="I1291" t="str">
        <x:v>Дополнить обязательные поля в источнике</x:v>
      </x:c>
      <x:c r="J1291" t="n">
        <x:f>IF(D1291=1,K1291,0)</x:f>
        <x:v>14</x:v>
      </x:c>
      <x:c r="K1291" t="n">
        <x:f>D1291+K1290</x:f>
        <x:v>14</x:v>
      </x:c>
    </x:row>
    <x:row r="1292">
      <x:c r="A1292" t="str">
        <x:v>Client</x:v>
      </x:c>
      <x:c r="B1292" t="str">
        <x:f>'04_checks'!B186</x:f>
        <x:v>C005</x:v>
      </x:c>
      <x:c r="C1292" t="n">
        <x:v>6</x:v>
      </x:c>
      <x:c r="D1292" t="n">
        <x:f>IF('04_checks'!E186="ERROR",1,0)</x:f>
        <x:v>0</x:v>
      </x:c>
      <x:c r="E1292" t="str">
        <x:v>Client:6:3</x:v>
      </x:c>
      <x:c r="F1292" t="str">
        <x:v>Нет связи</x:v>
      </x:c>
      <x:c r="G1292" t="str">
        <x:v>High</x:v>
      </x:c>
      <x:c r="H1292" t="str">
        <x:v>client_id</x:v>
      </x:c>
      <x:c r="I1292" t="str">
        <x:v>Исправить ссылку или разрешить дубли связанного ID</x:v>
      </x:c>
      <x:c r="J1292" t="n">
        <x:f>IF(D1292=1,K1292,0)</x:f>
        <x:v>0</x:v>
      </x:c>
      <x:c r="K1292" t="n">
        <x:f>D1292+K1291</x:f>
        <x:v>14</x:v>
      </x:c>
    </x:row>
    <x:row r="1293">
      <x:c r="A1293" t="str">
        <x:v>Client</x:v>
      </x:c>
      <x:c r="B1293" t="str">
        <x:f>'04_checks'!B186</x:f>
        <x:v>C005</x:v>
      </x:c>
      <x:c r="C1293" t="n">
        <x:v>6</x:v>
      </x:c>
      <x:c r="D1293" t="n">
        <x:f>IF('04_checks'!F186="ERROR",1,0)</x:f>
        <x:v>0</x:v>
      </x:c>
      <x:c r="E1293" t="str">
        <x:v>Client:6:4</x:v>
      </x:c>
      <x:c r="F1293" t="str">
        <x:v>Формат ИНН</x:v>
      </x:c>
      <x:c r="G1293" t="str">
        <x:v>High</x:v>
      </x:c>
      <x:c r="H1293" t="str">
        <x:v>inn</x:v>
      </x:c>
      <x:c r="I1293" t="str">
        <x:v>Сверить длину ИНН 10/12 цифр с источником</x:v>
      </x:c>
      <x:c r="J1293" t="n">
        <x:f>IF(D1293=1,K1293,0)</x:f>
        <x:v>0</x:v>
      </x:c>
      <x:c r="K1293" t="n">
        <x:f>D1293+K1292</x:f>
        <x:v>14</x:v>
      </x:c>
    </x:row>
    <x:row r="1294">
      <x:c r="A1294" t="str">
        <x:v>Client</x:v>
      </x:c>
      <x:c r="B1294" t="str">
        <x:f>'04_checks'!B186</x:f>
        <x:v>C005</x:v>
      </x:c>
      <x:c r="C1294" t="n">
        <x:v>6</x:v>
      </x:c>
      <x:c r="D1294" t="n">
        <x:f>IF('04_checks'!G186="ERROR",1,0)</x:f>
        <x:v>0</x:v>
      </x:c>
      <x:c r="E1294" t="str">
        <x:v>Client:6:5</x:v>
      </x:c>
      <x:c r="F1294" t="str">
        <x:v>Отрицательная цена</x:v>
      </x:c>
      <x:c r="G1294" t="str">
        <x:v>High</x:v>
      </x:c>
      <x:c r="H1294" t="str">
        <x:v>N/A</x:v>
      </x:c>
      <x:c r="I1294" t="str">
        <x:v>Проверить цену в источнике</x:v>
      </x:c>
      <x:c r="J1294" t="n">
        <x:f>IF(D1294=1,K1294,0)</x:f>
        <x:v>0</x:v>
      </x:c>
      <x:c r="K1294" t="n">
        <x:f>D1294+K1293</x:f>
        <x:v>14</x:v>
      </x:c>
    </x:row>
    <x:row r="1295">
      <x:c r="A1295" t="str">
        <x:v>Client</x:v>
      </x:c>
      <x:c r="B1295" t="str">
        <x:f>'04_checks'!B186</x:f>
        <x:v>C005</x:v>
      </x:c>
      <x:c r="C1295" t="n">
        <x:v>6</x:v>
      </x:c>
      <x:c r="D1295" t="n">
        <x:f>IF('04_checks'!H186="ERROR",1,0)</x:f>
        <x:v>0</x:v>
      </x:c>
      <x:c r="E1295" t="str">
        <x:v>Client:6:6</x:v>
      </x:c>
      <x:c r="F1295" t="str">
        <x:v>Дата</x:v>
      </x:c>
      <x:c r="G1295" t="str">
        <x:v>Medium</x:v>
      </x:c>
      <x:c r="H1295" t="str">
        <x:v>registration_date</x:v>
      </x:c>
      <x:c r="I1295" t="str">
        <x:v>Сверить дату со срезом и исходной записью</x:v>
      </x:c>
      <x:c r="J1295" t="n">
        <x:f>IF(D1295=1,K1295,0)</x:f>
        <x:v>0</x:v>
      </x:c>
      <x:c r="K1295" t="n">
        <x:f>D1295+K1294</x:f>
        <x:v>14</x:v>
      </x:c>
    </x:row>
    <x:row r="1296">
      <x:c r="A1296" t="str">
        <x:v>Client</x:v>
      </x:c>
      <x:c r="B1296" t="str">
        <x:f>'04_checks'!B186</x:f>
        <x:v>C005</x:v>
      </x:c>
      <x:c r="C1296" t="n">
        <x:v>6</x:v>
      </x:c>
      <x:c r="D1296" t="n">
        <x:f>IF('04_checks'!I186="ERROR",1,0)</x:f>
        <x:v>0</x:v>
      </x:c>
      <x:c r="E1296" t="str">
        <x:v>Client:6:7</x:v>
      </x:c>
      <x:c r="F1296" t="str">
        <x:v>Статус</x:v>
      </x:c>
      <x:c r="G1296" t="str">
        <x:v>Medium</x:v>
      </x:c>
      <x:c r="H1296" t="str">
        <x:v>N/A</x:v>
      </x:c>
      <x:c r="I1296" t="str">
        <x:v>Выбрать допустимый статус</x:v>
      </x:c>
      <x:c r="J1296" t="n">
        <x:f>IF(D1296=1,K1296,0)</x:f>
        <x:v>0</x:v>
      </x:c>
      <x:c r="K1296" t="n">
        <x:f>D1296+K1295</x:f>
        <x:v>14</x:v>
      </x:c>
    </x:row>
    <x:row r="1297">
      <x:c r="A1297" t="str">
        <x:v>Client</x:v>
      </x:c>
      <x:c r="B1297" t="str">
        <x:f>'04_checks'!B187</x:f>
        <x:v>C006</x:v>
      </x:c>
      <x:c r="C1297" t="n">
        <x:v>7</x:v>
      </x:c>
      <x:c r="D1297" t="n">
        <x:f>IF('04_checks'!C187="ERROR",1,0)</x:f>
        <x:v>0</x:v>
      </x:c>
      <x:c r="E1297" t="str">
        <x:v>Client:7:1</x:v>
      </x:c>
      <x:c r="F1297" t="str">
        <x:v>Дубль</x:v>
      </x:c>
      <x:c r="G1297" t="str">
        <x:v>High</x:v>
      </x:c>
      <x:c r="H1297" t="str">
        <x:v>client_id</x:v>
      </x:c>
      <x:c r="I1297" t="str">
        <x:v>Проверить уникальность ID в источнике; не удалять записи автоматически</x:v>
      </x:c>
      <x:c r="J1297" t="n">
        <x:f>IF(D1297=1,K1297,0)</x:f>
        <x:v>0</x:v>
      </x:c>
      <x:c r="K1297" t="n">
        <x:f>D1297+K1296</x:f>
        <x:v>14</x:v>
      </x:c>
    </x:row>
    <x:row r="1298">
      <x:c r="A1298" t="str">
        <x:v>Client</x:v>
      </x:c>
      <x:c r="B1298" t="str">
        <x:f>'04_checks'!B187</x:f>
        <x:v>C006</x:v>
      </x:c>
      <x:c r="C1298" t="n">
        <x:v>7</x:v>
      </x:c>
      <x:c r="D1298" t="n">
        <x:f>IF('04_checks'!D187="ERROR",1,0)</x:f>
        <x:v>0</x:v>
      </x:c>
      <x:c r="E1298" t="str">
        <x:v>Client:7:2</x:v>
      </x:c>
      <x:c r="F1298" t="str">
        <x:v>Пустое поле</x:v>
      </x:c>
      <x:c r="G1298" t="str">
        <x:v>High</x:v>
      </x:c>
      <x:c r="H1298" t="str">
        <x:v>required_fields</x:v>
      </x:c>
      <x:c r="I1298" t="str">
        <x:v>Дополнить обязательные поля в источнике</x:v>
      </x:c>
      <x:c r="J1298" t="n">
        <x:f>IF(D1298=1,K1298,0)</x:f>
        <x:v>0</x:v>
      </x:c>
      <x:c r="K1298" t="n">
        <x:f>D1298+K1297</x:f>
        <x:v>14</x:v>
      </x:c>
    </x:row>
    <x:row r="1299">
      <x:c r="A1299" t="str">
        <x:v>Client</x:v>
      </x:c>
      <x:c r="B1299" t="str">
        <x:f>'04_checks'!B187</x:f>
        <x:v>C006</x:v>
      </x:c>
      <x:c r="C1299" t="n">
        <x:v>7</x:v>
      </x:c>
      <x:c r="D1299" t="n">
        <x:f>IF('04_checks'!E187="ERROR",1,0)</x:f>
        <x:v>0</x:v>
      </x:c>
      <x:c r="E1299" t="str">
        <x:v>Client:7:3</x:v>
      </x:c>
      <x:c r="F1299" t="str">
        <x:v>Нет связи</x:v>
      </x:c>
      <x:c r="G1299" t="str">
        <x:v>High</x:v>
      </x:c>
      <x:c r="H1299" t="str">
        <x:v>client_id</x:v>
      </x:c>
      <x:c r="I1299" t="str">
        <x:v>Исправить ссылку или разрешить дубли связанного ID</x:v>
      </x:c>
      <x:c r="J1299" t="n">
        <x:f>IF(D1299=1,K1299,0)</x:f>
        <x:v>0</x:v>
      </x:c>
      <x:c r="K1299" t="n">
        <x:f>D1299+K1298</x:f>
        <x:v>14</x:v>
      </x:c>
    </x:row>
    <x:row r="1300">
      <x:c r="A1300" t="str">
        <x:v>Client</x:v>
      </x:c>
      <x:c r="B1300" t="str">
        <x:f>'04_checks'!B187</x:f>
        <x:v>C006</x:v>
      </x:c>
      <x:c r="C1300" t="n">
        <x:v>7</x:v>
      </x:c>
      <x:c r="D1300" t="n">
        <x:f>IF('04_checks'!F187="ERROR",1,0)</x:f>
        <x:v>0</x:v>
      </x:c>
      <x:c r="E1300" t="str">
        <x:v>Client:7:4</x:v>
      </x:c>
      <x:c r="F1300" t="str">
        <x:v>Формат ИНН</x:v>
      </x:c>
      <x:c r="G1300" t="str">
        <x:v>High</x:v>
      </x:c>
      <x:c r="H1300" t="str">
        <x:v>inn</x:v>
      </x:c>
      <x:c r="I1300" t="str">
        <x:v>Сверить длину ИНН 10/12 цифр с источником</x:v>
      </x:c>
      <x:c r="J1300" t="n">
        <x:f>IF(D1300=1,K1300,0)</x:f>
        <x:v>0</x:v>
      </x:c>
      <x:c r="K1300" t="n">
        <x:f>D1300+K1299</x:f>
        <x:v>14</x:v>
      </x:c>
    </x:row>
    <x:row r="1301">
      <x:c r="A1301" t="str">
        <x:v>Client</x:v>
      </x:c>
      <x:c r="B1301" t="str">
        <x:f>'04_checks'!B187</x:f>
        <x:v>C006</x:v>
      </x:c>
      <x:c r="C1301" t="n">
        <x:v>7</x:v>
      </x:c>
      <x:c r="D1301" t="n">
        <x:f>IF('04_checks'!G187="ERROR",1,0)</x:f>
        <x:v>0</x:v>
      </x:c>
      <x:c r="E1301" t="str">
        <x:v>Client:7:5</x:v>
      </x:c>
      <x:c r="F1301" t="str">
        <x:v>Отрицательная цена</x:v>
      </x:c>
      <x:c r="G1301" t="str">
        <x:v>High</x:v>
      </x:c>
      <x:c r="H1301" t="str">
        <x:v>N/A</x:v>
      </x:c>
      <x:c r="I1301" t="str">
        <x:v>Проверить цену в источнике</x:v>
      </x:c>
      <x:c r="J1301" t="n">
        <x:f>IF(D1301=1,K1301,0)</x:f>
        <x:v>0</x:v>
      </x:c>
      <x:c r="K1301" t="n">
        <x:f>D1301+K1300</x:f>
        <x:v>14</x:v>
      </x:c>
    </x:row>
    <x:row r="1302">
      <x:c r="A1302" t="str">
        <x:v>Client</x:v>
      </x:c>
      <x:c r="B1302" t="str">
        <x:f>'04_checks'!B187</x:f>
        <x:v>C006</x:v>
      </x:c>
      <x:c r="C1302" t="n">
        <x:v>7</x:v>
      </x:c>
      <x:c r="D1302" t="n">
        <x:f>IF('04_checks'!H187="ERROR",1,0)</x:f>
        <x:v>0</x:v>
      </x:c>
      <x:c r="E1302" t="str">
        <x:v>Client:7:6</x:v>
      </x:c>
      <x:c r="F1302" t="str">
        <x:v>Дата</x:v>
      </x:c>
      <x:c r="G1302" t="str">
        <x:v>Medium</x:v>
      </x:c>
      <x:c r="H1302" t="str">
        <x:v>registration_date</x:v>
      </x:c>
      <x:c r="I1302" t="str">
        <x:v>Сверить дату со срезом и исходной записью</x:v>
      </x:c>
      <x:c r="J1302" t="n">
        <x:f>IF(D1302=1,K1302,0)</x:f>
        <x:v>0</x:v>
      </x:c>
      <x:c r="K1302" t="n">
        <x:f>D1302+K1301</x:f>
        <x:v>14</x:v>
      </x:c>
    </x:row>
    <x:row r="1303">
      <x:c r="A1303" t="str">
        <x:v>Client</x:v>
      </x:c>
      <x:c r="B1303" t="str">
        <x:f>'04_checks'!B187</x:f>
        <x:v>C006</x:v>
      </x:c>
      <x:c r="C1303" t="n">
        <x:v>7</x:v>
      </x:c>
      <x:c r="D1303" t="n">
        <x:f>IF('04_checks'!I187="ERROR",1,0)</x:f>
        <x:v>0</x:v>
      </x:c>
      <x:c r="E1303" t="str">
        <x:v>Client:7:7</x:v>
      </x:c>
      <x:c r="F1303" t="str">
        <x:v>Статус</x:v>
      </x:c>
      <x:c r="G1303" t="str">
        <x:v>Medium</x:v>
      </x:c>
      <x:c r="H1303" t="str">
        <x:v>N/A</x:v>
      </x:c>
      <x:c r="I1303" t="str">
        <x:v>Выбрать допустимый статус</x:v>
      </x:c>
      <x:c r="J1303" t="n">
        <x:f>IF(D1303=1,K1303,0)</x:f>
        <x:v>0</x:v>
      </x:c>
      <x:c r="K1303" t="n">
        <x:f>D1303+K1302</x:f>
        <x:v>14</x:v>
      </x:c>
    </x:row>
    <x:row r="1304">
      <x:c r="A1304" t="str">
        <x:v>Client</x:v>
      </x:c>
      <x:c r="B1304" t="str">
        <x:f>'04_checks'!B188</x:f>
        <x:v>C007</x:v>
      </x:c>
      <x:c r="C1304" t="n">
        <x:v>8</x:v>
      </x:c>
      <x:c r="D1304" t="n">
        <x:f>IF('04_checks'!C188="ERROR",1,0)</x:f>
        <x:v>0</x:v>
      </x:c>
      <x:c r="E1304" t="str">
        <x:v>Client:8:1</x:v>
      </x:c>
      <x:c r="F1304" t="str">
        <x:v>Дубль</x:v>
      </x:c>
      <x:c r="G1304" t="str">
        <x:v>High</x:v>
      </x:c>
      <x:c r="H1304" t="str">
        <x:v>client_id</x:v>
      </x:c>
      <x:c r="I1304" t="str">
        <x:v>Проверить уникальность ID в источнике; не удалять записи автоматически</x:v>
      </x:c>
      <x:c r="J1304" t="n">
        <x:f>IF(D1304=1,K1304,0)</x:f>
        <x:v>0</x:v>
      </x:c>
      <x:c r="K1304" t="n">
        <x:f>D1304+K1303</x:f>
        <x:v>14</x:v>
      </x:c>
    </x:row>
    <x:row r="1305">
      <x:c r="A1305" t="str">
        <x:v>Client</x:v>
      </x:c>
      <x:c r="B1305" t="str">
        <x:f>'04_checks'!B188</x:f>
        <x:v>C007</x:v>
      </x:c>
      <x:c r="C1305" t="n">
        <x:v>8</x:v>
      </x:c>
      <x:c r="D1305" t="n">
        <x:f>IF('04_checks'!D188="ERROR",1,0)</x:f>
        <x:v>0</x:v>
      </x:c>
      <x:c r="E1305" t="str">
        <x:v>Client:8:2</x:v>
      </x:c>
      <x:c r="F1305" t="str">
        <x:v>Пустое поле</x:v>
      </x:c>
      <x:c r="G1305" t="str">
        <x:v>High</x:v>
      </x:c>
      <x:c r="H1305" t="str">
        <x:v>required_fields</x:v>
      </x:c>
      <x:c r="I1305" t="str">
        <x:v>Дополнить обязательные поля в источнике</x:v>
      </x:c>
      <x:c r="J1305" t="n">
        <x:f>IF(D1305=1,K1305,0)</x:f>
        <x:v>0</x:v>
      </x:c>
      <x:c r="K1305" t="n">
        <x:f>D1305+K1304</x:f>
        <x:v>14</x:v>
      </x:c>
    </x:row>
    <x:row r="1306">
      <x:c r="A1306" t="str">
        <x:v>Client</x:v>
      </x:c>
      <x:c r="B1306" t="str">
        <x:f>'04_checks'!B188</x:f>
        <x:v>C007</x:v>
      </x:c>
      <x:c r="C1306" t="n">
        <x:v>8</x:v>
      </x:c>
      <x:c r="D1306" t="n">
        <x:f>IF('04_checks'!E188="ERROR",1,0)</x:f>
        <x:v>0</x:v>
      </x:c>
      <x:c r="E1306" t="str">
        <x:v>Client:8:3</x:v>
      </x:c>
      <x:c r="F1306" t="str">
        <x:v>Нет связи</x:v>
      </x:c>
      <x:c r="G1306" t="str">
        <x:v>High</x:v>
      </x:c>
      <x:c r="H1306" t="str">
        <x:v>client_id</x:v>
      </x:c>
      <x:c r="I1306" t="str">
        <x:v>Исправить ссылку или разрешить дубли связанного ID</x:v>
      </x:c>
      <x:c r="J1306" t="n">
        <x:f>IF(D1306=1,K1306,0)</x:f>
        <x:v>0</x:v>
      </x:c>
      <x:c r="K1306" t="n">
        <x:f>D1306+K1305</x:f>
        <x:v>14</x:v>
      </x:c>
    </x:row>
    <x:row r="1307">
      <x:c r="A1307" t="str">
        <x:v>Client</x:v>
      </x:c>
      <x:c r="B1307" t="str">
        <x:f>'04_checks'!B188</x:f>
        <x:v>C007</x:v>
      </x:c>
      <x:c r="C1307" t="n">
        <x:v>8</x:v>
      </x:c>
      <x:c r="D1307" t="n">
        <x:f>IF('04_checks'!F188="ERROR",1,0)</x:f>
        <x:v>0</x:v>
      </x:c>
      <x:c r="E1307" t="str">
        <x:v>Client:8:4</x:v>
      </x:c>
      <x:c r="F1307" t="str">
        <x:v>Формат ИНН</x:v>
      </x:c>
      <x:c r="G1307" t="str">
        <x:v>High</x:v>
      </x:c>
      <x:c r="H1307" t="str">
        <x:v>inn</x:v>
      </x:c>
      <x:c r="I1307" t="str">
        <x:v>Сверить длину ИНН 10/12 цифр с источником</x:v>
      </x:c>
      <x:c r="J1307" t="n">
        <x:f>IF(D1307=1,K1307,0)</x:f>
        <x:v>0</x:v>
      </x:c>
      <x:c r="K1307" t="n">
        <x:f>D1307+K1306</x:f>
        <x:v>14</x:v>
      </x:c>
    </x:row>
    <x:row r="1308">
      <x:c r="A1308" t="str">
        <x:v>Client</x:v>
      </x:c>
      <x:c r="B1308" t="str">
        <x:f>'04_checks'!B188</x:f>
        <x:v>C007</x:v>
      </x:c>
      <x:c r="C1308" t="n">
        <x:v>8</x:v>
      </x:c>
      <x:c r="D1308" t="n">
        <x:f>IF('04_checks'!G188="ERROR",1,0)</x:f>
        <x:v>0</x:v>
      </x:c>
      <x:c r="E1308" t="str">
        <x:v>Client:8:5</x:v>
      </x:c>
      <x:c r="F1308" t="str">
        <x:v>Отрицательная цена</x:v>
      </x:c>
      <x:c r="G1308" t="str">
        <x:v>High</x:v>
      </x:c>
      <x:c r="H1308" t="str">
        <x:v>N/A</x:v>
      </x:c>
      <x:c r="I1308" t="str">
        <x:v>Проверить цену в источнике</x:v>
      </x:c>
      <x:c r="J1308" t="n">
        <x:f>IF(D1308=1,K1308,0)</x:f>
        <x:v>0</x:v>
      </x:c>
      <x:c r="K1308" t="n">
        <x:f>D1308+K1307</x:f>
        <x:v>14</x:v>
      </x:c>
    </x:row>
    <x:row r="1309">
      <x:c r="A1309" t="str">
        <x:v>Client</x:v>
      </x:c>
      <x:c r="B1309" t="str">
        <x:f>'04_checks'!B188</x:f>
        <x:v>C007</x:v>
      </x:c>
      <x:c r="C1309" t="n">
        <x:v>8</x:v>
      </x:c>
      <x:c r="D1309" t="n">
        <x:f>IF('04_checks'!H188="ERROR",1,0)</x:f>
        <x:v>0</x:v>
      </x:c>
      <x:c r="E1309" t="str">
        <x:v>Client:8:6</x:v>
      </x:c>
      <x:c r="F1309" t="str">
        <x:v>Дата</x:v>
      </x:c>
      <x:c r="G1309" t="str">
        <x:v>Medium</x:v>
      </x:c>
      <x:c r="H1309" t="str">
        <x:v>registration_date</x:v>
      </x:c>
      <x:c r="I1309" t="str">
        <x:v>Сверить дату со срезом и исходной записью</x:v>
      </x:c>
      <x:c r="J1309" t="n">
        <x:f>IF(D1309=1,K1309,0)</x:f>
        <x:v>0</x:v>
      </x:c>
      <x:c r="K1309" t="n">
        <x:f>D1309+K1308</x:f>
        <x:v>14</x:v>
      </x:c>
    </x:row>
    <x:row r="1310">
      <x:c r="A1310" t="str">
        <x:v>Client</x:v>
      </x:c>
      <x:c r="B1310" t="str">
        <x:f>'04_checks'!B188</x:f>
        <x:v>C007</x:v>
      </x:c>
      <x:c r="C1310" t="n">
        <x:v>8</x:v>
      </x:c>
      <x:c r="D1310" t="n">
        <x:f>IF('04_checks'!I188="ERROR",1,0)</x:f>
        <x:v>0</x:v>
      </x:c>
      <x:c r="E1310" t="str">
        <x:v>Client:8:7</x:v>
      </x:c>
      <x:c r="F1310" t="str">
        <x:v>Статус</x:v>
      </x:c>
      <x:c r="G1310" t="str">
        <x:v>Medium</x:v>
      </x:c>
      <x:c r="H1310" t="str">
        <x:v>N/A</x:v>
      </x:c>
      <x:c r="I1310" t="str">
        <x:v>Выбрать допустимый статус</x:v>
      </x:c>
      <x:c r="J1310" t="n">
        <x:f>IF(D1310=1,K1310,0)</x:f>
        <x:v>0</x:v>
      </x:c>
      <x:c r="K1310" t="n">
        <x:f>D1310+K1309</x:f>
        <x:v>14</x:v>
      </x:c>
    </x:row>
    <x:row r="1311">
      <x:c r="A1311" t="str">
        <x:v>Client</x:v>
      </x:c>
      <x:c r="B1311" t="str">
        <x:f>'04_checks'!B189</x:f>
        <x:v>C008</x:v>
      </x:c>
      <x:c r="C1311" t="n">
        <x:v>9</x:v>
      </x:c>
      <x:c r="D1311" t="n">
        <x:f>IF('04_checks'!C189="ERROR",1,0)</x:f>
        <x:v>0</x:v>
      </x:c>
      <x:c r="E1311" t="str">
        <x:v>Client:9:1</x:v>
      </x:c>
      <x:c r="F1311" t="str">
        <x:v>Дубль</x:v>
      </x:c>
      <x:c r="G1311" t="str">
        <x:v>High</x:v>
      </x:c>
      <x:c r="H1311" t="str">
        <x:v>client_id</x:v>
      </x:c>
      <x:c r="I1311" t="str">
        <x:v>Проверить уникальность ID в источнике; не удалять записи автоматически</x:v>
      </x:c>
      <x:c r="J1311" t="n">
        <x:f>IF(D1311=1,K1311,0)</x:f>
        <x:v>0</x:v>
      </x:c>
      <x:c r="K1311" t="n">
        <x:f>D1311+K1310</x:f>
        <x:v>14</x:v>
      </x:c>
    </x:row>
    <x:row r="1312">
      <x:c r="A1312" t="str">
        <x:v>Client</x:v>
      </x:c>
      <x:c r="B1312" t="str">
        <x:f>'04_checks'!B189</x:f>
        <x:v>C008</x:v>
      </x:c>
      <x:c r="C1312" t="n">
        <x:v>9</x:v>
      </x:c>
      <x:c r="D1312" t="n">
        <x:f>IF('04_checks'!D189="ERROR",1,0)</x:f>
        <x:v>0</x:v>
      </x:c>
      <x:c r="E1312" t="str">
        <x:v>Client:9:2</x:v>
      </x:c>
      <x:c r="F1312" t="str">
        <x:v>Пустое поле</x:v>
      </x:c>
      <x:c r="G1312" t="str">
        <x:v>High</x:v>
      </x:c>
      <x:c r="H1312" t="str">
        <x:v>required_fields</x:v>
      </x:c>
      <x:c r="I1312" t="str">
        <x:v>Дополнить обязательные поля в источнике</x:v>
      </x:c>
      <x:c r="J1312" t="n">
        <x:f>IF(D1312=1,K1312,0)</x:f>
        <x:v>0</x:v>
      </x:c>
      <x:c r="K1312" t="n">
        <x:f>D1312+K1311</x:f>
        <x:v>14</x:v>
      </x:c>
    </x:row>
    <x:row r="1313">
      <x:c r="A1313" t="str">
        <x:v>Client</x:v>
      </x:c>
      <x:c r="B1313" t="str">
        <x:f>'04_checks'!B189</x:f>
        <x:v>C008</x:v>
      </x:c>
      <x:c r="C1313" t="n">
        <x:v>9</x:v>
      </x:c>
      <x:c r="D1313" t="n">
        <x:f>IF('04_checks'!E189="ERROR",1,0)</x:f>
        <x:v>0</x:v>
      </x:c>
      <x:c r="E1313" t="str">
        <x:v>Client:9:3</x:v>
      </x:c>
      <x:c r="F1313" t="str">
        <x:v>Нет связи</x:v>
      </x:c>
      <x:c r="G1313" t="str">
        <x:v>High</x:v>
      </x:c>
      <x:c r="H1313" t="str">
        <x:v>client_id</x:v>
      </x:c>
      <x:c r="I1313" t="str">
        <x:v>Исправить ссылку или разрешить дубли связанного ID</x:v>
      </x:c>
      <x:c r="J1313" t="n">
        <x:f>IF(D1313=1,K1313,0)</x:f>
        <x:v>0</x:v>
      </x:c>
      <x:c r="K1313" t="n">
        <x:f>D1313+K1312</x:f>
        <x:v>14</x:v>
      </x:c>
    </x:row>
    <x:row r="1314">
      <x:c r="A1314" t="str">
        <x:v>Client</x:v>
      </x:c>
      <x:c r="B1314" t="str">
        <x:f>'04_checks'!B189</x:f>
        <x:v>C008</x:v>
      </x:c>
      <x:c r="C1314" t="n">
        <x:v>9</x:v>
      </x:c>
      <x:c r="D1314" t="n">
        <x:f>IF('04_checks'!F189="ERROR",1,0)</x:f>
        <x:v>0</x:v>
      </x:c>
      <x:c r="E1314" t="str">
        <x:v>Client:9:4</x:v>
      </x:c>
      <x:c r="F1314" t="str">
        <x:v>Формат ИНН</x:v>
      </x:c>
      <x:c r="G1314" t="str">
        <x:v>High</x:v>
      </x:c>
      <x:c r="H1314" t="str">
        <x:v>inn</x:v>
      </x:c>
      <x:c r="I1314" t="str">
        <x:v>Сверить длину ИНН 10/12 цифр с источником</x:v>
      </x:c>
      <x:c r="J1314" t="n">
        <x:f>IF(D1314=1,K1314,0)</x:f>
        <x:v>0</x:v>
      </x:c>
      <x:c r="K1314" t="n">
        <x:f>D1314+K1313</x:f>
        <x:v>14</x:v>
      </x:c>
    </x:row>
    <x:row r="1315">
      <x:c r="A1315" t="str">
        <x:v>Client</x:v>
      </x:c>
      <x:c r="B1315" t="str">
        <x:f>'04_checks'!B189</x:f>
        <x:v>C008</x:v>
      </x:c>
      <x:c r="C1315" t="n">
        <x:v>9</x:v>
      </x:c>
      <x:c r="D1315" t="n">
        <x:f>IF('04_checks'!G189="ERROR",1,0)</x:f>
        <x:v>0</x:v>
      </x:c>
      <x:c r="E1315" t="str">
        <x:v>Client:9:5</x:v>
      </x:c>
      <x:c r="F1315" t="str">
        <x:v>Отрицательная цена</x:v>
      </x:c>
      <x:c r="G1315" t="str">
        <x:v>High</x:v>
      </x:c>
      <x:c r="H1315" t="str">
        <x:v>N/A</x:v>
      </x:c>
      <x:c r="I1315" t="str">
        <x:v>Проверить цену в источнике</x:v>
      </x:c>
      <x:c r="J1315" t="n">
        <x:f>IF(D1315=1,K1315,0)</x:f>
        <x:v>0</x:v>
      </x:c>
      <x:c r="K1315" t="n">
        <x:f>D1315+K1314</x:f>
        <x:v>14</x:v>
      </x:c>
    </x:row>
    <x:row r="1316">
      <x:c r="A1316" t="str">
        <x:v>Client</x:v>
      </x:c>
      <x:c r="B1316" t="str">
        <x:f>'04_checks'!B189</x:f>
        <x:v>C008</x:v>
      </x:c>
      <x:c r="C1316" t="n">
        <x:v>9</x:v>
      </x:c>
      <x:c r="D1316" t="n">
        <x:f>IF('04_checks'!H189="ERROR",1,0)</x:f>
        <x:v>0</x:v>
      </x:c>
      <x:c r="E1316" t="str">
        <x:v>Client:9:6</x:v>
      </x:c>
      <x:c r="F1316" t="str">
        <x:v>Дата</x:v>
      </x:c>
      <x:c r="G1316" t="str">
        <x:v>Medium</x:v>
      </x:c>
      <x:c r="H1316" t="str">
        <x:v>registration_date</x:v>
      </x:c>
      <x:c r="I1316" t="str">
        <x:v>Сверить дату со срезом и исходной записью</x:v>
      </x:c>
      <x:c r="J1316" t="n">
        <x:f>IF(D1316=1,K1316,0)</x:f>
        <x:v>0</x:v>
      </x:c>
      <x:c r="K1316" t="n">
        <x:f>D1316+K1315</x:f>
        <x:v>14</x:v>
      </x:c>
    </x:row>
    <x:row r="1317">
      <x:c r="A1317" t="str">
        <x:v>Client</x:v>
      </x:c>
      <x:c r="B1317" t="str">
        <x:f>'04_checks'!B189</x:f>
        <x:v>C008</x:v>
      </x:c>
      <x:c r="C1317" t="n">
        <x:v>9</x:v>
      </x:c>
      <x:c r="D1317" t="n">
        <x:f>IF('04_checks'!I189="ERROR",1,0)</x:f>
        <x:v>0</x:v>
      </x:c>
      <x:c r="E1317" t="str">
        <x:v>Client:9:7</x:v>
      </x:c>
      <x:c r="F1317" t="str">
        <x:v>Статус</x:v>
      </x:c>
      <x:c r="G1317" t="str">
        <x:v>Medium</x:v>
      </x:c>
      <x:c r="H1317" t="str">
        <x:v>N/A</x:v>
      </x:c>
      <x:c r="I1317" t="str">
        <x:v>Выбрать допустимый статус</x:v>
      </x:c>
      <x:c r="J1317" t="n">
        <x:f>IF(D1317=1,K1317,0)</x:f>
        <x:v>0</x:v>
      </x:c>
      <x:c r="K1317" t="n">
        <x:f>D1317+K1316</x:f>
        <x:v>14</x:v>
      </x:c>
    </x:row>
    <x:row r="1318">
      <x:c r="A1318" t="str">
        <x:v>Client</x:v>
      </x:c>
      <x:c r="B1318" t="str">
        <x:f>'04_checks'!B190</x:f>
        <x:v>C009</x:v>
      </x:c>
      <x:c r="C1318" t="n">
        <x:v>10</x:v>
      </x:c>
      <x:c r="D1318" t="n">
        <x:f>IF('04_checks'!C190="ERROR",1,0)</x:f>
        <x:v>1</x:v>
      </x:c>
      <x:c r="E1318" t="str">
        <x:v>Client:10:1</x:v>
      </x:c>
      <x:c r="F1318" t="str">
        <x:v>Дубль</x:v>
      </x:c>
      <x:c r="G1318" t="str">
        <x:v>High</x:v>
      </x:c>
      <x:c r="H1318" t="str">
        <x:v>client_id</x:v>
      </x:c>
      <x:c r="I1318" t="str">
        <x:v>Проверить уникальность ID в источнике; не удалять записи автоматически</x:v>
      </x:c>
      <x:c r="J1318" t="n">
        <x:f>IF(D1318=1,K1318,0)</x:f>
        <x:v>15</x:v>
      </x:c>
      <x:c r="K1318" t="n">
        <x:f>D1318+K1317</x:f>
        <x:v>15</x:v>
      </x:c>
    </x:row>
    <x:row r="1319">
      <x:c r="A1319" t="str">
        <x:v>Client</x:v>
      </x:c>
      <x:c r="B1319" t="str">
        <x:f>'04_checks'!B190</x:f>
        <x:v>C009</x:v>
      </x:c>
      <x:c r="C1319" t="n">
        <x:v>10</x:v>
      </x:c>
      <x:c r="D1319" t="n">
        <x:f>IF('04_checks'!D190="ERROR",1,0)</x:f>
        <x:v>0</x:v>
      </x:c>
      <x:c r="E1319" t="str">
        <x:v>Client:10:2</x:v>
      </x:c>
      <x:c r="F1319" t="str">
        <x:v>Пустое поле</x:v>
      </x:c>
      <x:c r="G1319" t="str">
        <x:v>High</x:v>
      </x:c>
      <x:c r="H1319" t="str">
        <x:v>required_fields</x:v>
      </x:c>
      <x:c r="I1319" t="str">
        <x:v>Дополнить обязательные поля в источнике</x:v>
      </x:c>
      <x:c r="J1319" t="n">
        <x:f>IF(D1319=1,K1319,0)</x:f>
        <x:v>0</x:v>
      </x:c>
      <x:c r="K1319" t="n">
        <x:f>D1319+K1318</x:f>
        <x:v>15</x:v>
      </x:c>
    </x:row>
    <x:row r="1320">
      <x:c r="A1320" t="str">
        <x:v>Client</x:v>
      </x:c>
      <x:c r="B1320" t="str">
        <x:f>'04_checks'!B190</x:f>
        <x:v>C009</x:v>
      </x:c>
      <x:c r="C1320" t="n">
        <x:v>10</x:v>
      </x:c>
      <x:c r="D1320" t="n">
        <x:f>IF('04_checks'!E190="ERROR",1,0)</x:f>
        <x:v>0</x:v>
      </x:c>
      <x:c r="E1320" t="str">
        <x:v>Client:10:3</x:v>
      </x:c>
      <x:c r="F1320" t="str">
        <x:v>Нет связи</x:v>
      </x:c>
      <x:c r="G1320" t="str">
        <x:v>High</x:v>
      </x:c>
      <x:c r="H1320" t="str">
        <x:v>client_id</x:v>
      </x:c>
      <x:c r="I1320" t="str">
        <x:v>Исправить ссылку или разрешить дубли связанного ID</x:v>
      </x:c>
      <x:c r="J1320" t="n">
        <x:f>IF(D1320=1,K1320,0)</x:f>
        <x:v>0</x:v>
      </x:c>
      <x:c r="K1320" t="n">
        <x:f>D1320+K1319</x:f>
        <x:v>15</x:v>
      </x:c>
    </x:row>
    <x:row r="1321">
      <x:c r="A1321" t="str">
        <x:v>Client</x:v>
      </x:c>
      <x:c r="B1321" t="str">
        <x:f>'04_checks'!B190</x:f>
        <x:v>C009</x:v>
      </x:c>
      <x:c r="C1321" t="n">
        <x:v>10</x:v>
      </x:c>
      <x:c r="D1321" t="n">
        <x:f>IF('04_checks'!F190="ERROR",1,0)</x:f>
        <x:v>0</x:v>
      </x:c>
      <x:c r="E1321" t="str">
        <x:v>Client:10:4</x:v>
      </x:c>
      <x:c r="F1321" t="str">
        <x:v>Формат ИНН</x:v>
      </x:c>
      <x:c r="G1321" t="str">
        <x:v>High</x:v>
      </x:c>
      <x:c r="H1321" t="str">
        <x:v>inn</x:v>
      </x:c>
      <x:c r="I1321" t="str">
        <x:v>Сверить длину ИНН 10/12 цифр с источником</x:v>
      </x:c>
      <x:c r="J1321" t="n">
        <x:f>IF(D1321=1,K1321,0)</x:f>
        <x:v>0</x:v>
      </x:c>
      <x:c r="K1321" t="n">
        <x:f>D1321+K1320</x:f>
        <x:v>15</x:v>
      </x:c>
    </x:row>
    <x:row r="1322">
      <x:c r="A1322" t="str">
        <x:v>Client</x:v>
      </x:c>
      <x:c r="B1322" t="str">
        <x:f>'04_checks'!B190</x:f>
        <x:v>C009</x:v>
      </x:c>
      <x:c r="C1322" t="n">
        <x:v>10</x:v>
      </x:c>
      <x:c r="D1322" t="n">
        <x:f>IF('04_checks'!G190="ERROR",1,0)</x:f>
        <x:v>0</x:v>
      </x:c>
      <x:c r="E1322" t="str">
        <x:v>Client:10:5</x:v>
      </x:c>
      <x:c r="F1322" t="str">
        <x:v>Отрицательная цена</x:v>
      </x:c>
      <x:c r="G1322" t="str">
        <x:v>High</x:v>
      </x:c>
      <x:c r="H1322" t="str">
        <x:v>N/A</x:v>
      </x:c>
      <x:c r="I1322" t="str">
        <x:v>Проверить цену в источнике</x:v>
      </x:c>
      <x:c r="J1322" t="n">
        <x:f>IF(D1322=1,K1322,0)</x:f>
        <x:v>0</x:v>
      </x:c>
      <x:c r="K1322" t="n">
        <x:f>D1322+K1321</x:f>
        <x:v>15</x:v>
      </x:c>
    </x:row>
    <x:row r="1323">
      <x:c r="A1323" t="str">
        <x:v>Client</x:v>
      </x:c>
      <x:c r="B1323" t="str">
        <x:f>'04_checks'!B190</x:f>
        <x:v>C009</x:v>
      </x:c>
      <x:c r="C1323" t="n">
        <x:v>10</x:v>
      </x:c>
      <x:c r="D1323" t="n">
        <x:f>IF('04_checks'!H190="ERROR",1,0)</x:f>
        <x:v>0</x:v>
      </x:c>
      <x:c r="E1323" t="str">
        <x:v>Client:10:6</x:v>
      </x:c>
      <x:c r="F1323" t="str">
        <x:v>Дата</x:v>
      </x:c>
      <x:c r="G1323" t="str">
        <x:v>Medium</x:v>
      </x:c>
      <x:c r="H1323" t="str">
        <x:v>registration_date</x:v>
      </x:c>
      <x:c r="I1323" t="str">
        <x:v>Сверить дату со срезом и исходной записью</x:v>
      </x:c>
      <x:c r="J1323" t="n">
        <x:f>IF(D1323=1,K1323,0)</x:f>
        <x:v>0</x:v>
      </x:c>
      <x:c r="K1323" t="n">
        <x:f>D1323+K1322</x:f>
        <x:v>15</x:v>
      </x:c>
    </x:row>
    <x:row r="1324">
      <x:c r="A1324" t="str">
        <x:v>Client</x:v>
      </x:c>
      <x:c r="B1324" t="str">
        <x:f>'04_checks'!B190</x:f>
        <x:v>C009</x:v>
      </x:c>
      <x:c r="C1324" t="n">
        <x:v>10</x:v>
      </x:c>
      <x:c r="D1324" t="n">
        <x:f>IF('04_checks'!I190="ERROR",1,0)</x:f>
        <x:v>0</x:v>
      </x:c>
      <x:c r="E1324" t="str">
        <x:v>Client:10:7</x:v>
      </x:c>
      <x:c r="F1324" t="str">
        <x:v>Статус</x:v>
      </x:c>
      <x:c r="G1324" t="str">
        <x:v>Medium</x:v>
      </x:c>
      <x:c r="H1324" t="str">
        <x:v>N/A</x:v>
      </x:c>
      <x:c r="I1324" t="str">
        <x:v>Выбрать допустимый статус</x:v>
      </x:c>
      <x:c r="J1324" t="n">
        <x:f>IF(D1324=1,K1324,0)</x:f>
        <x:v>0</x:v>
      </x:c>
      <x:c r="K1324" t="n">
        <x:f>D1324+K1323</x:f>
        <x:v>15</x:v>
      </x:c>
    </x:row>
    <x:row r="1325">
      <x:c r="A1325" t="str">
        <x:v>Client</x:v>
      </x:c>
      <x:c r="B1325" t="str">
        <x:f>'04_checks'!B191</x:f>
        <x:v>C010</x:v>
      </x:c>
      <x:c r="C1325" t="n">
        <x:v>11</x:v>
      </x:c>
      <x:c r="D1325" t="n">
        <x:f>IF('04_checks'!C191="ERROR",1,0)</x:f>
        <x:v>0</x:v>
      </x:c>
      <x:c r="E1325" t="str">
        <x:v>Client:11:1</x:v>
      </x:c>
      <x:c r="F1325" t="str">
        <x:v>Дубль</x:v>
      </x:c>
      <x:c r="G1325" t="str">
        <x:v>High</x:v>
      </x:c>
      <x:c r="H1325" t="str">
        <x:v>client_id</x:v>
      </x:c>
      <x:c r="I1325" t="str">
        <x:v>Проверить уникальность ID в источнике; не удалять записи автоматически</x:v>
      </x:c>
      <x:c r="J1325" t="n">
        <x:f>IF(D1325=1,K1325,0)</x:f>
        <x:v>0</x:v>
      </x:c>
      <x:c r="K1325" t="n">
        <x:f>D1325+K1324</x:f>
        <x:v>15</x:v>
      </x:c>
    </x:row>
    <x:row r="1326">
      <x:c r="A1326" t="str">
        <x:v>Client</x:v>
      </x:c>
      <x:c r="B1326" t="str">
        <x:f>'04_checks'!B191</x:f>
        <x:v>C010</x:v>
      </x:c>
      <x:c r="C1326" t="n">
        <x:v>11</x:v>
      </x:c>
      <x:c r="D1326" t="n">
        <x:f>IF('04_checks'!D191="ERROR",1,0)</x:f>
        <x:v>0</x:v>
      </x:c>
      <x:c r="E1326" t="str">
        <x:v>Client:11:2</x:v>
      </x:c>
      <x:c r="F1326" t="str">
        <x:v>Пустое поле</x:v>
      </x:c>
      <x:c r="G1326" t="str">
        <x:v>High</x:v>
      </x:c>
      <x:c r="H1326" t="str">
        <x:v>required_fields</x:v>
      </x:c>
      <x:c r="I1326" t="str">
        <x:v>Дополнить обязательные поля в источнике</x:v>
      </x:c>
      <x:c r="J1326" t="n">
        <x:f>IF(D1326=1,K1326,0)</x:f>
        <x:v>0</x:v>
      </x:c>
      <x:c r="K1326" t="n">
        <x:f>D1326+K1325</x:f>
        <x:v>15</x:v>
      </x:c>
    </x:row>
    <x:row r="1327">
      <x:c r="A1327" t="str">
        <x:v>Client</x:v>
      </x:c>
      <x:c r="B1327" t="str">
        <x:f>'04_checks'!B191</x:f>
        <x:v>C010</x:v>
      </x:c>
      <x:c r="C1327" t="n">
        <x:v>11</x:v>
      </x:c>
      <x:c r="D1327" t="n">
        <x:f>IF('04_checks'!E191="ERROR",1,0)</x:f>
        <x:v>0</x:v>
      </x:c>
      <x:c r="E1327" t="str">
        <x:v>Client:11:3</x:v>
      </x:c>
      <x:c r="F1327" t="str">
        <x:v>Нет связи</x:v>
      </x:c>
      <x:c r="G1327" t="str">
        <x:v>High</x:v>
      </x:c>
      <x:c r="H1327" t="str">
        <x:v>client_id</x:v>
      </x:c>
      <x:c r="I1327" t="str">
        <x:v>Исправить ссылку или разрешить дубли связанного ID</x:v>
      </x:c>
      <x:c r="J1327" t="n">
        <x:f>IF(D1327=1,K1327,0)</x:f>
        <x:v>0</x:v>
      </x:c>
      <x:c r="K1327" t="n">
        <x:f>D1327+K1326</x:f>
        <x:v>15</x:v>
      </x:c>
    </x:row>
    <x:row r="1328">
      <x:c r="A1328" t="str">
        <x:v>Client</x:v>
      </x:c>
      <x:c r="B1328" t="str">
        <x:f>'04_checks'!B191</x:f>
        <x:v>C010</x:v>
      </x:c>
      <x:c r="C1328" t="n">
        <x:v>11</x:v>
      </x:c>
      <x:c r="D1328" t="n">
        <x:f>IF('04_checks'!F191="ERROR",1,0)</x:f>
        <x:v>0</x:v>
      </x:c>
      <x:c r="E1328" t="str">
        <x:v>Client:11:4</x:v>
      </x:c>
      <x:c r="F1328" t="str">
        <x:v>Формат ИНН</x:v>
      </x:c>
      <x:c r="G1328" t="str">
        <x:v>High</x:v>
      </x:c>
      <x:c r="H1328" t="str">
        <x:v>inn</x:v>
      </x:c>
      <x:c r="I1328" t="str">
        <x:v>Сверить длину ИНН 10/12 цифр с источником</x:v>
      </x:c>
      <x:c r="J1328" t="n">
        <x:f>IF(D1328=1,K1328,0)</x:f>
        <x:v>0</x:v>
      </x:c>
      <x:c r="K1328" t="n">
        <x:f>D1328+K1327</x:f>
        <x:v>15</x:v>
      </x:c>
    </x:row>
    <x:row r="1329">
      <x:c r="A1329" t="str">
        <x:v>Client</x:v>
      </x:c>
      <x:c r="B1329" t="str">
        <x:f>'04_checks'!B191</x:f>
        <x:v>C010</x:v>
      </x:c>
      <x:c r="C1329" t="n">
        <x:v>11</x:v>
      </x:c>
      <x:c r="D1329" t="n">
        <x:f>IF('04_checks'!G191="ERROR",1,0)</x:f>
        <x:v>0</x:v>
      </x:c>
      <x:c r="E1329" t="str">
        <x:v>Client:11:5</x:v>
      </x:c>
      <x:c r="F1329" t="str">
        <x:v>Отрицательная цена</x:v>
      </x:c>
      <x:c r="G1329" t="str">
        <x:v>High</x:v>
      </x:c>
      <x:c r="H1329" t="str">
        <x:v>N/A</x:v>
      </x:c>
      <x:c r="I1329" t="str">
        <x:v>Проверить цену в источнике</x:v>
      </x:c>
      <x:c r="J1329" t="n">
        <x:f>IF(D1329=1,K1329,0)</x:f>
        <x:v>0</x:v>
      </x:c>
      <x:c r="K1329" t="n">
        <x:f>D1329+K1328</x:f>
        <x:v>15</x:v>
      </x:c>
    </x:row>
    <x:row r="1330">
      <x:c r="A1330" t="str">
        <x:v>Client</x:v>
      </x:c>
      <x:c r="B1330" t="str">
        <x:f>'04_checks'!B191</x:f>
        <x:v>C010</x:v>
      </x:c>
      <x:c r="C1330" t="n">
        <x:v>11</x:v>
      </x:c>
      <x:c r="D1330" t="n">
        <x:f>IF('04_checks'!H191="ERROR",1,0)</x:f>
        <x:v>0</x:v>
      </x:c>
      <x:c r="E1330" t="str">
        <x:v>Client:11:6</x:v>
      </x:c>
      <x:c r="F1330" t="str">
        <x:v>Дата</x:v>
      </x:c>
      <x:c r="G1330" t="str">
        <x:v>Medium</x:v>
      </x:c>
      <x:c r="H1330" t="str">
        <x:v>registration_date</x:v>
      </x:c>
      <x:c r="I1330" t="str">
        <x:v>Сверить дату со срезом и исходной записью</x:v>
      </x:c>
      <x:c r="J1330" t="n">
        <x:f>IF(D1330=1,K1330,0)</x:f>
        <x:v>0</x:v>
      </x:c>
      <x:c r="K1330" t="n">
        <x:f>D1330+K1329</x:f>
        <x:v>15</x:v>
      </x:c>
    </x:row>
    <x:row r="1331">
      <x:c r="A1331" t="str">
        <x:v>Client</x:v>
      </x:c>
      <x:c r="B1331" t="str">
        <x:f>'04_checks'!B191</x:f>
        <x:v>C010</x:v>
      </x:c>
      <x:c r="C1331" t="n">
        <x:v>11</x:v>
      </x:c>
      <x:c r="D1331" t="n">
        <x:f>IF('04_checks'!I191="ERROR",1,0)</x:f>
        <x:v>0</x:v>
      </x:c>
      <x:c r="E1331" t="str">
        <x:v>Client:11:7</x:v>
      </x:c>
      <x:c r="F1331" t="str">
        <x:v>Статус</x:v>
      </x:c>
      <x:c r="G1331" t="str">
        <x:v>Medium</x:v>
      </x:c>
      <x:c r="H1331" t="str">
        <x:v>N/A</x:v>
      </x:c>
      <x:c r="I1331" t="str">
        <x:v>Выбрать допустимый статус</x:v>
      </x:c>
      <x:c r="J1331" t="n">
        <x:f>IF(D1331=1,K1331,0)</x:f>
        <x:v>0</x:v>
      </x:c>
      <x:c r="K1331" t="n">
        <x:f>D1331+K1330</x:f>
        <x:v>15</x:v>
      </x:c>
    </x:row>
    <x:row r="1332">
      <x:c r="A1332" t="str">
        <x:v>Client</x:v>
      </x:c>
      <x:c r="B1332" t="str">
        <x:f>'04_checks'!B192</x:f>
        <x:v>C011</x:v>
      </x:c>
      <x:c r="C1332" t="n">
        <x:v>12</x:v>
      </x:c>
      <x:c r="D1332" t="n">
        <x:f>IF('04_checks'!C192="ERROR",1,0)</x:f>
        <x:v>0</x:v>
      </x:c>
      <x:c r="E1332" t="str">
        <x:v>Client:12:1</x:v>
      </x:c>
      <x:c r="F1332" t="str">
        <x:v>Дубль</x:v>
      </x:c>
      <x:c r="G1332" t="str">
        <x:v>High</x:v>
      </x:c>
      <x:c r="H1332" t="str">
        <x:v>client_id</x:v>
      </x:c>
      <x:c r="I1332" t="str">
        <x:v>Проверить уникальность ID в источнике; не удалять записи автоматически</x:v>
      </x:c>
      <x:c r="J1332" t="n">
        <x:f>IF(D1332=1,K1332,0)</x:f>
        <x:v>0</x:v>
      </x:c>
      <x:c r="K1332" t="n">
        <x:f>D1332+K1331</x:f>
        <x:v>15</x:v>
      </x:c>
    </x:row>
    <x:row r="1333">
      <x:c r="A1333" t="str">
        <x:v>Client</x:v>
      </x:c>
      <x:c r="B1333" t="str">
        <x:f>'04_checks'!B192</x:f>
        <x:v>C011</x:v>
      </x:c>
      <x:c r="C1333" t="n">
        <x:v>12</x:v>
      </x:c>
      <x:c r="D1333" t="n">
        <x:f>IF('04_checks'!D192="ERROR",1,0)</x:f>
        <x:v>0</x:v>
      </x:c>
      <x:c r="E1333" t="str">
        <x:v>Client:12:2</x:v>
      </x:c>
      <x:c r="F1333" t="str">
        <x:v>Пустое поле</x:v>
      </x:c>
      <x:c r="G1333" t="str">
        <x:v>High</x:v>
      </x:c>
      <x:c r="H1333" t="str">
        <x:v>required_fields</x:v>
      </x:c>
      <x:c r="I1333" t="str">
        <x:v>Дополнить обязательные поля в источнике</x:v>
      </x:c>
      <x:c r="J1333" t="n">
        <x:f>IF(D1333=1,K1333,0)</x:f>
        <x:v>0</x:v>
      </x:c>
      <x:c r="K1333" t="n">
        <x:f>D1333+K1332</x:f>
        <x:v>15</x:v>
      </x:c>
    </x:row>
    <x:row r="1334">
      <x:c r="A1334" t="str">
        <x:v>Client</x:v>
      </x:c>
      <x:c r="B1334" t="str">
        <x:f>'04_checks'!B192</x:f>
        <x:v>C011</x:v>
      </x:c>
      <x:c r="C1334" t="n">
        <x:v>12</x:v>
      </x:c>
      <x:c r="D1334" t="n">
        <x:f>IF('04_checks'!E192="ERROR",1,0)</x:f>
        <x:v>0</x:v>
      </x:c>
      <x:c r="E1334" t="str">
        <x:v>Client:12:3</x:v>
      </x:c>
      <x:c r="F1334" t="str">
        <x:v>Нет связи</x:v>
      </x:c>
      <x:c r="G1334" t="str">
        <x:v>High</x:v>
      </x:c>
      <x:c r="H1334" t="str">
        <x:v>client_id</x:v>
      </x:c>
      <x:c r="I1334" t="str">
        <x:v>Исправить ссылку или разрешить дубли связанного ID</x:v>
      </x:c>
      <x:c r="J1334" t="n">
        <x:f>IF(D1334=1,K1334,0)</x:f>
        <x:v>0</x:v>
      </x:c>
      <x:c r="K1334" t="n">
        <x:f>D1334+K1333</x:f>
        <x:v>15</x:v>
      </x:c>
    </x:row>
    <x:row r="1335">
      <x:c r="A1335" t="str">
        <x:v>Client</x:v>
      </x:c>
      <x:c r="B1335" t="str">
        <x:f>'04_checks'!B192</x:f>
        <x:v>C011</x:v>
      </x:c>
      <x:c r="C1335" t="n">
        <x:v>12</x:v>
      </x:c>
      <x:c r="D1335" t="n">
        <x:f>IF('04_checks'!F192="ERROR",1,0)</x:f>
        <x:v>0</x:v>
      </x:c>
      <x:c r="E1335" t="str">
        <x:v>Client:12:4</x:v>
      </x:c>
      <x:c r="F1335" t="str">
        <x:v>Формат ИНН</x:v>
      </x:c>
      <x:c r="G1335" t="str">
        <x:v>High</x:v>
      </x:c>
      <x:c r="H1335" t="str">
        <x:v>inn</x:v>
      </x:c>
      <x:c r="I1335" t="str">
        <x:v>Сверить длину ИНН 10/12 цифр с источником</x:v>
      </x:c>
      <x:c r="J1335" t="n">
        <x:f>IF(D1335=1,K1335,0)</x:f>
        <x:v>0</x:v>
      </x:c>
      <x:c r="K1335" t="n">
        <x:f>D1335+K1334</x:f>
        <x:v>15</x:v>
      </x:c>
    </x:row>
    <x:row r="1336">
      <x:c r="A1336" t="str">
        <x:v>Client</x:v>
      </x:c>
      <x:c r="B1336" t="str">
        <x:f>'04_checks'!B192</x:f>
        <x:v>C011</x:v>
      </x:c>
      <x:c r="C1336" t="n">
        <x:v>12</x:v>
      </x:c>
      <x:c r="D1336" t="n">
        <x:f>IF('04_checks'!G192="ERROR",1,0)</x:f>
        <x:v>0</x:v>
      </x:c>
      <x:c r="E1336" t="str">
        <x:v>Client:12:5</x:v>
      </x:c>
      <x:c r="F1336" t="str">
        <x:v>Отрицательная цена</x:v>
      </x:c>
      <x:c r="G1336" t="str">
        <x:v>High</x:v>
      </x:c>
      <x:c r="H1336" t="str">
        <x:v>N/A</x:v>
      </x:c>
      <x:c r="I1336" t="str">
        <x:v>Проверить цену в источнике</x:v>
      </x:c>
      <x:c r="J1336" t="n">
        <x:f>IF(D1336=1,K1336,0)</x:f>
        <x:v>0</x:v>
      </x:c>
      <x:c r="K1336" t="n">
        <x:f>D1336+K1335</x:f>
        <x:v>15</x:v>
      </x:c>
    </x:row>
    <x:row r="1337">
      <x:c r="A1337" t="str">
        <x:v>Client</x:v>
      </x:c>
      <x:c r="B1337" t="str">
        <x:f>'04_checks'!B192</x:f>
        <x:v>C011</x:v>
      </x:c>
      <x:c r="C1337" t="n">
        <x:v>12</x:v>
      </x:c>
      <x:c r="D1337" t="n">
        <x:f>IF('04_checks'!H192="ERROR",1,0)</x:f>
        <x:v>0</x:v>
      </x:c>
      <x:c r="E1337" t="str">
        <x:v>Client:12:6</x:v>
      </x:c>
      <x:c r="F1337" t="str">
        <x:v>Дата</x:v>
      </x:c>
      <x:c r="G1337" t="str">
        <x:v>Medium</x:v>
      </x:c>
      <x:c r="H1337" t="str">
        <x:v>registration_date</x:v>
      </x:c>
      <x:c r="I1337" t="str">
        <x:v>Сверить дату со срезом и исходной записью</x:v>
      </x:c>
      <x:c r="J1337" t="n">
        <x:f>IF(D1337=1,K1337,0)</x:f>
        <x:v>0</x:v>
      </x:c>
      <x:c r="K1337" t="n">
        <x:f>D1337+K1336</x:f>
        <x:v>15</x:v>
      </x:c>
    </x:row>
    <x:row r="1338">
      <x:c r="A1338" t="str">
        <x:v>Client</x:v>
      </x:c>
      <x:c r="B1338" t="str">
        <x:f>'04_checks'!B192</x:f>
        <x:v>C011</x:v>
      </x:c>
      <x:c r="C1338" t="n">
        <x:v>12</x:v>
      </x:c>
      <x:c r="D1338" t="n">
        <x:f>IF('04_checks'!I192="ERROR",1,0)</x:f>
        <x:v>0</x:v>
      </x:c>
      <x:c r="E1338" t="str">
        <x:v>Client:12:7</x:v>
      </x:c>
      <x:c r="F1338" t="str">
        <x:v>Статус</x:v>
      </x:c>
      <x:c r="G1338" t="str">
        <x:v>Medium</x:v>
      </x:c>
      <x:c r="H1338" t="str">
        <x:v>N/A</x:v>
      </x:c>
      <x:c r="I1338" t="str">
        <x:v>Выбрать допустимый статус</x:v>
      </x:c>
      <x:c r="J1338" t="n">
        <x:f>IF(D1338=1,K1338,0)</x:f>
        <x:v>0</x:v>
      </x:c>
      <x:c r="K1338" t="n">
        <x:f>D1338+K1337</x:f>
        <x:v>15</x:v>
      </x:c>
    </x:row>
    <x:row r="1339">
      <x:c r="A1339" t="str">
        <x:v>Client</x:v>
      </x:c>
      <x:c r="B1339" t="str">
        <x:f>'04_checks'!B193</x:f>
        <x:v>C012</x:v>
      </x:c>
      <x:c r="C1339" t="n">
        <x:v>13</x:v>
      </x:c>
      <x:c r="D1339" t="n">
        <x:f>IF('04_checks'!C193="ERROR",1,0)</x:f>
        <x:v>0</x:v>
      </x:c>
      <x:c r="E1339" t="str">
        <x:v>Client:13:1</x:v>
      </x:c>
      <x:c r="F1339" t="str">
        <x:v>Дубль</x:v>
      </x:c>
      <x:c r="G1339" t="str">
        <x:v>High</x:v>
      </x:c>
      <x:c r="H1339" t="str">
        <x:v>client_id</x:v>
      </x:c>
      <x:c r="I1339" t="str">
        <x:v>Проверить уникальность ID в источнике; не удалять записи автоматически</x:v>
      </x:c>
      <x:c r="J1339" t="n">
        <x:f>IF(D1339=1,K1339,0)</x:f>
        <x:v>0</x:v>
      </x:c>
      <x:c r="K1339" t="n">
        <x:f>D1339+K1338</x:f>
        <x:v>15</x:v>
      </x:c>
    </x:row>
    <x:row r="1340">
      <x:c r="A1340" t="str">
        <x:v>Client</x:v>
      </x:c>
      <x:c r="B1340" t="str">
        <x:f>'04_checks'!B193</x:f>
        <x:v>C012</x:v>
      </x:c>
      <x:c r="C1340" t="n">
        <x:v>13</x:v>
      </x:c>
      <x:c r="D1340" t="n">
        <x:f>IF('04_checks'!D193="ERROR",1,0)</x:f>
        <x:v>0</x:v>
      </x:c>
      <x:c r="E1340" t="str">
        <x:v>Client:13:2</x:v>
      </x:c>
      <x:c r="F1340" t="str">
        <x:v>Пустое поле</x:v>
      </x:c>
      <x:c r="G1340" t="str">
        <x:v>High</x:v>
      </x:c>
      <x:c r="H1340" t="str">
        <x:v>required_fields</x:v>
      </x:c>
      <x:c r="I1340" t="str">
        <x:v>Дополнить обязательные поля в источнике</x:v>
      </x:c>
      <x:c r="J1340" t="n">
        <x:f>IF(D1340=1,K1340,0)</x:f>
        <x:v>0</x:v>
      </x:c>
      <x:c r="K1340" t="n">
        <x:f>D1340+K1339</x:f>
        <x:v>15</x:v>
      </x:c>
    </x:row>
    <x:row r="1341">
      <x:c r="A1341" t="str">
        <x:v>Client</x:v>
      </x:c>
      <x:c r="B1341" t="str">
        <x:f>'04_checks'!B193</x:f>
        <x:v>C012</x:v>
      </x:c>
      <x:c r="C1341" t="n">
        <x:v>13</x:v>
      </x:c>
      <x:c r="D1341" t="n">
        <x:f>IF('04_checks'!E193="ERROR",1,0)</x:f>
        <x:v>0</x:v>
      </x:c>
      <x:c r="E1341" t="str">
        <x:v>Client:13:3</x:v>
      </x:c>
      <x:c r="F1341" t="str">
        <x:v>Нет связи</x:v>
      </x:c>
      <x:c r="G1341" t="str">
        <x:v>High</x:v>
      </x:c>
      <x:c r="H1341" t="str">
        <x:v>client_id</x:v>
      </x:c>
      <x:c r="I1341" t="str">
        <x:v>Исправить ссылку или разрешить дубли связанного ID</x:v>
      </x:c>
      <x:c r="J1341" t="n">
        <x:f>IF(D1341=1,K1341,0)</x:f>
        <x:v>0</x:v>
      </x:c>
      <x:c r="K1341" t="n">
        <x:f>D1341+K1340</x:f>
        <x:v>15</x:v>
      </x:c>
    </x:row>
    <x:row r="1342">
      <x:c r="A1342" t="str">
        <x:v>Client</x:v>
      </x:c>
      <x:c r="B1342" t="str">
        <x:f>'04_checks'!B193</x:f>
        <x:v>C012</x:v>
      </x:c>
      <x:c r="C1342" t="n">
        <x:v>13</x:v>
      </x:c>
      <x:c r="D1342" t="n">
        <x:f>IF('04_checks'!F193="ERROR",1,0)</x:f>
        <x:v>1</x:v>
      </x:c>
      <x:c r="E1342" t="str">
        <x:v>Client:13:4</x:v>
      </x:c>
      <x:c r="F1342" t="str">
        <x:v>Формат ИНН</x:v>
      </x:c>
      <x:c r="G1342" t="str">
        <x:v>High</x:v>
      </x:c>
      <x:c r="H1342" t="str">
        <x:v>inn</x:v>
      </x:c>
      <x:c r="I1342" t="str">
        <x:v>Сверить длину ИНН 10/12 цифр с источником</x:v>
      </x:c>
      <x:c r="J1342" t="n">
        <x:f>IF(D1342=1,K1342,0)</x:f>
        <x:v>16</x:v>
      </x:c>
      <x:c r="K1342" t="n">
        <x:f>D1342+K1341</x:f>
        <x:v>16</x:v>
      </x:c>
    </x:row>
    <x:row r="1343">
      <x:c r="A1343" t="str">
        <x:v>Client</x:v>
      </x:c>
      <x:c r="B1343" t="str">
        <x:f>'04_checks'!B193</x:f>
        <x:v>C012</x:v>
      </x:c>
      <x:c r="C1343" t="n">
        <x:v>13</x:v>
      </x:c>
      <x:c r="D1343" t="n">
        <x:f>IF('04_checks'!G193="ERROR",1,0)</x:f>
        <x:v>0</x:v>
      </x:c>
      <x:c r="E1343" t="str">
        <x:v>Client:13:5</x:v>
      </x:c>
      <x:c r="F1343" t="str">
        <x:v>Отрицательная цена</x:v>
      </x:c>
      <x:c r="G1343" t="str">
        <x:v>High</x:v>
      </x:c>
      <x:c r="H1343" t="str">
        <x:v>N/A</x:v>
      </x:c>
      <x:c r="I1343" t="str">
        <x:v>Проверить цену в источнике</x:v>
      </x:c>
      <x:c r="J1343" t="n">
        <x:f>IF(D1343=1,K1343,0)</x:f>
        <x:v>0</x:v>
      </x:c>
      <x:c r="K1343" t="n">
        <x:f>D1343+K1342</x:f>
        <x:v>16</x:v>
      </x:c>
    </x:row>
    <x:row r="1344">
      <x:c r="A1344" t="str">
        <x:v>Client</x:v>
      </x:c>
      <x:c r="B1344" t="str">
        <x:f>'04_checks'!B193</x:f>
        <x:v>C012</x:v>
      </x:c>
      <x:c r="C1344" t="n">
        <x:v>13</x:v>
      </x:c>
      <x:c r="D1344" t="n">
        <x:f>IF('04_checks'!H193="ERROR",1,0)</x:f>
        <x:v>0</x:v>
      </x:c>
      <x:c r="E1344" t="str">
        <x:v>Client:13:6</x:v>
      </x:c>
      <x:c r="F1344" t="str">
        <x:v>Дата</x:v>
      </x:c>
      <x:c r="G1344" t="str">
        <x:v>Medium</x:v>
      </x:c>
      <x:c r="H1344" t="str">
        <x:v>registration_date</x:v>
      </x:c>
      <x:c r="I1344" t="str">
        <x:v>Сверить дату со срезом и исходной записью</x:v>
      </x:c>
      <x:c r="J1344" t="n">
        <x:f>IF(D1344=1,K1344,0)</x:f>
        <x:v>0</x:v>
      </x:c>
      <x:c r="K1344" t="n">
        <x:f>D1344+K1343</x:f>
        <x:v>16</x:v>
      </x:c>
    </x:row>
    <x:row r="1345">
      <x:c r="A1345" t="str">
        <x:v>Client</x:v>
      </x:c>
      <x:c r="B1345" t="str">
        <x:f>'04_checks'!B193</x:f>
        <x:v>C012</x:v>
      </x:c>
      <x:c r="C1345" t="n">
        <x:v>13</x:v>
      </x:c>
      <x:c r="D1345" t="n">
        <x:f>IF('04_checks'!I193="ERROR",1,0)</x:f>
        <x:v>0</x:v>
      </x:c>
      <x:c r="E1345" t="str">
        <x:v>Client:13:7</x:v>
      </x:c>
      <x:c r="F1345" t="str">
        <x:v>Статус</x:v>
      </x:c>
      <x:c r="G1345" t="str">
        <x:v>Medium</x:v>
      </x:c>
      <x:c r="H1345" t="str">
        <x:v>N/A</x:v>
      </x:c>
      <x:c r="I1345" t="str">
        <x:v>Выбрать допустимый статус</x:v>
      </x:c>
      <x:c r="J1345" t="n">
        <x:f>IF(D1345=1,K1345,0)</x:f>
        <x:v>0</x:v>
      </x:c>
      <x:c r="K1345" t="n">
        <x:f>D1345+K1344</x:f>
        <x:v>16</x:v>
      </x:c>
    </x:row>
    <x:row r="1346">
      <x:c r="A1346" t="str">
        <x:v>Client</x:v>
      </x:c>
      <x:c r="B1346" t="str">
        <x:f>'04_checks'!B194</x:f>
        <x:v>C013</x:v>
      </x:c>
      <x:c r="C1346" t="n">
        <x:v>14</x:v>
      </x:c>
      <x:c r="D1346" t="n">
        <x:f>IF('04_checks'!C194="ERROR",1,0)</x:f>
        <x:v>0</x:v>
      </x:c>
      <x:c r="E1346" t="str">
        <x:v>Client:14:1</x:v>
      </x:c>
      <x:c r="F1346" t="str">
        <x:v>Дубль</x:v>
      </x:c>
      <x:c r="G1346" t="str">
        <x:v>High</x:v>
      </x:c>
      <x:c r="H1346" t="str">
        <x:v>client_id</x:v>
      </x:c>
      <x:c r="I1346" t="str">
        <x:v>Проверить уникальность ID в источнике; не удалять записи автоматически</x:v>
      </x:c>
      <x:c r="J1346" t="n">
        <x:f>IF(D1346=1,K1346,0)</x:f>
        <x:v>0</x:v>
      </x:c>
      <x:c r="K1346" t="n">
        <x:f>D1346+K1345</x:f>
        <x:v>16</x:v>
      </x:c>
    </x:row>
    <x:row r="1347">
      <x:c r="A1347" t="str">
        <x:v>Client</x:v>
      </x:c>
      <x:c r="B1347" t="str">
        <x:f>'04_checks'!B194</x:f>
        <x:v>C013</x:v>
      </x:c>
      <x:c r="C1347" t="n">
        <x:v>14</x:v>
      </x:c>
      <x:c r="D1347" t="n">
        <x:f>IF('04_checks'!D194="ERROR",1,0)</x:f>
        <x:v>0</x:v>
      </x:c>
      <x:c r="E1347" t="str">
        <x:v>Client:14:2</x:v>
      </x:c>
      <x:c r="F1347" t="str">
        <x:v>Пустое поле</x:v>
      </x:c>
      <x:c r="G1347" t="str">
        <x:v>High</x:v>
      </x:c>
      <x:c r="H1347" t="str">
        <x:v>required_fields</x:v>
      </x:c>
      <x:c r="I1347" t="str">
        <x:v>Дополнить обязательные поля в источнике</x:v>
      </x:c>
      <x:c r="J1347" t="n">
        <x:f>IF(D1347=1,K1347,0)</x:f>
        <x:v>0</x:v>
      </x:c>
      <x:c r="K1347" t="n">
        <x:f>D1347+K1346</x:f>
        <x:v>16</x:v>
      </x:c>
    </x:row>
    <x:row r="1348">
      <x:c r="A1348" t="str">
        <x:v>Client</x:v>
      </x:c>
      <x:c r="B1348" t="str">
        <x:f>'04_checks'!B194</x:f>
        <x:v>C013</x:v>
      </x:c>
      <x:c r="C1348" t="n">
        <x:v>14</x:v>
      </x:c>
      <x:c r="D1348" t="n">
        <x:f>IF('04_checks'!E194="ERROR",1,0)</x:f>
        <x:v>0</x:v>
      </x:c>
      <x:c r="E1348" t="str">
        <x:v>Client:14:3</x:v>
      </x:c>
      <x:c r="F1348" t="str">
        <x:v>Нет связи</x:v>
      </x:c>
      <x:c r="G1348" t="str">
        <x:v>High</x:v>
      </x:c>
      <x:c r="H1348" t="str">
        <x:v>client_id</x:v>
      </x:c>
      <x:c r="I1348" t="str">
        <x:v>Исправить ссылку или разрешить дубли связанного ID</x:v>
      </x:c>
      <x:c r="J1348" t="n">
        <x:f>IF(D1348=1,K1348,0)</x:f>
        <x:v>0</x:v>
      </x:c>
      <x:c r="K1348" t="n">
        <x:f>D1348+K1347</x:f>
        <x:v>16</x:v>
      </x:c>
    </x:row>
    <x:row r="1349">
      <x:c r="A1349" t="str">
        <x:v>Client</x:v>
      </x:c>
      <x:c r="B1349" t="str">
        <x:f>'04_checks'!B194</x:f>
        <x:v>C013</x:v>
      </x:c>
      <x:c r="C1349" t="n">
        <x:v>14</x:v>
      </x:c>
      <x:c r="D1349" t="n">
        <x:f>IF('04_checks'!F194="ERROR",1,0)</x:f>
        <x:v>0</x:v>
      </x:c>
      <x:c r="E1349" t="str">
        <x:v>Client:14:4</x:v>
      </x:c>
      <x:c r="F1349" t="str">
        <x:v>Формат ИНН</x:v>
      </x:c>
      <x:c r="G1349" t="str">
        <x:v>High</x:v>
      </x:c>
      <x:c r="H1349" t="str">
        <x:v>inn</x:v>
      </x:c>
      <x:c r="I1349" t="str">
        <x:v>Сверить длину ИНН 10/12 цифр с источником</x:v>
      </x:c>
      <x:c r="J1349" t="n">
        <x:f>IF(D1349=1,K1349,0)</x:f>
        <x:v>0</x:v>
      </x:c>
      <x:c r="K1349" t="n">
        <x:f>D1349+K1348</x:f>
        <x:v>16</x:v>
      </x:c>
    </x:row>
    <x:row r="1350">
      <x:c r="A1350" t="str">
        <x:v>Client</x:v>
      </x:c>
      <x:c r="B1350" t="str">
        <x:f>'04_checks'!B194</x:f>
        <x:v>C013</x:v>
      </x:c>
      <x:c r="C1350" t="n">
        <x:v>14</x:v>
      </x:c>
      <x:c r="D1350" t="n">
        <x:f>IF('04_checks'!G194="ERROR",1,0)</x:f>
        <x:v>0</x:v>
      </x:c>
      <x:c r="E1350" t="str">
        <x:v>Client:14:5</x:v>
      </x:c>
      <x:c r="F1350" t="str">
        <x:v>Отрицательная цена</x:v>
      </x:c>
      <x:c r="G1350" t="str">
        <x:v>High</x:v>
      </x:c>
      <x:c r="H1350" t="str">
        <x:v>N/A</x:v>
      </x:c>
      <x:c r="I1350" t="str">
        <x:v>Проверить цену в источнике</x:v>
      </x:c>
      <x:c r="J1350" t="n">
        <x:f>IF(D1350=1,K1350,0)</x:f>
        <x:v>0</x:v>
      </x:c>
      <x:c r="K1350" t="n">
        <x:f>D1350+K1349</x:f>
        <x:v>16</x:v>
      </x:c>
    </x:row>
    <x:row r="1351">
      <x:c r="A1351" t="str">
        <x:v>Client</x:v>
      </x:c>
      <x:c r="B1351" t="str">
        <x:f>'04_checks'!B194</x:f>
        <x:v>C013</x:v>
      </x:c>
      <x:c r="C1351" t="n">
        <x:v>14</x:v>
      </x:c>
      <x:c r="D1351" t="n">
        <x:f>IF('04_checks'!H194="ERROR",1,0)</x:f>
        <x:v>0</x:v>
      </x:c>
      <x:c r="E1351" t="str">
        <x:v>Client:14:6</x:v>
      </x:c>
      <x:c r="F1351" t="str">
        <x:v>Дата</x:v>
      </x:c>
      <x:c r="G1351" t="str">
        <x:v>Medium</x:v>
      </x:c>
      <x:c r="H1351" t="str">
        <x:v>registration_date</x:v>
      </x:c>
      <x:c r="I1351" t="str">
        <x:v>Сверить дату со срезом и исходной записью</x:v>
      </x:c>
      <x:c r="J1351" t="n">
        <x:f>IF(D1351=1,K1351,0)</x:f>
        <x:v>0</x:v>
      </x:c>
      <x:c r="K1351" t="n">
        <x:f>D1351+K1350</x:f>
        <x:v>16</x:v>
      </x:c>
    </x:row>
    <x:row r="1352">
      <x:c r="A1352" t="str">
        <x:v>Client</x:v>
      </x:c>
      <x:c r="B1352" t="str">
        <x:f>'04_checks'!B194</x:f>
        <x:v>C013</x:v>
      </x:c>
      <x:c r="C1352" t="n">
        <x:v>14</x:v>
      </x:c>
      <x:c r="D1352" t="n">
        <x:f>IF('04_checks'!I194="ERROR",1,0)</x:f>
        <x:v>0</x:v>
      </x:c>
      <x:c r="E1352" t="str">
        <x:v>Client:14:7</x:v>
      </x:c>
      <x:c r="F1352" t="str">
        <x:v>Статус</x:v>
      </x:c>
      <x:c r="G1352" t="str">
        <x:v>Medium</x:v>
      </x:c>
      <x:c r="H1352" t="str">
        <x:v>N/A</x:v>
      </x:c>
      <x:c r="I1352" t="str">
        <x:v>Выбрать допустимый статус</x:v>
      </x:c>
      <x:c r="J1352" t="n">
        <x:f>IF(D1352=1,K1352,0)</x:f>
        <x:v>0</x:v>
      </x:c>
      <x:c r="K1352" t="n">
        <x:f>D1352+K1351</x:f>
        <x:v>16</x:v>
      </x:c>
    </x:row>
    <x:row r="1353">
      <x:c r="A1353" t="str">
        <x:v>Client</x:v>
      </x:c>
      <x:c r="B1353" t="str">
        <x:f>'04_checks'!B195</x:f>
        <x:v>C014</x:v>
      </x:c>
      <x:c r="C1353" t="n">
        <x:v>15</x:v>
      </x:c>
      <x:c r="D1353" t="n">
        <x:f>IF('04_checks'!C195="ERROR",1,0)</x:f>
        <x:v>0</x:v>
      </x:c>
      <x:c r="E1353" t="str">
        <x:v>Client:15:1</x:v>
      </x:c>
      <x:c r="F1353" t="str">
        <x:v>Дубль</x:v>
      </x:c>
      <x:c r="G1353" t="str">
        <x:v>High</x:v>
      </x:c>
      <x:c r="H1353" t="str">
        <x:v>client_id</x:v>
      </x:c>
      <x:c r="I1353" t="str">
        <x:v>Проверить уникальность ID в источнике; не удалять записи автоматически</x:v>
      </x:c>
      <x:c r="J1353" t="n">
        <x:f>IF(D1353=1,K1353,0)</x:f>
        <x:v>0</x:v>
      </x:c>
      <x:c r="K1353" t="n">
        <x:f>D1353+K1352</x:f>
        <x:v>16</x:v>
      </x:c>
    </x:row>
    <x:row r="1354">
      <x:c r="A1354" t="str">
        <x:v>Client</x:v>
      </x:c>
      <x:c r="B1354" t="str">
        <x:f>'04_checks'!B195</x:f>
        <x:v>C014</x:v>
      </x:c>
      <x:c r="C1354" t="n">
        <x:v>15</x:v>
      </x:c>
      <x:c r="D1354" t="n">
        <x:f>IF('04_checks'!D195="ERROR",1,0)</x:f>
        <x:v>0</x:v>
      </x:c>
      <x:c r="E1354" t="str">
        <x:v>Client:15:2</x:v>
      </x:c>
      <x:c r="F1354" t="str">
        <x:v>Пустое поле</x:v>
      </x:c>
      <x:c r="G1354" t="str">
        <x:v>High</x:v>
      </x:c>
      <x:c r="H1354" t="str">
        <x:v>required_fields</x:v>
      </x:c>
      <x:c r="I1354" t="str">
        <x:v>Дополнить обязательные поля в источнике</x:v>
      </x:c>
      <x:c r="J1354" t="n">
        <x:f>IF(D1354=1,K1354,0)</x:f>
        <x:v>0</x:v>
      </x:c>
      <x:c r="K1354" t="n">
        <x:f>D1354+K1353</x:f>
        <x:v>16</x:v>
      </x:c>
    </x:row>
    <x:row r="1355">
      <x:c r="A1355" t="str">
        <x:v>Client</x:v>
      </x:c>
      <x:c r="B1355" t="str">
        <x:f>'04_checks'!B195</x:f>
        <x:v>C014</x:v>
      </x:c>
      <x:c r="C1355" t="n">
        <x:v>15</x:v>
      </x:c>
      <x:c r="D1355" t="n">
        <x:f>IF('04_checks'!E195="ERROR",1,0)</x:f>
        <x:v>0</x:v>
      </x:c>
      <x:c r="E1355" t="str">
        <x:v>Client:15:3</x:v>
      </x:c>
      <x:c r="F1355" t="str">
        <x:v>Нет связи</x:v>
      </x:c>
      <x:c r="G1355" t="str">
        <x:v>High</x:v>
      </x:c>
      <x:c r="H1355" t="str">
        <x:v>client_id</x:v>
      </x:c>
      <x:c r="I1355" t="str">
        <x:v>Исправить ссылку или разрешить дубли связанного ID</x:v>
      </x:c>
      <x:c r="J1355" t="n">
        <x:f>IF(D1355=1,K1355,0)</x:f>
        <x:v>0</x:v>
      </x:c>
      <x:c r="K1355" t="n">
        <x:f>D1355+K1354</x:f>
        <x:v>16</x:v>
      </x:c>
    </x:row>
    <x:row r="1356">
      <x:c r="A1356" t="str">
        <x:v>Client</x:v>
      </x:c>
      <x:c r="B1356" t="str">
        <x:f>'04_checks'!B195</x:f>
        <x:v>C014</x:v>
      </x:c>
      <x:c r="C1356" t="n">
        <x:v>15</x:v>
      </x:c>
      <x:c r="D1356" t="n">
        <x:f>IF('04_checks'!F195="ERROR",1,0)</x:f>
        <x:v>0</x:v>
      </x:c>
      <x:c r="E1356" t="str">
        <x:v>Client:15:4</x:v>
      </x:c>
      <x:c r="F1356" t="str">
        <x:v>Формат ИНН</x:v>
      </x:c>
      <x:c r="G1356" t="str">
        <x:v>High</x:v>
      </x:c>
      <x:c r="H1356" t="str">
        <x:v>inn</x:v>
      </x:c>
      <x:c r="I1356" t="str">
        <x:v>Сверить длину ИНН 10/12 цифр с источником</x:v>
      </x:c>
      <x:c r="J1356" t="n">
        <x:f>IF(D1356=1,K1356,0)</x:f>
        <x:v>0</x:v>
      </x:c>
      <x:c r="K1356" t="n">
        <x:f>D1356+K1355</x:f>
        <x:v>16</x:v>
      </x:c>
    </x:row>
    <x:row r="1357">
      <x:c r="A1357" t="str">
        <x:v>Client</x:v>
      </x:c>
      <x:c r="B1357" t="str">
        <x:f>'04_checks'!B195</x:f>
        <x:v>C014</x:v>
      </x:c>
      <x:c r="C1357" t="n">
        <x:v>15</x:v>
      </x:c>
      <x:c r="D1357" t="n">
        <x:f>IF('04_checks'!G195="ERROR",1,0)</x:f>
        <x:v>0</x:v>
      </x:c>
      <x:c r="E1357" t="str">
        <x:v>Client:15:5</x:v>
      </x:c>
      <x:c r="F1357" t="str">
        <x:v>Отрицательная цена</x:v>
      </x:c>
      <x:c r="G1357" t="str">
        <x:v>High</x:v>
      </x:c>
      <x:c r="H1357" t="str">
        <x:v>N/A</x:v>
      </x:c>
      <x:c r="I1357" t="str">
        <x:v>Проверить цену в источнике</x:v>
      </x:c>
      <x:c r="J1357" t="n">
        <x:f>IF(D1357=1,K1357,0)</x:f>
        <x:v>0</x:v>
      </x:c>
      <x:c r="K1357" t="n">
        <x:f>D1357+K1356</x:f>
        <x:v>16</x:v>
      </x:c>
    </x:row>
    <x:row r="1358">
      <x:c r="A1358" t="str">
        <x:v>Client</x:v>
      </x:c>
      <x:c r="B1358" t="str">
        <x:f>'04_checks'!B195</x:f>
        <x:v>C014</x:v>
      </x:c>
      <x:c r="C1358" t="n">
        <x:v>15</x:v>
      </x:c>
      <x:c r="D1358" t="n">
        <x:f>IF('04_checks'!H195="ERROR",1,0)</x:f>
        <x:v>0</x:v>
      </x:c>
      <x:c r="E1358" t="str">
        <x:v>Client:15:6</x:v>
      </x:c>
      <x:c r="F1358" t="str">
        <x:v>Дата</x:v>
      </x:c>
      <x:c r="G1358" t="str">
        <x:v>Medium</x:v>
      </x:c>
      <x:c r="H1358" t="str">
        <x:v>registration_date</x:v>
      </x:c>
      <x:c r="I1358" t="str">
        <x:v>Сверить дату со срезом и исходной записью</x:v>
      </x:c>
      <x:c r="J1358" t="n">
        <x:f>IF(D1358=1,K1358,0)</x:f>
        <x:v>0</x:v>
      </x:c>
      <x:c r="K1358" t="n">
        <x:f>D1358+K1357</x:f>
        <x:v>16</x:v>
      </x:c>
    </x:row>
    <x:row r="1359">
      <x:c r="A1359" t="str">
        <x:v>Client</x:v>
      </x:c>
      <x:c r="B1359" t="str">
        <x:f>'04_checks'!B195</x:f>
        <x:v>C014</x:v>
      </x:c>
      <x:c r="C1359" t="n">
        <x:v>15</x:v>
      </x:c>
      <x:c r="D1359" t="n">
        <x:f>IF('04_checks'!I195="ERROR",1,0)</x:f>
        <x:v>0</x:v>
      </x:c>
      <x:c r="E1359" t="str">
        <x:v>Client:15:7</x:v>
      </x:c>
      <x:c r="F1359" t="str">
        <x:v>Статус</x:v>
      </x:c>
      <x:c r="G1359" t="str">
        <x:v>Medium</x:v>
      </x:c>
      <x:c r="H1359" t="str">
        <x:v>N/A</x:v>
      </x:c>
      <x:c r="I1359" t="str">
        <x:v>Выбрать допустимый статус</x:v>
      </x:c>
      <x:c r="J1359" t="n">
        <x:f>IF(D1359=1,K1359,0)</x:f>
        <x:v>0</x:v>
      </x:c>
      <x:c r="K1359" t="n">
        <x:f>D1359+K1358</x:f>
        <x:v>16</x:v>
      </x:c>
    </x:row>
    <x:row r="1360">
      <x:c r="A1360" t="str">
        <x:v>Client</x:v>
      </x:c>
      <x:c r="B1360" t="str">
        <x:f>'04_checks'!B196</x:f>
        <x:v>C015</x:v>
      </x:c>
      <x:c r="C1360" t="n">
        <x:v>16</x:v>
      </x:c>
      <x:c r="D1360" t="n">
        <x:f>IF('04_checks'!C196="ERROR",1,0)</x:f>
        <x:v>0</x:v>
      </x:c>
      <x:c r="E1360" t="str">
        <x:v>Client:16:1</x:v>
      </x:c>
      <x:c r="F1360" t="str">
        <x:v>Дубль</x:v>
      </x:c>
      <x:c r="G1360" t="str">
        <x:v>High</x:v>
      </x:c>
      <x:c r="H1360" t="str">
        <x:v>client_id</x:v>
      </x:c>
      <x:c r="I1360" t="str">
        <x:v>Проверить уникальность ID в источнике; не удалять записи автоматически</x:v>
      </x:c>
      <x:c r="J1360" t="n">
        <x:f>IF(D1360=1,K1360,0)</x:f>
        <x:v>0</x:v>
      </x:c>
      <x:c r="K1360" t="n">
        <x:f>D1360+K1359</x:f>
        <x:v>16</x:v>
      </x:c>
    </x:row>
    <x:row r="1361">
      <x:c r="A1361" t="str">
        <x:v>Client</x:v>
      </x:c>
      <x:c r="B1361" t="str">
        <x:f>'04_checks'!B196</x:f>
        <x:v>C015</x:v>
      </x:c>
      <x:c r="C1361" t="n">
        <x:v>16</x:v>
      </x:c>
      <x:c r="D1361" t="n">
        <x:f>IF('04_checks'!D196="ERROR",1,0)</x:f>
        <x:v>0</x:v>
      </x:c>
      <x:c r="E1361" t="str">
        <x:v>Client:16:2</x:v>
      </x:c>
      <x:c r="F1361" t="str">
        <x:v>Пустое поле</x:v>
      </x:c>
      <x:c r="G1361" t="str">
        <x:v>High</x:v>
      </x:c>
      <x:c r="H1361" t="str">
        <x:v>required_fields</x:v>
      </x:c>
      <x:c r="I1361" t="str">
        <x:v>Дополнить обязательные поля в источнике</x:v>
      </x:c>
      <x:c r="J1361" t="n">
        <x:f>IF(D1361=1,K1361,0)</x:f>
        <x:v>0</x:v>
      </x:c>
      <x:c r="K1361" t="n">
        <x:f>D1361+K1360</x:f>
        <x:v>16</x:v>
      </x:c>
    </x:row>
    <x:row r="1362">
      <x:c r="A1362" t="str">
        <x:v>Client</x:v>
      </x:c>
      <x:c r="B1362" t="str">
        <x:f>'04_checks'!B196</x:f>
        <x:v>C015</x:v>
      </x:c>
      <x:c r="C1362" t="n">
        <x:v>16</x:v>
      </x:c>
      <x:c r="D1362" t="n">
        <x:f>IF('04_checks'!E196="ERROR",1,0)</x:f>
        <x:v>0</x:v>
      </x:c>
      <x:c r="E1362" t="str">
        <x:v>Client:16:3</x:v>
      </x:c>
      <x:c r="F1362" t="str">
        <x:v>Нет связи</x:v>
      </x:c>
      <x:c r="G1362" t="str">
        <x:v>High</x:v>
      </x:c>
      <x:c r="H1362" t="str">
        <x:v>client_id</x:v>
      </x:c>
      <x:c r="I1362" t="str">
        <x:v>Исправить ссылку или разрешить дубли связанного ID</x:v>
      </x:c>
      <x:c r="J1362" t="n">
        <x:f>IF(D1362=1,K1362,0)</x:f>
        <x:v>0</x:v>
      </x:c>
      <x:c r="K1362" t="n">
        <x:f>D1362+K1361</x:f>
        <x:v>16</x:v>
      </x:c>
    </x:row>
    <x:row r="1363">
      <x:c r="A1363" t="str">
        <x:v>Client</x:v>
      </x:c>
      <x:c r="B1363" t="str">
        <x:f>'04_checks'!B196</x:f>
        <x:v>C015</x:v>
      </x:c>
      <x:c r="C1363" t="n">
        <x:v>16</x:v>
      </x:c>
      <x:c r="D1363" t="n">
        <x:f>IF('04_checks'!F196="ERROR",1,0)</x:f>
        <x:v>0</x:v>
      </x:c>
      <x:c r="E1363" t="str">
        <x:v>Client:16:4</x:v>
      </x:c>
      <x:c r="F1363" t="str">
        <x:v>Формат ИНН</x:v>
      </x:c>
      <x:c r="G1363" t="str">
        <x:v>High</x:v>
      </x:c>
      <x:c r="H1363" t="str">
        <x:v>inn</x:v>
      </x:c>
      <x:c r="I1363" t="str">
        <x:v>Сверить длину ИНН 10/12 цифр с источником</x:v>
      </x:c>
      <x:c r="J1363" t="n">
        <x:f>IF(D1363=1,K1363,0)</x:f>
        <x:v>0</x:v>
      </x:c>
      <x:c r="K1363" t="n">
        <x:f>D1363+K1362</x:f>
        <x:v>16</x:v>
      </x:c>
    </x:row>
    <x:row r="1364">
      <x:c r="A1364" t="str">
        <x:v>Client</x:v>
      </x:c>
      <x:c r="B1364" t="str">
        <x:f>'04_checks'!B196</x:f>
        <x:v>C015</x:v>
      </x:c>
      <x:c r="C1364" t="n">
        <x:v>16</x:v>
      </x:c>
      <x:c r="D1364" t="n">
        <x:f>IF('04_checks'!G196="ERROR",1,0)</x:f>
        <x:v>0</x:v>
      </x:c>
      <x:c r="E1364" t="str">
        <x:v>Client:16:5</x:v>
      </x:c>
      <x:c r="F1364" t="str">
        <x:v>Отрицательная цена</x:v>
      </x:c>
      <x:c r="G1364" t="str">
        <x:v>High</x:v>
      </x:c>
      <x:c r="H1364" t="str">
        <x:v>N/A</x:v>
      </x:c>
      <x:c r="I1364" t="str">
        <x:v>Проверить цену в источнике</x:v>
      </x:c>
      <x:c r="J1364" t="n">
        <x:f>IF(D1364=1,K1364,0)</x:f>
        <x:v>0</x:v>
      </x:c>
      <x:c r="K1364" t="n">
        <x:f>D1364+K1363</x:f>
        <x:v>16</x:v>
      </x:c>
    </x:row>
    <x:row r="1365">
      <x:c r="A1365" t="str">
        <x:v>Client</x:v>
      </x:c>
      <x:c r="B1365" t="str">
        <x:f>'04_checks'!B196</x:f>
        <x:v>C015</x:v>
      </x:c>
      <x:c r="C1365" t="n">
        <x:v>16</x:v>
      </x:c>
      <x:c r="D1365" t="n">
        <x:f>IF('04_checks'!H196="ERROR",1,0)</x:f>
        <x:v>0</x:v>
      </x:c>
      <x:c r="E1365" t="str">
        <x:v>Client:16:6</x:v>
      </x:c>
      <x:c r="F1365" t="str">
        <x:v>Дата</x:v>
      </x:c>
      <x:c r="G1365" t="str">
        <x:v>Medium</x:v>
      </x:c>
      <x:c r="H1365" t="str">
        <x:v>registration_date</x:v>
      </x:c>
      <x:c r="I1365" t="str">
        <x:v>Сверить дату со срезом и исходной записью</x:v>
      </x:c>
      <x:c r="J1365" t="n">
        <x:f>IF(D1365=1,K1365,0)</x:f>
        <x:v>0</x:v>
      </x:c>
      <x:c r="K1365" t="n">
        <x:f>D1365+K1364</x:f>
        <x:v>16</x:v>
      </x:c>
    </x:row>
    <x:row r="1366">
      <x:c r="A1366" t="str">
        <x:v>Client</x:v>
      </x:c>
      <x:c r="B1366" t="str">
        <x:f>'04_checks'!B196</x:f>
        <x:v>C015</x:v>
      </x:c>
      <x:c r="C1366" t="n">
        <x:v>16</x:v>
      </x:c>
      <x:c r="D1366" t="n">
        <x:f>IF('04_checks'!I196="ERROR",1,0)</x:f>
        <x:v>0</x:v>
      </x:c>
      <x:c r="E1366" t="str">
        <x:v>Client:16:7</x:v>
      </x:c>
      <x:c r="F1366" t="str">
        <x:v>Статус</x:v>
      </x:c>
      <x:c r="G1366" t="str">
        <x:v>Medium</x:v>
      </x:c>
      <x:c r="H1366" t="str">
        <x:v>N/A</x:v>
      </x:c>
      <x:c r="I1366" t="str">
        <x:v>Выбрать допустимый статус</x:v>
      </x:c>
      <x:c r="J1366" t="n">
        <x:f>IF(D1366=1,K1366,0)</x:f>
        <x:v>0</x:v>
      </x:c>
      <x:c r="K1366" t="n">
        <x:f>D1366+K1365</x:f>
        <x:v>16</x:v>
      </x:c>
    </x:row>
    <x:row r="1367">
      <x:c r="A1367" t="str">
        <x:v>Client</x:v>
      </x:c>
      <x:c r="B1367" t="str">
        <x:f>'04_checks'!B197</x:f>
        <x:v>C016</x:v>
      </x:c>
      <x:c r="C1367" t="n">
        <x:v>17</x:v>
      </x:c>
      <x:c r="D1367" t="n">
        <x:f>IF('04_checks'!C197="ERROR",1,0)</x:f>
        <x:v>0</x:v>
      </x:c>
      <x:c r="E1367" t="str">
        <x:v>Client:17:1</x:v>
      </x:c>
      <x:c r="F1367" t="str">
        <x:v>Дубль</x:v>
      </x:c>
      <x:c r="G1367" t="str">
        <x:v>High</x:v>
      </x:c>
      <x:c r="H1367" t="str">
        <x:v>client_id</x:v>
      </x:c>
      <x:c r="I1367" t="str">
        <x:v>Проверить уникальность ID в источнике; не удалять записи автоматически</x:v>
      </x:c>
      <x:c r="J1367" t="n">
        <x:f>IF(D1367=1,K1367,0)</x:f>
        <x:v>0</x:v>
      </x:c>
      <x:c r="K1367" t="n">
        <x:f>D1367+K1366</x:f>
        <x:v>16</x:v>
      </x:c>
    </x:row>
    <x:row r="1368">
      <x:c r="A1368" t="str">
        <x:v>Client</x:v>
      </x:c>
      <x:c r="B1368" t="str">
        <x:f>'04_checks'!B197</x:f>
        <x:v>C016</x:v>
      </x:c>
      <x:c r="C1368" t="n">
        <x:v>17</x:v>
      </x:c>
      <x:c r="D1368" t="n">
        <x:f>IF('04_checks'!D197="ERROR",1,0)</x:f>
        <x:v>0</x:v>
      </x:c>
      <x:c r="E1368" t="str">
        <x:v>Client:17:2</x:v>
      </x:c>
      <x:c r="F1368" t="str">
        <x:v>Пустое поле</x:v>
      </x:c>
      <x:c r="G1368" t="str">
        <x:v>High</x:v>
      </x:c>
      <x:c r="H1368" t="str">
        <x:v>required_fields</x:v>
      </x:c>
      <x:c r="I1368" t="str">
        <x:v>Дополнить обязательные поля в источнике</x:v>
      </x:c>
      <x:c r="J1368" t="n">
        <x:f>IF(D1368=1,K1368,0)</x:f>
        <x:v>0</x:v>
      </x:c>
      <x:c r="K1368" t="n">
        <x:f>D1368+K1367</x:f>
        <x:v>16</x:v>
      </x:c>
    </x:row>
    <x:row r="1369">
      <x:c r="A1369" t="str">
        <x:v>Client</x:v>
      </x:c>
      <x:c r="B1369" t="str">
        <x:f>'04_checks'!B197</x:f>
        <x:v>C016</x:v>
      </x:c>
      <x:c r="C1369" t="n">
        <x:v>17</x:v>
      </x:c>
      <x:c r="D1369" t="n">
        <x:f>IF('04_checks'!E197="ERROR",1,0)</x:f>
        <x:v>0</x:v>
      </x:c>
      <x:c r="E1369" t="str">
        <x:v>Client:17:3</x:v>
      </x:c>
      <x:c r="F1369" t="str">
        <x:v>Нет связи</x:v>
      </x:c>
      <x:c r="G1369" t="str">
        <x:v>High</x:v>
      </x:c>
      <x:c r="H1369" t="str">
        <x:v>client_id</x:v>
      </x:c>
      <x:c r="I1369" t="str">
        <x:v>Исправить ссылку или разрешить дубли связанного ID</x:v>
      </x:c>
      <x:c r="J1369" t="n">
        <x:f>IF(D1369=1,K1369,0)</x:f>
        <x:v>0</x:v>
      </x:c>
      <x:c r="K1369" t="n">
        <x:f>D1369+K1368</x:f>
        <x:v>16</x:v>
      </x:c>
    </x:row>
    <x:row r="1370">
      <x:c r="A1370" t="str">
        <x:v>Client</x:v>
      </x:c>
      <x:c r="B1370" t="str">
        <x:f>'04_checks'!B197</x:f>
        <x:v>C016</x:v>
      </x:c>
      <x:c r="C1370" t="n">
        <x:v>17</x:v>
      </x:c>
      <x:c r="D1370" t="n">
        <x:f>IF('04_checks'!F197="ERROR",1,0)</x:f>
        <x:v>0</x:v>
      </x:c>
      <x:c r="E1370" t="str">
        <x:v>Client:17:4</x:v>
      </x:c>
      <x:c r="F1370" t="str">
        <x:v>Формат ИНН</x:v>
      </x:c>
      <x:c r="G1370" t="str">
        <x:v>High</x:v>
      </x:c>
      <x:c r="H1370" t="str">
        <x:v>inn</x:v>
      </x:c>
      <x:c r="I1370" t="str">
        <x:v>Сверить длину ИНН 10/12 цифр с источником</x:v>
      </x:c>
      <x:c r="J1370" t="n">
        <x:f>IF(D1370=1,K1370,0)</x:f>
        <x:v>0</x:v>
      </x:c>
      <x:c r="K1370" t="n">
        <x:f>D1370+K1369</x:f>
        <x:v>16</x:v>
      </x:c>
    </x:row>
    <x:row r="1371">
      <x:c r="A1371" t="str">
        <x:v>Client</x:v>
      </x:c>
      <x:c r="B1371" t="str">
        <x:f>'04_checks'!B197</x:f>
        <x:v>C016</x:v>
      </x:c>
      <x:c r="C1371" t="n">
        <x:v>17</x:v>
      </x:c>
      <x:c r="D1371" t="n">
        <x:f>IF('04_checks'!G197="ERROR",1,0)</x:f>
        <x:v>0</x:v>
      </x:c>
      <x:c r="E1371" t="str">
        <x:v>Client:17:5</x:v>
      </x:c>
      <x:c r="F1371" t="str">
        <x:v>Отрицательная цена</x:v>
      </x:c>
      <x:c r="G1371" t="str">
        <x:v>High</x:v>
      </x:c>
      <x:c r="H1371" t="str">
        <x:v>N/A</x:v>
      </x:c>
      <x:c r="I1371" t="str">
        <x:v>Проверить цену в источнике</x:v>
      </x:c>
      <x:c r="J1371" t="n">
        <x:f>IF(D1371=1,K1371,0)</x:f>
        <x:v>0</x:v>
      </x:c>
      <x:c r="K1371" t="n">
        <x:f>D1371+K1370</x:f>
        <x:v>16</x:v>
      </x:c>
    </x:row>
    <x:row r="1372">
      <x:c r="A1372" t="str">
        <x:v>Client</x:v>
      </x:c>
      <x:c r="B1372" t="str">
        <x:f>'04_checks'!B197</x:f>
        <x:v>C016</x:v>
      </x:c>
      <x:c r="C1372" t="n">
        <x:v>17</x:v>
      </x:c>
      <x:c r="D1372" t="n">
        <x:f>IF('04_checks'!H197="ERROR",1,0)</x:f>
        <x:v>0</x:v>
      </x:c>
      <x:c r="E1372" t="str">
        <x:v>Client:17:6</x:v>
      </x:c>
      <x:c r="F1372" t="str">
        <x:v>Дата</x:v>
      </x:c>
      <x:c r="G1372" t="str">
        <x:v>Medium</x:v>
      </x:c>
      <x:c r="H1372" t="str">
        <x:v>registration_date</x:v>
      </x:c>
      <x:c r="I1372" t="str">
        <x:v>Сверить дату со срезом и исходной записью</x:v>
      </x:c>
      <x:c r="J1372" t="n">
        <x:f>IF(D1372=1,K1372,0)</x:f>
        <x:v>0</x:v>
      </x:c>
      <x:c r="K1372" t="n">
        <x:f>D1372+K1371</x:f>
        <x:v>16</x:v>
      </x:c>
    </x:row>
    <x:row r="1373">
      <x:c r="A1373" t="str">
        <x:v>Client</x:v>
      </x:c>
      <x:c r="B1373" t="str">
        <x:f>'04_checks'!B197</x:f>
        <x:v>C016</x:v>
      </x:c>
      <x:c r="C1373" t="n">
        <x:v>17</x:v>
      </x:c>
      <x:c r="D1373" t="n">
        <x:f>IF('04_checks'!I197="ERROR",1,0)</x:f>
        <x:v>0</x:v>
      </x:c>
      <x:c r="E1373" t="str">
        <x:v>Client:17:7</x:v>
      </x:c>
      <x:c r="F1373" t="str">
        <x:v>Статус</x:v>
      </x:c>
      <x:c r="G1373" t="str">
        <x:v>Medium</x:v>
      </x:c>
      <x:c r="H1373" t="str">
        <x:v>N/A</x:v>
      </x:c>
      <x:c r="I1373" t="str">
        <x:v>Выбрать допустимый статус</x:v>
      </x:c>
      <x:c r="J1373" t="n">
        <x:f>IF(D1373=1,K1373,0)</x:f>
        <x:v>0</x:v>
      </x:c>
      <x:c r="K1373" t="n">
        <x:f>D1373+K1372</x:f>
        <x:v>16</x:v>
      </x:c>
    </x:row>
    <x:row r="1374">
      <x:c r="A1374" t="str">
        <x:v>Client</x:v>
      </x:c>
      <x:c r="B1374" t="str">
        <x:f>'04_checks'!B198</x:f>
        <x:v>C017</x:v>
      </x:c>
      <x:c r="C1374" t="n">
        <x:v>18</x:v>
      </x:c>
      <x:c r="D1374" t="n">
        <x:f>IF('04_checks'!C198="ERROR",1,0)</x:f>
        <x:v>0</x:v>
      </x:c>
      <x:c r="E1374" t="str">
        <x:v>Client:18:1</x:v>
      </x:c>
      <x:c r="F1374" t="str">
        <x:v>Дубль</x:v>
      </x:c>
      <x:c r="G1374" t="str">
        <x:v>High</x:v>
      </x:c>
      <x:c r="H1374" t="str">
        <x:v>client_id</x:v>
      </x:c>
      <x:c r="I1374" t="str">
        <x:v>Проверить уникальность ID в источнике; не удалять записи автоматически</x:v>
      </x:c>
      <x:c r="J1374" t="n">
        <x:f>IF(D1374=1,K1374,0)</x:f>
        <x:v>0</x:v>
      </x:c>
      <x:c r="K1374" t="n">
        <x:f>D1374+K1373</x:f>
        <x:v>16</x:v>
      </x:c>
    </x:row>
    <x:row r="1375">
      <x:c r="A1375" t="str">
        <x:v>Client</x:v>
      </x:c>
      <x:c r="B1375" t="str">
        <x:f>'04_checks'!B198</x:f>
        <x:v>C017</x:v>
      </x:c>
      <x:c r="C1375" t="n">
        <x:v>18</x:v>
      </x:c>
      <x:c r="D1375" t="n">
        <x:f>IF('04_checks'!D198="ERROR",1,0)</x:f>
        <x:v>0</x:v>
      </x:c>
      <x:c r="E1375" t="str">
        <x:v>Client:18:2</x:v>
      </x:c>
      <x:c r="F1375" t="str">
        <x:v>Пустое поле</x:v>
      </x:c>
      <x:c r="G1375" t="str">
        <x:v>High</x:v>
      </x:c>
      <x:c r="H1375" t="str">
        <x:v>required_fields</x:v>
      </x:c>
      <x:c r="I1375" t="str">
        <x:v>Дополнить обязательные поля в источнике</x:v>
      </x:c>
      <x:c r="J1375" t="n">
        <x:f>IF(D1375=1,K1375,0)</x:f>
        <x:v>0</x:v>
      </x:c>
      <x:c r="K1375" t="n">
        <x:f>D1375+K1374</x:f>
        <x:v>16</x:v>
      </x:c>
    </x:row>
    <x:row r="1376">
      <x:c r="A1376" t="str">
        <x:v>Client</x:v>
      </x:c>
      <x:c r="B1376" t="str">
        <x:f>'04_checks'!B198</x:f>
        <x:v>C017</x:v>
      </x:c>
      <x:c r="C1376" t="n">
        <x:v>18</x:v>
      </x:c>
      <x:c r="D1376" t="n">
        <x:f>IF('04_checks'!E198="ERROR",1,0)</x:f>
        <x:v>0</x:v>
      </x:c>
      <x:c r="E1376" t="str">
        <x:v>Client:18:3</x:v>
      </x:c>
      <x:c r="F1376" t="str">
        <x:v>Нет связи</x:v>
      </x:c>
      <x:c r="G1376" t="str">
        <x:v>High</x:v>
      </x:c>
      <x:c r="H1376" t="str">
        <x:v>client_id</x:v>
      </x:c>
      <x:c r="I1376" t="str">
        <x:v>Исправить ссылку или разрешить дубли связанного ID</x:v>
      </x:c>
      <x:c r="J1376" t="n">
        <x:f>IF(D1376=1,K1376,0)</x:f>
        <x:v>0</x:v>
      </x:c>
      <x:c r="K1376" t="n">
        <x:f>D1376+K1375</x:f>
        <x:v>16</x:v>
      </x:c>
    </x:row>
    <x:row r="1377">
      <x:c r="A1377" t="str">
        <x:v>Client</x:v>
      </x:c>
      <x:c r="B1377" t="str">
        <x:f>'04_checks'!B198</x:f>
        <x:v>C017</x:v>
      </x:c>
      <x:c r="C1377" t="n">
        <x:v>18</x:v>
      </x:c>
      <x:c r="D1377" t="n">
        <x:f>IF('04_checks'!F198="ERROR",1,0)</x:f>
        <x:v>0</x:v>
      </x:c>
      <x:c r="E1377" t="str">
        <x:v>Client:18:4</x:v>
      </x:c>
      <x:c r="F1377" t="str">
        <x:v>Формат ИНН</x:v>
      </x:c>
      <x:c r="G1377" t="str">
        <x:v>High</x:v>
      </x:c>
      <x:c r="H1377" t="str">
        <x:v>inn</x:v>
      </x:c>
      <x:c r="I1377" t="str">
        <x:v>Сверить длину ИНН 10/12 цифр с источником</x:v>
      </x:c>
      <x:c r="J1377" t="n">
        <x:f>IF(D1377=1,K1377,0)</x:f>
        <x:v>0</x:v>
      </x:c>
      <x:c r="K1377" t="n">
        <x:f>D1377+K1376</x:f>
        <x:v>16</x:v>
      </x:c>
    </x:row>
    <x:row r="1378">
      <x:c r="A1378" t="str">
        <x:v>Client</x:v>
      </x:c>
      <x:c r="B1378" t="str">
        <x:f>'04_checks'!B198</x:f>
        <x:v>C017</x:v>
      </x:c>
      <x:c r="C1378" t="n">
        <x:v>18</x:v>
      </x:c>
      <x:c r="D1378" t="n">
        <x:f>IF('04_checks'!G198="ERROR",1,0)</x:f>
        <x:v>0</x:v>
      </x:c>
      <x:c r="E1378" t="str">
        <x:v>Client:18:5</x:v>
      </x:c>
      <x:c r="F1378" t="str">
        <x:v>Отрицательная цена</x:v>
      </x:c>
      <x:c r="G1378" t="str">
        <x:v>High</x:v>
      </x:c>
      <x:c r="H1378" t="str">
        <x:v>N/A</x:v>
      </x:c>
      <x:c r="I1378" t="str">
        <x:v>Проверить цену в источнике</x:v>
      </x:c>
      <x:c r="J1378" t="n">
        <x:f>IF(D1378=1,K1378,0)</x:f>
        <x:v>0</x:v>
      </x:c>
      <x:c r="K1378" t="n">
        <x:f>D1378+K1377</x:f>
        <x:v>16</x:v>
      </x:c>
    </x:row>
    <x:row r="1379">
      <x:c r="A1379" t="str">
        <x:v>Client</x:v>
      </x:c>
      <x:c r="B1379" t="str">
        <x:f>'04_checks'!B198</x:f>
        <x:v>C017</x:v>
      </x:c>
      <x:c r="C1379" t="n">
        <x:v>18</x:v>
      </x:c>
      <x:c r="D1379" t="n">
        <x:f>IF('04_checks'!H198="ERROR",1,0)</x:f>
        <x:v>0</x:v>
      </x:c>
      <x:c r="E1379" t="str">
        <x:v>Client:18:6</x:v>
      </x:c>
      <x:c r="F1379" t="str">
        <x:v>Дата</x:v>
      </x:c>
      <x:c r="G1379" t="str">
        <x:v>Medium</x:v>
      </x:c>
      <x:c r="H1379" t="str">
        <x:v>registration_date</x:v>
      </x:c>
      <x:c r="I1379" t="str">
        <x:v>Сверить дату со срезом и исходной записью</x:v>
      </x:c>
      <x:c r="J1379" t="n">
        <x:f>IF(D1379=1,K1379,0)</x:f>
        <x:v>0</x:v>
      </x:c>
      <x:c r="K1379" t="n">
        <x:f>D1379+K1378</x:f>
        <x:v>16</x:v>
      </x:c>
    </x:row>
    <x:row r="1380">
      <x:c r="A1380" t="str">
        <x:v>Client</x:v>
      </x:c>
      <x:c r="B1380" t="str">
        <x:f>'04_checks'!B198</x:f>
        <x:v>C017</x:v>
      </x:c>
      <x:c r="C1380" t="n">
        <x:v>18</x:v>
      </x:c>
      <x:c r="D1380" t="n">
        <x:f>IF('04_checks'!I198="ERROR",1,0)</x:f>
        <x:v>0</x:v>
      </x:c>
      <x:c r="E1380" t="str">
        <x:v>Client:18:7</x:v>
      </x:c>
      <x:c r="F1380" t="str">
        <x:v>Статус</x:v>
      </x:c>
      <x:c r="G1380" t="str">
        <x:v>Medium</x:v>
      </x:c>
      <x:c r="H1380" t="str">
        <x:v>N/A</x:v>
      </x:c>
      <x:c r="I1380" t="str">
        <x:v>Выбрать допустимый статус</x:v>
      </x:c>
      <x:c r="J1380" t="n">
        <x:f>IF(D1380=1,K1380,0)</x:f>
        <x:v>0</x:v>
      </x:c>
      <x:c r="K1380" t="n">
        <x:f>D1380+K1379</x:f>
        <x:v>16</x:v>
      </x:c>
    </x:row>
    <x:row r="1381">
      <x:c r="A1381" t="str">
        <x:v>Client</x:v>
      </x:c>
      <x:c r="B1381" t="str">
        <x:f>'04_checks'!B199</x:f>
        <x:v>C018</x:v>
      </x:c>
      <x:c r="C1381" t="n">
        <x:v>19</x:v>
      </x:c>
      <x:c r="D1381" t="n">
        <x:f>IF('04_checks'!C199="ERROR",1,0)</x:f>
        <x:v>0</x:v>
      </x:c>
      <x:c r="E1381" t="str">
        <x:v>Client:19:1</x:v>
      </x:c>
      <x:c r="F1381" t="str">
        <x:v>Дубль</x:v>
      </x:c>
      <x:c r="G1381" t="str">
        <x:v>High</x:v>
      </x:c>
      <x:c r="H1381" t="str">
        <x:v>client_id</x:v>
      </x:c>
      <x:c r="I1381" t="str">
        <x:v>Проверить уникальность ID в источнике; не удалять записи автоматически</x:v>
      </x:c>
      <x:c r="J1381" t="n">
        <x:f>IF(D1381=1,K1381,0)</x:f>
        <x:v>0</x:v>
      </x:c>
      <x:c r="K1381" t="n">
        <x:f>D1381+K1380</x:f>
        <x:v>16</x:v>
      </x:c>
    </x:row>
    <x:row r="1382">
      <x:c r="A1382" t="str">
        <x:v>Client</x:v>
      </x:c>
      <x:c r="B1382" t="str">
        <x:f>'04_checks'!B199</x:f>
        <x:v>C018</x:v>
      </x:c>
      <x:c r="C1382" t="n">
        <x:v>19</x:v>
      </x:c>
      <x:c r="D1382" t="n">
        <x:f>IF('04_checks'!D199="ERROR",1,0)</x:f>
        <x:v>1</x:v>
      </x:c>
      <x:c r="E1382" t="str">
        <x:v>Client:19:2</x:v>
      </x:c>
      <x:c r="F1382" t="str">
        <x:v>Пустое поле</x:v>
      </x:c>
      <x:c r="G1382" t="str">
        <x:v>High</x:v>
      </x:c>
      <x:c r="H1382" t="str">
        <x:v>required_fields</x:v>
      </x:c>
      <x:c r="I1382" t="str">
        <x:v>Дополнить обязательные поля в источнике</x:v>
      </x:c>
      <x:c r="J1382" t="n">
        <x:f>IF(D1382=1,K1382,0)</x:f>
        <x:v>17</x:v>
      </x:c>
      <x:c r="K1382" t="n">
        <x:f>D1382+K1381</x:f>
        <x:v>17</x:v>
      </x:c>
    </x:row>
    <x:row r="1383">
      <x:c r="A1383" t="str">
        <x:v>Client</x:v>
      </x:c>
      <x:c r="B1383" t="str">
        <x:f>'04_checks'!B199</x:f>
        <x:v>C018</x:v>
      </x:c>
      <x:c r="C1383" t="n">
        <x:v>19</x:v>
      </x:c>
      <x:c r="D1383" t="n">
        <x:f>IF('04_checks'!E199="ERROR",1,0)</x:f>
        <x:v>0</x:v>
      </x:c>
      <x:c r="E1383" t="str">
        <x:v>Client:19:3</x:v>
      </x:c>
      <x:c r="F1383" t="str">
        <x:v>Нет связи</x:v>
      </x:c>
      <x:c r="G1383" t="str">
        <x:v>High</x:v>
      </x:c>
      <x:c r="H1383" t="str">
        <x:v>client_id</x:v>
      </x:c>
      <x:c r="I1383" t="str">
        <x:v>Исправить ссылку или разрешить дубли связанного ID</x:v>
      </x:c>
      <x:c r="J1383" t="n">
        <x:f>IF(D1383=1,K1383,0)</x:f>
        <x:v>0</x:v>
      </x:c>
      <x:c r="K1383" t="n">
        <x:f>D1383+K1382</x:f>
        <x:v>17</x:v>
      </x:c>
    </x:row>
    <x:row r="1384">
      <x:c r="A1384" t="str">
        <x:v>Client</x:v>
      </x:c>
      <x:c r="B1384" t="str">
        <x:f>'04_checks'!B199</x:f>
        <x:v>C018</x:v>
      </x:c>
      <x:c r="C1384" t="n">
        <x:v>19</x:v>
      </x:c>
      <x:c r="D1384" t="n">
        <x:f>IF('04_checks'!F199="ERROR",1,0)</x:f>
        <x:v>0</x:v>
      </x:c>
      <x:c r="E1384" t="str">
        <x:v>Client:19:4</x:v>
      </x:c>
      <x:c r="F1384" t="str">
        <x:v>Формат ИНН</x:v>
      </x:c>
      <x:c r="G1384" t="str">
        <x:v>High</x:v>
      </x:c>
      <x:c r="H1384" t="str">
        <x:v>inn</x:v>
      </x:c>
      <x:c r="I1384" t="str">
        <x:v>Сверить длину ИНН 10/12 цифр с источником</x:v>
      </x:c>
      <x:c r="J1384" t="n">
        <x:f>IF(D1384=1,K1384,0)</x:f>
        <x:v>0</x:v>
      </x:c>
      <x:c r="K1384" t="n">
        <x:f>D1384+K1383</x:f>
        <x:v>17</x:v>
      </x:c>
    </x:row>
    <x:row r="1385">
      <x:c r="A1385" t="str">
        <x:v>Client</x:v>
      </x:c>
      <x:c r="B1385" t="str">
        <x:f>'04_checks'!B199</x:f>
        <x:v>C018</x:v>
      </x:c>
      <x:c r="C1385" t="n">
        <x:v>19</x:v>
      </x:c>
      <x:c r="D1385" t="n">
        <x:f>IF('04_checks'!G199="ERROR",1,0)</x:f>
        <x:v>0</x:v>
      </x:c>
      <x:c r="E1385" t="str">
        <x:v>Client:19:5</x:v>
      </x:c>
      <x:c r="F1385" t="str">
        <x:v>Отрицательная цена</x:v>
      </x:c>
      <x:c r="G1385" t="str">
        <x:v>High</x:v>
      </x:c>
      <x:c r="H1385" t="str">
        <x:v>N/A</x:v>
      </x:c>
      <x:c r="I1385" t="str">
        <x:v>Проверить цену в источнике</x:v>
      </x:c>
      <x:c r="J1385" t="n">
        <x:f>IF(D1385=1,K1385,0)</x:f>
        <x:v>0</x:v>
      </x:c>
      <x:c r="K1385" t="n">
        <x:f>D1385+K1384</x:f>
        <x:v>17</x:v>
      </x:c>
    </x:row>
    <x:row r="1386">
      <x:c r="A1386" t="str">
        <x:v>Client</x:v>
      </x:c>
      <x:c r="B1386" t="str">
        <x:f>'04_checks'!B199</x:f>
        <x:v>C018</x:v>
      </x:c>
      <x:c r="C1386" t="n">
        <x:v>19</x:v>
      </x:c>
      <x:c r="D1386" t="n">
        <x:f>IF('04_checks'!H199="ERROR",1,0)</x:f>
        <x:v>0</x:v>
      </x:c>
      <x:c r="E1386" t="str">
        <x:v>Client:19:6</x:v>
      </x:c>
      <x:c r="F1386" t="str">
        <x:v>Дата</x:v>
      </x:c>
      <x:c r="G1386" t="str">
        <x:v>Medium</x:v>
      </x:c>
      <x:c r="H1386" t="str">
        <x:v>registration_date</x:v>
      </x:c>
      <x:c r="I1386" t="str">
        <x:v>Сверить дату со срезом и исходной записью</x:v>
      </x:c>
      <x:c r="J1386" t="n">
        <x:f>IF(D1386=1,K1386,0)</x:f>
        <x:v>0</x:v>
      </x:c>
      <x:c r="K1386" t="n">
        <x:f>D1386+K1385</x:f>
        <x:v>17</x:v>
      </x:c>
    </x:row>
    <x:row r="1387">
      <x:c r="A1387" t="str">
        <x:v>Client</x:v>
      </x:c>
      <x:c r="B1387" t="str">
        <x:f>'04_checks'!B199</x:f>
        <x:v>C018</x:v>
      </x:c>
      <x:c r="C1387" t="n">
        <x:v>19</x:v>
      </x:c>
      <x:c r="D1387" t="n">
        <x:f>IF('04_checks'!I199="ERROR",1,0)</x:f>
        <x:v>0</x:v>
      </x:c>
      <x:c r="E1387" t="str">
        <x:v>Client:19:7</x:v>
      </x:c>
      <x:c r="F1387" t="str">
        <x:v>Статус</x:v>
      </x:c>
      <x:c r="G1387" t="str">
        <x:v>Medium</x:v>
      </x:c>
      <x:c r="H1387" t="str">
        <x:v>N/A</x:v>
      </x:c>
      <x:c r="I1387" t="str">
        <x:v>Выбрать допустимый статус</x:v>
      </x:c>
      <x:c r="J1387" t="n">
        <x:f>IF(D1387=1,K1387,0)</x:f>
        <x:v>0</x:v>
      </x:c>
      <x:c r="K1387" t="n">
        <x:f>D1387+K1386</x:f>
        <x:v>17</x:v>
      </x:c>
    </x:row>
    <x:row r="1388">
      <x:c r="A1388" t="str">
        <x:v>Client</x:v>
      </x:c>
      <x:c r="B1388" t="str">
        <x:f>'04_checks'!B200</x:f>
        <x:v>C019</x:v>
      </x:c>
      <x:c r="C1388" t="n">
        <x:v>20</x:v>
      </x:c>
      <x:c r="D1388" t="n">
        <x:f>IF('04_checks'!C200="ERROR",1,0)</x:f>
        <x:v>0</x:v>
      </x:c>
      <x:c r="E1388" t="str">
        <x:v>Client:20:1</x:v>
      </x:c>
      <x:c r="F1388" t="str">
        <x:v>Дубль</x:v>
      </x:c>
      <x:c r="G1388" t="str">
        <x:v>High</x:v>
      </x:c>
      <x:c r="H1388" t="str">
        <x:v>client_id</x:v>
      </x:c>
      <x:c r="I1388" t="str">
        <x:v>Проверить уникальность ID в источнике; не удалять записи автоматически</x:v>
      </x:c>
      <x:c r="J1388" t="n">
        <x:f>IF(D1388=1,K1388,0)</x:f>
        <x:v>0</x:v>
      </x:c>
      <x:c r="K1388" t="n">
        <x:f>D1388+K1387</x:f>
        <x:v>17</x:v>
      </x:c>
    </x:row>
    <x:row r="1389">
      <x:c r="A1389" t="str">
        <x:v>Client</x:v>
      </x:c>
      <x:c r="B1389" t="str">
        <x:f>'04_checks'!B200</x:f>
        <x:v>C019</x:v>
      </x:c>
      <x:c r="C1389" t="n">
        <x:v>20</x:v>
      </x:c>
      <x:c r="D1389" t="n">
        <x:f>IF('04_checks'!D200="ERROR",1,0)</x:f>
        <x:v>0</x:v>
      </x:c>
      <x:c r="E1389" t="str">
        <x:v>Client:20:2</x:v>
      </x:c>
      <x:c r="F1389" t="str">
        <x:v>Пустое поле</x:v>
      </x:c>
      <x:c r="G1389" t="str">
        <x:v>High</x:v>
      </x:c>
      <x:c r="H1389" t="str">
        <x:v>required_fields</x:v>
      </x:c>
      <x:c r="I1389" t="str">
        <x:v>Дополнить обязательные поля в источнике</x:v>
      </x:c>
      <x:c r="J1389" t="n">
        <x:f>IF(D1389=1,K1389,0)</x:f>
        <x:v>0</x:v>
      </x:c>
      <x:c r="K1389" t="n">
        <x:f>D1389+K1388</x:f>
        <x:v>17</x:v>
      </x:c>
    </x:row>
    <x:row r="1390">
      <x:c r="A1390" t="str">
        <x:v>Client</x:v>
      </x:c>
      <x:c r="B1390" t="str">
        <x:f>'04_checks'!B200</x:f>
        <x:v>C019</x:v>
      </x:c>
      <x:c r="C1390" t="n">
        <x:v>20</x:v>
      </x:c>
      <x:c r="D1390" t="n">
        <x:f>IF('04_checks'!E200="ERROR",1,0)</x:f>
        <x:v>0</x:v>
      </x:c>
      <x:c r="E1390" t="str">
        <x:v>Client:20:3</x:v>
      </x:c>
      <x:c r="F1390" t="str">
        <x:v>Нет связи</x:v>
      </x:c>
      <x:c r="G1390" t="str">
        <x:v>High</x:v>
      </x:c>
      <x:c r="H1390" t="str">
        <x:v>client_id</x:v>
      </x:c>
      <x:c r="I1390" t="str">
        <x:v>Исправить ссылку или разрешить дубли связанного ID</x:v>
      </x:c>
      <x:c r="J1390" t="n">
        <x:f>IF(D1390=1,K1390,0)</x:f>
        <x:v>0</x:v>
      </x:c>
      <x:c r="K1390" t="n">
        <x:f>D1390+K1389</x:f>
        <x:v>17</x:v>
      </x:c>
    </x:row>
    <x:row r="1391">
      <x:c r="A1391" t="str">
        <x:v>Client</x:v>
      </x:c>
      <x:c r="B1391" t="str">
        <x:f>'04_checks'!B200</x:f>
        <x:v>C019</x:v>
      </x:c>
      <x:c r="C1391" t="n">
        <x:v>20</x:v>
      </x:c>
      <x:c r="D1391" t="n">
        <x:f>IF('04_checks'!F200="ERROR",1,0)</x:f>
        <x:v>0</x:v>
      </x:c>
      <x:c r="E1391" t="str">
        <x:v>Client:20:4</x:v>
      </x:c>
      <x:c r="F1391" t="str">
        <x:v>Формат ИНН</x:v>
      </x:c>
      <x:c r="G1391" t="str">
        <x:v>High</x:v>
      </x:c>
      <x:c r="H1391" t="str">
        <x:v>inn</x:v>
      </x:c>
      <x:c r="I1391" t="str">
        <x:v>Сверить длину ИНН 10/12 цифр с источником</x:v>
      </x:c>
      <x:c r="J1391" t="n">
        <x:f>IF(D1391=1,K1391,0)</x:f>
        <x:v>0</x:v>
      </x:c>
      <x:c r="K1391" t="n">
        <x:f>D1391+K1390</x:f>
        <x:v>17</x:v>
      </x:c>
    </x:row>
    <x:row r="1392">
      <x:c r="A1392" t="str">
        <x:v>Client</x:v>
      </x:c>
      <x:c r="B1392" t="str">
        <x:f>'04_checks'!B200</x:f>
        <x:v>C019</x:v>
      </x:c>
      <x:c r="C1392" t="n">
        <x:v>20</x:v>
      </x:c>
      <x:c r="D1392" t="n">
        <x:f>IF('04_checks'!G200="ERROR",1,0)</x:f>
        <x:v>0</x:v>
      </x:c>
      <x:c r="E1392" t="str">
        <x:v>Client:20:5</x:v>
      </x:c>
      <x:c r="F1392" t="str">
        <x:v>Отрицательная цена</x:v>
      </x:c>
      <x:c r="G1392" t="str">
        <x:v>High</x:v>
      </x:c>
      <x:c r="H1392" t="str">
        <x:v>N/A</x:v>
      </x:c>
      <x:c r="I1392" t="str">
        <x:v>Проверить цену в источнике</x:v>
      </x:c>
      <x:c r="J1392" t="n">
        <x:f>IF(D1392=1,K1392,0)</x:f>
        <x:v>0</x:v>
      </x:c>
      <x:c r="K1392" t="n">
        <x:f>D1392+K1391</x:f>
        <x:v>17</x:v>
      </x:c>
    </x:row>
    <x:row r="1393">
      <x:c r="A1393" t="str">
        <x:v>Client</x:v>
      </x:c>
      <x:c r="B1393" t="str">
        <x:f>'04_checks'!B200</x:f>
        <x:v>C019</x:v>
      </x:c>
      <x:c r="C1393" t="n">
        <x:v>20</x:v>
      </x:c>
      <x:c r="D1393" t="n">
        <x:f>IF('04_checks'!H200="ERROR",1,0)</x:f>
        <x:v>0</x:v>
      </x:c>
      <x:c r="E1393" t="str">
        <x:v>Client:20:6</x:v>
      </x:c>
      <x:c r="F1393" t="str">
        <x:v>Дата</x:v>
      </x:c>
      <x:c r="G1393" t="str">
        <x:v>Medium</x:v>
      </x:c>
      <x:c r="H1393" t="str">
        <x:v>registration_date</x:v>
      </x:c>
      <x:c r="I1393" t="str">
        <x:v>Сверить дату со срезом и исходной записью</x:v>
      </x:c>
      <x:c r="J1393" t="n">
        <x:f>IF(D1393=1,K1393,0)</x:f>
        <x:v>0</x:v>
      </x:c>
      <x:c r="K1393" t="n">
        <x:f>D1393+K1392</x:f>
        <x:v>17</x:v>
      </x:c>
    </x:row>
    <x:row r="1394">
      <x:c r="A1394" t="str">
        <x:v>Client</x:v>
      </x:c>
      <x:c r="B1394" t="str">
        <x:f>'04_checks'!B200</x:f>
        <x:v>C019</x:v>
      </x:c>
      <x:c r="C1394" t="n">
        <x:v>20</x:v>
      </x:c>
      <x:c r="D1394" t="n">
        <x:f>IF('04_checks'!I200="ERROR",1,0)</x:f>
        <x:v>0</x:v>
      </x:c>
      <x:c r="E1394" t="str">
        <x:v>Client:20:7</x:v>
      </x:c>
      <x:c r="F1394" t="str">
        <x:v>Статус</x:v>
      </x:c>
      <x:c r="G1394" t="str">
        <x:v>Medium</x:v>
      </x:c>
      <x:c r="H1394" t="str">
        <x:v>N/A</x:v>
      </x:c>
      <x:c r="I1394" t="str">
        <x:v>Выбрать допустимый статус</x:v>
      </x:c>
      <x:c r="J1394" t="n">
        <x:f>IF(D1394=1,K1394,0)</x:f>
        <x:v>0</x:v>
      </x:c>
      <x:c r="K1394" t="n">
        <x:f>D1394+K1393</x:f>
        <x:v>17</x:v>
      </x:c>
    </x:row>
    <x:row r="1395">
      <x:c r="A1395" t="str">
        <x:v>Client</x:v>
      </x:c>
      <x:c r="B1395" t="str">
        <x:f>'04_checks'!B201</x:f>
        <x:v>C020</x:v>
      </x:c>
      <x:c r="C1395" t="n">
        <x:v>21</x:v>
      </x:c>
      <x:c r="D1395" t="n">
        <x:f>IF('04_checks'!C201="ERROR",1,0)</x:f>
        <x:v>0</x:v>
      </x:c>
      <x:c r="E1395" t="str">
        <x:v>Client:21:1</x:v>
      </x:c>
      <x:c r="F1395" t="str">
        <x:v>Дубль</x:v>
      </x:c>
      <x:c r="G1395" t="str">
        <x:v>High</x:v>
      </x:c>
      <x:c r="H1395" t="str">
        <x:v>client_id</x:v>
      </x:c>
      <x:c r="I1395" t="str">
        <x:v>Проверить уникальность ID в источнике; не удалять записи автоматически</x:v>
      </x:c>
      <x:c r="J1395" t="n">
        <x:f>IF(D1395=1,K1395,0)</x:f>
        <x:v>0</x:v>
      </x:c>
      <x:c r="K1395" t="n">
        <x:f>D1395+K1394</x:f>
        <x:v>17</x:v>
      </x:c>
    </x:row>
    <x:row r="1396">
      <x:c r="A1396" t="str">
        <x:v>Client</x:v>
      </x:c>
      <x:c r="B1396" t="str">
        <x:f>'04_checks'!B201</x:f>
        <x:v>C020</x:v>
      </x:c>
      <x:c r="C1396" t="n">
        <x:v>21</x:v>
      </x:c>
      <x:c r="D1396" t="n">
        <x:f>IF('04_checks'!D201="ERROR",1,0)</x:f>
        <x:v>0</x:v>
      </x:c>
      <x:c r="E1396" t="str">
        <x:v>Client:21:2</x:v>
      </x:c>
      <x:c r="F1396" t="str">
        <x:v>Пустое поле</x:v>
      </x:c>
      <x:c r="G1396" t="str">
        <x:v>High</x:v>
      </x:c>
      <x:c r="H1396" t="str">
        <x:v>required_fields</x:v>
      </x:c>
      <x:c r="I1396" t="str">
        <x:v>Дополнить обязательные поля в источнике</x:v>
      </x:c>
      <x:c r="J1396" t="n">
        <x:f>IF(D1396=1,K1396,0)</x:f>
        <x:v>0</x:v>
      </x:c>
      <x:c r="K1396" t="n">
        <x:f>D1396+K1395</x:f>
        <x:v>17</x:v>
      </x:c>
    </x:row>
    <x:row r="1397">
      <x:c r="A1397" t="str">
        <x:v>Client</x:v>
      </x:c>
      <x:c r="B1397" t="str">
        <x:f>'04_checks'!B201</x:f>
        <x:v>C020</x:v>
      </x:c>
      <x:c r="C1397" t="n">
        <x:v>21</x:v>
      </x:c>
      <x:c r="D1397" t="n">
        <x:f>IF('04_checks'!E201="ERROR",1,0)</x:f>
        <x:v>0</x:v>
      </x:c>
      <x:c r="E1397" t="str">
        <x:v>Client:21:3</x:v>
      </x:c>
      <x:c r="F1397" t="str">
        <x:v>Нет связи</x:v>
      </x:c>
      <x:c r="G1397" t="str">
        <x:v>High</x:v>
      </x:c>
      <x:c r="H1397" t="str">
        <x:v>client_id</x:v>
      </x:c>
      <x:c r="I1397" t="str">
        <x:v>Исправить ссылку или разрешить дубли связанного ID</x:v>
      </x:c>
      <x:c r="J1397" t="n">
        <x:f>IF(D1397=1,K1397,0)</x:f>
        <x:v>0</x:v>
      </x:c>
      <x:c r="K1397" t="n">
        <x:f>D1397+K1396</x:f>
        <x:v>17</x:v>
      </x:c>
    </x:row>
    <x:row r="1398">
      <x:c r="A1398" t="str">
        <x:v>Client</x:v>
      </x:c>
      <x:c r="B1398" t="str">
        <x:f>'04_checks'!B201</x:f>
        <x:v>C020</x:v>
      </x:c>
      <x:c r="C1398" t="n">
        <x:v>21</x:v>
      </x:c>
      <x:c r="D1398" t="n">
        <x:f>IF('04_checks'!F201="ERROR",1,0)</x:f>
        <x:v>0</x:v>
      </x:c>
      <x:c r="E1398" t="str">
        <x:v>Client:21:4</x:v>
      </x:c>
      <x:c r="F1398" t="str">
        <x:v>Формат ИНН</x:v>
      </x:c>
      <x:c r="G1398" t="str">
        <x:v>High</x:v>
      </x:c>
      <x:c r="H1398" t="str">
        <x:v>inn</x:v>
      </x:c>
      <x:c r="I1398" t="str">
        <x:v>Сверить длину ИНН 10/12 цифр с источником</x:v>
      </x:c>
      <x:c r="J1398" t="n">
        <x:f>IF(D1398=1,K1398,0)</x:f>
        <x:v>0</x:v>
      </x:c>
      <x:c r="K1398" t="n">
        <x:f>D1398+K1397</x:f>
        <x:v>17</x:v>
      </x:c>
    </x:row>
    <x:row r="1399">
      <x:c r="A1399" t="str">
        <x:v>Client</x:v>
      </x:c>
      <x:c r="B1399" t="str">
        <x:f>'04_checks'!B201</x:f>
        <x:v>C020</x:v>
      </x:c>
      <x:c r="C1399" t="n">
        <x:v>21</x:v>
      </x:c>
      <x:c r="D1399" t="n">
        <x:f>IF('04_checks'!G201="ERROR",1,0)</x:f>
        <x:v>0</x:v>
      </x:c>
      <x:c r="E1399" t="str">
        <x:v>Client:21:5</x:v>
      </x:c>
      <x:c r="F1399" t="str">
        <x:v>Отрицательная цена</x:v>
      </x:c>
      <x:c r="G1399" t="str">
        <x:v>High</x:v>
      </x:c>
      <x:c r="H1399" t="str">
        <x:v>N/A</x:v>
      </x:c>
      <x:c r="I1399" t="str">
        <x:v>Проверить цену в источнике</x:v>
      </x:c>
      <x:c r="J1399" t="n">
        <x:f>IF(D1399=1,K1399,0)</x:f>
        <x:v>0</x:v>
      </x:c>
      <x:c r="K1399" t="n">
        <x:f>D1399+K1398</x:f>
        <x:v>17</x:v>
      </x:c>
    </x:row>
    <x:row r="1400">
      <x:c r="A1400" t="str">
        <x:v>Client</x:v>
      </x:c>
      <x:c r="B1400" t="str">
        <x:f>'04_checks'!B201</x:f>
        <x:v>C020</x:v>
      </x:c>
      <x:c r="C1400" t="n">
        <x:v>21</x:v>
      </x:c>
      <x:c r="D1400" t="n">
        <x:f>IF('04_checks'!H201="ERROR",1,0)</x:f>
        <x:v>0</x:v>
      </x:c>
      <x:c r="E1400" t="str">
        <x:v>Client:21:6</x:v>
      </x:c>
      <x:c r="F1400" t="str">
        <x:v>Дата</x:v>
      </x:c>
      <x:c r="G1400" t="str">
        <x:v>Medium</x:v>
      </x:c>
      <x:c r="H1400" t="str">
        <x:v>registration_date</x:v>
      </x:c>
      <x:c r="I1400" t="str">
        <x:v>Сверить дату со срезом и исходной записью</x:v>
      </x:c>
      <x:c r="J1400" t="n">
        <x:f>IF(D1400=1,K1400,0)</x:f>
        <x:v>0</x:v>
      </x:c>
      <x:c r="K1400" t="n">
        <x:f>D1400+K1399</x:f>
        <x:v>17</x:v>
      </x:c>
    </x:row>
    <x:row r="1401">
      <x:c r="A1401" t="str">
        <x:v>Client</x:v>
      </x:c>
      <x:c r="B1401" t="str">
        <x:f>'04_checks'!B201</x:f>
        <x:v>C020</x:v>
      </x:c>
      <x:c r="C1401" t="n">
        <x:v>21</x:v>
      </x:c>
      <x:c r="D1401" t="n">
        <x:f>IF('04_checks'!I201="ERROR",1,0)</x:f>
        <x:v>0</x:v>
      </x:c>
      <x:c r="E1401" t="str">
        <x:v>Client:21:7</x:v>
      </x:c>
      <x:c r="F1401" t="str">
        <x:v>Статус</x:v>
      </x:c>
      <x:c r="G1401" t="str">
        <x:v>Medium</x:v>
      </x:c>
      <x:c r="H1401" t="str">
        <x:v>N/A</x:v>
      </x:c>
      <x:c r="I1401" t="str">
        <x:v>Выбрать допустимый статус</x:v>
      </x:c>
      <x:c r="J1401" t="n">
        <x:f>IF(D1401=1,K1401,0)</x:f>
        <x:v>0</x:v>
      </x:c>
      <x:c r="K1401" t="n">
        <x:f>D1401+K1400</x:f>
        <x:v>17</x:v>
      </x:c>
    </x:row>
    <x:row r="1402">
      <x:c r="A1402" t="str">
        <x:v>Client</x:v>
      </x:c>
      <x:c r="B1402" t="str">
        <x:f>'04_checks'!B202</x:f>
        <x:v>C021</x:v>
      </x:c>
      <x:c r="C1402" t="n">
        <x:v>22</x:v>
      </x:c>
      <x:c r="D1402" t="n">
        <x:f>IF('04_checks'!C202="ERROR",1,0)</x:f>
        <x:v>0</x:v>
      </x:c>
      <x:c r="E1402" t="str">
        <x:v>Client:22:1</x:v>
      </x:c>
      <x:c r="F1402" t="str">
        <x:v>Дубль</x:v>
      </x:c>
      <x:c r="G1402" t="str">
        <x:v>High</x:v>
      </x:c>
      <x:c r="H1402" t="str">
        <x:v>client_id</x:v>
      </x:c>
      <x:c r="I1402" t="str">
        <x:v>Проверить уникальность ID в источнике; не удалять записи автоматически</x:v>
      </x:c>
      <x:c r="J1402" t="n">
        <x:f>IF(D1402=1,K1402,0)</x:f>
        <x:v>0</x:v>
      </x:c>
      <x:c r="K1402" t="n">
        <x:f>D1402+K1401</x:f>
        <x:v>17</x:v>
      </x:c>
    </x:row>
    <x:row r="1403">
      <x:c r="A1403" t="str">
        <x:v>Client</x:v>
      </x:c>
      <x:c r="B1403" t="str">
        <x:f>'04_checks'!B202</x:f>
        <x:v>C021</x:v>
      </x:c>
      <x:c r="C1403" t="n">
        <x:v>22</x:v>
      </x:c>
      <x:c r="D1403" t="n">
        <x:f>IF('04_checks'!D202="ERROR",1,0)</x:f>
        <x:v>0</x:v>
      </x:c>
      <x:c r="E1403" t="str">
        <x:v>Client:22:2</x:v>
      </x:c>
      <x:c r="F1403" t="str">
        <x:v>Пустое поле</x:v>
      </x:c>
      <x:c r="G1403" t="str">
        <x:v>High</x:v>
      </x:c>
      <x:c r="H1403" t="str">
        <x:v>required_fields</x:v>
      </x:c>
      <x:c r="I1403" t="str">
        <x:v>Дополнить обязательные поля в источнике</x:v>
      </x:c>
      <x:c r="J1403" t="n">
        <x:f>IF(D1403=1,K1403,0)</x:f>
        <x:v>0</x:v>
      </x:c>
      <x:c r="K1403" t="n">
        <x:f>D1403+K1402</x:f>
        <x:v>17</x:v>
      </x:c>
    </x:row>
    <x:row r="1404">
      <x:c r="A1404" t="str">
        <x:v>Client</x:v>
      </x:c>
      <x:c r="B1404" t="str">
        <x:f>'04_checks'!B202</x:f>
        <x:v>C021</x:v>
      </x:c>
      <x:c r="C1404" t="n">
        <x:v>22</x:v>
      </x:c>
      <x:c r="D1404" t="n">
        <x:f>IF('04_checks'!E202="ERROR",1,0)</x:f>
        <x:v>0</x:v>
      </x:c>
      <x:c r="E1404" t="str">
        <x:v>Client:22:3</x:v>
      </x:c>
      <x:c r="F1404" t="str">
        <x:v>Нет связи</x:v>
      </x:c>
      <x:c r="G1404" t="str">
        <x:v>High</x:v>
      </x:c>
      <x:c r="H1404" t="str">
        <x:v>client_id</x:v>
      </x:c>
      <x:c r="I1404" t="str">
        <x:v>Исправить ссылку или разрешить дубли связанного ID</x:v>
      </x:c>
      <x:c r="J1404" t="n">
        <x:f>IF(D1404=1,K1404,0)</x:f>
        <x:v>0</x:v>
      </x:c>
      <x:c r="K1404" t="n">
        <x:f>D1404+K1403</x:f>
        <x:v>17</x:v>
      </x:c>
    </x:row>
    <x:row r="1405">
      <x:c r="A1405" t="str">
        <x:v>Client</x:v>
      </x:c>
      <x:c r="B1405" t="str">
        <x:f>'04_checks'!B202</x:f>
        <x:v>C021</x:v>
      </x:c>
      <x:c r="C1405" t="n">
        <x:v>22</x:v>
      </x:c>
      <x:c r="D1405" t="n">
        <x:f>IF('04_checks'!F202="ERROR",1,0)</x:f>
        <x:v>0</x:v>
      </x:c>
      <x:c r="E1405" t="str">
        <x:v>Client:22:4</x:v>
      </x:c>
      <x:c r="F1405" t="str">
        <x:v>Формат ИНН</x:v>
      </x:c>
      <x:c r="G1405" t="str">
        <x:v>High</x:v>
      </x:c>
      <x:c r="H1405" t="str">
        <x:v>inn</x:v>
      </x:c>
      <x:c r="I1405" t="str">
        <x:v>Сверить длину ИНН 10/12 цифр с источником</x:v>
      </x:c>
      <x:c r="J1405" t="n">
        <x:f>IF(D1405=1,K1405,0)</x:f>
        <x:v>0</x:v>
      </x:c>
      <x:c r="K1405" t="n">
        <x:f>D1405+K1404</x:f>
        <x:v>17</x:v>
      </x:c>
    </x:row>
    <x:row r="1406">
      <x:c r="A1406" t="str">
        <x:v>Client</x:v>
      </x:c>
      <x:c r="B1406" t="str">
        <x:f>'04_checks'!B202</x:f>
        <x:v>C021</x:v>
      </x:c>
      <x:c r="C1406" t="n">
        <x:v>22</x:v>
      </x:c>
      <x:c r="D1406" t="n">
        <x:f>IF('04_checks'!G202="ERROR",1,0)</x:f>
        <x:v>0</x:v>
      </x:c>
      <x:c r="E1406" t="str">
        <x:v>Client:22:5</x:v>
      </x:c>
      <x:c r="F1406" t="str">
        <x:v>Отрицательная цена</x:v>
      </x:c>
      <x:c r="G1406" t="str">
        <x:v>High</x:v>
      </x:c>
      <x:c r="H1406" t="str">
        <x:v>N/A</x:v>
      </x:c>
      <x:c r="I1406" t="str">
        <x:v>Проверить цену в источнике</x:v>
      </x:c>
      <x:c r="J1406" t="n">
        <x:f>IF(D1406=1,K1406,0)</x:f>
        <x:v>0</x:v>
      </x:c>
      <x:c r="K1406" t="n">
        <x:f>D1406+K1405</x:f>
        <x:v>17</x:v>
      </x:c>
    </x:row>
    <x:row r="1407">
      <x:c r="A1407" t="str">
        <x:v>Client</x:v>
      </x:c>
      <x:c r="B1407" t="str">
        <x:f>'04_checks'!B202</x:f>
        <x:v>C021</x:v>
      </x:c>
      <x:c r="C1407" t="n">
        <x:v>22</x:v>
      </x:c>
      <x:c r="D1407" t="n">
        <x:f>IF('04_checks'!H202="ERROR",1,0)</x:f>
        <x:v>0</x:v>
      </x:c>
      <x:c r="E1407" t="str">
        <x:v>Client:22:6</x:v>
      </x:c>
      <x:c r="F1407" t="str">
        <x:v>Дата</x:v>
      </x:c>
      <x:c r="G1407" t="str">
        <x:v>Medium</x:v>
      </x:c>
      <x:c r="H1407" t="str">
        <x:v>registration_date</x:v>
      </x:c>
      <x:c r="I1407" t="str">
        <x:v>Сверить дату со срезом и исходной записью</x:v>
      </x:c>
      <x:c r="J1407" t="n">
        <x:f>IF(D1407=1,K1407,0)</x:f>
        <x:v>0</x:v>
      </x:c>
      <x:c r="K1407" t="n">
        <x:f>D1407+K1406</x:f>
        <x:v>17</x:v>
      </x:c>
    </x:row>
    <x:row r="1408">
      <x:c r="A1408" t="str">
        <x:v>Client</x:v>
      </x:c>
      <x:c r="B1408" t="str">
        <x:f>'04_checks'!B202</x:f>
        <x:v>C021</x:v>
      </x:c>
      <x:c r="C1408" t="n">
        <x:v>22</x:v>
      </x:c>
      <x:c r="D1408" t="n">
        <x:f>IF('04_checks'!I202="ERROR",1,0)</x:f>
        <x:v>0</x:v>
      </x:c>
      <x:c r="E1408" t="str">
        <x:v>Client:22:7</x:v>
      </x:c>
      <x:c r="F1408" t="str">
        <x:v>Статус</x:v>
      </x:c>
      <x:c r="G1408" t="str">
        <x:v>Medium</x:v>
      </x:c>
      <x:c r="H1408" t="str">
        <x:v>N/A</x:v>
      </x:c>
      <x:c r="I1408" t="str">
        <x:v>Выбрать допустимый статус</x:v>
      </x:c>
      <x:c r="J1408" t="n">
        <x:f>IF(D1408=1,K1408,0)</x:f>
        <x:v>0</x:v>
      </x:c>
      <x:c r="K1408" t="n">
        <x:f>D1408+K1407</x:f>
        <x:v>17</x:v>
      </x:c>
    </x:row>
    <x:row r="1409">
      <x:c r="A1409" t="str">
        <x:v>Client</x:v>
      </x:c>
      <x:c r="B1409" t="str">
        <x:f>'04_checks'!B203</x:f>
        <x:v>C022</x:v>
      </x:c>
      <x:c r="C1409" t="n">
        <x:v>23</x:v>
      </x:c>
      <x:c r="D1409" t="n">
        <x:f>IF('04_checks'!C203="ERROR",1,0)</x:f>
        <x:v>0</x:v>
      </x:c>
      <x:c r="E1409" t="str">
        <x:v>Client:23:1</x:v>
      </x:c>
      <x:c r="F1409" t="str">
        <x:v>Дубль</x:v>
      </x:c>
      <x:c r="G1409" t="str">
        <x:v>High</x:v>
      </x:c>
      <x:c r="H1409" t="str">
        <x:v>client_id</x:v>
      </x:c>
      <x:c r="I1409" t="str">
        <x:v>Проверить уникальность ID в источнике; не удалять записи автоматически</x:v>
      </x:c>
      <x:c r="J1409" t="n">
        <x:f>IF(D1409=1,K1409,0)</x:f>
        <x:v>0</x:v>
      </x:c>
      <x:c r="K1409" t="n">
        <x:f>D1409+K1408</x:f>
        <x:v>17</x:v>
      </x:c>
    </x:row>
    <x:row r="1410">
      <x:c r="A1410" t="str">
        <x:v>Client</x:v>
      </x:c>
      <x:c r="B1410" t="str">
        <x:f>'04_checks'!B203</x:f>
        <x:v>C022</x:v>
      </x:c>
      <x:c r="C1410" t="n">
        <x:v>23</x:v>
      </x:c>
      <x:c r="D1410" t="n">
        <x:f>IF('04_checks'!D203="ERROR",1,0)</x:f>
        <x:v>0</x:v>
      </x:c>
      <x:c r="E1410" t="str">
        <x:v>Client:23:2</x:v>
      </x:c>
      <x:c r="F1410" t="str">
        <x:v>Пустое поле</x:v>
      </x:c>
      <x:c r="G1410" t="str">
        <x:v>High</x:v>
      </x:c>
      <x:c r="H1410" t="str">
        <x:v>required_fields</x:v>
      </x:c>
      <x:c r="I1410" t="str">
        <x:v>Дополнить обязательные поля в источнике</x:v>
      </x:c>
      <x:c r="J1410" t="n">
        <x:f>IF(D1410=1,K1410,0)</x:f>
        <x:v>0</x:v>
      </x:c>
      <x:c r="K1410" t="n">
        <x:f>D1410+K1409</x:f>
        <x:v>17</x:v>
      </x:c>
    </x:row>
    <x:row r="1411">
      <x:c r="A1411" t="str">
        <x:v>Client</x:v>
      </x:c>
      <x:c r="B1411" t="str">
        <x:f>'04_checks'!B203</x:f>
        <x:v>C022</x:v>
      </x:c>
      <x:c r="C1411" t="n">
        <x:v>23</x:v>
      </x:c>
      <x:c r="D1411" t="n">
        <x:f>IF('04_checks'!E203="ERROR",1,0)</x:f>
        <x:v>0</x:v>
      </x:c>
      <x:c r="E1411" t="str">
        <x:v>Client:23:3</x:v>
      </x:c>
      <x:c r="F1411" t="str">
        <x:v>Нет связи</x:v>
      </x:c>
      <x:c r="G1411" t="str">
        <x:v>High</x:v>
      </x:c>
      <x:c r="H1411" t="str">
        <x:v>client_id</x:v>
      </x:c>
      <x:c r="I1411" t="str">
        <x:v>Исправить ссылку или разрешить дубли связанного ID</x:v>
      </x:c>
      <x:c r="J1411" t="n">
        <x:f>IF(D1411=1,K1411,0)</x:f>
        <x:v>0</x:v>
      </x:c>
      <x:c r="K1411" t="n">
        <x:f>D1411+K1410</x:f>
        <x:v>17</x:v>
      </x:c>
    </x:row>
    <x:row r="1412">
      <x:c r="A1412" t="str">
        <x:v>Client</x:v>
      </x:c>
      <x:c r="B1412" t="str">
        <x:f>'04_checks'!B203</x:f>
        <x:v>C022</x:v>
      </x:c>
      <x:c r="C1412" t="n">
        <x:v>23</x:v>
      </x:c>
      <x:c r="D1412" t="n">
        <x:f>IF('04_checks'!F203="ERROR",1,0)</x:f>
        <x:v>0</x:v>
      </x:c>
      <x:c r="E1412" t="str">
        <x:v>Client:23:4</x:v>
      </x:c>
      <x:c r="F1412" t="str">
        <x:v>Формат ИНН</x:v>
      </x:c>
      <x:c r="G1412" t="str">
        <x:v>High</x:v>
      </x:c>
      <x:c r="H1412" t="str">
        <x:v>inn</x:v>
      </x:c>
      <x:c r="I1412" t="str">
        <x:v>Сверить длину ИНН 10/12 цифр с источником</x:v>
      </x:c>
      <x:c r="J1412" t="n">
        <x:f>IF(D1412=1,K1412,0)</x:f>
        <x:v>0</x:v>
      </x:c>
      <x:c r="K1412" t="n">
        <x:f>D1412+K1411</x:f>
        <x:v>17</x:v>
      </x:c>
    </x:row>
    <x:row r="1413">
      <x:c r="A1413" t="str">
        <x:v>Client</x:v>
      </x:c>
      <x:c r="B1413" t="str">
        <x:f>'04_checks'!B203</x:f>
        <x:v>C022</x:v>
      </x:c>
      <x:c r="C1413" t="n">
        <x:v>23</x:v>
      </x:c>
      <x:c r="D1413" t="n">
        <x:f>IF('04_checks'!G203="ERROR",1,0)</x:f>
        <x:v>0</x:v>
      </x:c>
      <x:c r="E1413" t="str">
        <x:v>Client:23:5</x:v>
      </x:c>
      <x:c r="F1413" t="str">
        <x:v>Отрицательная цена</x:v>
      </x:c>
      <x:c r="G1413" t="str">
        <x:v>High</x:v>
      </x:c>
      <x:c r="H1413" t="str">
        <x:v>N/A</x:v>
      </x:c>
      <x:c r="I1413" t="str">
        <x:v>Проверить цену в источнике</x:v>
      </x:c>
      <x:c r="J1413" t="n">
        <x:f>IF(D1413=1,K1413,0)</x:f>
        <x:v>0</x:v>
      </x:c>
      <x:c r="K1413" t="n">
        <x:f>D1413+K1412</x:f>
        <x:v>17</x:v>
      </x:c>
    </x:row>
    <x:row r="1414">
      <x:c r="A1414" t="str">
        <x:v>Client</x:v>
      </x:c>
      <x:c r="B1414" t="str">
        <x:f>'04_checks'!B203</x:f>
        <x:v>C022</x:v>
      </x:c>
      <x:c r="C1414" t="n">
        <x:v>23</x:v>
      </x:c>
      <x:c r="D1414" t="n">
        <x:f>IF('04_checks'!H203="ERROR",1,0)</x:f>
        <x:v>0</x:v>
      </x:c>
      <x:c r="E1414" t="str">
        <x:v>Client:23:6</x:v>
      </x:c>
      <x:c r="F1414" t="str">
        <x:v>Дата</x:v>
      </x:c>
      <x:c r="G1414" t="str">
        <x:v>Medium</x:v>
      </x:c>
      <x:c r="H1414" t="str">
        <x:v>registration_date</x:v>
      </x:c>
      <x:c r="I1414" t="str">
        <x:v>Сверить дату со срезом и исходной записью</x:v>
      </x:c>
      <x:c r="J1414" t="n">
        <x:f>IF(D1414=1,K1414,0)</x:f>
        <x:v>0</x:v>
      </x:c>
      <x:c r="K1414" t="n">
        <x:f>D1414+K1413</x:f>
        <x:v>17</x:v>
      </x:c>
    </x:row>
    <x:row r="1415">
      <x:c r="A1415" t="str">
        <x:v>Client</x:v>
      </x:c>
      <x:c r="B1415" t="str">
        <x:f>'04_checks'!B203</x:f>
        <x:v>C022</x:v>
      </x:c>
      <x:c r="C1415" t="n">
        <x:v>23</x:v>
      </x:c>
      <x:c r="D1415" t="n">
        <x:f>IF('04_checks'!I203="ERROR",1,0)</x:f>
        <x:v>0</x:v>
      </x:c>
      <x:c r="E1415" t="str">
        <x:v>Client:23:7</x:v>
      </x:c>
      <x:c r="F1415" t="str">
        <x:v>Статус</x:v>
      </x:c>
      <x:c r="G1415" t="str">
        <x:v>Medium</x:v>
      </x:c>
      <x:c r="H1415" t="str">
        <x:v>N/A</x:v>
      </x:c>
      <x:c r="I1415" t="str">
        <x:v>Выбрать допустимый статус</x:v>
      </x:c>
      <x:c r="J1415" t="n">
        <x:f>IF(D1415=1,K1415,0)</x:f>
        <x:v>0</x:v>
      </x:c>
      <x:c r="K1415" t="n">
        <x:f>D1415+K1414</x:f>
        <x:v>17</x:v>
      </x:c>
    </x:row>
    <x:row r="1416">
      <x:c r="A1416" t="str">
        <x:v>Client</x:v>
      </x:c>
      <x:c r="B1416" t="str">
        <x:f>'04_checks'!B204</x:f>
        <x:v>C023</x:v>
      </x:c>
      <x:c r="C1416" t="n">
        <x:v>24</x:v>
      </x:c>
      <x:c r="D1416" t="n">
        <x:f>IF('04_checks'!C204="ERROR",1,0)</x:f>
        <x:v>0</x:v>
      </x:c>
      <x:c r="E1416" t="str">
        <x:v>Client:24:1</x:v>
      </x:c>
      <x:c r="F1416" t="str">
        <x:v>Дубль</x:v>
      </x:c>
      <x:c r="G1416" t="str">
        <x:v>High</x:v>
      </x:c>
      <x:c r="H1416" t="str">
        <x:v>client_id</x:v>
      </x:c>
      <x:c r="I1416" t="str">
        <x:v>Проверить уникальность ID в источнике; не удалять записи автоматически</x:v>
      </x:c>
      <x:c r="J1416" t="n">
        <x:f>IF(D1416=1,K1416,0)</x:f>
        <x:v>0</x:v>
      </x:c>
      <x:c r="K1416" t="n">
        <x:f>D1416+K1415</x:f>
        <x:v>17</x:v>
      </x:c>
    </x:row>
    <x:row r="1417">
      <x:c r="A1417" t="str">
        <x:v>Client</x:v>
      </x:c>
      <x:c r="B1417" t="str">
        <x:f>'04_checks'!B204</x:f>
        <x:v>C023</x:v>
      </x:c>
      <x:c r="C1417" t="n">
        <x:v>24</x:v>
      </x:c>
      <x:c r="D1417" t="n">
        <x:f>IF('04_checks'!D204="ERROR",1,0)</x:f>
        <x:v>0</x:v>
      </x:c>
      <x:c r="E1417" t="str">
        <x:v>Client:24:2</x:v>
      </x:c>
      <x:c r="F1417" t="str">
        <x:v>Пустое поле</x:v>
      </x:c>
      <x:c r="G1417" t="str">
        <x:v>High</x:v>
      </x:c>
      <x:c r="H1417" t="str">
        <x:v>required_fields</x:v>
      </x:c>
      <x:c r="I1417" t="str">
        <x:v>Дополнить обязательные поля в источнике</x:v>
      </x:c>
      <x:c r="J1417" t="n">
        <x:f>IF(D1417=1,K1417,0)</x:f>
        <x:v>0</x:v>
      </x:c>
      <x:c r="K1417" t="n">
        <x:f>D1417+K1416</x:f>
        <x:v>17</x:v>
      </x:c>
    </x:row>
    <x:row r="1418">
      <x:c r="A1418" t="str">
        <x:v>Client</x:v>
      </x:c>
      <x:c r="B1418" t="str">
        <x:f>'04_checks'!B204</x:f>
        <x:v>C023</x:v>
      </x:c>
      <x:c r="C1418" t="n">
        <x:v>24</x:v>
      </x:c>
      <x:c r="D1418" t="n">
        <x:f>IF('04_checks'!E204="ERROR",1,0)</x:f>
        <x:v>0</x:v>
      </x:c>
      <x:c r="E1418" t="str">
        <x:v>Client:24:3</x:v>
      </x:c>
      <x:c r="F1418" t="str">
        <x:v>Нет связи</x:v>
      </x:c>
      <x:c r="G1418" t="str">
        <x:v>High</x:v>
      </x:c>
      <x:c r="H1418" t="str">
        <x:v>client_id</x:v>
      </x:c>
      <x:c r="I1418" t="str">
        <x:v>Исправить ссылку или разрешить дубли связанного ID</x:v>
      </x:c>
      <x:c r="J1418" t="n">
        <x:f>IF(D1418=1,K1418,0)</x:f>
        <x:v>0</x:v>
      </x:c>
      <x:c r="K1418" t="n">
        <x:f>D1418+K1417</x:f>
        <x:v>17</x:v>
      </x:c>
    </x:row>
    <x:row r="1419">
      <x:c r="A1419" t="str">
        <x:v>Client</x:v>
      </x:c>
      <x:c r="B1419" t="str">
        <x:f>'04_checks'!B204</x:f>
        <x:v>C023</x:v>
      </x:c>
      <x:c r="C1419" t="n">
        <x:v>24</x:v>
      </x:c>
      <x:c r="D1419" t="n">
        <x:f>IF('04_checks'!F204="ERROR",1,0)</x:f>
        <x:v>0</x:v>
      </x:c>
      <x:c r="E1419" t="str">
        <x:v>Client:24:4</x:v>
      </x:c>
      <x:c r="F1419" t="str">
        <x:v>Формат ИНН</x:v>
      </x:c>
      <x:c r="G1419" t="str">
        <x:v>High</x:v>
      </x:c>
      <x:c r="H1419" t="str">
        <x:v>inn</x:v>
      </x:c>
      <x:c r="I1419" t="str">
        <x:v>Сверить длину ИНН 10/12 цифр с источником</x:v>
      </x:c>
      <x:c r="J1419" t="n">
        <x:f>IF(D1419=1,K1419,0)</x:f>
        <x:v>0</x:v>
      </x:c>
      <x:c r="K1419" t="n">
        <x:f>D1419+K1418</x:f>
        <x:v>17</x:v>
      </x:c>
    </x:row>
    <x:row r="1420">
      <x:c r="A1420" t="str">
        <x:v>Client</x:v>
      </x:c>
      <x:c r="B1420" t="str">
        <x:f>'04_checks'!B204</x:f>
        <x:v>C023</x:v>
      </x:c>
      <x:c r="C1420" t="n">
        <x:v>24</x:v>
      </x:c>
      <x:c r="D1420" t="n">
        <x:f>IF('04_checks'!G204="ERROR",1,0)</x:f>
        <x:v>0</x:v>
      </x:c>
      <x:c r="E1420" t="str">
        <x:v>Client:24:5</x:v>
      </x:c>
      <x:c r="F1420" t="str">
        <x:v>Отрицательная цена</x:v>
      </x:c>
      <x:c r="G1420" t="str">
        <x:v>High</x:v>
      </x:c>
      <x:c r="H1420" t="str">
        <x:v>N/A</x:v>
      </x:c>
      <x:c r="I1420" t="str">
        <x:v>Проверить цену в источнике</x:v>
      </x:c>
      <x:c r="J1420" t="n">
        <x:f>IF(D1420=1,K1420,0)</x:f>
        <x:v>0</x:v>
      </x:c>
      <x:c r="K1420" t="n">
        <x:f>D1420+K1419</x:f>
        <x:v>17</x:v>
      </x:c>
    </x:row>
    <x:row r="1421">
      <x:c r="A1421" t="str">
        <x:v>Client</x:v>
      </x:c>
      <x:c r="B1421" t="str">
        <x:f>'04_checks'!B204</x:f>
        <x:v>C023</x:v>
      </x:c>
      <x:c r="C1421" t="n">
        <x:v>24</x:v>
      </x:c>
      <x:c r="D1421" t="n">
        <x:f>IF('04_checks'!H204="ERROR",1,0)</x:f>
        <x:v>0</x:v>
      </x:c>
      <x:c r="E1421" t="str">
        <x:v>Client:24:6</x:v>
      </x:c>
      <x:c r="F1421" t="str">
        <x:v>Дата</x:v>
      </x:c>
      <x:c r="G1421" t="str">
        <x:v>Medium</x:v>
      </x:c>
      <x:c r="H1421" t="str">
        <x:v>registration_date</x:v>
      </x:c>
      <x:c r="I1421" t="str">
        <x:v>Сверить дату со срезом и исходной записью</x:v>
      </x:c>
      <x:c r="J1421" t="n">
        <x:f>IF(D1421=1,K1421,0)</x:f>
        <x:v>0</x:v>
      </x:c>
      <x:c r="K1421" t="n">
        <x:f>D1421+K1420</x:f>
        <x:v>17</x:v>
      </x:c>
    </x:row>
    <x:row r="1422">
      <x:c r="A1422" t="str">
        <x:v>Client</x:v>
      </x:c>
      <x:c r="B1422" t="str">
        <x:f>'04_checks'!B204</x:f>
        <x:v>C023</x:v>
      </x:c>
      <x:c r="C1422" t="n">
        <x:v>24</x:v>
      </x:c>
      <x:c r="D1422" t="n">
        <x:f>IF('04_checks'!I204="ERROR",1,0)</x:f>
        <x:v>0</x:v>
      </x:c>
      <x:c r="E1422" t="str">
        <x:v>Client:24:7</x:v>
      </x:c>
      <x:c r="F1422" t="str">
        <x:v>Статус</x:v>
      </x:c>
      <x:c r="G1422" t="str">
        <x:v>Medium</x:v>
      </x:c>
      <x:c r="H1422" t="str">
        <x:v>N/A</x:v>
      </x:c>
      <x:c r="I1422" t="str">
        <x:v>Выбрать допустимый статус</x:v>
      </x:c>
      <x:c r="J1422" t="n">
        <x:f>IF(D1422=1,K1422,0)</x:f>
        <x:v>0</x:v>
      </x:c>
      <x:c r="K1422" t="n">
        <x:f>D1422+K1421</x:f>
        <x:v>17</x:v>
      </x:c>
    </x:row>
    <x:row r="1423">
      <x:c r="A1423" t="str">
        <x:v>Client</x:v>
      </x:c>
      <x:c r="B1423" t="str">
        <x:f>'04_checks'!B205</x:f>
        <x:v>C024</x:v>
      </x:c>
      <x:c r="C1423" t="n">
        <x:v>25</x:v>
      </x:c>
      <x:c r="D1423" t="n">
        <x:f>IF('04_checks'!C205="ERROR",1,0)</x:f>
        <x:v>0</x:v>
      </x:c>
      <x:c r="E1423" t="str">
        <x:v>Client:25:1</x:v>
      </x:c>
      <x:c r="F1423" t="str">
        <x:v>Дубль</x:v>
      </x:c>
      <x:c r="G1423" t="str">
        <x:v>High</x:v>
      </x:c>
      <x:c r="H1423" t="str">
        <x:v>client_id</x:v>
      </x:c>
      <x:c r="I1423" t="str">
        <x:v>Проверить уникальность ID в источнике; не удалять записи автоматически</x:v>
      </x:c>
      <x:c r="J1423" t="n">
        <x:f>IF(D1423=1,K1423,0)</x:f>
        <x:v>0</x:v>
      </x:c>
      <x:c r="K1423" t="n">
        <x:f>D1423+K1422</x:f>
        <x:v>17</x:v>
      </x:c>
    </x:row>
    <x:row r="1424">
      <x:c r="A1424" t="str">
        <x:v>Client</x:v>
      </x:c>
      <x:c r="B1424" t="str">
        <x:f>'04_checks'!B205</x:f>
        <x:v>C024</x:v>
      </x:c>
      <x:c r="C1424" t="n">
        <x:v>25</x:v>
      </x:c>
      <x:c r="D1424" t="n">
        <x:f>IF('04_checks'!D205="ERROR",1,0)</x:f>
        <x:v>0</x:v>
      </x:c>
      <x:c r="E1424" t="str">
        <x:v>Client:25:2</x:v>
      </x:c>
      <x:c r="F1424" t="str">
        <x:v>Пустое поле</x:v>
      </x:c>
      <x:c r="G1424" t="str">
        <x:v>High</x:v>
      </x:c>
      <x:c r="H1424" t="str">
        <x:v>required_fields</x:v>
      </x:c>
      <x:c r="I1424" t="str">
        <x:v>Дополнить обязательные поля в источнике</x:v>
      </x:c>
      <x:c r="J1424" t="n">
        <x:f>IF(D1424=1,K1424,0)</x:f>
        <x:v>0</x:v>
      </x:c>
      <x:c r="K1424" t="n">
        <x:f>D1424+K1423</x:f>
        <x:v>17</x:v>
      </x:c>
    </x:row>
    <x:row r="1425">
      <x:c r="A1425" t="str">
        <x:v>Client</x:v>
      </x:c>
      <x:c r="B1425" t="str">
        <x:f>'04_checks'!B205</x:f>
        <x:v>C024</x:v>
      </x:c>
      <x:c r="C1425" t="n">
        <x:v>25</x:v>
      </x:c>
      <x:c r="D1425" t="n">
        <x:f>IF('04_checks'!E205="ERROR",1,0)</x:f>
        <x:v>0</x:v>
      </x:c>
      <x:c r="E1425" t="str">
        <x:v>Client:25:3</x:v>
      </x:c>
      <x:c r="F1425" t="str">
        <x:v>Нет связи</x:v>
      </x:c>
      <x:c r="G1425" t="str">
        <x:v>High</x:v>
      </x:c>
      <x:c r="H1425" t="str">
        <x:v>client_id</x:v>
      </x:c>
      <x:c r="I1425" t="str">
        <x:v>Исправить ссылку или разрешить дубли связанного ID</x:v>
      </x:c>
      <x:c r="J1425" t="n">
        <x:f>IF(D1425=1,K1425,0)</x:f>
        <x:v>0</x:v>
      </x:c>
      <x:c r="K1425" t="n">
        <x:f>D1425+K1424</x:f>
        <x:v>17</x:v>
      </x:c>
    </x:row>
    <x:row r="1426">
      <x:c r="A1426" t="str">
        <x:v>Client</x:v>
      </x:c>
      <x:c r="B1426" t="str">
        <x:f>'04_checks'!B205</x:f>
        <x:v>C024</x:v>
      </x:c>
      <x:c r="C1426" t="n">
        <x:v>25</x:v>
      </x:c>
      <x:c r="D1426" t="n">
        <x:f>IF('04_checks'!F205="ERROR",1,0)</x:f>
        <x:v>0</x:v>
      </x:c>
      <x:c r="E1426" t="str">
        <x:v>Client:25:4</x:v>
      </x:c>
      <x:c r="F1426" t="str">
        <x:v>Формат ИНН</x:v>
      </x:c>
      <x:c r="G1426" t="str">
        <x:v>High</x:v>
      </x:c>
      <x:c r="H1426" t="str">
        <x:v>inn</x:v>
      </x:c>
      <x:c r="I1426" t="str">
        <x:v>Сверить длину ИНН 10/12 цифр с источником</x:v>
      </x:c>
      <x:c r="J1426" t="n">
        <x:f>IF(D1426=1,K1426,0)</x:f>
        <x:v>0</x:v>
      </x:c>
      <x:c r="K1426" t="n">
        <x:f>D1426+K1425</x:f>
        <x:v>17</x:v>
      </x:c>
    </x:row>
    <x:row r="1427">
      <x:c r="A1427" t="str">
        <x:v>Client</x:v>
      </x:c>
      <x:c r="B1427" t="str">
        <x:f>'04_checks'!B205</x:f>
        <x:v>C024</x:v>
      </x:c>
      <x:c r="C1427" t="n">
        <x:v>25</x:v>
      </x:c>
      <x:c r="D1427" t="n">
        <x:f>IF('04_checks'!G205="ERROR",1,0)</x:f>
        <x:v>0</x:v>
      </x:c>
      <x:c r="E1427" t="str">
        <x:v>Client:25:5</x:v>
      </x:c>
      <x:c r="F1427" t="str">
        <x:v>Отрицательная цена</x:v>
      </x:c>
      <x:c r="G1427" t="str">
        <x:v>High</x:v>
      </x:c>
      <x:c r="H1427" t="str">
        <x:v>N/A</x:v>
      </x:c>
      <x:c r="I1427" t="str">
        <x:v>Проверить цену в источнике</x:v>
      </x:c>
      <x:c r="J1427" t="n">
        <x:f>IF(D1427=1,K1427,0)</x:f>
        <x:v>0</x:v>
      </x:c>
      <x:c r="K1427" t="n">
        <x:f>D1427+K1426</x:f>
        <x:v>17</x:v>
      </x:c>
    </x:row>
    <x:row r="1428">
      <x:c r="A1428" t="str">
        <x:v>Client</x:v>
      </x:c>
      <x:c r="B1428" t="str">
        <x:f>'04_checks'!B205</x:f>
        <x:v>C024</x:v>
      </x:c>
      <x:c r="C1428" t="n">
        <x:v>25</x:v>
      </x:c>
      <x:c r="D1428" t="n">
        <x:f>IF('04_checks'!H205="ERROR",1,0)</x:f>
        <x:v>0</x:v>
      </x:c>
      <x:c r="E1428" t="str">
        <x:v>Client:25:6</x:v>
      </x:c>
      <x:c r="F1428" t="str">
        <x:v>Дата</x:v>
      </x:c>
      <x:c r="G1428" t="str">
        <x:v>Medium</x:v>
      </x:c>
      <x:c r="H1428" t="str">
        <x:v>registration_date</x:v>
      </x:c>
      <x:c r="I1428" t="str">
        <x:v>Сверить дату со срезом и исходной записью</x:v>
      </x:c>
      <x:c r="J1428" t="n">
        <x:f>IF(D1428=1,K1428,0)</x:f>
        <x:v>0</x:v>
      </x:c>
      <x:c r="K1428" t="n">
        <x:f>D1428+K1427</x:f>
        <x:v>17</x:v>
      </x:c>
    </x:row>
    <x:row r="1429">
      <x:c r="A1429" t="str">
        <x:v>Client</x:v>
      </x:c>
      <x:c r="B1429" t="str">
        <x:f>'04_checks'!B205</x:f>
        <x:v>C024</x:v>
      </x:c>
      <x:c r="C1429" t="n">
        <x:v>25</x:v>
      </x:c>
      <x:c r="D1429" t="n">
        <x:f>IF('04_checks'!I205="ERROR",1,0)</x:f>
        <x:v>0</x:v>
      </x:c>
      <x:c r="E1429" t="str">
        <x:v>Client:25:7</x:v>
      </x:c>
      <x:c r="F1429" t="str">
        <x:v>Статус</x:v>
      </x:c>
      <x:c r="G1429" t="str">
        <x:v>Medium</x:v>
      </x:c>
      <x:c r="H1429" t="str">
        <x:v>N/A</x:v>
      </x:c>
      <x:c r="I1429" t="str">
        <x:v>Выбрать допустимый статус</x:v>
      </x:c>
      <x:c r="J1429" t="n">
        <x:f>IF(D1429=1,K1429,0)</x:f>
        <x:v>0</x:v>
      </x:c>
      <x:c r="K1429" t="n">
        <x:f>D1429+K1428</x:f>
        <x:v>17</x:v>
      </x:c>
    </x:row>
    <x:row r="1430">
      <x:c r="A1430" t="str">
        <x:v>Client</x:v>
      </x:c>
      <x:c r="B1430" t="str">
        <x:f>'04_checks'!B206</x:f>
        <x:v>C025</x:v>
      </x:c>
      <x:c r="C1430" t="n">
        <x:v>26</x:v>
      </x:c>
      <x:c r="D1430" t="n">
        <x:f>IF('04_checks'!C206="ERROR",1,0)</x:f>
        <x:v>0</x:v>
      </x:c>
      <x:c r="E1430" t="str">
        <x:v>Client:26:1</x:v>
      </x:c>
      <x:c r="F1430" t="str">
        <x:v>Дубль</x:v>
      </x:c>
      <x:c r="G1430" t="str">
        <x:v>High</x:v>
      </x:c>
      <x:c r="H1430" t="str">
        <x:v>client_id</x:v>
      </x:c>
      <x:c r="I1430" t="str">
        <x:v>Проверить уникальность ID в источнике; не удалять записи автоматически</x:v>
      </x:c>
      <x:c r="J1430" t="n">
        <x:f>IF(D1430=1,K1430,0)</x:f>
        <x:v>0</x:v>
      </x:c>
      <x:c r="K1430" t="n">
        <x:f>D1430+K1429</x:f>
        <x:v>17</x:v>
      </x:c>
    </x:row>
    <x:row r="1431">
      <x:c r="A1431" t="str">
        <x:v>Client</x:v>
      </x:c>
      <x:c r="B1431" t="str">
        <x:f>'04_checks'!B206</x:f>
        <x:v>C025</x:v>
      </x:c>
      <x:c r="C1431" t="n">
        <x:v>26</x:v>
      </x:c>
      <x:c r="D1431" t="n">
        <x:f>IF('04_checks'!D206="ERROR",1,0)</x:f>
        <x:v>1</x:v>
      </x:c>
      <x:c r="E1431" t="str">
        <x:v>Client:26:2</x:v>
      </x:c>
      <x:c r="F1431" t="str">
        <x:v>Пустое поле</x:v>
      </x:c>
      <x:c r="G1431" t="str">
        <x:v>High</x:v>
      </x:c>
      <x:c r="H1431" t="str">
        <x:v>required_fields</x:v>
      </x:c>
      <x:c r="I1431" t="str">
        <x:v>Дополнить обязательные поля в источнике</x:v>
      </x:c>
      <x:c r="J1431" t="n">
        <x:f>IF(D1431=1,K1431,0)</x:f>
        <x:v>18</x:v>
      </x:c>
      <x:c r="K1431" t="n">
        <x:f>D1431+K1430</x:f>
        <x:v>18</x:v>
      </x:c>
    </x:row>
    <x:row r="1432">
      <x:c r="A1432" t="str">
        <x:v>Client</x:v>
      </x:c>
      <x:c r="B1432" t="str">
        <x:f>'04_checks'!B206</x:f>
        <x:v>C025</x:v>
      </x:c>
      <x:c r="C1432" t="n">
        <x:v>26</x:v>
      </x:c>
      <x:c r="D1432" t="n">
        <x:f>IF('04_checks'!E206="ERROR",1,0)</x:f>
        <x:v>0</x:v>
      </x:c>
      <x:c r="E1432" t="str">
        <x:v>Client:26:3</x:v>
      </x:c>
      <x:c r="F1432" t="str">
        <x:v>Нет связи</x:v>
      </x:c>
      <x:c r="G1432" t="str">
        <x:v>High</x:v>
      </x:c>
      <x:c r="H1432" t="str">
        <x:v>client_id</x:v>
      </x:c>
      <x:c r="I1432" t="str">
        <x:v>Исправить ссылку или разрешить дубли связанного ID</x:v>
      </x:c>
      <x:c r="J1432" t="n">
        <x:f>IF(D1432=1,K1432,0)</x:f>
        <x:v>0</x:v>
      </x:c>
      <x:c r="K1432" t="n">
        <x:f>D1432+K1431</x:f>
        <x:v>18</x:v>
      </x:c>
    </x:row>
    <x:row r="1433">
      <x:c r="A1433" t="str">
        <x:v>Client</x:v>
      </x:c>
      <x:c r="B1433" t="str">
        <x:f>'04_checks'!B206</x:f>
        <x:v>C025</x:v>
      </x:c>
      <x:c r="C1433" t="n">
        <x:v>26</x:v>
      </x:c>
      <x:c r="D1433" t="n">
        <x:f>IF('04_checks'!F206="ERROR",1,0)</x:f>
        <x:v>0</x:v>
      </x:c>
      <x:c r="E1433" t="str">
        <x:v>Client:26:4</x:v>
      </x:c>
      <x:c r="F1433" t="str">
        <x:v>Формат ИНН</x:v>
      </x:c>
      <x:c r="G1433" t="str">
        <x:v>High</x:v>
      </x:c>
      <x:c r="H1433" t="str">
        <x:v>inn</x:v>
      </x:c>
      <x:c r="I1433" t="str">
        <x:v>Сверить длину ИНН 10/12 цифр с источником</x:v>
      </x:c>
      <x:c r="J1433" t="n">
        <x:f>IF(D1433=1,K1433,0)</x:f>
        <x:v>0</x:v>
      </x:c>
      <x:c r="K1433" t="n">
        <x:f>D1433+K1432</x:f>
        <x:v>18</x:v>
      </x:c>
    </x:row>
    <x:row r="1434">
      <x:c r="A1434" t="str">
        <x:v>Client</x:v>
      </x:c>
      <x:c r="B1434" t="str">
        <x:f>'04_checks'!B206</x:f>
        <x:v>C025</x:v>
      </x:c>
      <x:c r="C1434" t="n">
        <x:v>26</x:v>
      </x:c>
      <x:c r="D1434" t="n">
        <x:f>IF('04_checks'!G206="ERROR",1,0)</x:f>
        <x:v>0</x:v>
      </x:c>
      <x:c r="E1434" t="str">
        <x:v>Client:26:5</x:v>
      </x:c>
      <x:c r="F1434" t="str">
        <x:v>Отрицательная цена</x:v>
      </x:c>
      <x:c r="G1434" t="str">
        <x:v>High</x:v>
      </x:c>
      <x:c r="H1434" t="str">
        <x:v>N/A</x:v>
      </x:c>
      <x:c r="I1434" t="str">
        <x:v>Проверить цену в источнике</x:v>
      </x:c>
      <x:c r="J1434" t="n">
        <x:f>IF(D1434=1,K1434,0)</x:f>
        <x:v>0</x:v>
      </x:c>
      <x:c r="K1434" t="n">
        <x:f>D1434+K1433</x:f>
        <x:v>18</x:v>
      </x:c>
    </x:row>
    <x:row r="1435">
      <x:c r="A1435" t="str">
        <x:v>Client</x:v>
      </x:c>
      <x:c r="B1435" t="str">
        <x:f>'04_checks'!B206</x:f>
        <x:v>C025</x:v>
      </x:c>
      <x:c r="C1435" t="n">
        <x:v>26</x:v>
      </x:c>
      <x:c r="D1435" t="n">
        <x:f>IF('04_checks'!H206="ERROR",1,0)</x:f>
        <x:v>0</x:v>
      </x:c>
      <x:c r="E1435" t="str">
        <x:v>Client:26:6</x:v>
      </x:c>
      <x:c r="F1435" t="str">
        <x:v>Дата</x:v>
      </x:c>
      <x:c r="G1435" t="str">
        <x:v>Medium</x:v>
      </x:c>
      <x:c r="H1435" t="str">
        <x:v>registration_date</x:v>
      </x:c>
      <x:c r="I1435" t="str">
        <x:v>Сверить дату со срезом и исходной записью</x:v>
      </x:c>
      <x:c r="J1435" t="n">
        <x:f>IF(D1435=1,K1435,0)</x:f>
        <x:v>0</x:v>
      </x:c>
      <x:c r="K1435" t="n">
        <x:f>D1435+K1434</x:f>
        <x:v>18</x:v>
      </x:c>
    </x:row>
    <x:row r="1436">
      <x:c r="A1436" t="str">
        <x:v>Client</x:v>
      </x:c>
      <x:c r="B1436" t="str">
        <x:f>'04_checks'!B206</x:f>
        <x:v>C025</x:v>
      </x:c>
      <x:c r="C1436" t="n">
        <x:v>26</x:v>
      </x:c>
      <x:c r="D1436" t="n">
        <x:f>IF('04_checks'!I206="ERROR",1,0)</x:f>
        <x:v>0</x:v>
      </x:c>
      <x:c r="E1436" t="str">
        <x:v>Client:26:7</x:v>
      </x:c>
      <x:c r="F1436" t="str">
        <x:v>Статус</x:v>
      </x:c>
      <x:c r="G1436" t="str">
        <x:v>Medium</x:v>
      </x:c>
      <x:c r="H1436" t="str">
        <x:v>N/A</x:v>
      </x:c>
      <x:c r="I1436" t="str">
        <x:v>Выбрать допустимый статус</x:v>
      </x:c>
      <x:c r="J1436" t="n">
        <x:f>IF(D1436=1,K1436,0)</x:f>
        <x:v>0</x:v>
      </x:c>
      <x:c r="K1436" t="n">
        <x:f>D1436+K1435</x:f>
        <x:v>18</x:v>
      </x:c>
    </x:row>
    <x:row r="1437">
      <x:c r="A1437" t="str">
        <x:v>Client</x:v>
      </x:c>
      <x:c r="B1437" t="str">
        <x:f>'04_checks'!B207</x:f>
        <x:v>C026</x:v>
      </x:c>
      <x:c r="C1437" t="n">
        <x:v>27</x:v>
      </x:c>
      <x:c r="D1437" t="n">
        <x:f>IF('04_checks'!C207="ERROR",1,0)</x:f>
        <x:v>0</x:v>
      </x:c>
      <x:c r="E1437" t="str">
        <x:v>Client:27:1</x:v>
      </x:c>
      <x:c r="F1437" t="str">
        <x:v>Дубль</x:v>
      </x:c>
      <x:c r="G1437" t="str">
        <x:v>High</x:v>
      </x:c>
      <x:c r="H1437" t="str">
        <x:v>client_id</x:v>
      </x:c>
      <x:c r="I1437" t="str">
        <x:v>Проверить уникальность ID в источнике; не удалять записи автоматически</x:v>
      </x:c>
      <x:c r="J1437" t="n">
        <x:f>IF(D1437=1,K1437,0)</x:f>
        <x:v>0</x:v>
      </x:c>
      <x:c r="K1437" t="n">
        <x:f>D1437+K1436</x:f>
        <x:v>18</x:v>
      </x:c>
    </x:row>
    <x:row r="1438">
      <x:c r="A1438" t="str">
        <x:v>Client</x:v>
      </x:c>
      <x:c r="B1438" t="str">
        <x:f>'04_checks'!B207</x:f>
        <x:v>C026</x:v>
      </x:c>
      <x:c r="C1438" t="n">
        <x:v>27</x:v>
      </x:c>
      <x:c r="D1438" t="n">
        <x:f>IF('04_checks'!D207="ERROR",1,0)</x:f>
        <x:v>0</x:v>
      </x:c>
      <x:c r="E1438" t="str">
        <x:v>Client:27:2</x:v>
      </x:c>
      <x:c r="F1438" t="str">
        <x:v>Пустое поле</x:v>
      </x:c>
      <x:c r="G1438" t="str">
        <x:v>High</x:v>
      </x:c>
      <x:c r="H1438" t="str">
        <x:v>required_fields</x:v>
      </x:c>
      <x:c r="I1438" t="str">
        <x:v>Дополнить обязательные поля в источнике</x:v>
      </x:c>
      <x:c r="J1438" t="n">
        <x:f>IF(D1438=1,K1438,0)</x:f>
        <x:v>0</x:v>
      </x:c>
      <x:c r="K1438" t="n">
        <x:f>D1438+K1437</x:f>
        <x:v>18</x:v>
      </x:c>
    </x:row>
    <x:row r="1439">
      <x:c r="A1439" t="str">
        <x:v>Client</x:v>
      </x:c>
      <x:c r="B1439" t="str">
        <x:f>'04_checks'!B207</x:f>
        <x:v>C026</x:v>
      </x:c>
      <x:c r="C1439" t="n">
        <x:v>27</x:v>
      </x:c>
      <x:c r="D1439" t="n">
        <x:f>IF('04_checks'!E207="ERROR",1,0)</x:f>
        <x:v>0</x:v>
      </x:c>
      <x:c r="E1439" t="str">
        <x:v>Client:27:3</x:v>
      </x:c>
      <x:c r="F1439" t="str">
        <x:v>Нет связи</x:v>
      </x:c>
      <x:c r="G1439" t="str">
        <x:v>High</x:v>
      </x:c>
      <x:c r="H1439" t="str">
        <x:v>client_id</x:v>
      </x:c>
      <x:c r="I1439" t="str">
        <x:v>Исправить ссылку или разрешить дубли связанного ID</x:v>
      </x:c>
      <x:c r="J1439" t="n">
        <x:f>IF(D1439=1,K1439,0)</x:f>
        <x:v>0</x:v>
      </x:c>
      <x:c r="K1439" t="n">
        <x:f>D1439+K1438</x:f>
        <x:v>18</x:v>
      </x:c>
    </x:row>
    <x:row r="1440">
      <x:c r="A1440" t="str">
        <x:v>Client</x:v>
      </x:c>
      <x:c r="B1440" t="str">
        <x:f>'04_checks'!B207</x:f>
        <x:v>C026</x:v>
      </x:c>
      <x:c r="C1440" t="n">
        <x:v>27</x:v>
      </x:c>
      <x:c r="D1440" t="n">
        <x:f>IF('04_checks'!F207="ERROR",1,0)</x:f>
        <x:v>0</x:v>
      </x:c>
      <x:c r="E1440" t="str">
        <x:v>Client:27:4</x:v>
      </x:c>
      <x:c r="F1440" t="str">
        <x:v>Формат ИНН</x:v>
      </x:c>
      <x:c r="G1440" t="str">
        <x:v>High</x:v>
      </x:c>
      <x:c r="H1440" t="str">
        <x:v>inn</x:v>
      </x:c>
      <x:c r="I1440" t="str">
        <x:v>Сверить длину ИНН 10/12 цифр с источником</x:v>
      </x:c>
      <x:c r="J1440" t="n">
        <x:f>IF(D1440=1,K1440,0)</x:f>
        <x:v>0</x:v>
      </x:c>
      <x:c r="K1440" t="n">
        <x:f>D1440+K1439</x:f>
        <x:v>18</x:v>
      </x:c>
    </x:row>
    <x:row r="1441">
      <x:c r="A1441" t="str">
        <x:v>Client</x:v>
      </x:c>
      <x:c r="B1441" t="str">
        <x:f>'04_checks'!B207</x:f>
        <x:v>C026</x:v>
      </x:c>
      <x:c r="C1441" t="n">
        <x:v>27</x:v>
      </x:c>
      <x:c r="D1441" t="n">
        <x:f>IF('04_checks'!G207="ERROR",1,0)</x:f>
        <x:v>0</x:v>
      </x:c>
      <x:c r="E1441" t="str">
        <x:v>Client:27:5</x:v>
      </x:c>
      <x:c r="F1441" t="str">
        <x:v>Отрицательная цена</x:v>
      </x:c>
      <x:c r="G1441" t="str">
        <x:v>High</x:v>
      </x:c>
      <x:c r="H1441" t="str">
        <x:v>N/A</x:v>
      </x:c>
      <x:c r="I1441" t="str">
        <x:v>Проверить цену в источнике</x:v>
      </x:c>
      <x:c r="J1441" t="n">
        <x:f>IF(D1441=1,K1441,0)</x:f>
        <x:v>0</x:v>
      </x:c>
      <x:c r="K1441" t="n">
        <x:f>D1441+K1440</x:f>
        <x:v>18</x:v>
      </x:c>
    </x:row>
    <x:row r="1442">
      <x:c r="A1442" t="str">
        <x:v>Client</x:v>
      </x:c>
      <x:c r="B1442" t="str">
        <x:f>'04_checks'!B207</x:f>
        <x:v>C026</x:v>
      </x:c>
      <x:c r="C1442" t="n">
        <x:v>27</x:v>
      </x:c>
      <x:c r="D1442" t="n">
        <x:f>IF('04_checks'!H207="ERROR",1,0)</x:f>
        <x:v>0</x:v>
      </x:c>
      <x:c r="E1442" t="str">
        <x:v>Client:27:6</x:v>
      </x:c>
      <x:c r="F1442" t="str">
        <x:v>Дата</x:v>
      </x:c>
      <x:c r="G1442" t="str">
        <x:v>Medium</x:v>
      </x:c>
      <x:c r="H1442" t="str">
        <x:v>registration_date</x:v>
      </x:c>
      <x:c r="I1442" t="str">
        <x:v>Сверить дату со срезом и исходной записью</x:v>
      </x:c>
      <x:c r="J1442" t="n">
        <x:f>IF(D1442=1,K1442,0)</x:f>
        <x:v>0</x:v>
      </x:c>
      <x:c r="K1442" t="n">
        <x:f>D1442+K1441</x:f>
        <x:v>18</x:v>
      </x:c>
    </x:row>
    <x:row r="1443">
      <x:c r="A1443" t="str">
        <x:v>Client</x:v>
      </x:c>
      <x:c r="B1443" t="str">
        <x:f>'04_checks'!B207</x:f>
        <x:v>C026</x:v>
      </x:c>
      <x:c r="C1443" t="n">
        <x:v>27</x:v>
      </x:c>
      <x:c r="D1443" t="n">
        <x:f>IF('04_checks'!I207="ERROR",1,0)</x:f>
        <x:v>0</x:v>
      </x:c>
      <x:c r="E1443" t="str">
        <x:v>Client:27:7</x:v>
      </x:c>
      <x:c r="F1443" t="str">
        <x:v>Статус</x:v>
      </x:c>
      <x:c r="G1443" t="str">
        <x:v>Medium</x:v>
      </x:c>
      <x:c r="H1443" t="str">
        <x:v>N/A</x:v>
      </x:c>
      <x:c r="I1443" t="str">
        <x:v>Выбрать допустимый статус</x:v>
      </x:c>
      <x:c r="J1443" t="n">
        <x:f>IF(D1443=1,K1443,0)</x:f>
        <x:v>0</x:v>
      </x:c>
      <x:c r="K1443" t="n">
        <x:f>D1443+K1442</x:f>
        <x:v>18</x:v>
      </x:c>
    </x:row>
    <x:row r="1444">
      <x:c r="A1444" t="str">
        <x:v>Client</x:v>
      </x:c>
      <x:c r="B1444" t="str">
        <x:f>'04_checks'!B208</x:f>
        <x:v>C027</x:v>
      </x:c>
      <x:c r="C1444" t="n">
        <x:v>28</x:v>
      </x:c>
      <x:c r="D1444" t="n">
        <x:f>IF('04_checks'!C208="ERROR",1,0)</x:f>
        <x:v>0</x:v>
      </x:c>
      <x:c r="E1444" t="str">
        <x:v>Client:28:1</x:v>
      </x:c>
      <x:c r="F1444" t="str">
        <x:v>Дубль</x:v>
      </x:c>
      <x:c r="G1444" t="str">
        <x:v>High</x:v>
      </x:c>
      <x:c r="H1444" t="str">
        <x:v>client_id</x:v>
      </x:c>
      <x:c r="I1444" t="str">
        <x:v>Проверить уникальность ID в источнике; не удалять записи автоматически</x:v>
      </x:c>
      <x:c r="J1444" t="n">
        <x:f>IF(D1444=1,K1444,0)</x:f>
        <x:v>0</x:v>
      </x:c>
      <x:c r="K1444" t="n">
        <x:f>D1444+K1443</x:f>
        <x:v>18</x:v>
      </x:c>
    </x:row>
    <x:row r="1445">
      <x:c r="A1445" t="str">
        <x:v>Client</x:v>
      </x:c>
      <x:c r="B1445" t="str">
        <x:f>'04_checks'!B208</x:f>
        <x:v>C027</x:v>
      </x:c>
      <x:c r="C1445" t="n">
        <x:v>28</x:v>
      </x:c>
      <x:c r="D1445" t="n">
        <x:f>IF('04_checks'!D208="ERROR",1,0)</x:f>
        <x:v>0</x:v>
      </x:c>
      <x:c r="E1445" t="str">
        <x:v>Client:28:2</x:v>
      </x:c>
      <x:c r="F1445" t="str">
        <x:v>Пустое поле</x:v>
      </x:c>
      <x:c r="G1445" t="str">
        <x:v>High</x:v>
      </x:c>
      <x:c r="H1445" t="str">
        <x:v>required_fields</x:v>
      </x:c>
      <x:c r="I1445" t="str">
        <x:v>Дополнить обязательные поля в источнике</x:v>
      </x:c>
      <x:c r="J1445" t="n">
        <x:f>IF(D1445=1,K1445,0)</x:f>
        <x:v>0</x:v>
      </x:c>
      <x:c r="K1445" t="n">
        <x:f>D1445+K1444</x:f>
        <x:v>18</x:v>
      </x:c>
    </x:row>
    <x:row r="1446">
      <x:c r="A1446" t="str">
        <x:v>Client</x:v>
      </x:c>
      <x:c r="B1446" t="str">
        <x:f>'04_checks'!B208</x:f>
        <x:v>C027</x:v>
      </x:c>
      <x:c r="C1446" t="n">
        <x:v>28</x:v>
      </x:c>
      <x:c r="D1446" t="n">
        <x:f>IF('04_checks'!E208="ERROR",1,0)</x:f>
        <x:v>0</x:v>
      </x:c>
      <x:c r="E1446" t="str">
        <x:v>Client:28:3</x:v>
      </x:c>
      <x:c r="F1446" t="str">
        <x:v>Нет связи</x:v>
      </x:c>
      <x:c r="G1446" t="str">
        <x:v>High</x:v>
      </x:c>
      <x:c r="H1446" t="str">
        <x:v>client_id</x:v>
      </x:c>
      <x:c r="I1446" t="str">
        <x:v>Исправить ссылку или разрешить дубли связанного ID</x:v>
      </x:c>
      <x:c r="J1446" t="n">
        <x:f>IF(D1446=1,K1446,0)</x:f>
        <x:v>0</x:v>
      </x:c>
      <x:c r="K1446" t="n">
        <x:f>D1446+K1445</x:f>
        <x:v>18</x:v>
      </x:c>
    </x:row>
    <x:row r="1447">
      <x:c r="A1447" t="str">
        <x:v>Client</x:v>
      </x:c>
      <x:c r="B1447" t="str">
        <x:f>'04_checks'!B208</x:f>
        <x:v>C027</x:v>
      </x:c>
      <x:c r="C1447" t="n">
        <x:v>28</x:v>
      </x:c>
      <x:c r="D1447" t="n">
        <x:f>IF('04_checks'!F208="ERROR",1,0)</x:f>
        <x:v>0</x:v>
      </x:c>
      <x:c r="E1447" t="str">
        <x:v>Client:28:4</x:v>
      </x:c>
      <x:c r="F1447" t="str">
        <x:v>Формат ИНН</x:v>
      </x:c>
      <x:c r="G1447" t="str">
        <x:v>High</x:v>
      </x:c>
      <x:c r="H1447" t="str">
        <x:v>inn</x:v>
      </x:c>
      <x:c r="I1447" t="str">
        <x:v>Сверить длину ИНН 10/12 цифр с источником</x:v>
      </x:c>
      <x:c r="J1447" t="n">
        <x:f>IF(D1447=1,K1447,0)</x:f>
        <x:v>0</x:v>
      </x:c>
      <x:c r="K1447" t="n">
        <x:f>D1447+K1446</x:f>
        <x:v>18</x:v>
      </x:c>
    </x:row>
    <x:row r="1448">
      <x:c r="A1448" t="str">
        <x:v>Client</x:v>
      </x:c>
      <x:c r="B1448" t="str">
        <x:f>'04_checks'!B208</x:f>
        <x:v>C027</x:v>
      </x:c>
      <x:c r="C1448" t="n">
        <x:v>28</x:v>
      </x:c>
      <x:c r="D1448" t="n">
        <x:f>IF('04_checks'!G208="ERROR",1,0)</x:f>
        <x:v>0</x:v>
      </x:c>
      <x:c r="E1448" t="str">
        <x:v>Client:28:5</x:v>
      </x:c>
      <x:c r="F1448" t="str">
        <x:v>Отрицательная цена</x:v>
      </x:c>
      <x:c r="G1448" t="str">
        <x:v>High</x:v>
      </x:c>
      <x:c r="H1448" t="str">
        <x:v>N/A</x:v>
      </x:c>
      <x:c r="I1448" t="str">
        <x:v>Проверить цену в источнике</x:v>
      </x:c>
      <x:c r="J1448" t="n">
        <x:f>IF(D1448=1,K1448,0)</x:f>
        <x:v>0</x:v>
      </x:c>
      <x:c r="K1448" t="n">
        <x:f>D1448+K1447</x:f>
        <x:v>18</x:v>
      </x:c>
    </x:row>
    <x:row r="1449">
      <x:c r="A1449" t="str">
        <x:v>Client</x:v>
      </x:c>
      <x:c r="B1449" t="str">
        <x:f>'04_checks'!B208</x:f>
        <x:v>C027</x:v>
      </x:c>
      <x:c r="C1449" t="n">
        <x:v>28</x:v>
      </x:c>
      <x:c r="D1449" t="n">
        <x:f>IF('04_checks'!H208="ERROR",1,0)</x:f>
        <x:v>0</x:v>
      </x:c>
      <x:c r="E1449" t="str">
        <x:v>Client:28:6</x:v>
      </x:c>
      <x:c r="F1449" t="str">
        <x:v>Дата</x:v>
      </x:c>
      <x:c r="G1449" t="str">
        <x:v>Medium</x:v>
      </x:c>
      <x:c r="H1449" t="str">
        <x:v>registration_date</x:v>
      </x:c>
      <x:c r="I1449" t="str">
        <x:v>Сверить дату со срезом и исходной записью</x:v>
      </x:c>
      <x:c r="J1449" t="n">
        <x:f>IF(D1449=1,K1449,0)</x:f>
        <x:v>0</x:v>
      </x:c>
      <x:c r="K1449" t="n">
        <x:f>D1449+K1448</x:f>
        <x:v>18</x:v>
      </x:c>
    </x:row>
    <x:row r="1450">
      <x:c r="A1450" t="str">
        <x:v>Client</x:v>
      </x:c>
      <x:c r="B1450" t="str">
        <x:f>'04_checks'!B208</x:f>
        <x:v>C027</x:v>
      </x:c>
      <x:c r="C1450" t="n">
        <x:v>28</x:v>
      </x:c>
      <x:c r="D1450" t="n">
        <x:f>IF('04_checks'!I208="ERROR",1,0)</x:f>
        <x:v>0</x:v>
      </x:c>
      <x:c r="E1450" t="str">
        <x:v>Client:28:7</x:v>
      </x:c>
      <x:c r="F1450" t="str">
        <x:v>Статус</x:v>
      </x:c>
      <x:c r="G1450" t="str">
        <x:v>Medium</x:v>
      </x:c>
      <x:c r="H1450" t="str">
        <x:v>N/A</x:v>
      </x:c>
      <x:c r="I1450" t="str">
        <x:v>Выбрать допустимый статус</x:v>
      </x:c>
      <x:c r="J1450" t="n">
        <x:f>IF(D1450=1,K1450,0)</x:f>
        <x:v>0</x:v>
      </x:c>
      <x:c r="K1450" t="n">
        <x:f>D1450+K1449</x:f>
        <x:v>18</x:v>
      </x:c>
    </x:row>
    <x:row r="1451">
      <x:c r="A1451" t="str">
        <x:v>Client</x:v>
      </x:c>
      <x:c r="B1451" t="str">
        <x:f>'04_checks'!B209</x:f>
        <x:v>C028</x:v>
      </x:c>
      <x:c r="C1451" t="n">
        <x:v>29</x:v>
      </x:c>
      <x:c r="D1451" t="n">
        <x:f>IF('04_checks'!C209="ERROR",1,0)</x:f>
        <x:v>0</x:v>
      </x:c>
      <x:c r="E1451" t="str">
        <x:v>Client:29:1</x:v>
      </x:c>
      <x:c r="F1451" t="str">
        <x:v>Дубль</x:v>
      </x:c>
      <x:c r="G1451" t="str">
        <x:v>High</x:v>
      </x:c>
      <x:c r="H1451" t="str">
        <x:v>client_id</x:v>
      </x:c>
      <x:c r="I1451" t="str">
        <x:v>Проверить уникальность ID в источнике; не удалять записи автоматически</x:v>
      </x:c>
      <x:c r="J1451" t="n">
        <x:f>IF(D1451=1,K1451,0)</x:f>
        <x:v>0</x:v>
      </x:c>
      <x:c r="K1451" t="n">
        <x:f>D1451+K1450</x:f>
        <x:v>18</x:v>
      </x:c>
    </x:row>
    <x:row r="1452">
      <x:c r="A1452" t="str">
        <x:v>Client</x:v>
      </x:c>
      <x:c r="B1452" t="str">
        <x:f>'04_checks'!B209</x:f>
        <x:v>C028</x:v>
      </x:c>
      <x:c r="C1452" t="n">
        <x:v>29</x:v>
      </x:c>
      <x:c r="D1452" t="n">
        <x:f>IF('04_checks'!D209="ERROR",1,0)</x:f>
        <x:v>0</x:v>
      </x:c>
      <x:c r="E1452" t="str">
        <x:v>Client:29:2</x:v>
      </x:c>
      <x:c r="F1452" t="str">
        <x:v>Пустое поле</x:v>
      </x:c>
      <x:c r="G1452" t="str">
        <x:v>High</x:v>
      </x:c>
      <x:c r="H1452" t="str">
        <x:v>required_fields</x:v>
      </x:c>
      <x:c r="I1452" t="str">
        <x:v>Дополнить обязательные поля в источнике</x:v>
      </x:c>
      <x:c r="J1452" t="n">
        <x:f>IF(D1452=1,K1452,0)</x:f>
        <x:v>0</x:v>
      </x:c>
      <x:c r="K1452" t="n">
        <x:f>D1452+K1451</x:f>
        <x:v>18</x:v>
      </x:c>
    </x:row>
    <x:row r="1453">
      <x:c r="A1453" t="str">
        <x:v>Client</x:v>
      </x:c>
      <x:c r="B1453" t="str">
        <x:f>'04_checks'!B209</x:f>
        <x:v>C028</x:v>
      </x:c>
      <x:c r="C1453" t="n">
        <x:v>29</x:v>
      </x:c>
      <x:c r="D1453" t="n">
        <x:f>IF('04_checks'!E209="ERROR",1,0)</x:f>
        <x:v>0</x:v>
      </x:c>
      <x:c r="E1453" t="str">
        <x:v>Client:29:3</x:v>
      </x:c>
      <x:c r="F1453" t="str">
        <x:v>Нет связи</x:v>
      </x:c>
      <x:c r="G1453" t="str">
        <x:v>High</x:v>
      </x:c>
      <x:c r="H1453" t="str">
        <x:v>client_id</x:v>
      </x:c>
      <x:c r="I1453" t="str">
        <x:v>Исправить ссылку или разрешить дубли связанного ID</x:v>
      </x:c>
      <x:c r="J1453" t="n">
        <x:f>IF(D1453=1,K1453,0)</x:f>
        <x:v>0</x:v>
      </x:c>
      <x:c r="K1453" t="n">
        <x:f>D1453+K1452</x:f>
        <x:v>18</x:v>
      </x:c>
    </x:row>
    <x:row r="1454">
      <x:c r="A1454" t="str">
        <x:v>Client</x:v>
      </x:c>
      <x:c r="B1454" t="str">
        <x:f>'04_checks'!B209</x:f>
        <x:v>C028</x:v>
      </x:c>
      <x:c r="C1454" t="n">
        <x:v>29</x:v>
      </x:c>
      <x:c r="D1454" t="n">
        <x:f>IF('04_checks'!F209="ERROR",1,0)</x:f>
        <x:v>0</x:v>
      </x:c>
      <x:c r="E1454" t="str">
        <x:v>Client:29:4</x:v>
      </x:c>
      <x:c r="F1454" t="str">
        <x:v>Формат ИНН</x:v>
      </x:c>
      <x:c r="G1454" t="str">
        <x:v>High</x:v>
      </x:c>
      <x:c r="H1454" t="str">
        <x:v>inn</x:v>
      </x:c>
      <x:c r="I1454" t="str">
        <x:v>Сверить длину ИНН 10/12 цифр с источником</x:v>
      </x:c>
      <x:c r="J1454" t="n">
        <x:f>IF(D1454=1,K1454,0)</x:f>
        <x:v>0</x:v>
      </x:c>
      <x:c r="K1454" t="n">
        <x:f>D1454+K1453</x:f>
        <x:v>18</x:v>
      </x:c>
    </x:row>
    <x:row r="1455">
      <x:c r="A1455" t="str">
        <x:v>Client</x:v>
      </x:c>
      <x:c r="B1455" t="str">
        <x:f>'04_checks'!B209</x:f>
        <x:v>C028</x:v>
      </x:c>
      <x:c r="C1455" t="n">
        <x:v>29</x:v>
      </x:c>
      <x:c r="D1455" t="n">
        <x:f>IF('04_checks'!G209="ERROR",1,0)</x:f>
        <x:v>0</x:v>
      </x:c>
      <x:c r="E1455" t="str">
        <x:v>Client:29:5</x:v>
      </x:c>
      <x:c r="F1455" t="str">
        <x:v>Отрицательная цена</x:v>
      </x:c>
      <x:c r="G1455" t="str">
        <x:v>High</x:v>
      </x:c>
      <x:c r="H1455" t="str">
        <x:v>N/A</x:v>
      </x:c>
      <x:c r="I1455" t="str">
        <x:v>Проверить цену в источнике</x:v>
      </x:c>
      <x:c r="J1455" t="n">
        <x:f>IF(D1455=1,K1455,0)</x:f>
        <x:v>0</x:v>
      </x:c>
      <x:c r="K1455" t="n">
        <x:f>D1455+K1454</x:f>
        <x:v>18</x:v>
      </x:c>
    </x:row>
    <x:row r="1456">
      <x:c r="A1456" t="str">
        <x:v>Client</x:v>
      </x:c>
      <x:c r="B1456" t="str">
        <x:f>'04_checks'!B209</x:f>
        <x:v>C028</x:v>
      </x:c>
      <x:c r="C1456" t="n">
        <x:v>29</x:v>
      </x:c>
      <x:c r="D1456" t="n">
        <x:f>IF('04_checks'!H209="ERROR",1,0)</x:f>
        <x:v>0</x:v>
      </x:c>
      <x:c r="E1456" t="str">
        <x:v>Client:29:6</x:v>
      </x:c>
      <x:c r="F1456" t="str">
        <x:v>Дата</x:v>
      </x:c>
      <x:c r="G1456" t="str">
        <x:v>Medium</x:v>
      </x:c>
      <x:c r="H1456" t="str">
        <x:v>registration_date</x:v>
      </x:c>
      <x:c r="I1456" t="str">
        <x:v>Сверить дату со срезом и исходной записью</x:v>
      </x:c>
      <x:c r="J1456" t="n">
        <x:f>IF(D1456=1,K1456,0)</x:f>
        <x:v>0</x:v>
      </x:c>
      <x:c r="K1456" t="n">
        <x:f>D1456+K1455</x:f>
        <x:v>18</x:v>
      </x:c>
    </x:row>
    <x:row r="1457">
      <x:c r="A1457" t="str">
        <x:v>Client</x:v>
      </x:c>
      <x:c r="B1457" t="str">
        <x:f>'04_checks'!B209</x:f>
        <x:v>C028</x:v>
      </x:c>
      <x:c r="C1457" t="n">
        <x:v>29</x:v>
      </x:c>
      <x:c r="D1457" t="n">
        <x:f>IF('04_checks'!I209="ERROR",1,0)</x:f>
        <x:v>0</x:v>
      </x:c>
      <x:c r="E1457" t="str">
        <x:v>Client:29:7</x:v>
      </x:c>
      <x:c r="F1457" t="str">
        <x:v>Статус</x:v>
      </x:c>
      <x:c r="G1457" t="str">
        <x:v>Medium</x:v>
      </x:c>
      <x:c r="H1457" t="str">
        <x:v>N/A</x:v>
      </x:c>
      <x:c r="I1457" t="str">
        <x:v>Выбрать допустимый статус</x:v>
      </x:c>
      <x:c r="J1457" t="n">
        <x:f>IF(D1457=1,K1457,0)</x:f>
        <x:v>0</x:v>
      </x:c>
      <x:c r="K1457" t="n">
        <x:f>D1457+K1456</x:f>
        <x:v>18</x:v>
      </x:c>
    </x:row>
    <x:row r="1458">
      <x:c r="A1458" t="str">
        <x:v>Client</x:v>
      </x:c>
      <x:c r="B1458" t="str">
        <x:f>'04_checks'!B210</x:f>
        <x:v>C029</x:v>
      </x:c>
      <x:c r="C1458" t="n">
        <x:v>30</x:v>
      </x:c>
      <x:c r="D1458" t="n">
        <x:f>IF('04_checks'!C210="ERROR",1,0)</x:f>
        <x:v>0</x:v>
      </x:c>
      <x:c r="E1458" t="str">
        <x:v>Client:30:1</x:v>
      </x:c>
      <x:c r="F1458" t="str">
        <x:v>Дубль</x:v>
      </x:c>
      <x:c r="G1458" t="str">
        <x:v>High</x:v>
      </x:c>
      <x:c r="H1458" t="str">
        <x:v>client_id</x:v>
      </x:c>
      <x:c r="I1458" t="str">
        <x:v>Проверить уникальность ID в источнике; не удалять записи автоматически</x:v>
      </x:c>
      <x:c r="J1458" t="n">
        <x:f>IF(D1458=1,K1458,0)</x:f>
        <x:v>0</x:v>
      </x:c>
      <x:c r="K1458" t="n">
        <x:f>D1458+K1457</x:f>
        <x:v>18</x:v>
      </x:c>
    </x:row>
    <x:row r="1459">
      <x:c r="A1459" t="str">
        <x:v>Client</x:v>
      </x:c>
      <x:c r="B1459" t="str">
        <x:f>'04_checks'!B210</x:f>
        <x:v>C029</x:v>
      </x:c>
      <x:c r="C1459" t="n">
        <x:v>30</x:v>
      </x:c>
      <x:c r="D1459" t="n">
        <x:f>IF('04_checks'!D210="ERROR",1,0)</x:f>
        <x:v>0</x:v>
      </x:c>
      <x:c r="E1459" t="str">
        <x:v>Client:30:2</x:v>
      </x:c>
      <x:c r="F1459" t="str">
        <x:v>Пустое поле</x:v>
      </x:c>
      <x:c r="G1459" t="str">
        <x:v>High</x:v>
      </x:c>
      <x:c r="H1459" t="str">
        <x:v>required_fields</x:v>
      </x:c>
      <x:c r="I1459" t="str">
        <x:v>Дополнить обязательные поля в источнике</x:v>
      </x:c>
      <x:c r="J1459" t="n">
        <x:f>IF(D1459=1,K1459,0)</x:f>
        <x:v>0</x:v>
      </x:c>
      <x:c r="K1459" t="n">
        <x:f>D1459+K1458</x:f>
        <x:v>18</x:v>
      </x:c>
    </x:row>
    <x:row r="1460">
      <x:c r="A1460" t="str">
        <x:v>Client</x:v>
      </x:c>
      <x:c r="B1460" t="str">
        <x:f>'04_checks'!B210</x:f>
        <x:v>C029</x:v>
      </x:c>
      <x:c r="C1460" t="n">
        <x:v>30</x:v>
      </x:c>
      <x:c r="D1460" t="n">
        <x:f>IF('04_checks'!E210="ERROR",1,0)</x:f>
        <x:v>0</x:v>
      </x:c>
      <x:c r="E1460" t="str">
        <x:v>Client:30:3</x:v>
      </x:c>
      <x:c r="F1460" t="str">
        <x:v>Нет связи</x:v>
      </x:c>
      <x:c r="G1460" t="str">
        <x:v>High</x:v>
      </x:c>
      <x:c r="H1460" t="str">
        <x:v>client_id</x:v>
      </x:c>
      <x:c r="I1460" t="str">
        <x:v>Исправить ссылку или разрешить дубли связанного ID</x:v>
      </x:c>
      <x:c r="J1460" t="n">
        <x:f>IF(D1460=1,K1460,0)</x:f>
        <x:v>0</x:v>
      </x:c>
      <x:c r="K1460" t="n">
        <x:f>D1460+K1459</x:f>
        <x:v>18</x:v>
      </x:c>
    </x:row>
    <x:row r="1461">
      <x:c r="A1461" t="str">
        <x:v>Client</x:v>
      </x:c>
      <x:c r="B1461" t="str">
        <x:f>'04_checks'!B210</x:f>
        <x:v>C029</x:v>
      </x:c>
      <x:c r="C1461" t="n">
        <x:v>30</x:v>
      </x:c>
      <x:c r="D1461" t="n">
        <x:f>IF('04_checks'!F210="ERROR",1,0)</x:f>
        <x:v>0</x:v>
      </x:c>
      <x:c r="E1461" t="str">
        <x:v>Client:30:4</x:v>
      </x:c>
      <x:c r="F1461" t="str">
        <x:v>Формат ИНН</x:v>
      </x:c>
      <x:c r="G1461" t="str">
        <x:v>High</x:v>
      </x:c>
      <x:c r="H1461" t="str">
        <x:v>inn</x:v>
      </x:c>
      <x:c r="I1461" t="str">
        <x:v>Сверить длину ИНН 10/12 цифр с источником</x:v>
      </x:c>
      <x:c r="J1461" t="n">
        <x:f>IF(D1461=1,K1461,0)</x:f>
        <x:v>0</x:v>
      </x:c>
      <x:c r="K1461" t="n">
        <x:f>D1461+K1460</x:f>
        <x:v>18</x:v>
      </x:c>
    </x:row>
    <x:row r="1462">
      <x:c r="A1462" t="str">
        <x:v>Client</x:v>
      </x:c>
      <x:c r="B1462" t="str">
        <x:f>'04_checks'!B210</x:f>
        <x:v>C029</x:v>
      </x:c>
      <x:c r="C1462" t="n">
        <x:v>30</x:v>
      </x:c>
      <x:c r="D1462" t="n">
        <x:f>IF('04_checks'!G210="ERROR",1,0)</x:f>
        <x:v>0</x:v>
      </x:c>
      <x:c r="E1462" t="str">
        <x:v>Client:30:5</x:v>
      </x:c>
      <x:c r="F1462" t="str">
        <x:v>Отрицательная цена</x:v>
      </x:c>
      <x:c r="G1462" t="str">
        <x:v>High</x:v>
      </x:c>
      <x:c r="H1462" t="str">
        <x:v>N/A</x:v>
      </x:c>
      <x:c r="I1462" t="str">
        <x:v>Проверить цену в источнике</x:v>
      </x:c>
      <x:c r="J1462" t="n">
        <x:f>IF(D1462=1,K1462,0)</x:f>
        <x:v>0</x:v>
      </x:c>
      <x:c r="K1462" t="n">
        <x:f>D1462+K1461</x:f>
        <x:v>18</x:v>
      </x:c>
    </x:row>
    <x:row r="1463">
      <x:c r="A1463" t="str">
        <x:v>Client</x:v>
      </x:c>
      <x:c r="B1463" t="str">
        <x:f>'04_checks'!B210</x:f>
        <x:v>C029</x:v>
      </x:c>
      <x:c r="C1463" t="n">
        <x:v>30</x:v>
      </x:c>
      <x:c r="D1463" t="n">
        <x:f>IF('04_checks'!H210="ERROR",1,0)</x:f>
        <x:v>0</x:v>
      </x:c>
      <x:c r="E1463" t="str">
        <x:v>Client:30:6</x:v>
      </x:c>
      <x:c r="F1463" t="str">
        <x:v>Дата</x:v>
      </x:c>
      <x:c r="G1463" t="str">
        <x:v>Medium</x:v>
      </x:c>
      <x:c r="H1463" t="str">
        <x:v>registration_date</x:v>
      </x:c>
      <x:c r="I1463" t="str">
        <x:v>Сверить дату со срезом и исходной записью</x:v>
      </x:c>
      <x:c r="J1463" t="n">
        <x:f>IF(D1463=1,K1463,0)</x:f>
        <x:v>0</x:v>
      </x:c>
      <x:c r="K1463" t="n">
        <x:f>D1463+K1462</x:f>
        <x:v>18</x:v>
      </x:c>
    </x:row>
    <x:row r="1464">
      <x:c r="A1464" t="str">
        <x:v>Client</x:v>
      </x:c>
      <x:c r="B1464" t="str">
        <x:f>'04_checks'!B210</x:f>
        <x:v>C029</x:v>
      </x:c>
      <x:c r="C1464" t="n">
        <x:v>30</x:v>
      </x:c>
      <x:c r="D1464" t="n">
        <x:f>IF('04_checks'!I210="ERROR",1,0)</x:f>
        <x:v>0</x:v>
      </x:c>
      <x:c r="E1464" t="str">
        <x:v>Client:30:7</x:v>
      </x:c>
      <x:c r="F1464" t="str">
        <x:v>Статус</x:v>
      </x:c>
      <x:c r="G1464" t="str">
        <x:v>Medium</x:v>
      </x:c>
      <x:c r="H1464" t="str">
        <x:v>N/A</x:v>
      </x:c>
      <x:c r="I1464" t="str">
        <x:v>Выбрать допустимый статус</x:v>
      </x:c>
      <x:c r="J1464" t="n">
        <x:f>IF(D1464=1,K1464,0)</x:f>
        <x:v>0</x:v>
      </x:c>
      <x:c r="K1464" t="n">
        <x:f>D1464+K1463</x:f>
        <x:v>18</x:v>
      </x:c>
    </x:row>
    <x:row r="1465">
      <x:c r="A1465" t="str">
        <x:v>Client</x:v>
      </x:c>
      <x:c r="B1465" t="str">
        <x:f>'04_checks'!B211</x:f>
        <x:v>C030</x:v>
      </x:c>
      <x:c r="C1465" t="n">
        <x:v>31</x:v>
      </x:c>
      <x:c r="D1465" t="n">
        <x:f>IF('04_checks'!C211="ERROR",1,0)</x:f>
        <x:v>0</x:v>
      </x:c>
      <x:c r="E1465" t="str">
        <x:v>Client:31:1</x:v>
      </x:c>
      <x:c r="F1465" t="str">
        <x:v>Дубль</x:v>
      </x:c>
      <x:c r="G1465" t="str">
        <x:v>High</x:v>
      </x:c>
      <x:c r="H1465" t="str">
        <x:v>client_id</x:v>
      </x:c>
      <x:c r="I1465" t="str">
        <x:v>Проверить уникальность ID в источнике; не удалять записи автоматически</x:v>
      </x:c>
      <x:c r="J1465" t="n">
        <x:f>IF(D1465=1,K1465,0)</x:f>
        <x:v>0</x:v>
      </x:c>
      <x:c r="K1465" t="n">
        <x:f>D1465+K1464</x:f>
        <x:v>18</x:v>
      </x:c>
    </x:row>
    <x:row r="1466">
      <x:c r="A1466" t="str">
        <x:v>Client</x:v>
      </x:c>
      <x:c r="B1466" t="str">
        <x:f>'04_checks'!B211</x:f>
        <x:v>C030</x:v>
      </x:c>
      <x:c r="C1466" t="n">
        <x:v>31</x:v>
      </x:c>
      <x:c r="D1466" t="n">
        <x:f>IF('04_checks'!D211="ERROR",1,0)</x:f>
        <x:v>0</x:v>
      </x:c>
      <x:c r="E1466" t="str">
        <x:v>Client:31:2</x:v>
      </x:c>
      <x:c r="F1466" t="str">
        <x:v>Пустое поле</x:v>
      </x:c>
      <x:c r="G1466" t="str">
        <x:v>High</x:v>
      </x:c>
      <x:c r="H1466" t="str">
        <x:v>required_fields</x:v>
      </x:c>
      <x:c r="I1466" t="str">
        <x:v>Дополнить обязательные поля в источнике</x:v>
      </x:c>
      <x:c r="J1466" t="n">
        <x:f>IF(D1466=1,K1466,0)</x:f>
        <x:v>0</x:v>
      </x:c>
      <x:c r="K1466" t="n">
        <x:f>D1466+K1465</x:f>
        <x:v>18</x:v>
      </x:c>
    </x:row>
    <x:row r="1467">
      <x:c r="A1467" t="str">
        <x:v>Client</x:v>
      </x:c>
      <x:c r="B1467" t="str">
        <x:f>'04_checks'!B211</x:f>
        <x:v>C030</x:v>
      </x:c>
      <x:c r="C1467" t="n">
        <x:v>31</x:v>
      </x:c>
      <x:c r="D1467" t="n">
        <x:f>IF('04_checks'!E211="ERROR",1,0)</x:f>
        <x:v>0</x:v>
      </x:c>
      <x:c r="E1467" t="str">
        <x:v>Client:31:3</x:v>
      </x:c>
      <x:c r="F1467" t="str">
        <x:v>Нет связи</x:v>
      </x:c>
      <x:c r="G1467" t="str">
        <x:v>High</x:v>
      </x:c>
      <x:c r="H1467" t="str">
        <x:v>client_id</x:v>
      </x:c>
      <x:c r="I1467" t="str">
        <x:v>Исправить ссылку или разрешить дубли связанного ID</x:v>
      </x:c>
      <x:c r="J1467" t="n">
        <x:f>IF(D1467=1,K1467,0)</x:f>
        <x:v>0</x:v>
      </x:c>
      <x:c r="K1467" t="n">
        <x:f>D1467+K1466</x:f>
        <x:v>18</x:v>
      </x:c>
    </x:row>
    <x:row r="1468">
      <x:c r="A1468" t="str">
        <x:v>Client</x:v>
      </x:c>
      <x:c r="B1468" t="str">
        <x:f>'04_checks'!B211</x:f>
        <x:v>C030</x:v>
      </x:c>
      <x:c r="C1468" t="n">
        <x:v>31</x:v>
      </x:c>
      <x:c r="D1468" t="n">
        <x:f>IF('04_checks'!F211="ERROR",1,0)</x:f>
        <x:v>0</x:v>
      </x:c>
      <x:c r="E1468" t="str">
        <x:v>Client:31:4</x:v>
      </x:c>
      <x:c r="F1468" t="str">
        <x:v>Формат ИНН</x:v>
      </x:c>
      <x:c r="G1468" t="str">
        <x:v>High</x:v>
      </x:c>
      <x:c r="H1468" t="str">
        <x:v>inn</x:v>
      </x:c>
      <x:c r="I1468" t="str">
        <x:v>Сверить длину ИНН 10/12 цифр с источником</x:v>
      </x:c>
      <x:c r="J1468" t="n">
        <x:f>IF(D1468=1,K1468,0)</x:f>
        <x:v>0</x:v>
      </x:c>
      <x:c r="K1468" t="n">
        <x:f>D1468+K1467</x:f>
        <x:v>18</x:v>
      </x:c>
    </x:row>
    <x:row r="1469">
      <x:c r="A1469" t="str">
        <x:v>Client</x:v>
      </x:c>
      <x:c r="B1469" t="str">
        <x:f>'04_checks'!B211</x:f>
        <x:v>C030</x:v>
      </x:c>
      <x:c r="C1469" t="n">
        <x:v>31</x:v>
      </x:c>
      <x:c r="D1469" t="n">
        <x:f>IF('04_checks'!G211="ERROR",1,0)</x:f>
        <x:v>0</x:v>
      </x:c>
      <x:c r="E1469" t="str">
        <x:v>Client:31:5</x:v>
      </x:c>
      <x:c r="F1469" t="str">
        <x:v>Отрицательная цена</x:v>
      </x:c>
      <x:c r="G1469" t="str">
        <x:v>High</x:v>
      </x:c>
      <x:c r="H1469" t="str">
        <x:v>N/A</x:v>
      </x:c>
      <x:c r="I1469" t="str">
        <x:v>Проверить цену в источнике</x:v>
      </x:c>
      <x:c r="J1469" t="n">
        <x:f>IF(D1469=1,K1469,0)</x:f>
        <x:v>0</x:v>
      </x:c>
      <x:c r="K1469" t="n">
        <x:f>D1469+K1468</x:f>
        <x:v>18</x:v>
      </x:c>
    </x:row>
    <x:row r="1470">
      <x:c r="A1470" t="str">
        <x:v>Client</x:v>
      </x:c>
      <x:c r="B1470" t="str">
        <x:f>'04_checks'!B211</x:f>
        <x:v>C030</x:v>
      </x:c>
      <x:c r="C1470" t="n">
        <x:v>31</x:v>
      </x:c>
      <x:c r="D1470" t="n">
        <x:f>IF('04_checks'!H211="ERROR",1,0)</x:f>
        <x:v>0</x:v>
      </x:c>
      <x:c r="E1470" t="str">
        <x:v>Client:31:6</x:v>
      </x:c>
      <x:c r="F1470" t="str">
        <x:v>Дата</x:v>
      </x:c>
      <x:c r="G1470" t="str">
        <x:v>Medium</x:v>
      </x:c>
      <x:c r="H1470" t="str">
        <x:v>registration_date</x:v>
      </x:c>
      <x:c r="I1470" t="str">
        <x:v>Сверить дату со срезом и исходной записью</x:v>
      </x:c>
      <x:c r="J1470" t="n">
        <x:f>IF(D1470=1,K1470,0)</x:f>
        <x:v>0</x:v>
      </x:c>
      <x:c r="K1470" t="n">
        <x:f>D1470+K1469</x:f>
        <x:v>18</x:v>
      </x:c>
    </x:row>
    <x:row r="1471">
      <x:c r="A1471" t="str">
        <x:v>Client</x:v>
      </x:c>
      <x:c r="B1471" t="str">
        <x:f>'04_checks'!B211</x:f>
        <x:v>C030</x:v>
      </x:c>
      <x:c r="C1471" t="n">
        <x:v>31</x:v>
      </x:c>
      <x:c r="D1471" t="n">
        <x:f>IF('04_checks'!I211="ERROR",1,0)</x:f>
        <x:v>0</x:v>
      </x:c>
      <x:c r="E1471" t="str">
        <x:v>Client:31:7</x:v>
      </x:c>
      <x:c r="F1471" t="str">
        <x:v>Статус</x:v>
      </x:c>
      <x:c r="G1471" t="str">
        <x:v>Medium</x:v>
      </x:c>
      <x:c r="H1471" t="str">
        <x:v>N/A</x:v>
      </x:c>
      <x:c r="I1471" t="str">
        <x:v>Выбрать допустимый статус</x:v>
      </x:c>
      <x:c r="J1471" t="n">
        <x:f>IF(D1471=1,K1471,0)</x:f>
        <x:v>0</x:v>
      </x:c>
      <x:c r="K1471" t="n">
        <x:f>D1471+K1470</x:f>
        <x:v>18</x:v>
      </x:c>
    </x:row>
    <x:row r="1472">
      <x:c r="A1472" t="str">
        <x:v>Client</x:v>
      </x:c>
      <x:c r="B1472" t="str">
        <x:f>'04_checks'!B212</x:f>
        <x:v>C031</x:v>
      </x:c>
      <x:c r="C1472" t="n">
        <x:v>32</x:v>
      </x:c>
      <x:c r="D1472" t="n">
        <x:f>IF('04_checks'!C212="ERROR",1,0)</x:f>
        <x:v>0</x:v>
      </x:c>
      <x:c r="E1472" t="str">
        <x:v>Client:32:1</x:v>
      </x:c>
      <x:c r="F1472" t="str">
        <x:v>Дубль</x:v>
      </x:c>
      <x:c r="G1472" t="str">
        <x:v>High</x:v>
      </x:c>
      <x:c r="H1472" t="str">
        <x:v>client_id</x:v>
      </x:c>
      <x:c r="I1472" t="str">
        <x:v>Проверить уникальность ID в источнике; не удалять записи автоматически</x:v>
      </x:c>
      <x:c r="J1472" t="n">
        <x:f>IF(D1472=1,K1472,0)</x:f>
        <x:v>0</x:v>
      </x:c>
      <x:c r="K1472" t="n">
        <x:f>D1472+K1471</x:f>
        <x:v>18</x:v>
      </x:c>
    </x:row>
    <x:row r="1473">
      <x:c r="A1473" t="str">
        <x:v>Client</x:v>
      </x:c>
      <x:c r="B1473" t="str">
        <x:f>'04_checks'!B212</x:f>
        <x:v>C031</x:v>
      </x:c>
      <x:c r="C1473" t="n">
        <x:v>32</x:v>
      </x:c>
      <x:c r="D1473" t="n">
        <x:f>IF('04_checks'!D212="ERROR",1,0)</x:f>
        <x:v>0</x:v>
      </x:c>
      <x:c r="E1473" t="str">
        <x:v>Client:32:2</x:v>
      </x:c>
      <x:c r="F1473" t="str">
        <x:v>Пустое поле</x:v>
      </x:c>
      <x:c r="G1473" t="str">
        <x:v>High</x:v>
      </x:c>
      <x:c r="H1473" t="str">
        <x:v>required_fields</x:v>
      </x:c>
      <x:c r="I1473" t="str">
        <x:v>Дополнить обязательные поля в источнике</x:v>
      </x:c>
      <x:c r="J1473" t="n">
        <x:f>IF(D1473=1,K1473,0)</x:f>
        <x:v>0</x:v>
      </x:c>
      <x:c r="K1473" t="n">
        <x:f>D1473+K1472</x:f>
        <x:v>18</x:v>
      </x:c>
    </x:row>
    <x:row r="1474">
      <x:c r="A1474" t="str">
        <x:v>Client</x:v>
      </x:c>
      <x:c r="B1474" t="str">
        <x:f>'04_checks'!B212</x:f>
        <x:v>C031</x:v>
      </x:c>
      <x:c r="C1474" t="n">
        <x:v>32</x:v>
      </x:c>
      <x:c r="D1474" t="n">
        <x:f>IF('04_checks'!E212="ERROR",1,0)</x:f>
        <x:v>0</x:v>
      </x:c>
      <x:c r="E1474" t="str">
        <x:v>Client:32:3</x:v>
      </x:c>
      <x:c r="F1474" t="str">
        <x:v>Нет связи</x:v>
      </x:c>
      <x:c r="G1474" t="str">
        <x:v>High</x:v>
      </x:c>
      <x:c r="H1474" t="str">
        <x:v>client_id</x:v>
      </x:c>
      <x:c r="I1474" t="str">
        <x:v>Исправить ссылку или разрешить дубли связанного ID</x:v>
      </x:c>
      <x:c r="J1474" t="n">
        <x:f>IF(D1474=1,K1474,0)</x:f>
        <x:v>0</x:v>
      </x:c>
      <x:c r="K1474" t="n">
        <x:f>D1474+K1473</x:f>
        <x:v>18</x:v>
      </x:c>
    </x:row>
    <x:row r="1475">
      <x:c r="A1475" t="str">
        <x:v>Client</x:v>
      </x:c>
      <x:c r="B1475" t="str">
        <x:f>'04_checks'!B212</x:f>
        <x:v>C031</x:v>
      </x:c>
      <x:c r="C1475" t="n">
        <x:v>32</x:v>
      </x:c>
      <x:c r="D1475" t="n">
        <x:f>IF('04_checks'!F212="ERROR",1,0)</x:f>
        <x:v>0</x:v>
      </x:c>
      <x:c r="E1475" t="str">
        <x:v>Client:32:4</x:v>
      </x:c>
      <x:c r="F1475" t="str">
        <x:v>Формат ИНН</x:v>
      </x:c>
      <x:c r="G1475" t="str">
        <x:v>High</x:v>
      </x:c>
      <x:c r="H1475" t="str">
        <x:v>inn</x:v>
      </x:c>
      <x:c r="I1475" t="str">
        <x:v>Сверить длину ИНН 10/12 цифр с источником</x:v>
      </x:c>
      <x:c r="J1475" t="n">
        <x:f>IF(D1475=1,K1475,0)</x:f>
        <x:v>0</x:v>
      </x:c>
      <x:c r="K1475" t="n">
        <x:f>D1475+K1474</x:f>
        <x:v>18</x:v>
      </x:c>
    </x:row>
    <x:row r="1476">
      <x:c r="A1476" t="str">
        <x:v>Client</x:v>
      </x:c>
      <x:c r="B1476" t="str">
        <x:f>'04_checks'!B212</x:f>
        <x:v>C031</x:v>
      </x:c>
      <x:c r="C1476" t="n">
        <x:v>32</x:v>
      </x:c>
      <x:c r="D1476" t="n">
        <x:f>IF('04_checks'!G212="ERROR",1,0)</x:f>
        <x:v>0</x:v>
      </x:c>
      <x:c r="E1476" t="str">
        <x:v>Client:32:5</x:v>
      </x:c>
      <x:c r="F1476" t="str">
        <x:v>Отрицательная цена</x:v>
      </x:c>
      <x:c r="G1476" t="str">
        <x:v>High</x:v>
      </x:c>
      <x:c r="H1476" t="str">
        <x:v>N/A</x:v>
      </x:c>
      <x:c r="I1476" t="str">
        <x:v>Проверить цену в источнике</x:v>
      </x:c>
      <x:c r="J1476" t="n">
        <x:f>IF(D1476=1,K1476,0)</x:f>
        <x:v>0</x:v>
      </x:c>
      <x:c r="K1476" t="n">
        <x:f>D1476+K1475</x:f>
        <x:v>18</x:v>
      </x:c>
    </x:row>
    <x:row r="1477">
      <x:c r="A1477" t="str">
        <x:v>Client</x:v>
      </x:c>
      <x:c r="B1477" t="str">
        <x:f>'04_checks'!B212</x:f>
        <x:v>C031</x:v>
      </x:c>
      <x:c r="C1477" t="n">
        <x:v>32</x:v>
      </x:c>
      <x:c r="D1477" t="n">
        <x:f>IF('04_checks'!H212="ERROR",1,0)</x:f>
        <x:v>0</x:v>
      </x:c>
      <x:c r="E1477" t="str">
        <x:v>Client:32:6</x:v>
      </x:c>
      <x:c r="F1477" t="str">
        <x:v>Дата</x:v>
      </x:c>
      <x:c r="G1477" t="str">
        <x:v>Medium</x:v>
      </x:c>
      <x:c r="H1477" t="str">
        <x:v>registration_date</x:v>
      </x:c>
      <x:c r="I1477" t="str">
        <x:v>Сверить дату со срезом и исходной записью</x:v>
      </x:c>
      <x:c r="J1477" t="n">
        <x:f>IF(D1477=1,K1477,0)</x:f>
        <x:v>0</x:v>
      </x:c>
      <x:c r="K1477" t="n">
        <x:f>D1477+K1476</x:f>
        <x:v>18</x:v>
      </x:c>
    </x:row>
    <x:row r="1478">
      <x:c r="A1478" t="str">
        <x:v>Client</x:v>
      </x:c>
      <x:c r="B1478" t="str">
        <x:f>'04_checks'!B212</x:f>
        <x:v>C031</x:v>
      </x:c>
      <x:c r="C1478" t="n">
        <x:v>32</x:v>
      </x:c>
      <x:c r="D1478" t="n">
        <x:f>IF('04_checks'!I212="ERROR",1,0)</x:f>
        <x:v>0</x:v>
      </x:c>
      <x:c r="E1478" t="str">
        <x:v>Client:32:7</x:v>
      </x:c>
      <x:c r="F1478" t="str">
        <x:v>Статус</x:v>
      </x:c>
      <x:c r="G1478" t="str">
        <x:v>Medium</x:v>
      </x:c>
      <x:c r="H1478" t="str">
        <x:v>N/A</x:v>
      </x:c>
      <x:c r="I1478" t="str">
        <x:v>Выбрать допустимый статус</x:v>
      </x:c>
      <x:c r="J1478" t="n">
        <x:f>IF(D1478=1,K1478,0)</x:f>
        <x:v>0</x:v>
      </x:c>
      <x:c r="K1478" t="n">
        <x:f>D1478+K1477</x:f>
        <x:v>18</x:v>
      </x:c>
    </x:row>
    <x:row r="1479">
      <x:c r="A1479" t="str">
        <x:v>Client</x:v>
      </x:c>
      <x:c r="B1479" t="str">
        <x:f>'04_checks'!B213</x:f>
        <x:v>C032</x:v>
      </x:c>
      <x:c r="C1479" t="n">
        <x:v>33</x:v>
      </x:c>
      <x:c r="D1479" t="n">
        <x:f>IF('04_checks'!C213="ERROR",1,0)</x:f>
        <x:v>0</x:v>
      </x:c>
      <x:c r="E1479" t="str">
        <x:v>Client:33:1</x:v>
      </x:c>
      <x:c r="F1479" t="str">
        <x:v>Дубль</x:v>
      </x:c>
      <x:c r="G1479" t="str">
        <x:v>High</x:v>
      </x:c>
      <x:c r="H1479" t="str">
        <x:v>client_id</x:v>
      </x:c>
      <x:c r="I1479" t="str">
        <x:v>Проверить уникальность ID в источнике; не удалять записи автоматически</x:v>
      </x:c>
      <x:c r="J1479" t="n">
        <x:f>IF(D1479=1,K1479,0)</x:f>
        <x:v>0</x:v>
      </x:c>
      <x:c r="K1479" t="n">
        <x:f>D1479+K1478</x:f>
        <x:v>18</x:v>
      </x:c>
    </x:row>
    <x:row r="1480">
      <x:c r="A1480" t="str">
        <x:v>Client</x:v>
      </x:c>
      <x:c r="B1480" t="str">
        <x:f>'04_checks'!B213</x:f>
        <x:v>C032</x:v>
      </x:c>
      <x:c r="C1480" t="n">
        <x:v>33</x:v>
      </x:c>
      <x:c r="D1480" t="n">
        <x:f>IF('04_checks'!D213="ERROR",1,0)</x:f>
        <x:v>0</x:v>
      </x:c>
      <x:c r="E1480" t="str">
        <x:v>Client:33:2</x:v>
      </x:c>
      <x:c r="F1480" t="str">
        <x:v>Пустое поле</x:v>
      </x:c>
      <x:c r="G1480" t="str">
        <x:v>High</x:v>
      </x:c>
      <x:c r="H1480" t="str">
        <x:v>required_fields</x:v>
      </x:c>
      <x:c r="I1480" t="str">
        <x:v>Дополнить обязательные поля в источнике</x:v>
      </x:c>
      <x:c r="J1480" t="n">
        <x:f>IF(D1480=1,K1480,0)</x:f>
        <x:v>0</x:v>
      </x:c>
      <x:c r="K1480" t="n">
        <x:f>D1480+K1479</x:f>
        <x:v>18</x:v>
      </x:c>
    </x:row>
    <x:row r="1481">
      <x:c r="A1481" t="str">
        <x:v>Client</x:v>
      </x:c>
      <x:c r="B1481" t="str">
        <x:f>'04_checks'!B213</x:f>
        <x:v>C032</x:v>
      </x:c>
      <x:c r="C1481" t="n">
        <x:v>33</x:v>
      </x:c>
      <x:c r="D1481" t="n">
        <x:f>IF('04_checks'!E213="ERROR",1,0)</x:f>
        <x:v>0</x:v>
      </x:c>
      <x:c r="E1481" t="str">
        <x:v>Client:33:3</x:v>
      </x:c>
      <x:c r="F1481" t="str">
        <x:v>Нет связи</x:v>
      </x:c>
      <x:c r="G1481" t="str">
        <x:v>High</x:v>
      </x:c>
      <x:c r="H1481" t="str">
        <x:v>client_id</x:v>
      </x:c>
      <x:c r="I1481" t="str">
        <x:v>Исправить ссылку или разрешить дубли связанного ID</x:v>
      </x:c>
      <x:c r="J1481" t="n">
        <x:f>IF(D1481=1,K1481,0)</x:f>
        <x:v>0</x:v>
      </x:c>
      <x:c r="K1481" t="n">
        <x:f>D1481+K1480</x:f>
        <x:v>18</x:v>
      </x:c>
    </x:row>
    <x:row r="1482">
      <x:c r="A1482" t="str">
        <x:v>Client</x:v>
      </x:c>
      <x:c r="B1482" t="str">
        <x:f>'04_checks'!B213</x:f>
        <x:v>C032</x:v>
      </x:c>
      <x:c r="C1482" t="n">
        <x:v>33</x:v>
      </x:c>
      <x:c r="D1482" t="n">
        <x:f>IF('04_checks'!F213="ERROR",1,0)</x:f>
        <x:v>0</x:v>
      </x:c>
      <x:c r="E1482" t="str">
        <x:v>Client:33:4</x:v>
      </x:c>
      <x:c r="F1482" t="str">
        <x:v>Формат ИНН</x:v>
      </x:c>
      <x:c r="G1482" t="str">
        <x:v>High</x:v>
      </x:c>
      <x:c r="H1482" t="str">
        <x:v>inn</x:v>
      </x:c>
      <x:c r="I1482" t="str">
        <x:v>Сверить длину ИНН 10/12 цифр с источником</x:v>
      </x:c>
      <x:c r="J1482" t="n">
        <x:f>IF(D1482=1,K1482,0)</x:f>
        <x:v>0</x:v>
      </x:c>
      <x:c r="K1482" t="n">
        <x:f>D1482+K1481</x:f>
        <x:v>18</x:v>
      </x:c>
    </x:row>
    <x:row r="1483">
      <x:c r="A1483" t="str">
        <x:v>Client</x:v>
      </x:c>
      <x:c r="B1483" t="str">
        <x:f>'04_checks'!B213</x:f>
        <x:v>C032</x:v>
      </x:c>
      <x:c r="C1483" t="n">
        <x:v>33</x:v>
      </x:c>
      <x:c r="D1483" t="n">
        <x:f>IF('04_checks'!G213="ERROR",1,0)</x:f>
        <x:v>0</x:v>
      </x:c>
      <x:c r="E1483" t="str">
        <x:v>Client:33:5</x:v>
      </x:c>
      <x:c r="F1483" t="str">
        <x:v>Отрицательная цена</x:v>
      </x:c>
      <x:c r="G1483" t="str">
        <x:v>High</x:v>
      </x:c>
      <x:c r="H1483" t="str">
        <x:v>N/A</x:v>
      </x:c>
      <x:c r="I1483" t="str">
        <x:v>Проверить цену в источнике</x:v>
      </x:c>
      <x:c r="J1483" t="n">
        <x:f>IF(D1483=1,K1483,0)</x:f>
        <x:v>0</x:v>
      </x:c>
      <x:c r="K1483" t="n">
        <x:f>D1483+K1482</x:f>
        <x:v>18</x:v>
      </x:c>
    </x:row>
    <x:row r="1484">
      <x:c r="A1484" t="str">
        <x:v>Client</x:v>
      </x:c>
      <x:c r="B1484" t="str">
        <x:f>'04_checks'!B213</x:f>
        <x:v>C032</x:v>
      </x:c>
      <x:c r="C1484" t="n">
        <x:v>33</x:v>
      </x:c>
      <x:c r="D1484" t="n">
        <x:f>IF('04_checks'!H213="ERROR",1,0)</x:f>
        <x:v>0</x:v>
      </x:c>
      <x:c r="E1484" t="str">
        <x:v>Client:33:6</x:v>
      </x:c>
      <x:c r="F1484" t="str">
        <x:v>Дата</x:v>
      </x:c>
      <x:c r="G1484" t="str">
        <x:v>Medium</x:v>
      </x:c>
      <x:c r="H1484" t="str">
        <x:v>registration_date</x:v>
      </x:c>
      <x:c r="I1484" t="str">
        <x:v>Сверить дату со срезом и исходной записью</x:v>
      </x:c>
      <x:c r="J1484" t="n">
        <x:f>IF(D1484=1,K1484,0)</x:f>
        <x:v>0</x:v>
      </x:c>
      <x:c r="K1484" t="n">
        <x:f>D1484+K1483</x:f>
        <x:v>18</x:v>
      </x:c>
    </x:row>
    <x:row r="1485">
      <x:c r="A1485" t="str">
        <x:v>Client</x:v>
      </x:c>
      <x:c r="B1485" t="str">
        <x:f>'04_checks'!B213</x:f>
        <x:v>C032</x:v>
      </x:c>
      <x:c r="C1485" t="n">
        <x:v>33</x:v>
      </x:c>
      <x:c r="D1485" t="n">
        <x:f>IF('04_checks'!I213="ERROR",1,0)</x:f>
        <x:v>0</x:v>
      </x:c>
      <x:c r="E1485" t="str">
        <x:v>Client:33:7</x:v>
      </x:c>
      <x:c r="F1485" t="str">
        <x:v>Статус</x:v>
      </x:c>
      <x:c r="G1485" t="str">
        <x:v>Medium</x:v>
      </x:c>
      <x:c r="H1485" t="str">
        <x:v>N/A</x:v>
      </x:c>
      <x:c r="I1485" t="str">
        <x:v>Выбрать допустимый статус</x:v>
      </x:c>
      <x:c r="J1485" t="n">
        <x:f>IF(D1485=1,K1485,0)</x:f>
        <x:v>0</x:v>
      </x:c>
      <x:c r="K1485" t="n">
        <x:f>D1485+K1484</x:f>
        <x:v>18</x:v>
      </x:c>
    </x:row>
    <x:row r="1486">
      <x:c r="A1486" t="str">
        <x:v>Client</x:v>
      </x:c>
      <x:c r="B1486" t="str">
        <x:f>'04_checks'!B214</x:f>
        <x:v>C033</x:v>
      </x:c>
      <x:c r="C1486" t="n">
        <x:v>34</x:v>
      </x:c>
      <x:c r="D1486" t="n">
        <x:f>IF('04_checks'!C214="ERROR",1,0)</x:f>
        <x:v>0</x:v>
      </x:c>
      <x:c r="E1486" t="str">
        <x:v>Client:34:1</x:v>
      </x:c>
      <x:c r="F1486" t="str">
        <x:v>Дубль</x:v>
      </x:c>
      <x:c r="G1486" t="str">
        <x:v>High</x:v>
      </x:c>
      <x:c r="H1486" t="str">
        <x:v>client_id</x:v>
      </x:c>
      <x:c r="I1486" t="str">
        <x:v>Проверить уникальность ID в источнике; не удалять записи автоматически</x:v>
      </x:c>
      <x:c r="J1486" t="n">
        <x:f>IF(D1486=1,K1486,0)</x:f>
        <x:v>0</x:v>
      </x:c>
      <x:c r="K1486" t="n">
        <x:f>D1486+K1485</x:f>
        <x:v>18</x:v>
      </x:c>
    </x:row>
    <x:row r="1487">
      <x:c r="A1487" t="str">
        <x:v>Client</x:v>
      </x:c>
      <x:c r="B1487" t="str">
        <x:f>'04_checks'!B214</x:f>
        <x:v>C033</x:v>
      </x:c>
      <x:c r="C1487" t="n">
        <x:v>34</x:v>
      </x:c>
      <x:c r="D1487" t="n">
        <x:f>IF('04_checks'!D214="ERROR",1,0)</x:f>
        <x:v>0</x:v>
      </x:c>
      <x:c r="E1487" t="str">
        <x:v>Client:34:2</x:v>
      </x:c>
      <x:c r="F1487" t="str">
        <x:v>Пустое поле</x:v>
      </x:c>
      <x:c r="G1487" t="str">
        <x:v>High</x:v>
      </x:c>
      <x:c r="H1487" t="str">
        <x:v>required_fields</x:v>
      </x:c>
      <x:c r="I1487" t="str">
        <x:v>Дополнить обязательные поля в источнике</x:v>
      </x:c>
      <x:c r="J1487" t="n">
        <x:f>IF(D1487=1,K1487,0)</x:f>
        <x:v>0</x:v>
      </x:c>
      <x:c r="K1487" t="n">
        <x:f>D1487+K1486</x:f>
        <x:v>18</x:v>
      </x:c>
    </x:row>
    <x:row r="1488">
      <x:c r="A1488" t="str">
        <x:v>Client</x:v>
      </x:c>
      <x:c r="B1488" t="str">
        <x:f>'04_checks'!B214</x:f>
        <x:v>C033</x:v>
      </x:c>
      <x:c r="C1488" t="n">
        <x:v>34</x:v>
      </x:c>
      <x:c r="D1488" t="n">
        <x:f>IF('04_checks'!E214="ERROR",1,0)</x:f>
        <x:v>0</x:v>
      </x:c>
      <x:c r="E1488" t="str">
        <x:v>Client:34:3</x:v>
      </x:c>
      <x:c r="F1488" t="str">
        <x:v>Нет связи</x:v>
      </x:c>
      <x:c r="G1488" t="str">
        <x:v>High</x:v>
      </x:c>
      <x:c r="H1488" t="str">
        <x:v>client_id</x:v>
      </x:c>
      <x:c r="I1488" t="str">
        <x:v>Исправить ссылку или разрешить дубли связанного ID</x:v>
      </x:c>
      <x:c r="J1488" t="n">
        <x:f>IF(D1488=1,K1488,0)</x:f>
        <x:v>0</x:v>
      </x:c>
      <x:c r="K1488" t="n">
        <x:f>D1488+K1487</x:f>
        <x:v>18</x:v>
      </x:c>
    </x:row>
    <x:row r="1489">
      <x:c r="A1489" t="str">
        <x:v>Client</x:v>
      </x:c>
      <x:c r="B1489" t="str">
        <x:f>'04_checks'!B214</x:f>
        <x:v>C033</x:v>
      </x:c>
      <x:c r="C1489" t="n">
        <x:v>34</x:v>
      </x:c>
      <x:c r="D1489" t="n">
        <x:f>IF('04_checks'!F214="ERROR",1,0)</x:f>
        <x:v>0</x:v>
      </x:c>
      <x:c r="E1489" t="str">
        <x:v>Client:34:4</x:v>
      </x:c>
      <x:c r="F1489" t="str">
        <x:v>Формат ИНН</x:v>
      </x:c>
      <x:c r="G1489" t="str">
        <x:v>High</x:v>
      </x:c>
      <x:c r="H1489" t="str">
        <x:v>inn</x:v>
      </x:c>
      <x:c r="I1489" t="str">
        <x:v>Сверить длину ИНН 10/12 цифр с источником</x:v>
      </x:c>
      <x:c r="J1489" t="n">
        <x:f>IF(D1489=1,K1489,0)</x:f>
        <x:v>0</x:v>
      </x:c>
      <x:c r="K1489" t="n">
        <x:f>D1489+K1488</x:f>
        <x:v>18</x:v>
      </x:c>
    </x:row>
    <x:row r="1490">
      <x:c r="A1490" t="str">
        <x:v>Client</x:v>
      </x:c>
      <x:c r="B1490" t="str">
        <x:f>'04_checks'!B214</x:f>
        <x:v>C033</x:v>
      </x:c>
      <x:c r="C1490" t="n">
        <x:v>34</x:v>
      </x:c>
      <x:c r="D1490" t="n">
        <x:f>IF('04_checks'!G214="ERROR",1,0)</x:f>
        <x:v>0</x:v>
      </x:c>
      <x:c r="E1490" t="str">
        <x:v>Client:34:5</x:v>
      </x:c>
      <x:c r="F1490" t="str">
        <x:v>Отрицательная цена</x:v>
      </x:c>
      <x:c r="G1490" t="str">
        <x:v>High</x:v>
      </x:c>
      <x:c r="H1490" t="str">
        <x:v>N/A</x:v>
      </x:c>
      <x:c r="I1490" t="str">
        <x:v>Проверить цену в источнике</x:v>
      </x:c>
      <x:c r="J1490" t="n">
        <x:f>IF(D1490=1,K1490,0)</x:f>
        <x:v>0</x:v>
      </x:c>
      <x:c r="K1490" t="n">
        <x:f>D1490+K1489</x:f>
        <x:v>18</x:v>
      </x:c>
    </x:row>
    <x:row r="1491">
      <x:c r="A1491" t="str">
        <x:v>Client</x:v>
      </x:c>
      <x:c r="B1491" t="str">
        <x:f>'04_checks'!B214</x:f>
        <x:v>C033</x:v>
      </x:c>
      <x:c r="C1491" t="n">
        <x:v>34</x:v>
      </x:c>
      <x:c r="D1491" t="n">
        <x:f>IF('04_checks'!H214="ERROR",1,0)</x:f>
        <x:v>0</x:v>
      </x:c>
      <x:c r="E1491" t="str">
        <x:v>Client:34:6</x:v>
      </x:c>
      <x:c r="F1491" t="str">
        <x:v>Дата</x:v>
      </x:c>
      <x:c r="G1491" t="str">
        <x:v>Medium</x:v>
      </x:c>
      <x:c r="H1491" t="str">
        <x:v>registration_date</x:v>
      </x:c>
      <x:c r="I1491" t="str">
        <x:v>Сверить дату со срезом и исходной записью</x:v>
      </x:c>
      <x:c r="J1491" t="n">
        <x:f>IF(D1491=1,K1491,0)</x:f>
        <x:v>0</x:v>
      </x:c>
      <x:c r="K1491" t="n">
        <x:f>D1491+K1490</x:f>
        <x:v>18</x:v>
      </x:c>
    </x:row>
    <x:row r="1492">
      <x:c r="A1492" t="str">
        <x:v>Client</x:v>
      </x:c>
      <x:c r="B1492" t="str">
        <x:f>'04_checks'!B214</x:f>
        <x:v>C033</x:v>
      </x:c>
      <x:c r="C1492" t="n">
        <x:v>34</x:v>
      </x:c>
      <x:c r="D1492" t="n">
        <x:f>IF('04_checks'!I214="ERROR",1,0)</x:f>
        <x:v>0</x:v>
      </x:c>
      <x:c r="E1492" t="str">
        <x:v>Client:34:7</x:v>
      </x:c>
      <x:c r="F1492" t="str">
        <x:v>Статус</x:v>
      </x:c>
      <x:c r="G1492" t="str">
        <x:v>Medium</x:v>
      </x:c>
      <x:c r="H1492" t="str">
        <x:v>N/A</x:v>
      </x:c>
      <x:c r="I1492" t="str">
        <x:v>Выбрать допустимый статус</x:v>
      </x:c>
      <x:c r="J1492" t="n">
        <x:f>IF(D1492=1,K1492,0)</x:f>
        <x:v>0</x:v>
      </x:c>
      <x:c r="K1492" t="n">
        <x:f>D1492+K1491</x:f>
        <x:v>18</x:v>
      </x:c>
    </x:row>
    <x:row r="1493">
      <x:c r="A1493" t="str">
        <x:v>Client</x:v>
      </x:c>
      <x:c r="B1493" t="str">
        <x:f>'04_checks'!B215</x:f>
        <x:v>C034</x:v>
      </x:c>
      <x:c r="C1493" t="n">
        <x:v>35</x:v>
      </x:c>
      <x:c r="D1493" t="n">
        <x:f>IF('04_checks'!C215="ERROR",1,0)</x:f>
        <x:v>0</x:v>
      </x:c>
      <x:c r="E1493" t="str">
        <x:v>Client:35:1</x:v>
      </x:c>
      <x:c r="F1493" t="str">
        <x:v>Дубль</x:v>
      </x:c>
      <x:c r="G1493" t="str">
        <x:v>High</x:v>
      </x:c>
      <x:c r="H1493" t="str">
        <x:v>client_id</x:v>
      </x:c>
      <x:c r="I1493" t="str">
        <x:v>Проверить уникальность ID в источнике; не удалять записи автоматически</x:v>
      </x:c>
      <x:c r="J1493" t="n">
        <x:f>IF(D1493=1,K1493,0)</x:f>
        <x:v>0</x:v>
      </x:c>
      <x:c r="K1493" t="n">
        <x:f>D1493+K1492</x:f>
        <x:v>18</x:v>
      </x:c>
    </x:row>
    <x:row r="1494">
      <x:c r="A1494" t="str">
        <x:v>Client</x:v>
      </x:c>
      <x:c r="B1494" t="str">
        <x:f>'04_checks'!B215</x:f>
        <x:v>C034</x:v>
      </x:c>
      <x:c r="C1494" t="n">
        <x:v>35</x:v>
      </x:c>
      <x:c r="D1494" t="n">
        <x:f>IF('04_checks'!D215="ERROR",1,0)</x:f>
        <x:v>0</x:v>
      </x:c>
      <x:c r="E1494" t="str">
        <x:v>Client:35:2</x:v>
      </x:c>
      <x:c r="F1494" t="str">
        <x:v>Пустое поле</x:v>
      </x:c>
      <x:c r="G1494" t="str">
        <x:v>High</x:v>
      </x:c>
      <x:c r="H1494" t="str">
        <x:v>required_fields</x:v>
      </x:c>
      <x:c r="I1494" t="str">
        <x:v>Дополнить обязательные поля в источнике</x:v>
      </x:c>
      <x:c r="J1494" t="n">
        <x:f>IF(D1494=1,K1494,0)</x:f>
        <x:v>0</x:v>
      </x:c>
      <x:c r="K1494" t="n">
        <x:f>D1494+K1493</x:f>
        <x:v>18</x:v>
      </x:c>
    </x:row>
    <x:row r="1495">
      <x:c r="A1495" t="str">
        <x:v>Client</x:v>
      </x:c>
      <x:c r="B1495" t="str">
        <x:f>'04_checks'!B215</x:f>
        <x:v>C034</x:v>
      </x:c>
      <x:c r="C1495" t="n">
        <x:v>35</x:v>
      </x:c>
      <x:c r="D1495" t="n">
        <x:f>IF('04_checks'!E215="ERROR",1,0)</x:f>
        <x:v>0</x:v>
      </x:c>
      <x:c r="E1495" t="str">
        <x:v>Client:35:3</x:v>
      </x:c>
      <x:c r="F1495" t="str">
        <x:v>Нет связи</x:v>
      </x:c>
      <x:c r="G1495" t="str">
        <x:v>High</x:v>
      </x:c>
      <x:c r="H1495" t="str">
        <x:v>client_id</x:v>
      </x:c>
      <x:c r="I1495" t="str">
        <x:v>Исправить ссылку или разрешить дубли связанного ID</x:v>
      </x:c>
      <x:c r="J1495" t="n">
        <x:f>IF(D1495=1,K1495,0)</x:f>
        <x:v>0</x:v>
      </x:c>
      <x:c r="K1495" t="n">
        <x:f>D1495+K1494</x:f>
        <x:v>18</x:v>
      </x:c>
    </x:row>
    <x:row r="1496">
      <x:c r="A1496" t="str">
        <x:v>Client</x:v>
      </x:c>
      <x:c r="B1496" t="str">
        <x:f>'04_checks'!B215</x:f>
        <x:v>C034</x:v>
      </x:c>
      <x:c r="C1496" t="n">
        <x:v>35</x:v>
      </x:c>
      <x:c r="D1496" t="n">
        <x:f>IF('04_checks'!F215="ERROR",1,0)</x:f>
        <x:v>0</x:v>
      </x:c>
      <x:c r="E1496" t="str">
        <x:v>Client:35:4</x:v>
      </x:c>
      <x:c r="F1496" t="str">
        <x:v>Формат ИНН</x:v>
      </x:c>
      <x:c r="G1496" t="str">
        <x:v>High</x:v>
      </x:c>
      <x:c r="H1496" t="str">
        <x:v>inn</x:v>
      </x:c>
      <x:c r="I1496" t="str">
        <x:v>Сверить длину ИНН 10/12 цифр с источником</x:v>
      </x:c>
      <x:c r="J1496" t="n">
        <x:f>IF(D1496=1,K1496,0)</x:f>
        <x:v>0</x:v>
      </x:c>
      <x:c r="K1496" t="n">
        <x:f>D1496+K1495</x:f>
        <x:v>18</x:v>
      </x:c>
    </x:row>
    <x:row r="1497">
      <x:c r="A1497" t="str">
        <x:v>Client</x:v>
      </x:c>
      <x:c r="B1497" t="str">
        <x:f>'04_checks'!B215</x:f>
        <x:v>C034</x:v>
      </x:c>
      <x:c r="C1497" t="n">
        <x:v>35</x:v>
      </x:c>
      <x:c r="D1497" t="n">
        <x:f>IF('04_checks'!G215="ERROR",1,0)</x:f>
        <x:v>0</x:v>
      </x:c>
      <x:c r="E1497" t="str">
        <x:v>Client:35:5</x:v>
      </x:c>
      <x:c r="F1497" t="str">
        <x:v>Отрицательная цена</x:v>
      </x:c>
      <x:c r="G1497" t="str">
        <x:v>High</x:v>
      </x:c>
      <x:c r="H1497" t="str">
        <x:v>N/A</x:v>
      </x:c>
      <x:c r="I1497" t="str">
        <x:v>Проверить цену в источнике</x:v>
      </x:c>
      <x:c r="J1497" t="n">
        <x:f>IF(D1497=1,K1497,0)</x:f>
        <x:v>0</x:v>
      </x:c>
      <x:c r="K1497" t="n">
        <x:f>D1497+K1496</x:f>
        <x:v>18</x:v>
      </x:c>
    </x:row>
    <x:row r="1498">
      <x:c r="A1498" t="str">
        <x:v>Client</x:v>
      </x:c>
      <x:c r="B1498" t="str">
        <x:f>'04_checks'!B215</x:f>
        <x:v>C034</x:v>
      </x:c>
      <x:c r="C1498" t="n">
        <x:v>35</x:v>
      </x:c>
      <x:c r="D1498" t="n">
        <x:f>IF('04_checks'!H215="ERROR",1,0)</x:f>
        <x:v>0</x:v>
      </x:c>
      <x:c r="E1498" t="str">
        <x:v>Client:35:6</x:v>
      </x:c>
      <x:c r="F1498" t="str">
        <x:v>Дата</x:v>
      </x:c>
      <x:c r="G1498" t="str">
        <x:v>Medium</x:v>
      </x:c>
      <x:c r="H1498" t="str">
        <x:v>registration_date</x:v>
      </x:c>
      <x:c r="I1498" t="str">
        <x:v>Сверить дату со срезом и исходной записью</x:v>
      </x:c>
      <x:c r="J1498" t="n">
        <x:f>IF(D1498=1,K1498,0)</x:f>
        <x:v>0</x:v>
      </x:c>
      <x:c r="K1498" t="n">
        <x:f>D1498+K1497</x:f>
        <x:v>18</x:v>
      </x:c>
    </x:row>
    <x:row r="1499">
      <x:c r="A1499" t="str">
        <x:v>Client</x:v>
      </x:c>
      <x:c r="B1499" t="str">
        <x:f>'04_checks'!B215</x:f>
        <x:v>C034</x:v>
      </x:c>
      <x:c r="C1499" t="n">
        <x:v>35</x:v>
      </x:c>
      <x:c r="D1499" t="n">
        <x:f>IF('04_checks'!I215="ERROR",1,0)</x:f>
        <x:v>0</x:v>
      </x:c>
      <x:c r="E1499" t="str">
        <x:v>Client:35:7</x:v>
      </x:c>
      <x:c r="F1499" t="str">
        <x:v>Статус</x:v>
      </x:c>
      <x:c r="G1499" t="str">
        <x:v>Medium</x:v>
      </x:c>
      <x:c r="H1499" t="str">
        <x:v>N/A</x:v>
      </x:c>
      <x:c r="I1499" t="str">
        <x:v>Выбрать допустимый статус</x:v>
      </x:c>
      <x:c r="J1499" t="n">
        <x:f>IF(D1499=1,K1499,0)</x:f>
        <x:v>0</x:v>
      </x:c>
      <x:c r="K1499" t="n">
        <x:f>D1499+K1498</x:f>
        <x:v>18</x:v>
      </x:c>
    </x:row>
    <x:row r="1500">
      <x:c r="A1500" t="str">
        <x:v>Client</x:v>
      </x:c>
      <x:c r="B1500" t="str">
        <x:f>'04_checks'!B216</x:f>
        <x:v>C035</x:v>
      </x:c>
      <x:c r="C1500" t="n">
        <x:v>36</x:v>
      </x:c>
      <x:c r="D1500" t="n">
        <x:f>IF('04_checks'!C216="ERROR",1,0)</x:f>
        <x:v>0</x:v>
      </x:c>
      <x:c r="E1500" t="str">
        <x:v>Client:36:1</x:v>
      </x:c>
      <x:c r="F1500" t="str">
        <x:v>Дубль</x:v>
      </x:c>
      <x:c r="G1500" t="str">
        <x:v>High</x:v>
      </x:c>
      <x:c r="H1500" t="str">
        <x:v>client_id</x:v>
      </x:c>
      <x:c r="I1500" t="str">
        <x:v>Проверить уникальность ID в источнике; не удалять записи автоматически</x:v>
      </x:c>
      <x:c r="J1500" t="n">
        <x:f>IF(D1500=1,K1500,0)</x:f>
        <x:v>0</x:v>
      </x:c>
      <x:c r="K1500" t="n">
        <x:f>D1500+K1499</x:f>
        <x:v>18</x:v>
      </x:c>
    </x:row>
    <x:row r="1501">
      <x:c r="A1501" t="str">
        <x:v>Client</x:v>
      </x:c>
      <x:c r="B1501" t="str">
        <x:f>'04_checks'!B216</x:f>
        <x:v>C035</x:v>
      </x:c>
      <x:c r="C1501" t="n">
        <x:v>36</x:v>
      </x:c>
      <x:c r="D1501" t="n">
        <x:f>IF('04_checks'!D216="ERROR",1,0)</x:f>
        <x:v>0</x:v>
      </x:c>
      <x:c r="E1501" t="str">
        <x:v>Client:36:2</x:v>
      </x:c>
      <x:c r="F1501" t="str">
        <x:v>Пустое поле</x:v>
      </x:c>
      <x:c r="G1501" t="str">
        <x:v>High</x:v>
      </x:c>
      <x:c r="H1501" t="str">
        <x:v>required_fields</x:v>
      </x:c>
      <x:c r="I1501" t="str">
        <x:v>Дополнить обязательные поля в источнике</x:v>
      </x:c>
      <x:c r="J1501" t="n">
        <x:f>IF(D1501=1,K1501,0)</x:f>
        <x:v>0</x:v>
      </x:c>
      <x:c r="K1501" t="n">
        <x:f>D1501+K1500</x:f>
        <x:v>18</x:v>
      </x:c>
    </x:row>
    <x:row r="1502">
      <x:c r="A1502" t="str">
        <x:v>Client</x:v>
      </x:c>
      <x:c r="B1502" t="str">
        <x:f>'04_checks'!B216</x:f>
        <x:v>C035</x:v>
      </x:c>
      <x:c r="C1502" t="n">
        <x:v>36</x:v>
      </x:c>
      <x:c r="D1502" t="n">
        <x:f>IF('04_checks'!E216="ERROR",1,0)</x:f>
        <x:v>0</x:v>
      </x:c>
      <x:c r="E1502" t="str">
        <x:v>Client:36:3</x:v>
      </x:c>
      <x:c r="F1502" t="str">
        <x:v>Нет связи</x:v>
      </x:c>
      <x:c r="G1502" t="str">
        <x:v>High</x:v>
      </x:c>
      <x:c r="H1502" t="str">
        <x:v>client_id</x:v>
      </x:c>
      <x:c r="I1502" t="str">
        <x:v>Исправить ссылку или разрешить дубли связанного ID</x:v>
      </x:c>
      <x:c r="J1502" t="n">
        <x:f>IF(D1502=1,K1502,0)</x:f>
        <x:v>0</x:v>
      </x:c>
      <x:c r="K1502" t="n">
        <x:f>D1502+K1501</x:f>
        <x:v>18</x:v>
      </x:c>
    </x:row>
    <x:row r="1503">
      <x:c r="A1503" t="str">
        <x:v>Client</x:v>
      </x:c>
      <x:c r="B1503" t="str">
        <x:f>'04_checks'!B216</x:f>
        <x:v>C035</x:v>
      </x:c>
      <x:c r="C1503" t="n">
        <x:v>36</x:v>
      </x:c>
      <x:c r="D1503" t="n">
        <x:f>IF('04_checks'!F216="ERROR",1,0)</x:f>
        <x:v>0</x:v>
      </x:c>
      <x:c r="E1503" t="str">
        <x:v>Client:36:4</x:v>
      </x:c>
      <x:c r="F1503" t="str">
        <x:v>Формат ИНН</x:v>
      </x:c>
      <x:c r="G1503" t="str">
        <x:v>High</x:v>
      </x:c>
      <x:c r="H1503" t="str">
        <x:v>inn</x:v>
      </x:c>
      <x:c r="I1503" t="str">
        <x:v>Сверить длину ИНН 10/12 цифр с источником</x:v>
      </x:c>
      <x:c r="J1503" t="n">
        <x:f>IF(D1503=1,K1503,0)</x:f>
        <x:v>0</x:v>
      </x:c>
      <x:c r="K1503" t="n">
        <x:f>D1503+K1502</x:f>
        <x:v>18</x:v>
      </x:c>
    </x:row>
    <x:row r="1504">
      <x:c r="A1504" t="str">
        <x:v>Client</x:v>
      </x:c>
      <x:c r="B1504" t="str">
        <x:f>'04_checks'!B216</x:f>
        <x:v>C035</x:v>
      </x:c>
      <x:c r="C1504" t="n">
        <x:v>36</x:v>
      </x:c>
      <x:c r="D1504" t="n">
        <x:f>IF('04_checks'!G216="ERROR",1,0)</x:f>
        <x:v>0</x:v>
      </x:c>
      <x:c r="E1504" t="str">
        <x:v>Client:36:5</x:v>
      </x:c>
      <x:c r="F1504" t="str">
        <x:v>Отрицательная цена</x:v>
      </x:c>
      <x:c r="G1504" t="str">
        <x:v>High</x:v>
      </x:c>
      <x:c r="H1504" t="str">
        <x:v>N/A</x:v>
      </x:c>
      <x:c r="I1504" t="str">
        <x:v>Проверить цену в источнике</x:v>
      </x:c>
      <x:c r="J1504" t="n">
        <x:f>IF(D1504=1,K1504,0)</x:f>
        <x:v>0</x:v>
      </x:c>
      <x:c r="K1504" t="n">
        <x:f>D1504+K1503</x:f>
        <x:v>18</x:v>
      </x:c>
    </x:row>
    <x:row r="1505">
      <x:c r="A1505" t="str">
        <x:v>Client</x:v>
      </x:c>
      <x:c r="B1505" t="str">
        <x:f>'04_checks'!B216</x:f>
        <x:v>C035</x:v>
      </x:c>
      <x:c r="C1505" t="n">
        <x:v>36</x:v>
      </x:c>
      <x:c r="D1505" t="n">
        <x:f>IF('04_checks'!H216="ERROR",1,0)</x:f>
        <x:v>0</x:v>
      </x:c>
      <x:c r="E1505" t="str">
        <x:v>Client:36:6</x:v>
      </x:c>
      <x:c r="F1505" t="str">
        <x:v>Дата</x:v>
      </x:c>
      <x:c r="G1505" t="str">
        <x:v>Medium</x:v>
      </x:c>
      <x:c r="H1505" t="str">
        <x:v>registration_date</x:v>
      </x:c>
      <x:c r="I1505" t="str">
        <x:v>Сверить дату со срезом и исходной записью</x:v>
      </x:c>
      <x:c r="J1505" t="n">
        <x:f>IF(D1505=1,K1505,0)</x:f>
        <x:v>0</x:v>
      </x:c>
      <x:c r="K1505" t="n">
        <x:f>D1505+K1504</x:f>
        <x:v>18</x:v>
      </x:c>
    </x:row>
    <x:row r="1506">
      <x:c r="A1506" t="str">
        <x:v>Client</x:v>
      </x:c>
      <x:c r="B1506" t="str">
        <x:f>'04_checks'!B216</x:f>
        <x:v>C035</x:v>
      </x:c>
      <x:c r="C1506" t="n">
        <x:v>36</x:v>
      </x:c>
      <x:c r="D1506" t="n">
        <x:f>IF('04_checks'!I216="ERROR",1,0)</x:f>
        <x:v>0</x:v>
      </x:c>
      <x:c r="E1506" t="str">
        <x:v>Client:36:7</x:v>
      </x:c>
      <x:c r="F1506" t="str">
        <x:v>Статус</x:v>
      </x:c>
      <x:c r="G1506" t="str">
        <x:v>Medium</x:v>
      </x:c>
      <x:c r="H1506" t="str">
        <x:v>N/A</x:v>
      </x:c>
      <x:c r="I1506" t="str">
        <x:v>Выбрать допустимый статус</x:v>
      </x:c>
      <x:c r="J1506" t="n">
        <x:f>IF(D1506=1,K1506,0)</x:f>
        <x:v>0</x:v>
      </x:c>
      <x:c r="K1506" t="n">
        <x:f>D1506+K1505</x:f>
        <x:v>18</x:v>
      </x:c>
    </x:row>
    <x:row r="1507">
      <x:c r="A1507" t="str">
        <x:v>Client</x:v>
      </x:c>
      <x:c r="B1507" t="str">
        <x:f>'04_checks'!B217</x:f>
        <x:v>C036</x:v>
      </x:c>
      <x:c r="C1507" t="n">
        <x:v>37</x:v>
      </x:c>
      <x:c r="D1507" t="n">
        <x:f>IF('04_checks'!C217="ERROR",1,0)</x:f>
        <x:v>0</x:v>
      </x:c>
      <x:c r="E1507" t="str">
        <x:v>Client:37:1</x:v>
      </x:c>
      <x:c r="F1507" t="str">
        <x:v>Дубль</x:v>
      </x:c>
      <x:c r="G1507" t="str">
        <x:v>High</x:v>
      </x:c>
      <x:c r="H1507" t="str">
        <x:v>client_id</x:v>
      </x:c>
      <x:c r="I1507" t="str">
        <x:v>Проверить уникальность ID в источнике; не удалять записи автоматически</x:v>
      </x:c>
      <x:c r="J1507" t="n">
        <x:f>IF(D1507=1,K1507,0)</x:f>
        <x:v>0</x:v>
      </x:c>
      <x:c r="K1507" t="n">
        <x:f>D1507+K1506</x:f>
        <x:v>18</x:v>
      </x:c>
    </x:row>
    <x:row r="1508">
      <x:c r="A1508" t="str">
        <x:v>Client</x:v>
      </x:c>
      <x:c r="B1508" t="str">
        <x:f>'04_checks'!B217</x:f>
        <x:v>C036</x:v>
      </x:c>
      <x:c r="C1508" t="n">
        <x:v>37</x:v>
      </x:c>
      <x:c r="D1508" t="n">
        <x:f>IF('04_checks'!D217="ERROR",1,0)</x:f>
        <x:v>0</x:v>
      </x:c>
      <x:c r="E1508" t="str">
        <x:v>Client:37:2</x:v>
      </x:c>
      <x:c r="F1508" t="str">
        <x:v>Пустое поле</x:v>
      </x:c>
      <x:c r="G1508" t="str">
        <x:v>High</x:v>
      </x:c>
      <x:c r="H1508" t="str">
        <x:v>required_fields</x:v>
      </x:c>
      <x:c r="I1508" t="str">
        <x:v>Дополнить обязательные поля в источнике</x:v>
      </x:c>
      <x:c r="J1508" t="n">
        <x:f>IF(D1508=1,K1508,0)</x:f>
        <x:v>0</x:v>
      </x:c>
      <x:c r="K1508" t="n">
        <x:f>D1508+K1507</x:f>
        <x:v>18</x:v>
      </x:c>
    </x:row>
    <x:row r="1509">
      <x:c r="A1509" t="str">
        <x:v>Client</x:v>
      </x:c>
      <x:c r="B1509" t="str">
        <x:f>'04_checks'!B217</x:f>
        <x:v>C036</x:v>
      </x:c>
      <x:c r="C1509" t="n">
        <x:v>37</x:v>
      </x:c>
      <x:c r="D1509" t="n">
        <x:f>IF('04_checks'!E217="ERROR",1,0)</x:f>
        <x:v>0</x:v>
      </x:c>
      <x:c r="E1509" t="str">
        <x:v>Client:37:3</x:v>
      </x:c>
      <x:c r="F1509" t="str">
        <x:v>Нет связи</x:v>
      </x:c>
      <x:c r="G1509" t="str">
        <x:v>High</x:v>
      </x:c>
      <x:c r="H1509" t="str">
        <x:v>client_id</x:v>
      </x:c>
      <x:c r="I1509" t="str">
        <x:v>Исправить ссылку или разрешить дубли связанного ID</x:v>
      </x:c>
      <x:c r="J1509" t="n">
        <x:f>IF(D1509=1,K1509,0)</x:f>
        <x:v>0</x:v>
      </x:c>
      <x:c r="K1509" t="n">
        <x:f>D1509+K1508</x:f>
        <x:v>18</x:v>
      </x:c>
    </x:row>
    <x:row r="1510">
      <x:c r="A1510" t="str">
        <x:v>Client</x:v>
      </x:c>
      <x:c r="B1510" t="str">
        <x:f>'04_checks'!B217</x:f>
        <x:v>C036</x:v>
      </x:c>
      <x:c r="C1510" t="n">
        <x:v>37</x:v>
      </x:c>
      <x:c r="D1510" t="n">
        <x:f>IF('04_checks'!F217="ERROR",1,0)</x:f>
        <x:v>0</x:v>
      </x:c>
      <x:c r="E1510" t="str">
        <x:v>Client:37:4</x:v>
      </x:c>
      <x:c r="F1510" t="str">
        <x:v>Формат ИНН</x:v>
      </x:c>
      <x:c r="G1510" t="str">
        <x:v>High</x:v>
      </x:c>
      <x:c r="H1510" t="str">
        <x:v>inn</x:v>
      </x:c>
      <x:c r="I1510" t="str">
        <x:v>Сверить длину ИНН 10/12 цифр с источником</x:v>
      </x:c>
      <x:c r="J1510" t="n">
        <x:f>IF(D1510=1,K1510,0)</x:f>
        <x:v>0</x:v>
      </x:c>
      <x:c r="K1510" t="n">
        <x:f>D1510+K1509</x:f>
        <x:v>18</x:v>
      </x:c>
    </x:row>
    <x:row r="1511">
      <x:c r="A1511" t="str">
        <x:v>Client</x:v>
      </x:c>
      <x:c r="B1511" t="str">
        <x:f>'04_checks'!B217</x:f>
        <x:v>C036</x:v>
      </x:c>
      <x:c r="C1511" t="n">
        <x:v>37</x:v>
      </x:c>
      <x:c r="D1511" t="n">
        <x:f>IF('04_checks'!G217="ERROR",1,0)</x:f>
        <x:v>0</x:v>
      </x:c>
      <x:c r="E1511" t="str">
        <x:v>Client:37:5</x:v>
      </x:c>
      <x:c r="F1511" t="str">
        <x:v>Отрицательная цена</x:v>
      </x:c>
      <x:c r="G1511" t="str">
        <x:v>High</x:v>
      </x:c>
      <x:c r="H1511" t="str">
        <x:v>N/A</x:v>
      </x:c>
      <x:c r="I1511" t="str">
        <x:v>Проверить цену в источнике</x:v>
      </x:c>
      <x:c r="J1511" t="n">
        <x:f>IF(D1511=1,K1511,0)</x:f>
        <x:v>0</x:v>
      </x:c>
      <x:c r="K1511" t="n">
        <x:f>D1511+K1510</x:f>
        <x:v>18</x:v>
      </x:c>
    </x:row>
    <x:row r="1512">
      <x:c r="A1512" t="str">
        <x:v>Client</x:v>
      </x:c>
      <x:c r="B1512" t="str">
        <x:f>'04_checks'!B217</x:f>
        <x:v>C036</x:v>
      </x:c>
      <x:c r="C1512" t="n">
        <x:v>37</x:v>
      </x:c>
      <x:c r="D1512" t="n">
        <x:f>IF('04_checks'!H217="ERROR",1,0)</x:f>
        <x:v>0</x:v>
      </x:c>
      <x:c r="E1512" t="str">
        <x:v>Client:37:6</x:v>
      </x:c>
      <x:c r="F1512" t="str">
        <x:v>Дата</x:v>
      </x:c>
      <x:c r="G1512" t="str">
        <x:v>Medium</x:v>
      </x:c>
      <x:c r="H1512" t="str">
        <x:v>registration_date</x:v>
      </x:c>
      <x:c r="I1512" t="str">
        <x:v>Сверить дату со срезом и исходной записью</x:v>
      </x:c>
      <x:c r="J1512" t="n">
        <x:f>IF(D1512=1,K1512,0)</x:f>
        <x:v>0</x:v>
      </x:c>
      <x:c r="K1512" t="n">
        <x:f>D1512+K1511</x:f>
        <x:v>18</x:v>
      </x:c>
    </x:row>
    <x:row r="1513">
      <x:c r="A1513" t="str">
        <x:v>Client</x:v>
      </x:c>
      <x:c r="B1513" t="str">
        <x:f>'04_checks'!B217</x:f>
        <x:v>C036</x:v>
      </x:c>
      <x:c r="C1513" t="n">
        <x:v>37</x:v>
      </x:c>
      <x:c r="D1513" t="n">
        <x:f>IF('04_checks'!I217="ERROR",1,0)</x:f>
        <x:v>0</x:v>
      </x:c>
      <x:c r="E1513" t="str">
        <x:v>Client:37:7</x:v>
      </x:c>
      <x:c r="F1513" t="str">
        <x:v>Статус</x:v>
      </x:c>
      <x:c r="G1513" t="str">
        <x:v>Medium</x:v>
      </x:c>
      <x:c r="H1513" t="str">
        <x:v>N/A</x:v>
      </x:c>
      <x:c r="I1513" t="str">
        <x:v>Выбрать допустимый статус</x:v>
      </x:c>
      <x:c r="J1513" t="n">
        <x:f>IF(D1513=1,K1513,0)</x:f>
        <x:v>0</x:v>
      </x:c>
      <x:c r="K1513" t="n">
        <x:f>D1513+K1512</x:f>
        <x:v>18</x:v>
      </x:c>
    </x:row>
    <x:row r="1514">
      <x:c r="A1514" t="str">
        <x:v>Client</x:v>
      </x:c>
      <x:c r="B1514" t="str">
        <x:f>'04_checks'!B218</x:f>
        <x:v>C037</x:v>
      </x:c>
      <x:c r="C1514" t="n">
        <x:v>38</x:v>
      </x:c>
      <x:c r="D1514" t="n">
        <x:f>IF('04_checks'!C218="ERROR",1,0)</x:f>
        <x:v>0</x:v>
      </x:c>
      <x:c r="E1514" t="str">
        <x:v>Client:38:1</x:v>
      </x:c>
      <x:c r="F1514" t="str">
        <x:v>Дубль</x:v>
      </x:c>
      <x:c r="G1514" t="str">
        <x:v>High</x:v>
      </x:c>
      <x:c r="H1514" t="str">
        <x:v>client_id</x:v>
      </x:c>
      <x:c r="I1514" t="str">
        <x:v>Проверить уникальность ID в источнике; не удалять записи автоматически</x:v>
      </x:c>
      <x:c r="J1514" t="n">
        <x:f>IF(D1514=1,K1514,0)</x:f>
        <x:v>0</x:v>
      </x:c>
      <x:c r="K1514" t="n">
        <x:f>D1514+K1513</x:f>
        <x:v>18</x:v>
      </x:c>
    </x:row>
    <x:row r="1515">
      <x:c r="A1515" t="str">
        <x:v>Client</x:v>
      </x:c>
      <x:c r="B1515" t="str">
        <x:f>'04_checks'!B218</x:f>
        <x:v>C037</x:v>
      </x:c>
      <x:c r="C1515" t="n">
        <x:v>38</x:v>
      </x:c>
      <x:c r="D1515" t="n">
        <x:f>IF('04_checks'!D218="ERROR",1,0)</x:f>
        <x:v>0</x:v>
      </x:c>
      <x:c r="E1515" t="str">
        <x:v>Client:38:2</x:v>
      </x:c>
      <x:c r="F1515" t="str">
        <x:v>Пустое поле</x:v>
      </x:c>
      <x:c r="G1515" t="str">
        <x:v>High</x:v>
      </x:c>
      <x:c r="H1515" t="str">
        <x:v>required_fields</x:v>
      </x:c>
      <x:c r="I1515" t="str">
        <x:v>Дополнить обязательные поля в источнике</x:v>
      </x:c>
      <x:c r="J1515" t="n">
        <x:f>IF(D1515=1,K1515,0)</x:f>
        <x:v>0</x:v>
      </x:c>
      <x:c r="K1515" t="n">
        <x:f>D1515+K1514</x:f>
        <x:v>18</x:v>
      </x:c>
    </x:row>
    <x:row r="1516">
      <x:c r="A1516" t="str">
        <x:v>Client</x:v>
      </x:c>
      <x:c r="B1516" t="str">
        <x:f>'04_checks'!B218</x:f>
        <x:v>C037</x:v>
      </x:c>
      <x:c r="C1516" t="n">
        <x:v>38</x:v>
      </x:c>
      <x:c r="D1516" t="n">
        <x:f>IF('04_checks'!E218="ERROR",1,0)</x:f>
        <x:v>0</x:v>
      </x:c>
      <x:c r="E1516" t="str">
        <x:v>Client:38:3</x:v>
      </x:c>
      <x:c r="F1516" t="str">
        <x:v>Нет связи</x:v>
      </x:c>
      <x:c r="G1516" t="str">
        <x:v>High</x:v>
      </x:c>
      <x:c r="H1516" t="str">
        <x:v>client_id</x:v>
      </x:c>
      <x:c r="I1516" t="str">
        <x:v>Исправить ссылку или разрешить дубли связанного ID</x:v>
      </x:c>
      <x:c r="J1516" t="n">
        <x:f>IF(D1516=1,K1516,0)</x:f>
        <x:v>0</x:v>
      </x:c>
      <x:c r="K1516" t="n">
        <x:f>D1516+K1515</x:f>
        <x:v>18</x:v>
      </x:c>
    </x:row>
    <x:row r="1517">
      <x:c r="A1517" t="str">
        <x:v>Client</x:v>
      </x:c>
      <x:c r="B1517" t="str">
        <x:f>'04_checks'!B218</x:f>
        <x:v>C037</x:v>
      </x:c>
      <x:c r="C1517" t="n">
        <x:v>38</x:v>
      </x:c>
      <x:c r="D1517" t="n">
        <x:f>IF('04_checks'!F218="ERROR",1,0)</x:f>
        <x:v>0</x:v>
      </x:c>
      <x:c r="E1517" t="str">
        <x:v>Client:38:4</x:v>
      </x:c>
      <x:c r="F1517" t="str">
        <x:v>Формат ИНН</x:v>
      </x:c>
      <x:c r="G1517" t="str">
        <x:v>High</x:v>
      </x:c>
      <x:c r="H1517" t="str">
        <x:v>inn</x:v>
      </x:c>
      <x:c r="I1517" t="str">
        <x:v>Сверить длину ИНН 10/12 цифр с источником</x:v>
      </x:c>
      <x:c r="J1517" t="n">
        <x:f>IF(D1517=1,K1517,0)</x:f>
        <x:v>0</x:v>
      </x:c>
      <x:c r="K1517" t="n">
        <x:f>D1517+K1516</x:f>
        <x:v>18</x:v>
      </x:c>
    </x:row>
    <x:row r="1518">
      <x:c r="A1518" t="str">
        <x:v>Client</x:v>
      </x:c>
      <x:c r="B1518" t="str">
        <x:f>'04_checks'!B218</x:f>
        <x:v>C037</x:v>
      </x:c>
      <x:c r="C1518" t="n">
        <x:v>38</x:v>
      </x:c>
      <x:c r="D1518" t="n">
        <x:f>IF('04_checks'!G218="ERROR",1,0)</x:f>
        <x:v>0</x:v>
      </x:c>
      <x:c r="E1518" t="str">
        <x:v>Client:38:5</x:v>
      </x:c>
      <x:c r="F1518" t="str">
        <x:v>Отрицательная цена</x:v>
      </x:c>
      <x:c r="G1518" t="str">
        <x:v>High</x:v>
      </x:c>
      <x:c r="H1518" t="str">
        <x:v>N/A</x:v>
      </x:c>
      <x:c r="I1518" t="str">
        <x:v>Проверить цену в источнике</x:v>
      </x:c>
      <x:c r="J1518" t="n">
        <x:f>IF(D1518=1,K1518,0)</x:f>
        <x:v>0</x:v>
      </x:c>
      <x:c r="K1518" t="n">
        <x:f>D1518+K1517</x:f>
        <x:v>18</x:v>
      </x:c>
    </x:row>
    <x:row r="1519">
      <x:c r="A1519" t="str">
        <x:v>Client</x:v>
      </x:c>
      <x:c r="B1519" t="str">
        <x:f>'04_checks'!B218</x:f>
        <x:v>C037</x:v>
      </x:c>
      <x:c r="C1519" t="n">
        <x:v>38</x:v>
      </x:c>
      <x:c r="D1519" t="n">
        <x:f>IF('04_checks'!H218="ERROR",1,0)</x:f>
        <x:v>0</x:v>
      </x:c>
      <x:c r="E1519" t="str">
        <x:v>Client:38:6</x:v>
      </x:c>
      <x:c r="F1519" t="str">
        <x:v>Дата</x:v>
      </x:c>
      <x:c r="G1519" t="str">
        <x:v>Medium</x:v>
      </x:c>
      <x:c r="H1519" t="str">
        <x:v>registration_date</x:v>
      </x:c>
      <x:c r="I1519" t="str">
        <x:v>Сверить дату со срезом и исходной записью</x:v>
      </x:c>
      <x:c r="J1519" t="n">
        <x:f>IF(D1519=1,K1519,0)</x:f>
        <x:v>0</x:v>
      </x:c>
      <x:c r="K1519" t="n">
        <x:f>D1519+K1518</x:f>
        <x:v>18</x:v>
      </x:c>
    </x:row>
    <x:row r="1520">
      <x:c r="A1520" t="str">
        <x:v>Client</x:v>
      </x:c>
      <x:c r="B1520" t="str">
        <x:f>'04_checks'!B218</x:f>
        <x:v>C037</x:v>
      </x:c>
      <x:c r="C1520" t="n">
        <x:v>38</x:v>
      </x:c>
      <x:c r="D1520" t="n">
        <x:f>IF('04_checks'!I218="ERROR",1,0)</x:f>
        <x:v>0</x:v>
      </x:c>
      <x:c r="E1520" t="str">
        <x:v>Client:38:7</x:v>
      </x:c>
      <x:c r="F1520" t="str">
        <x:v>Статус</x:v>
      </x:c>
      <x:c r="G1520" t="str">
        <x:v>Medium</x:v>
      </x:c>
      <x:c r="H1520" t="str">
        <x:v>N/A</x:v>
      </x:c>
      <x:c r="I1520" t="str">
        <x:v>Выбрать допустимый статус</x:v>
      </x:c>
      <x:c r="J1520" t="n">
        <x:f>IF(D1520=1,K1520,0)</x:f>
        <x:v>0</x:v>
      </x:c>
      <x:c r="K1520" t="n">
        <x:f>D1520+K1519</x:f>
        <x:v>18</x:v>
      </x:c>
    </x:row>
    <x:row r="1521">
      <x:c r="A1521" t="str">
        <x:v>Client</x:v>
      </x:c>
      <x:c r="B1521" t="str">
        <x:f>'04_checks'!B219</x:f>
        <x:v>C038</x:v>
      </x:c>
      <x:c r="C1521" t="n">
        <x:v>39</x:v>
      </x:c>
      <x:c r="D1521" t="n">
        <x:f>IF('04_checks'!C219="ERROR",1,0)</x:f>
        <x:v>0</x:v>
      </x:c>
      <x:c r="E1521" t="str">
        <x:v>Client:39:1</x:v>
      </x:c>
      <x:c r="F1521" t="str">
        <x:v>Дубль</x:v>
      </x:c>
      <x:c r="G1521" t="str">
        <x:v>High</x:v>
      </x:c>
      <x:c r="H1521" t="str">
        <x:v>client_id</x:v>
      </x:c>
      <x:c r="I1521" t="str">
        <x:v>Проверить уникальность ID в источнике; не удалять записи автоматически</x:v>
      </x:c>
      <x:c r="J1521" t="n">
        <x:f>IF(D1521=1,K1521,0)</x:f>
        <x:v>0</x:v>
      </x:c>
      <x:c r="K1521" t="n">
        <x:f>D1521+K1520</x:f>
        <x:v>18</x:v>
      </x:c>
    </x:row>
    <x:row r="1522">
      <x:c r="A1522" t="str">
        <x:v>Client</x:v>
      </x:c>
      <x:c r="B1522" t="str">
        <x:f>'04_checks'!B219</x:f>
        <x:v>C038</x:v>
      </x:c>
      <x:c r="C1522" t="n">
        <x:v>39</x:v>
      </x:c>
      <x:c r="D1522" t="n">
        <x:f>IF('04_checks'!D219="ERROR",1,0)</x:f>
        <x:v>0</x:v>
      </x:c>
      <x:c r="E1522" t="str">
        <x:v>Client:39:2</x:v>
      </x:c>
      <x:c r="F1522" t="str">
        <x:v>Пустое поле</x:v>
      </x:c>
      <x:c r="G1522" t="str">
        <x:v>High</x:v>
      </x:c>
      <x:c r="H1522" t="str">
        <x:v>required_fields</x:v>
      </x:c>
      <x:c r="I1522" t="str">
        <x:v>Дополнить обязательные поля в источнике</x:v>
      </x:c>
      <x:c r="J1522" t="n">
        <x:f>IF(D1522=1,K1522,0)</x:f>
        <x:v>0</x:v>
      </x:c>
      <x:c r="K1522" t="n">
        <x:f>D1522+K1521</x:f>
        <x:v>18</x:v>
      </x:c>
    </x:row>
    <x:row r="1523">
      <x:c r="A1523" t="str">
        <x:v>Client</x:v>
      </x:c>
      <x:c r="B1523" t="str">
        <x:f>'04_checks'!B219</x:f>
        <x:v>C038</x:v>
      </x:c>
      <x:c r="C1523" t="n">
        <x:v>39</x:v>
      </x:c>
      <x:c r="D1523" t="n">
        <x:f>IF('04_checks'!E219="ERROR",1,0)</x:f>
        <x:v>0</x:v>
      </x:c>
      <x:c r="E1523" t="str">
        <x:v>Client:39:3</x:v>
      </x:c>
      <x:c r="F1523" t="str">
        <x:v>Нет связи</x:v>
      </x:c>
      <x:c r="G1523" t="str">
        <x:v>High</x:v>
      </x:c>
      <x:c r="H1523" t="str">
        <x:v>client_id</x:v>
      </x:c>
      <x:c r="I1523" t="str">
        <x:v>Исправить ссылку или разрешить дубли связанного ID</x:v>
      </x:c>
      <x:c r="J1523" t="n">
        <x:f>IF(D1523=1,K1523,0)</x:f>
        <x:v>0</x:v>
      </x:c>
      <x:c r="K1523" t="n">
        <x:f>D1523+K1522</x:f>
        <x:v>18</x:v>
      </x:c>
    </x:row>
    <x:row r="1524">
      <x:c r="A1524" t="str">
        <x:v>Client</x:v>
      </x:c>
      <x:c r="B1524" t="str">
        <x:f>'04_checks'!B219</x:f>
        <x:v>C038</x:v>
      </x:c>
      <x:c r="C1524" t="n">
        <x:v>39</x:v>
      </x:c>
      <x:c r="D1524" t="n">
        <x:f>IF('04_checks'!F219="ERROR",1,0)</x:f>
        <x:v>0</x:v>
      </x:c>
      <x:c r="E1524" t="str">
        <x:v>Client:39:4</x:v>
      </x:c>
      <x:c r="F1524" t="str">
        <x:v>Формат ИНН</x:v>
      </x:c>
      <x:c r="G1524" t="str">
        <x:v>High</x:v>
      </x:c>
      <x:c r="H1524" t="str">
        <x:v>inn</x:v>
      </x:c>
      <x:c r="I1524" t="str">
        <x:v>Сверить длину ИНН 10/12 цифр с источником</x:v>
      </x:c>
      <x:c r="J1524" t="n">
        <x:f>IF(D1524=1,K1524,0)</x:f>
        <x:v>0</x:v>
      </x:c>
      <x:c r="K1524" t="n">
        <x:f>D1524+K1523</x:f>
        <x:v>18</x:v>
      </x:c>
    </x:row>
    <x:row r="1525">
      <x:c r="A1525" t="str">
        <x:v>Client</x:v>
      </x:c>
      <x:c r="B1525" t="str">
        <x:f>'04_checks'!B219</x:f>
        <x:v>C038</x:v>
      </x:c>
      <x:c r="C1525" t="n">
        <x:v>39</x:v>
      </x:c>
      <x:c r="D1525" t="n">
        <x:f>IF('04_checks'!G219="ERROR",1,0)</x:f>
        <x:v>0</x:v>
      </x:c>
      <x:c r="E1525" t="str">
        <x:v>Client:39:5</x:v>
      </x:c>
      <x:c r="F1525" t="str">
        <x:v>Отрицательная цена</x:v>
      </x:c>
      <x:c r="G1525" t="str">
        <x:v>High</x:v>
      </x:c>
      <x:c r="H1525" t="str">
        <x:v>N/A</x:v>
      </x:c>
      <x:c r="I1525" t="str">
        <x:v>Проверить цену в источнике</x:v>
      </x:c>
      <x:c r="J1525" t="n">
        <x:f>IF(D1525=1,K1525,0)</x:f>
        <x:v>0</x:v>
      </x:c>
      <x:c r="K1525" t="n">
        <x:f>D1525+K1524</x:f>
        <x:v>18</x:v>
      </x:c>
    </x:row>
    <x:row r="1526">
      <x:c r="A1526" t="str">
        <x:v>Client</x:v>
      </x:c>
      <x:c r="B1526" t="str">
        <x:f>'04_checks'!B219</x:f>
        <x:v>C038</x:v>
      </x:c>
      <x:c r="C1526" t="n">
        <x:v>39</x:v>
      </x:c>
      <x:c r="D1526" t="n">
        <x:f>IF('04_checks'!H219="ERROR",1,0)</x:f>
        <x:v>0</x:v>
      </x:c>
      <x:c r="E1526" t="str">
        <x:v>Client:39:6</x:v>
      </x:c>
      <x:c r="F1526" t="str">
        <x:v>Дата</x:v>
      </x:c>
      <x:c r="G1526" t="str">
        <x:v>Medium</x:v>
      </x:c>
      <x:c r="H1526" t="str">
        <x:v>registration_date</x:v>
      </x:c>
      <x:c r="I1526" t="str">
        <x:v>Сверить дату со срезом и исходной записью</x:v>
      </x:c>
      <x:c r="J1526" t="n">
        <x:f>IF(D1526=1,K1526,0)</x:f>
        <x:v>0</x:v>
      </x:c>
      <x:c r="K1526" t="n">
        <x:f>D1526+K1525</x:f>
        <x:v>18</x:v>
      </x:c>
    </x:row>
    <x:row r="1527">
      <x:c r="A1527" t="str">
        <x:v>Client</x:v>
      </x:c>
      <x:c r="B1527" t="str">
        <x:f>'04_checks'!B219</x:f>
        <x:v>C038</x:v>
      </x:c>
      <x:c r="C1527" t="n">
        <x:v>39</x:v>
      </x:c>
      <x:c r="D1527" t="n">
        <x:f>IF('04_checks'!I219="ERROR",1,0)</x:f>
        <x:v>0</x:v>
      </x:c>
      <x:c r="E1527" t="str">
        <x:v>Client:39:7</x:v>
      </x:c>
      <x:c r="F1527" t="str">
        <x:v>Статус</x:v>
      </x:c>
      <x:c r="G1527" t="str">
        <x:v>Medium</x:v>
      </x:c>
      <x:c r="H1527" t="str">
        <x:v>N/A</x:v>
      </x:c>
      <x:c r="I1527" t="str">
        <x:v>Выбрать допустимый статус</x:v>
      </x:c>
      <x:c r="J1527" t="n">
        <x:f>IF(D1527=1,K1527,0)</x:f>
        <x:v>0</x:v>
      </x:c>
      <x:c r="K1527" t="n">
        <x:f>D1527+K1526</x:f>
        <x:v>18</x:v>
      </x:c>
    </x:row>
    <x:row r="1528">
      <x:c r="A1528" t="str">
        <x:v>Client</x:v>
      </x:c>
      <x:c r="B1528" t="str">
        <x:f>'04_checks'!B220</x:f>
        <x:v>C039</x:v>
      </x:c>
      <x:c r="C1528" t="n">
        <x:v>40</x:v>
      </x:c>
      <x:c r="D1528" t="n">
        <x:f>IF('04_checks'!C220="ERROR",1,0)</x:f>
        <x:v>0</x:v>
      </x:c>
      <x:c r="E1528" t="str">
        <x:v>Client:40:1</x:v>
      </x:c>
      <x:c r="F1528" t="str">
        <x:v>Дубль</x:v>
      </x:c>
      <x:c r="G1528" t="str">
        <x:v>High</x:v>
      </x:c>
      <x:c r="H1528" t="str">
        <x:v>client_id</x:v>
      </x:c>
      <x:c r="I1528" t="str">
        <x:v>Проверить уникальность ID в источнике; не удалять записи автоматически</x:v>
      </x:c>
      <x:c r="J1528" t="n">
        <x:f>IF(D1528=1,K1528,0)</x:f>
        <x:v>0</x:v>
      </x:c>
      <x:c r="K1528" t="n">
        <x:f>D1528+K1527</x:f>
        <x:v>18</x:v>
      </x:c>
    </x:row>
    <x:row r="1529">
      <x:c r="A1529" t="str">
        <x:v>Client</x:v>
      </x:c>
      <x:c r="B1529" t="str">
        <x:f>'04_checks'!B220</x:f>
        <x:v>C039</x:v>
      </x:c>
      <x:c r="C1529" t="n">
        <x:v>40</x:v>
      </x:c>
      <x:c r="D1529" t="n">
        <x:f>IF('04_checks'!D220="ERROR",1,0)</x:f>
        <x:v>0</x:v>
      </x:c>
      <x:c r="E1529" t="str">
        <x:v>Client:40:2</x:v>
      </x:c>
      <x:c r="F1529" t="str">
        <x:v>Пустое поле</x:v>
      </x:c>
      <x:c r="G1529" t="str">
        <x:v>High</x:v>
      </x:c>
      <x:c r="H1529" t="str">
        <x:v>required_fields</x:v>
      </x:c>
      <x:c r="I1529" t="str">
        <x:v>Дополнить обязательные поля в источнике</x:v>
      </x:c>
      <x:c r="J1529" t="n">
        <x:f>IF(D1529=1,K1529,0)</x:f>
        <x:v>0</x:v>
      </x:c>
      <x:c r="K1529" t="n">
        <x:f>D1529+K1528</x:f>
        <x:v>18</x:v>
      </x:c>
    </x:row>
    <x:row r="1530">
      <x:c r="A1530" t="str">
        <x:v>Client</x:v>
      </x:c>
      <x:c r="B1530" t="str">
        <x:f>'04_checks'!B220</x:f>
        <x:v>C039</x:v>
      </x:c>
      <x:c r="C1530" t="n">
        <x:v>40</x:v>
      </x:c>
      <x:c r="D1530" t="n">
        <x:f>IF('04_checks'!E220="ERROR",1,0)</x:f>
        <x:v>0</x:v>
      </x:c>
      <x:c r="E1530" t="str">
        <x:v>Client:40:3</x:v>
      </x:c>
      <x:c r="F1530" t="str">
        <x:v>Нет связи</x:v>
      </x:c>
      <x:c r="G1530" t="str">
        <x:v>High</x:v>
      </x:c>
      <x:c r="H1530" t="str">
        <x:v>client_id</x:v>
      </x:c>
      <x:c r="I1530" t="str">
        <x:v>Исправить ссылку или разрешить дубли связанного ID</x:v>
      </x:c>
      <x:c r="J1530" t="n">
        <x:f>IF(D1530=1,K1530,0)</x:f>
        <x:v>0</x:v>
      </x:c>
      <x:c r="K1530" t="n">
        <x:f>D1530+K1529</x:f>
        <x:v>18</x:v>
      </x:c>
    </x:row>
    <x:row r="1531">
      <x:c r="A1531" t="str">
        <x:v>Client</x:v>
      </x:c>
      <x:c r="B1531" t="str">
        <x:f>'04_checks'!B220</x:f>
        <x:v>C039</x:v>
      </x:c>
      <x:c r="C1531" t="n">
        <x:v>40</x:v>
      </x:c>
      <x:c r="D1531" t="n">
        <x:f>IF('04_checks'!F220="ERROR",1,0)</x:f>
        <x:v>0</x:v>
      </x:c>
      <x:c r="E1531" t="str">
        <x:v>Client:40:4</x:v>
      </x:c>
      <x:c r="F1531" t="str">
        <x:v>Формат ИНН</x:v>
      </x:c>
      <x:c r="G1531" t="str">
        <x:v>High</x:v>
      </x:c>
      <x:c r="H1531" t="str">
        <x:v>inn</x:v>
      </x:c>
      <x:c r="I1531" t="str">
        <x:v>Сверить длину ИНН 10/12 цифр с источником</x:v>
      </x:c>
      <x:c r="J1531" t="n">
        <x:f>IF(D1531=1,K1531,0)</x:f>
        <x:v>0</x:v>
      </x:c>
      <x:c r="K1531" t="n">
        <x:f>D1531+K1530</x:f>
        <x:v>18</x:v>
      </x:c>
    </x:row>
    <x:row r="1532">
      <x:c r="A1532" t="str">
        <x:v>Client</x:v>
      </x:c>
      <x:c r="B1532" t="str">
        <x:f>'04_checks'!B220</x:f>
        <x:v>C039</x:v>
      </x:c>
      <x:c r="C1532" t="n">
        <x:v>40</x:v>
      </x:c>
      <x:c r="D1532" t="n">
        <x:f>IF('04_checks'!G220="ERROR",1,0)</x:f>
        <x:v>0</x:v>
      </x:c>
      <x:c r="E1532" t="str">
        <x:v>Client:40:5</x:v>
      </x:c>
      <x:c r="F1532" t="str">
        <x:v>Отрицательная цена</x:v>
      </x:c>
      <x:c r="G1532" t="str">
        <x:v>High</x:v>
      </x:c>
      <x:c r="H1532" t="str">
        <x:v>N/A</x:v>
      </x:c>
      <x:c r="I1532" t="str">
        <x:v>Проверить цену в источнике</x:v>
      </x:c>
      <x:c r="J1532" t="n">
        <x:f>IF(D1532=1,K1532,0)</x:f>
        <x:v>0</x:v>
      </x:c>
      <x:c r="K1532" t="n">
        <x:f>D1532+K1531</x:f>
        <x:v>18</x:v>
      </x:c>
    </x:row>
    <x:row r="1533">
      <x:c r="A1533" t="str">
        <x:v>Client</x:v>
      </x:c>
      <x:c r="B1533" t="str">
        <x:f>'04_checks'!B220</x:f>
        <x:v>C039</x:v>
      </x:c>
      <x:c r="C1533" t="n">
        <x:v>40</x:v>
      </x:c>
      <x:c r="D1533" t="n">
        <x:f>IF('04_checks'!H220="ERROR",1,0)</x:f>
        <x:v>0</x:v>
      </x:c>
      <x:c r="E1533" t="str">
        <x:v>Client:40:6</x:v>
      </x:c>
      <x:c r="F1533" t="str">
        <x:v>Дата</x:v>
      </x:c>
      <x:c r="G1533" t="str">
        <x:v>Medium</x:v>
      </x:c>
      <x:c r="H1533" t="str">
        <x:v>registration_date</x:v>
      </x:c>
      <x:c r="I1533" t="str">
        <x:v>Сверить дату со срезом и исходной записью</x:v>
      </x:c>
      <x:c r="J1533" t="n">
        <x:f>IF(D1533=1,K1533,0)</x:f>
        <x:v>0</x:v>
      </x:c>
      <x:c r="K1533" t="n">
        <x:f>D1533+K1532</x:f>
        <x:v>18</x:v>
      </x:c>
    </x:row>
    <x:row r="1534">
      <x:c r="A1534" t="str">
        <x:v>Client</x:v>
      </x:c>
      <x:c r="B1534" t="str">
        <x:f>'04_checks'!B220</x:f>
        <x:v>C039</x:v>
      </x:c>
      <x:c r="C1534" t="n">
        <x:v>40</x:v>
      </x:c>
      <x:c r="D1534" t="n">
        <x:f>IF('04_checks'!I220="ERROR",1,0)</x:f>
        <x:v>0</x:v>
      </x:c>
      <x:c r="E1534" t="str">
        <x:v>Client:40:7</x:v>
      </x:c>
      <x:c r="F1534" t="str">
        <x:v>Статус</x:v>
      </x:c>
      <x:c r="G1534" t="str">
        <x:v>Medium</x:v>
      </x:c>
      <x:c r="H1534" t="str">
        <x:v>N/A</x:v>
      </x:c>
      <x:c r="I1534" t="str">
        <x:v>Выбрать допустимый статус</x:v>
      </x:c>
      <x:c r="J1534" t="n">
        <x:f>IF(D1534=1,K1534,0)</x:f>
        <x:v>0</x:v>
      </x:c>
      <x:c r="K1534" t="n">
        <x:f>D1534+K1533</x:f>
        <x:v>18</x:v>
      </x:c>
    </x:row>
    <x:row r="1535">
      <x:c r="A1535" t="str">
        <x:v>Client</x:v>
      </x:c>
      <x:c r="B1535" t="str">
        <x:f>'04_checks'!B221</x:f>
        <x:v>C040</x:v>
      </x:c>
      <x:c r="C1535" t="n">
        <x:v>41</x:v>
      </x:c>
      <x:c r="D1535" t="n">
        <x:f>IF('04_checks'!C221="ERROR",1,0)</x:f>
        <x:v>0</x:v>
      </x:c>
      <x:c r="E1535" t="str">
        <x:v>Client:41:1</x:v>
      </x:c>
      <x:c r="F1535" t="str">
        <x:v>Дубль</x:v>
      </x:c>
      <x:c r="G1535" t="str">
        <x:v>High</x:v>
      </x:c>
      <x:c r="H1535" t="str">
        <x:v>client_id</x:v>
      </x:c>
      <x:c r="I1535" t="str">
        <x:v>Проверить уникальность ID в источнике; не удалять записи автоматически</x:v>
      </x:c>
      <x:c r="J1535" t="n">
        <x:f>IF(D1535=1,K1535,0)</x:f>
        <x:v>0</x:v>
      </x:c>
      <x:c r="K1535" t="n">
        <x:f>D1535+K1534</x:f>
        <x:v>18</x:v>
      </x:c>
    </x:row>
    <x:row r="1536">
      <x:c r="A1536" t="str">
        <x:v>Client</x:v>
      </x:c>
      <x:c r="B1536" t="str">
        <x:f>'04_checks'!B221</x:f>
        <x:v>C040</x:v>
      </x:c>
      <x:c r="C1536" t="n">
        <x:v>41</x:v>
      </x:c>
      <x:c r="D1536" t="n">
        <x:f>IF('04_checks'!D221="ERROR",1,0)</x:f>
        <x:v>0</x:v>
      </x:c>
      <x:c r="E1536" t="str">
        <x:v>Client:41:2</x:v>
      </x:c>
      <x:c r="F1536" t="str">
        <x:v>Пустое поле</x:v>
      </x:c>
      <x:c r="G1536" t="str">
        <x:v>High</x:v>
      </x:c>
      <x:c r="H1536" t="str">
        <x:v>required_fields</x:v>
      </x:c>
      <x:c r="I1536" t="str">
        <x:v>Дополнить обязательные поля в источнике</x:v>
      </x:c>
      <x:c r="J1536" t="n">
        <x:f>IF(D1536=1,K1536,0)</x:f>
        <x:v>0</x:v>
      </x:c>
      <x:c r="K1536" t="n">
        <x:f>D1536+K1535</x:f>
        <x:v>18</x:v>
      </x:c>
    </x:row>
    <x:row r="1537">
      <x:c r="A1537" t="str">
        <x:v>Client</x:v>
      </x:c>
      <x:c r="B1537" t="str">
        <x:f>'04_checks'!B221</x:f>
        <x:v>C040</x:v>
      </x:c>
      <x:c r="C1537" t="n">
        <x:v>41</x:v>
      </x:c>
      <x:c r="D1537" t="n">
        <x:f>IF('04_checks'!E221="ERROR",1,0)</x:f>
        <x:v>0</x:v>
      </x:c>
      <x:c r="E1537" t="str">
        <x:v>Client:41:3</x:v>
      </x:c>
      <x:c r="F1537" t="str">
        <x:v>Нет связи</x:v>
      </x:c>
      <x:c r="G1537" t="str">
        <x:v>High</x:v>
      </x:c>
      <x:c r="H1537" t="str">
        <x:v>client_id</x:v>
      </x:c>
      <x:c r="I1537" t="str">
        <x:v>Исправить ссылку или разрешить дубли связанного ID</x:v>
      </x:c>
      <x:c r="J1537" t="n">
        <x:f>IF(D1537=1,K1537,0)</x:f>
        <x:v>0</x:v>
      </x:c>
      <x:c r="K1537" t="n">
        <x:f>D1537+K1536</x:f>
        <x:v>18</x:v>
      </x:c>
    </x:row>
    <x:row r="1538">
      <x:c r="A1538" t="str">
        <x:v>Client</x:v>
      </x:c>
      <x:c r="B1538" t="str">
        <x:f>'04_checks'!B221</x:f>
        <x:v>C040</x:v>
      </x:c>
      <x:c r="C1538" t="n">
        <x:v>41</x:v>
      </x:c>
      <x:c r="D1538" t="n">
        <x:f>IF('04_checks'!F221="ERROR",1,0)</x:f>
        <x:v>0</x:v>
      </x:c>
      <x:c r="E1538" t="str">
        <x:v>Client:41:4</x:v>
      </x:c>
      <x:c r="F1538" t="str">
        <x:v>Формат ИНН</x:v>
      </x:c>
      <x:c r="G1538" t="str">
        <x:v>High</x:v>
      </x:c>
      <x:c r="H1538" t="str">
        <x:v>inn</x:v>
      </x:c>
      <x:c r="I1538" t="str">
        <x:v>Сверить длину ИНН 10/12 цифр с источником</x:v>
      </x:c>
      <x:c r="J1538" t="n">
        <x:f>IF(D1538=1,K1538,0)</x:f>
        <x:v>0</x:v>
      </x:c>
      <x:c r="K1538" t="n">
        <x:f>D1538+K1537</x:f>
        <x:v>18</x:v>
      </x:c>
    </x:row>
    <x:row r="1539">
      <x:c r="A1539" t="str">
        <x:v>Client</x:v>
      </x:c>
      <x:c r="B1539" t="str">
        <x:f>'04_checks'!B221</x:f>
        <x:v>C040</x:v>
      </x:c>
      <x:c r="C1539" t="n">
        <x:v>41</x:v>
      </x:c>
      <x:c r="D1539" t="n">
        <x:f>IF('04_checks'!G221="ERROR",1,0)</x:f>
        <x:v>0</x:v>
      </x:c>
      <x:c r="E1539" t="str">
        <x:v>Client:41:5</x:v>
      </x:c>
      <x:c r="F1539" t="str">
        <x:v>Отрицательная цена</x:v>
      </x:c>
      <x:c r="G1539" t="str">
        <x:v>High</x:v>
      </x:c>
      <x:c r="H1539" t="str">
        <x:v>N/A</x:v>
      </x:c>
      <x:c r="I1539" t="str">
        <x:v>Проверить цену в источнике</x:v>
      </x:c>
      <x:c r="J1539" t="n">
        <x:f>IF(D1539=1,K1539,0)</x:f>
        <x:v>0</x:v>
      </x:c>
      <x:c r="K1539" t="n">
        <x:f>D1539+K1538</x:f>
        <x:v>18</x:v>
      </x:c>
    </x:row>
    <x:row r="1540">
      <x:c r="A1540" t="str">
        <x:v>Client</x:v>
      </x:c>
      <x:c r="B1540" t="str">
        <x:f>'04_checks'!B221</x:f>
        <x:v>C040</x:v>
      </x:c>
      <x:c r="C1540" t="n">
        <x:v>41</x:v>
      </x:c>
      <x:c r="D1540" t="n">
        <x:f>IF('04_checks'!H221="ERROR",1,0)</x:f>
        <x:v>0</x:v>
      </x:c>
      <x:c r="E1540" t="str">
        <x:v>Client:41:6</x:v>
      </x:c>
      <x:c r="F1540" t="str">
        <x:v>Дата</x:v>
      </x:c>
      <x:c r="G1540" t="str">
        <x:v>Medium</x:v>
      </x:c>
      <x:c r="H1540" t="str">
        <x:v>registration_date</x:v>
      </x:c>
      <x:c r="I1540" t="str">
        <x:v>Сверить дату со срезом и исходной записью</x:v>
      </x:c>
      <x:c r="J1540" t="n">
        <x:f>IF(D1540=1,K1540,0)</x:f>
        <x:v>0</x:v>
      </x:c>
      <x:c r="K1540" t="n">
        <x:f>D1540+K1539</x:f>
        <x:v>18</x:v>
      </x:c>
    </x:row>
    <x:row r="1541">
      <x:c r="A1541" t="str">
        <x:v>Client</x:v>
      </x:c>
      <x:c r="B1541" t="str">
        <x:f>'04_checks'!B221</x:f>
        <x:v>C040</x:v>
      </x:c>
      <x:c r="C1541" t="n">
        <x:v>41</x:v>
      </x:c>
      <x:c r="D1541" t="n">
        <x:f>IF('04_checks'!I221="ERROR",1,0)</x:f>
        <x:v>0</x:v>
      </x:c>
      <x:c r="E1541" t="str">
        <x:v>Client:41:7</x:v>
      </x:c>
      <x:c r="F1541" t="str">
        <x:v>Статус</x:v>
      </x:c>
      <x:c r="G1541" t="str">
        <x:v>Medium</x:v>
      </x:c>
      <x:c r="H1541" t="str">
        <x:v>N/A</x:v>
      </x:c>
      <x:c r="I1541" t="str">
        <x:v>Выбрать допустимый статус</x:v>
      </x:c>
      <x:c r="J1541" t="n">
        <x:f>IF(D1541=1,K1541,0)</x:f>
        <x:v>0</x:v>
      </x:c>
      <x:c r="K1541" t="n">
        <x:f>D1541+K1540</x:f>
        <x:v>18</x:v>
      </x:c>
    </x:row>
    <x:row r="1542">
      <x:c r="A1542" t="str">
        <x:v>Client</x:v>
      </x:c>
      <x:c r="B1542" t="str">
        <x:f>'04_checks'!B222</x:f>
        <x:v>C041</x:v>
      </x:c>
      <x:c r="C1542" t="n">
        <x:v>42</x:v>
      </x:c>
      <x:c r="D1542" t="n">
        <x:f>IF('04_checks'!C222="ERROR",1,0)</x:f>
        <x:v>0</x:v>
      </x:c>
      <x:c r="E1542" t="str">
        <x:v>Client:42:1</x:v>
      </x:c>
      <x:c r="F1542" t="str">
        <x:v>Дубль</x:v>
      </x:c>
      <x:c r="G1542" t="str">
        <x:v>High</x:v>
      </x:c>
      <x:c r="H1542" t="str">
        <x:v>client_id</x:v>
      </x:c>
      <x:c r="I1542" t="str">
        <x:v>Проверить уникальность ID в источнике; не удалять записи автоматически</x:v>
      </x:c>
      <x:c r="J1542" t="n">
        <x:f>IF(D1542=1,K1542,0)</x:f>
        <x:v>0</x:v>
      </x:c>
      <x:c r="K1542" t="n">
        <x:f>D1542+K1541</x:f>
        <x:v>18</x:v>
      </x:c>
    </x:row>
    <x:row r="1543">
      <x:c r="A1543" t="str">
        <x:v>Client</x:v>
      </x:c>
      <x:c r="B1543" t="str">
        <x:f>'04_checks'!B222</x:f>
        <x:v>C041</x:v>
      </x:c>
      <x:c r="C1543" t="n">
        <x:v>42</x:v>
      </x:c>
      <x:c r="D1543" t="n">
        <x:f>IF('04_checks'!D222="ERROR",1,0)</x:f>
        <x:v>0</x:v>
      </x:c>
      <x:c r="E1543" t="str">
        <x:v>Client:42:2</x:v>
      </x:c>
      <x:c r="F1543" t="str">
        <x:v>Пустое поле</x:v>
      </x:c>
      <x:c r="G1543" t="str">
        <x:v>High</x:v>
      </x:c>
      <x:c r="H1543" t="str">
        <x:v>required_fields</x:v>
      </x:c>
      <x:c r="I1543" t="str">
        <x:v>Дополнить обязательные поля в источнике</x:v>
      </x:c>
      <x:c r="J1543" t="n">
        <x:f>IF(D1543=1,K1543,0)</x:f>
        <x:v>0</x:v>
      </x:c>
      <x:c r="K1543" t="n">
        <x:f>D1543+K1542</x:f>
        <x:v>18</x:v>
      </x:c>
    </x:row>
    <x:row r="1544">
      <x:c r="A1544" t="str">
        <x:v>Client</x:v>
      </x:c>
      <x:c r="B1544" t="str">
        <x:f>'04_checks'!B222</x:f>
        <x:v>C041</x:v>
      </x:c>
      <x:c r="C1544" t="n">
        <x:v>42</x:v>
      </x:c>
      <x:c r="D1544" t="n">
        <x:f>IF('04_checks'!E222="ERROR",1,0)</x:f>
        <x:v>0</x:v>
      </x:c>
      <x:c r="E1544" t="str">
        <x:v>Client:42:3</x:v>
      </x:c>
      <x:c r="F1544" t="str">
        <x:v>Нет связи</x:v>
      </x:c>
      <x:c r="G1544" t="str">
        <x:v>High</x:v>
      </x:c>
      <x:c r="H1544" t="str">
        <x:v>client_id</x:v>
      </x:c>
      <x:c r="I1544" t="str">
        <x:v>Исправить ссылку или разрешить дубли связанного ID</x:v>
      </x:c>
      <x:c r="J1544" t="n">
        <x:f>IF(D1544=1,K1544,0)</x:f>
        <x:v>0</x:v>
      </x:c>
      <x:c r="K1544" t="n">
        <x:f>D1544+K1543</x:f>
        <x:v>18</x:v>
      </x:c>
    </x:row>
    <x:row r="1545">
      <x:c r="A1545" t="str">
        <x:v>Client</x:v>
      </x:c>
      <x:c r="B1545" t="str">
        <x:f>'04_checks'!B222</x:f>
        <x:v>C041</x:v>
      </x:c>
      <x:c r="C1545" t="n">
        <x:v>42</x:v>
      </x:c>
      <x:c r="D1545" t="n">
        <x:f>IF('04_checks'!F222="ERROR",1,0)</x:f>
        <x:v>0</x:v>
      </x:c>
      <x:c r="E1545" t="str">
        <x:v>Client:42:4</x:v>
      </x:c>
      <x:c r="F1545" t="str">
        <x:v>Формат ИНН</x:v>
      </x:c>
      <x:c r="G1545" t="str">
        <x:v>High</x:v>
      </x:c>
      <x:c r="H1545" t="str">
        <x:v>inn</x:v>
      </x:c>
      <x:c r="I1545" t="str">
        <x:v>Сверить длину ИНН 10/12 цифр с источником</x:v>
      </x:c>
      <x:c r="J1545" t="n">
        <x:f>IF(D1545=1,K1545,0)</x:f>
        <x:v>0</x:v>
      </x:c>
      <x:c r="K1545" t="n">
        <x:f>D1545+K1544</x:f>
        <x:v>18</x:v>
      </x:c>
    </x:row>
    <x:row r="1546">
      <x:c r="A1546" t="str">
        <x:v>Client</x:v>
      </x:c>
      <x:c r="B1546" t="str">
        <x:f>'04_checks'!B222</x:f>
        <x:v>C041</x:v>
      </x:c>
      <x:c r="C1546" t="n">
        <x:v>42</x:v>
      </x:c>
      <x:c r="D1546" t="n">
        <x:f>IF('04_checks'!G222="ERROR",1,0)</x:f>
        <x:v>0</x:v>
      </x:c>
      <x:c r="E1546" t="str">
        <x:v>Client:42:5</x:v>
      </x:c>
      <x:c r="F1546" t="str">
        <x:v>Отрицательная цена</x:v>
      </x:c>
      <x:c r="G1546" t="str">
        <x:v>High</x:v>
      </x:c>
      <x:c r="H1546" t="str">
        <x:v>N/A</x:v>
      </x:c>
      <x:c r="I1546" t="str">
        <x:v>Проверить цену в источнике</x:v>
      </x:c>
      <x:c r="J1546" t="n">
        <x:f>IF(D1546=1,K1546,0)</x:f>
        <x:v>0</x:v>
      </x:c>
      <x:c r="K1546" t="n">
        <x:f>D1546+K1545</x:f>
        <x:v>18</x:v>
      </x:c>
    </x:row>
    <x:row r="1547">
      <x:c r="A1547" t="str">
        <x:v>Client</x:v>
      </x:c>
      <x:c r="B1547" t="str">
        <x:f>'04_checks'!B222</x:f>
        <x:v>C041</x:v>
      </x:c>
      <x:c r="C1547" t="n">
        <x:v>42</x:v>
      </x:c>
      <x:c r="D1547" t="n">
        <x:f>IF('04_checks'!H222="ERROR",1,0)</x:f>
        <x:v>0</x:v>
      </x:c>
      <x:c r="E1547" t="str">
        <x:v>Client:42:6</x:v>
      </x:c>
      <x:c r="F1547" t="str">
        <x:v>Дата</x:v>
      </x:c>
      <x:c r="G1547" t="str">
        <x:v>Medium</x:v>
      </x:c>
      <x:c r="H1547" t="str">
        <x:v>registration_date</x:v>
      </x:c>
      <x:c r="I1547" t="str">
        <x:v>Сверить дату со срезом и исходной записью</x:v>
      </x:c>
      <x:c r="J1547" t="n">
        <x:f>IF(D1547=1,K1547,0)</x:f>
        <x:v>0</x:v>
      </x:c>
      <x:c r="K1547" t="n">
        <x:f>D1547+K1546</x:f>
        <x:v>18</x:v>
      </x:c>
    </x:row>
    <x:row r="1548">
      <x:c r="A1548" t="str">
        <x:v>Client</x:v>
      </x:c>
      <x:c r="B1548" t="str">
        <x:f>'04_checks'!B222</x:f>
        <x:v>C041</x:v>
      </x:c>
      <x:c r="C1548" t="n">
        <x:v>42</x:v>
      </x:c>
      <x:c r="D1548" t="n">
        <x:f>IF('04_checks'!I222="ERROR",1,0)</x:f>
        <x:v>0</x:v>
      </x:c>
      <x:c r="E1548" t="str">
        <x:v>Client:42:7</x:v>
      </x:c>
      <x:c r="F1548" t="str">
        <x:v>Статус</x:v>
      </x:c>
      <x:c r="G1548" t="str">
        <x:v>Medium</x:v>
      </x:c>
      <x:c r="H1548" t="str">
        <x:v>N/A</x:v>
      </x:c>
      <x:c r="I1548" t="str">
        <x:v>Выбрать допустимый статус</x:v>
      </x:c>
      <x:c r="J1548" t="n">
        <x:f>IF(D1548=1,K1548,0)</x:f>
        <x:v>0</x:v>
      </x:c>
      <x:c r="K1548" t="n">
        <x:f>D1548+K1547</x:f>
        <x:v>18</x:v>
      </x:c>
    </x:row>
    <x:row r="1549">
      <x:c r="A1549" t="str">
        <x:v>Client</x:v>
      </x:c>
      <x:c r="B1549" t="str">
        <x:f>'04_checks'!B223</x:f>
        <x:v>C042</x:v>
      </x:c>
      <x:c r="C1549" t="n">
        <x:v>43</x:v>
      </x:c>
      <x:c r="D1549" t="n">
        <x:f>IF('04_checks'!C223="ERROR",1,0)</x:f>
        <x:v>0</x:v>
      </x:c>
      <x:c r="E1549" t="str">
        <x:v>Client:43:1</x:v>
      </x:c>
      <x:c r="F1549" t="str">
        <x:v>Дубль</x:v>
      </x:c>
      <x:c r="G1549" t="str">
        <x:v>High</x:v>
      </x:c>
      <x:c r="H1549" t="str">
        <x:v>client_id</x:v>
      </x:c>
      <x:c r="I1549" t="str">
        <x:v>Проверить уникальность ID в источнике; не удалять записи автоматически</x:v>
      </x:c>
      <x:c r="J1549" t="n">
        <x:f>IF(D1549=1,K1549,0)</x:f>
        <x:v>0</x:v>
      </x:c>
      <x:c r="K1549" t="n">
        <x:f>D1549+K1548</x:f>
        <x:v>18</x:v>
      </x:c>
    </x:row>
    <x:row r="1550">
      <x:c r="A1550" t="str">
        <x:v>Client</x:v>
      </x:c>
      <x:c r="B1550" t="str">
        <x:f>'04_checks'!B223</x:f>
        <x:v>C042</x:v>
      </x:c>
      <x:c r="C1550" t="n">
        <x:v>43</x:v>
      </x:c>
      <x:c r="D1550" t="n">
        <x:f>IF('04_checks'!D223="ERROR",1,0)</x:f>
        <x:v>0</x:v>
      </x:c>
      <x:c r="E1550" t="str">
        <x:v>Client:43:2</x:v>
      </x:c>
      <x:c r="F1550" t="str">
        <x:v>Пустое поле</x:v>
      </x:c>
      <x:c r="G1550" t="str">
        <x:v>High</x:v>
      </x:c>
      <x:c r="H1550" t="str">
        <x:v>required_fields</x:v>
      </x:c>
      <x:c r="I1550" t="str">
        <x:v>Дополнить обязательные поля в источнике</x:v>
      </x:c>
      <x:c r="J1550" t="n">
        <x:f>IF(D1550=1,K1550,0)</x:f>
        <x:v>0</x:v>
      </x:c>
      <x:c r="K1550" t="n">
        <x:f>D1550+K1549</x:f>
        <x:v>18</x:v>
      </x:c>
    </x:row>
    <x:row r="1551">
      <x:c r="A1551" t="str">
        <x:v>Client</x:v>
      </x:c>
      <x:c r="B1551" t="str">
        <x:f>'04_checks'!B223</x:f>
        <x:v>C042</x:v>
      </x:c>
      <x:c r="C1551" t="n">
        <x:v>43</x:v>
      </x:c>
      <x:c r="D1551" t="n">
        <x:f>IF('04_checks'!E223="ERROR",1,0)</x:f>
        <x:v>0</x:v>
      </x:c>
      <x:c r="E1551" t="str">
        <x:v>Client:43:3</x:v>
      </x:c>
      <x:c r="F1551" t="str">
        <x:v>Нет связи</x:v>
      </x:c>
      <x:c r="G1551" t="str">
        <x:v>High</x:v>
      </x:c>
      <x:c r="H1551" t="str">
        <x:v>client_id</x:v>
      </x:c>
      <x:c r="I1551" t="str">
        <x:v>Исправить ссылку или разрешить дубли связанного ID</x:v>
      </x:c>
      <x:c r="J1551" t="n">
        <x:f>IF(D1551=1,K1551,0)</x:f>
        <x:v>0</x:v>
      </x:c>
      <x:c r="K1551" t="n">
        <x:f>D1551+K1550</x:f>
        <x:v>18</x:v>
      </x:c>
    </x:row>
    <x:row r="1552">
      <x:c r="A1552" t="str">
        <x:v>Client</x:v>
      </x:c>
      <x:c r="B1552" t="str">
        <x:f>'04_checks'!B223</x:f>
        <x:v>C042</x:v>
      </x:c>
      <x:c r="C1552" t="n">
        <x:v>43</x:v>
      </x:c>
      <x:c r="D1552" t="n">
        <x:f>IF('04_checks'!F223="ERROR",1,0)</x:f>
        <x:v>0</x:v>
      </x:c>
      <x:c r="E1552" t="str">
        <x:v>Client:43:4</x:v>
      </x:c>
      <x:c r="F1552" t="str">
        <x:v>Формат ИНН</x:v>
      </x:c>
      <x:c r="G1552" t="str">
        <x:v>High</x:v>
      </x:c>
      <x:c r="H1552" t="str">
        <x:v>inn</x:v>
      </x:c>
      <x:c r="I1552" t="str">
        <x:v>Сверить длину ИНН 10/12 цифр с источником</x:v>
      </x:c>
      <x:c r="J1552" t="n">
        <x:f>IF(D1552=1,K1552,0)</x:f>
        <x:v>0</x:v>
      </x:c>
      <x:c r="K1552" t="n">
        <x:f>D1552+K1551</x:f>
        <x:v>18</x:v>
      </x:c>
    </x:row>
    <x:row r="1553">
      <x:c r="A1553" t="str">
        <x:v>Client</x:v>
      </x:c>
      <x:c r="B1553" t="str">
        <x:f>'04_checks'!B223</x:f>
        <x:v>C042</x:v>
      </x:c>
      <x:c r="C1553" t="n">
        <x:v>43</x:v>
      </x:c>
      <x:c r="D1553" t="n">
        <x:f>IF('04_checks'!G223="ERROR",1,0)</x:f>
        <x:v>0</x:v>
      </x:c>
      <x:c r="E1553" t="str">
        <x:v>Client:43:5</x:v>
      </x:c>
      <x:c r="F1553" t="str">
        <x:v>Отрицательная цена</x:v>
      </x:c>
      <x:c r="G1553" t="str">
        <x:v>High</x:v>
      </x:c>
      <x:c r="H1553" t="str">
        <x:v>N/A</x:v>
      </x:c>
      <x:c r="I1553" t="str">
        <x:v>Проверить цену в источнике</x:v>
      </x:c>
      <x:c r="J1553" t="n">
        <x:f>IF(D1553=1,K1553,0)</x:f>
        <x:v>0</x:v>
      </x:c>
      <x:c r="K1553" t="n">
        <x:f>D1553+K1552</x:f>
        <x:v>18</x:v>
      </x:c>
    </x:row>
    <x:row r="1554">
      <x:c r="A1554" t="str">
        <x:v>Client</x:v>
      </x:c>
      <x:c r="B1554" t="str">
        <x:f>'04_checks'!B223</x:f>
        <x:v>C042</x:v>
      </x:c>
      <x:c r="C1554" t="n">
        <x:v>43</x:v>
      </x:c>
      <x:c r="D1554" t="n">
        <x:f>IF('04_checks'!H223="ERROR",1,0)</x:f>
        <x:v>0</x:v>
      </x:c>
      <x:c r="E1554" t="str">
        <x:v>Client:43:6</x:v>
      </x:c>
      <x:c r="F1554" t="str">
        <x:v>Дата</x:v>
      </x:c>
      <x:c r="G1554" t="str">
        <x:v>Medium</x:v>
      </x:c>
      <x:c r="H1554" t="str">
        <x:v>registration_date</x:v>
      </x:c>
      <x:c r="I1554" t="str">
        <x:v>Сверить дату со срезом и исходной записью</x:v>
      </x:c>
      <x:c r="J1554" t="n">
        <x:f>IF(D1554=1,K1554,0)</x:f>
        <x:v>0</x:v>
      </x:c>
      <x:c r="K1554" t="n">
        <x:f>D1554+K1553</x:f>
        <x:v>18</x:v>
      </x:c>
    </x:row>
    <x:row r="1555">
      <x:c r="A1555" t="str">
        <x:v>Client</x:v>
      </x:c>
      <x:c r="B1555" t="str">
        <x:f>'04_checks'!B223</x:f>
        <x:v>C042</x:v>
      </x:c>
      <x:c r="C1555" t="n">
        <x:v>43</x:v>
      </x:c>
      <x:c r="D1555" t="n">
        <x:f>IF('04_checks'!I223="ERROR",1,0)</x:f>
        <x:v>0</x:v>
      </x:c>
      <x:c r="E1555" t="str">
        <x:v>Client:43:7</x:v>
      </x:c>
      <x:c r="F1555" t="str">
        <x:v>Статус</x:v>
      </x:c>
      <x:c r="G1555" t="str">
        <x:v>Medium</x:v>
      </x:c>
      <x:c r="H1555" t="str">
        <x:v>N/A</x:v>
      </x:c>
      <x:c r="I1555" t="str">
        <x:v>Выбрать допустимый статус</x:v>
      </x:c>
      <x:c r="J1555" t="n">
        <x:f>IF(D1555=1,K1555,0)</x:f>
        <x:v>0</x:v>
      </x:c>
      <x:c r="K1555" t="n">
        <x:f>D1555+K1554</x:f>
        <x:v>18</x:v>
      </x:c>
    </x:row>
    <x:row r="1556">
      <x:c r="A1556" t="str">
        <x:v>Client</x:v>
      </x:c>
      <x:c r="B1556" t="str">
        <x:f>'04_checks'!B224</x:f>
        <x:v>C043</x:v>
      </x:c>
      <x:c r="C1556" t="n">
        <x:v>44</x:v>
      </x:c>
      <x:c r="D1556" t="n">
        <x:f>IF('04_checks'!C224="ERROR",1,0)</x:f>
        <x:v>0</x:v>
      </x:c>
      <x:c r="E1556" t="str">
        <x:v>Client:44:1</x:v>
      </x:c>
      <x:c r="F1556" t="str">
        <x:v>Дубль</x:v>
      </x:c>
      <x:c r="G1556" t="str">
        <x:v>High</x:v>
      </x:c>
      <x:c r="H1556" t="str">
        <x:v>client_id</x:v>
      </x:c>
      <x:c r="I1556" t="str">
        <x:v>Проверить уникальность ID в источнике; не удалять записи автоматически</x:v>
      </x:c>
      <x:c r="J1556" t="n">
        <x:f>IF(D1556=1,K1556,0)</x:f>
        <x:v>0</x:v>
      </x:c>
      <x:c r="K1556" t="n">
        <x:f>D1556+K1555</x:f>
        <x:v>18</x:v>
      </x:c>
    </x:row>
    <x:row r="1557">
      <x:c r="A1557" t="str">
        <x:v>Client</x:v>
      </x:c>
      <x:c r="B1557" t="str">
        <x:f>'04_checks'!B224</x:f>
        <x:v>C043</x:v>
      </x:c>
      <x:c r="C1557" t="n">
        <x:v>44</x:v>
      </x:c>
      <x:c r="D1557" t="n">
        <x:f>IF('04_checks'!D224="ERROR",1,0)</x:f>
        <x:v>0</x:v>
      </x:c>
      <x:c r="E1557" t="str">
        <x:v>Client:44:2</x:v>
      </x:c>
      <x:c r="F1557" t="str">
        <x:v>Пустое поле</x:v>
      </x:c>
      <x:c r="G1557" t="str">
        <x:v>High</x:v>
      </x:c>
      <x:c r="H1557" t="str">
        <x:v>required_fields</x:v>
      </x:c>
      <x:c r="I1557" t="str">
        <x:v>Дополнить обязательные поля в источнике</x:v>
      </x:c>
      <x:c r="J1557" t="n">
        <x:f>IF(D1557=1,K1557,0)</x:f>
        <x:v>0</x:v>
      </x:c>
      <x:c r="K1557" t="n">
        <x:f>D1557+K1556</x:f>
        <x:v>18</x:v>
      </x:c>
    </x:row>
    <x:row r="1558">
      <x:c r="A1558" t="str">
        <x:v>Client</x:v>
      </x:c>
      <x:c r="B1558" t="str">
        <x:f>'04_checks'!B224</x:f>
        <x:v>C043</x:v>
      </x:c>
      <x:c r="C1558" t="n">
        <x:v>44</x:v>
      </x:c>
      <x:c r="D1558" t="n">
        <x:f>IF('04_checks'!E224="ERROR",1,0)</x:f>
        <x:v>0</x:v>
      </x:c>
      <x:c r="E1558" t="str">
        <x:v>Client:44:3</x:v>
      </x:c>
      <x:c r="F1558" t="str">
        <x:v>Нет связи</x:v>
      </x:c>
      <x:c r="G1558" t="str">
        <x:v>High</x:v>
      </x:c>
      <x:c r="H1558" t="str">
        <x:v>client_id</x:v>
      </x:c>
      <x:c r="I1558" t="str">
        <x:v>Исправить ссылку или разрешить дубли связанного ID</x:v>
      </x:c>
      <x:c r="J1558" t="n">
        <x:f>IF(D1558=1,K1558,0)</x:f>
        <x:v>0</x:v>
      </x:c>
      <x:c r="K1558" t="n">
        <x:f>D1558+K1557</x:f>
        <x:v>18</x:v>
      </x:c>
    </x:row>
    <x:row r="1559">
      <x:c r="A1559" t="str">
        <x:v>Client</x:v>
      </x:c>
      <x:c r="B1559" t="str">
        <x:f>'04_checks'!B224</x:f>
        <x:v>C043</x:v>
      </x:c>
      <x:c r="C1559" t="n">
        <x:v>44</x:v>
      </x:c>
      <x:c r="D1559" t="n">
        <x:f>IF('04_checks'!F224="ERROR",1,0)</x:f>
        <x:v>0</x:v>
      </x:c>
      <x:c r="E1559" t="str">
        <x:v>Client:44:4</x:v>
      </x:c>
      <x:c r="F1559" t="str">
        <x:v>Формат ИНН</x:v>
      </x:c>
      <x:c r="G1559" t="str">
        <x:v>High</x:v>
      </x:c>
      <x:c r="H1559" t="str">
        <x:v>inn</x:v>
      </x:c>
      <x:c r="I1559" t="str">
        <x:v>Сверить длину ИНН 10/12 цифр с источником</x:v>
      </x:c>
      <x:c r="J1559" t="n">
        <x:f>IF(D1559=1,K1559,0)</x:f>
        <x:v>0</x:v>
      </x:c>
      <x:c r="K1559" t="n">
        <x:f>D1559+K1558</x:f>
        <x:v>18</x:v>
      </x:c>
    </x:row>
    <x:row r="1560">
      <x:c r="A1560" t="str">
        <x:v>Client</x:v>
      </x:c>
      <x:c r="B1560" t="str">
        <x:f>'04_checks'!B224</x:f>
        <x:v>C043</x:v>
      </x:c>
      <x:c r="C1560" t="n">
        <x:v>44</x:v>
      </x:c>
      <x:c r="D1560" t="n">
        <x:f>IF('04_checks'!G224="ERROR",1,0)</x:f>
        <x:v>0</x:v>
      </x:c>
      <x:c r="E1560" t="str">
        <x:v>Client:44:5</x:v>
      </x:c>
      <x:c r="F1560" t="str">
        <x:v>Отрицательная цена</x:v>
      </x:c>
      <x:c r="G1560" t="str">
        <x:v>High</x:v>
      </x:c>
      <x:c r="H1560" t="str">
        <x:v>N/A</x:v>
      </x:c>
      <x:c r="I1560" t="str">
        <x:v>Проверить цену в источнике</x:v>
      </x:c>
      <x:c r="J1560" t="n">
        <x:f>IF(D1560=1,K1560,0)</x:f>
        <x:v>0</x:v>
      </x:c>
      <x:c r="K1560" t="n">
        <x:f>D1560+K1559</x:f>
        <x:v>18</x:v>
      </x:c>
    </x:row>
    <x:row r="1561">
      <x:c r="A1561" t="str">
        <x:v>Client</x:v>
      </x:c>
      <x:c r="B1561" t="str">
        <x:f>'04_checks'!B224</x:f>
        <x:v>C043</x:v>
      </x:c>
      <x:c r="C1561" t="n">
        <x:v>44</x:v>
      </x:c>
      <x:c r="D1561" t="n">
        <x:f>IF('04_checks'!H224="ERROR",1,0)</x:f>
        <x:v>0</x:v>
      </x:c>
      <x:c r="E1561" t="str">
        <x:v>Client:44:6</x:v>
      </x:c>
      <x:c r="F1561" t="str">
        <x:v>Дата</x:v>
      </x:c>
      <x:c r="G1561" t="str">
        <x:v>Medium</x:v>
      </x:c>
      <x:c r="H1561" t="str">
        <x:v>registration_date</x:v>
      </x:c>
      <x:c r="I1561" t="str">
        <x:v>Сверить дату со срезом и исходной записью</x:v>
      </x:c>
      <x:c r="J1561" t="n">
        <x:f>IF(D1561=1,K1561,0)</x:f>
        <x:v>0</x:v>
      </x:c>
      <x:c r="K1561" t="n">
        <x:f>D1561+K1560</x:f>
        <x:v>18</x:v>
      </x:c>
    </x:row>
    <x:row r="1562">
      <x:c r="A1562" t="str">
        <x:v>Client</x:v>
      </x:c>
      <x:c r="B1562" t="str">
        <x:f>'04_checks'!B224</x:f>
        <x:v>C043</x:v>
      </x:c>
      <x:c r="C1562" t="n">
        <x:v>44</x:v>
      </x:c>
      <x:c r="D1562" t="n">
        <x:f>IF('04_checks'!I224="ERROR",1,0)</x:f>
        <x:v>0</x:v>
      </x:c>
      <x:c r="E1562" t="str">
        <x:v>Client:44:7</x:v>
      </x:c>
      <x:c r="F1562" t="str">
        <x:v>Статус</x:v>
      </x:c>
      <x:c r="G1562" t="str">
        <x:v>Medium</x:v>
      </x:c>
      <x:c r="H1562" t="str">
        <x:v>N/A</x:v>
      </x:c>
      <x:c r="I1562" t="str">
        <x:v>Выбрать допустимый статус</x:v>
      </x:c>
      <x:c r="J1562" t="n">
        <x:f>IF(D1562=1,K1562,0)</x:f>
        <x:v>0</x:v>
      </x:c>
      <x:c r="K1562" t="n">
        <x:f>D1562+K1561</x:f>
        <x:v>18</x:v>
      </x:c>
    </x:row>
    <x:row r="1563">
      <x:c r="A1563" t="str">
        <x:v>Client</x:v>
      </x:c>
      <x:c r="B1563" t="str">
        <x:f>'04_checks'!B225</x:f>
        <x:v>C044</x:v>
      </x:c>
      <x:c r="C1563" t="n">
        <x:v>45</x:v>
      </x:c>
      <x:c r="D1563" t="n">
        <x:f>IF('04_checks'!C225="ERROR",1,0)</x:f>
        <x:v>0</x:v>
      </x:c>
      <x:c r="E1563" t="str">
        <x:v>Client:45:1</x:v>
      </x:c>
      <x:c r="F1563" t="str">
        <x:v>Дубль</x:v>
      </x:c>
      <x:c r="G1563" t="str">
        <x:v>High</x:v>
      </x:c>
      <x:c r="H1563" t="str">
        <x:v>client_id</x:v>
      </x:c>
      <x:c r="I1563" t="str">
        <x:v>Проверить уникальность ID в источнике; не удалять записи автоматически</x:v>
      </x:c>
      <x:c r="J1563" t="n">
        <x:f>IF(D1563=1,K1563,0)</x:f>
        <x:v>0</x:v>
      </x:c>
      <x:c r="K1563" t="n">
        <x:f>D1563+K1562</x:f>
        <x:v>18</x:v>
      </x:c>
    </x:row>
    <x:row r="1564">
      <x:c r="A1564" t="str">
        <x:v>Client</x:v>
      </x:c>
      <x:c r="B1564" t="str">
        <x:f>'04_checks'!B225</x:f>
        <x:v>C044</x:v>
      </x:c>
      <x:c r="C1564" t="n">
        <x:v>45</x:v>
      </x:c>
      <x:c r="D1564" t="n">
        <x:f>IF('04_checks'!D225="ERROR",1,0)</x:f>
        <x:v>0</x:v>
      </x:c>
      <x:c r="E1564" t="str">
        <x:v>Client:45:2</x:v>
      </x:c>
      <x:c r="F1564" t="str">
        <x:v>Пустое поле</x:v>
      </x:c>
      <x:c r="G1564" t="str">
        <x:v>High</x:v>
      </x:c>
      <x:c r="H1564" t="str">
        <x:v>required_fields</x:v>
      </x:c>
      <x:c r="I1564" t="str">
        <x:v>Дополнить обязательные поля в источнике</x:v>
      </x:c>
      <x:c r="J1564" t="n">
        <x:f>IF(D1564=1,K1564,0)</x:f>
        <x:v>0</x:v>
      </x:c>
      <x:c r="K1564" t="n">
        <x:f>D1564+K1563</x:f>
        <x:v>18</x:v>
      </x:c>
    </x:row>
    <x:row r="1565">
      <x:c r="A1565" t="str">
        <x:v>Client</x:v>
      </x:c>
      <x:c r="B1565" t="str">
        <x:f>'04_checks'!B225</x:f>
        <x:v>C044</x:v>
      </x:c>
      <x:c r="C1565" t="n">
        <x:v>45</x:v>
      </x:c>
      <x:c r="D1565" t="n">
        <x:f>IF('04_checks'!E225="ERROR",1,0)</x:f>
        <x:v>0</x:v>
      </x:c>
      <x:c r="E1565" t="str">
        <x:v>Client:45:3</x:v>
      </x:c>
      <x:c r="F1565" t="str">
        <x:v>Нет связи</x:v>
      </x:c>
      <x:c r="G1565" t="str">
        <x:v>High</x:v>
      </x:c>
      <x:c r="H1565" t="str">
        <x:v>client_id</x:v>
      </x:c>
      <x:c r="I1565" t="str">
        <x:v>Исправить ссылку или разрешить дубли связанного ID</x:v>
      </x:c>
      <x:c r="J1565" t="n">
        <x:f>IF(D1565=1,K1565,0)</x:f>
        <x:v>0</x:v>
      </x:c>
      <x:c r="K1565" t="n">
        <x:f>D1565+K1564</x:f>
        <x:v>18</x:v>
      </x:c>
    </x:row>
    <x:row r="1566">
      <x:c r="A1566" t="str">
        <x:v>Client</x:v>
      </x:c>
      <x:c r="B1566" t="str">
        <x:f>'04_checks'!B225</x:f>
        <x:v>C044</x:v>
      </x:c>
      <x:c r="C1566" t="n">
        <x:v>45</x:v>
      </x:c>
      <x:c r="D1566" t="n">
        <x:f>IF('04_checks'!F225="ERROR",1,0)</x:f>
        <x:v>0</x:v>
      </x:c>
      <x:c r="E1566" t="str">
        <x:v>Client:45:4</x:v>
      </x:c>
      <x:c r="F1566" t="str">
        <x:v>Формат ИНН</x:v>
      </x:c>
      <x:c r="G1566" t="str">
        <x:v>High</x:v>
      </x:c>
      <x:c r="H1566" t="str">
        <x:v>inn</x:v>
      </x:c>
      <x:c r="I1566" t="str">
        <x:v>Сверить длину ИНН 10/12 цифр с источником</x:v>
      </x:c>
      <x:c r="J1566" t="n">
        <x:f>IF(D1566=1,K1566,0)</x:f>
        <x:v>0</x:v>
      </x:c>
      <x:c r="K1566" t="n">
        <x:f>D1566+K1565</x:f>
        <x:v>18</x:v>
      </x:c>
    </x:row>
    <x:row r="1567">
      <x:c r="A1567" t="str">
        <x:v>Client</x:v>
      </x:c>
      <x:c r="B1567" t="str">
        <x:f>'04_checks'!B225</x:f>
        <x:v>C044</x:v>
      </x:c>
      <x:c r="C1567" t="n">
        <x:v>45</x:v>
      </x:c>
      <x:c r="D1567" t="n">
        <x:f>IF('04_checks'!G225="ERROR",1,0)</x:f>
        <x:v>0</x:v>
      </x:c>
      <x:c r="E1567" t="str">
        <x:v>Client:45:5</x:v>
      </x:c>
      <x:c r="F1567" t="str">
        <x:v>Отрицательная цена</x:v>
      </x:c>
      <x:c r="G1567" t="str">
        <x:v>High</x:v>
      </x:c>
      <x:c r="H1567" t="str">
        <x:v>N/A</x:v>
      </x:c>
      <x:c r="I1567" t="str">
        <x:v>Проверить цену в источнике</x:v>
      </x:c>
      <x:c r="J1567" t="n">
        <x:f>IF(D1567=1,K1567,0)</x:f>
        <x:v>0</x:v>
      </x:c>
      <x:c r="K1567" t="n">
        <x:f>D1567+K1566</x:f>
        <x:v>18</x:v>
      </x:c>
    </x:row>
    <x:row r="1568">
      <x:c r="A1568" t="str">
        <x:v>Client</x:v>
      </x:c>
      <x:c r="B1568" t="str">
        <x:f>'04_checks'!B225</x:f>
        <x:v>C044</x:v>
      </x:c>
      <x:c r="C1568" t="n">
        <x:v>45</x:v>
      </x:c>
      <x:c r="D1568" t="n">
        <x:f>IF('04_checks'!H225="ERROR",1,0)</x:f>
        <x:v>0</x:v>
      </x:c>
      <x:c r="E1568" t="str">
        <x:v>Client:45:6</x:v>
      </x:c>
      <x:c r="F1568" t="str">
        <x:v>Дата</x:v>
      </x:c>
      <x:c r="G1568" t="str">
        <x:v>Medium</x:v>
      </x:c>
      <x:c r="H1568" t="str">
        <x:v>registration_date</x:v>
      </x:c>
      <x:c r="I1568" t="str">
        <x:v>Сверить дату со срезом и исходной записью</x:v>
      </x:c>
      <x:c r="J1568" t="n">
        <x:f>IF(D1568=1,K1568,0)</x:f>
        <x:v>0</x:v>
      </x:c>
      <x:c r="K1568" t="n">
        <x:f>D1568+K1567</x:f>
        <x:v>18</x:v>
      </x:c>
    </x:row>
    <x:row r="1569">
      <x:c r="A1569" t="str">
        <x:v>Client</x:v>
      </x:c>
      <x:c r="B1569" t="str">
        <x:f>'04_checks'!B225</x:f>
        <x:v>C044</x:v>
      </x:c>
      <x:c r="C1569" t="n">
        <x:v>45</x:v>
      </x:c>
      <x:c r="D1569" t="n">
        <x:f>IF('04_checks'!I225="ERROR",1,0)</x:f>
        <x:v>0</x:v>
      </x:c>
      <x:c r="E1569" t="str">
        <x:v>Client:45:7</x:v>
      </x:c>
      <x:c r="F1569" t="str">
        <x:v>Статус</x:v>
      </x:c>
      <x:c r="G1569" t="str">
        <x:v>Medium</x:v>
      </x:c>
      <x:c r="H1569" t="str">
        <x:v>N/A</x:v>
      </x:c>
      <x:c r="I1569" t="str">
        <x:v>Выбрать допустимый статус</x:v>
      </x:c>
      <x:c r="J1569" t="n">
        <x:f>IF(D1569=1,K1569,0)</x:f>
        <x:v>0</x:v>
      </x:c>
      <x:c r="K1569" t="n">
        <x:f>D1569+K1568</x:f>
        <x:v>18</x:v>
      </x:c>
    </x:row>
    <x:row r="1570">
      <x:c r="A1570" t="str">
        <x:v>Client</x:v>
      </x:c>
      <x:c r="B1570" t="str">
        <x:f>'04_checks'!B226</x:f>
        <x:v>C045</x:v>
      </x:c>
      <x:c r="C1570" t="n">
        <x:v>46</x:v>
      </x:c>
      <x:c r="D1570" t="n">
        <x:f>IF('04_checks'!C226="ERROR",1,0)</x:f>
        <x:v>0</x:v>
      </x:c>
      <x:c r="E1570" t="str">
        <x:v>Client:46:1</x:v>
      </x:c>
      <x:c r="F1570" t="str">
        <x:v>Дубль</x:v>
      </x:c>
      <x:c r="G1570" t="str">
        <x:v>High</x:v>
      </x:c>
      <x:c r="H1570" t="str">
        <x:v>client_id</x:v>
      </x:c>
      <x:c r="I1570" t="str">
        <x:v>Проверить уникальность ID в источнике; не удалять записи автоматически</x:v>
      </x:c>
      <x:c r="J1570" t="n">
        <x:f>IF(D1570=1,K1570,0)</x:f>
        <x:v>0</x:v>
      </x:c>
      <x:c r="K1570" t="n">
        <x:f>D1570+K1569</x:f>
        <x:v>18</x:v>
      </x:c>
    </x:row>
    <x:row r="1571">
      <x:c r="A1571" t="str">
        <x:v>Client</x:v>
      </x:c>
      <x:c r="B1571" t="str">
        <x:f>'04_checks'!B226</x:f>
        <x:v>C045</x:v>
      </x:c>
      <x:c r="C1571" t="n">
        <x:v>46</x:v>
      </x:c>
      <x:c r="D1571" t="n">
        <x:f>IF('04_checks'!D226="ERROR",1,0)</x:f>
        <x:v>0</x:v>
      </x:c>
      <x:c r="E1571" t="str">
        <x:v>Client:46:2</x:v>
      </x:c>
      <x:c r="F1571" t="str">
        <x:v>Пустое поле</x:v>
      </x:c>
      <x:c r="G1571" t="str">
        <x:v>High</x:v>
      </x:c>
      <x:c r="H1571" t="str">
        <x:v>required_fields</x:v>
      </x:c>
      <x:c r="I1571" t="str">
        <x:v>Дополнить обязательные поля в источнике</x:v>
      </x:c>
      <x:c r="J1571" t="n">
        <x:f>IF(D1571=1,K1571,0)</x:f>
        <x:v>0</x:v>
      </x:c>
      <x:c r="K1571" t="n">
        <x:f>D1571+K1570</x:f>
        <x:v>18</x:v>
      </x:c>
    </x:row>
    <x:row r="1572">
      <x:c r="A1572" t="str">
        <x:v>Client</x:v>
      </x:c>
      <x:c r="B1572" t="str">
        <x:f>'04_checks'!B226</x:f>
        <x:v>C045</x:v>
      </x:c>
      <x:c r="C1572" t="n">
        <x:v>46</x:v>
      </x:c>
      <x:c r="D1572" t="n">
        <x:f>IF('04_checks'!E226="ERROR",1,0)</x:f>
        <x:v>0</x:v>
      </x:c>
      <x:c r="E1572" t="str">
        <x:v>Client:46:3</x:v>
      </x:c>
      <x:c r="F1572" t="str">
        <x:v>Нет связи</x:v>
      </x:c>
      <x:c r="G1572" t="str">
        <x:v>High</x:v>
      </x:c>
      <x:c r="H1572" t="str">
        <x:v>client_id</x:v>
      </x:c>
      <x:c r="I1572" t="str">
        <x:v>Исправить ссылку или разрешить дубли связанного ID</x:v>
      </x:c>
      <x:c r="J1572" t="n">
        <x:f>IF(D1572=1,K1572,0)</x:f>
        <x:v>0</x:v>
      </x:c>
      <x:c r="K1572" t="n">
        <x:f>D1572+K1571</x:f>
        <x:v>18</x:v>
      </x:c>
    </x:row>
    <x:row r="1573">
      <x:c r="A1573" t="str">
        <x:v>Client</x:v>
      </x:c>
      <x:c r="B1573" t="str">
        <x:f>'04_checks'!B226</x:f>
        <x:v>C045</x:v>
      </x:c>
      <x:c r="C1573" t="n">
        <x:v>46</x:v>
      </x:c>
      <x:c r="D1573" t="n">
        <x:f>IF('04_checks'!F226="ERROR",1,0)</x:f>
        <x:v>0</x:v>
      </x:c>
      <x:c r="E1573" t="str">
        <x:v>Client:46:4</x:v>
      </x:c>
      <x:c r="F1573" t="str">
        <x:v>Формат ИНН</x:v>
      </x:c>
      <x:c r="G1573" t="str">
        <x:v>High</x:v>
      </x:c>
      <x:c r="H1573" t="str">
        <x:v>inn</x:v>
      </x:c>
      <x:c r="I1573" t="str">
        <x:v>Сверить длину ИНН 10/12 цифр с источником</x:v>
      </x:c>
      <x:c r="J1573" t="n">
        <x:f>IF(D1573=1,K1573,0)</x:f>
        <x:v>0</x:v>
      </x:c>
      <x:c r="K1573" t="n">
        <x:f>D1573+K1572</x:f>
        <x:v>18</x:v>
      </x:c>
    </x:row>
    <x:row r="1574">
      <x:c r="A1574" t="str">
        <x:v>Client</x:v>
      </x:c>
      <x:c r="B1574" t="str">
        <x:f>'04_checks'!B226</x:f>
        <x:v>C045</x:v>
      </x:c>
      <x:c r="C1574" t="n">
        <x:v>46</x:v>
      </x:c>
      <x:c r="D1574" t="n">
        <x:f>IF('04_checks'!G226="ERROR",1,0)</x:f>
        <x:v>0</x:v>
      </x:c>
      <x:c r="E1574" t="str">
        <x:v>Client:46:5</x:v>
      </x:c>
      <x:c r="F1574" t="str">
        <x:v>Отрицательная цена</x:v>
      </x:c>
      <x:c r="G1574" t="str">
        <x:v>High</x:v>
      </x:c>
      <x:c r="H1574" t="str">
        <x:v>N/A</x:v>
      </x:c>
      <x:c r="I1574" t="str">
        <x:v>Проверить цену в источнике</x:v>
      </x:c>
      <x:c r="J1574" t="n">
        <x:f>IF(D1574=1,K1574,0)</x:f>
        <x:v>0</x:v>
      </x:c>
      <x:c r="K1574" t="n">
        <x:f>D1574+K1573</x:f>
        <x:v>18</x:v>
      </x:c>
    </x:row>
    <x:row r="1575">
      <x:c r="A1575" t="str">
        <x:v>Client</x:v>
      </x:c>
      <x:c r="B1575" t="str">
        <x:f>'04_checks'!B226</x:f>
        <x:v>C045</x:v>
      </x:c>
      <x:c r="C1575" t="n">
        <x:v>46</x:v>
      </x:c>
      <x:c r="D1575" t="n">
        <x:f>IF('04_checks'!H226="ERROR",1,0)</x:f>
        <x:v>0</x:v>
      </x:c>
      <x:c r="E1575" t="str">
        <x:v>Client:46:6</x:v>
      </x:c>
      <x:c r="F1575" t="str">
        <x:v>Дата</x:v>
      </x:c>
      <x:c r="G1575" t="str">
        <x:v>Medium</x:v>
      </x:c>
      <x:c r="H1575" t="str">
        <x:v>registration_date</x:v>
      </x:c>
      <x:c r="I1575" t="str">
        <x:v>Сверить дату со срезом и исходной записью</x:v>
      </x:c>
      <x:c r="J1575" t="n">
        <x:f>IF(D1575=1,K1575,0)</x:f>
        <x:v>0</x:v>
      </x:c>
      <x:c r="K1575" t="n">
        <x:f>D1575+K1574</x:f>
        <x:v>18</x:v>
      </x:c>
    </x:row>
    <x:row r="1576">
      <x:c r="A1576" t="str">
        <x:v>Client</x:v>
      </x:c>
      <x:c r="B1576" t="str">
        <x:f>'04_checks'!B226</x:f>
        <x:v>C045</x:v>
      </x:c>
      <x:c r="C1576" t="n">
        <x:v>46</x:v>
      </x:c>
      <x:c r="D1576" t="n">
        <x:f>IF('04_checks'!I226="ERROR",1,0)</x:f>
        <x:v>0</x:v>
      </x:c>
      <x:c r="E1576" t="str">
        <x:v>Client:46:7</x:v>
      </x:c>
      <x:c r="F1576" t="str">
        <x:v>Статус</x:v>
      </x:c>
      <x:c r="G1576" t="str">
        <x:v>Medium</x:v>
      </x:c>
      <x:c r="H1576" t="str">
        <x:v>N/A</x:v>
      </x:c>
      <x:c r="I1576" t="str">
        <x:v>Выбрать допустимый статус</x:v>
      </x:c>
      <x:c r="J1576" t="n">
        <x:f>IF(D1576=1,K1576,0)</x:f>
        <x:v>0</x:v>
      </x:c>
      <x:c r="K1576" t="n">
        <x:f>D1576+K1575</x:f>
        <x:v>18</x:v>
      </x:c>
    </x:row>
    <x:row r="1577">
      <x:c r="A1577" t="str">
        <x:v>Client</x:v>
      </x:c>
      <x:c r="B1577" t="str">
        <x:f>'04_checks'!B227</x:f>
        <x:v>C009</x:v>
      </x:c>
      <x:c r="C1577" t="n">
        <x:v>47</x:v>
      </x:c>
      <x:c r="D1577" t="n">
        <x:f>IF('04_checks'!C227="ERROR",1,0)</x:f>
        <x:v>1</x:v>
      </x:c>
      <x:c r="E1577" t="str">
        <x:v>Client:47:1</x:v>
      </x:c>
      <x:c r="F1577" t="str">
        <x:v>Дубль</x:v>
      </x:c>
      <x:c r="G1577" t="str">
        <x:v>High</x:v>
      </x:c>
      <x:c r="H1577" t="str">
        <x:v>client_id</x:v>
      </x:c>
      <x:c r="I1577" t="str">
        <x:v>Проверить уникальность ID в источнике; не удалять записи автоматически</x:v>
      </x:c>
      <x:c r="J1577" t="n">
        <x:f>IF(D1577=1,K1577,0)</x:f>
        <x:v>19</x:v>
      </x:c>
      <x:c r="K1577" t="n">
        <x:f>D1577+K1576</x:f>
        <x:v>19</x:v>
      </x:c>
    </x:row>
    <x:row r="1578">
      <x:c r="A1578" t="str">
        <x:v>Client</x:v>
      </x:c>
      <x:c r="B1578" t="str">
        <x:f>'04_checks'!B227</x:f>
        <x:v>C009</x:v>
      </x:c>
      <x:c r="C1578" t="n">
        <x:v>47</x:v>
      </x:c>
      <x:c r="D1578" t="n">
        <x:f>IF('04_checks'!D227="ERROR",1,0)</x:f>
        <x:v>0</x:v>
      </x:c>
      <x:c r="E1578" t="str">
        <x:v>Client:47:2</x:v>
      </x:c>
      <x:c r="F1578" t="str">
        <x:v>Пустое поле</x:v>
      </x:c>
      <x:c r="G1578" t="str">
        <x:v>High</x:v>
      </x:c>
      <x:c r="H1578" t="str">
        <x:v>required_fields</x:v>
      </x:c>
      <x:c r="I1578" t="str">
        <x:v>Дополнить обязательные поля в источнике</x:v>
      </x:c>
      <x:c r="J1578" t="n">
        <x:f>IF(D1578=1,K1578,0)</x:f>
        <x:v>0</x:v>
      </x:c>
      <x:c r="K1578" t="n">
        <x:f>D1578+K1577</x:f>
        <x:v>19</x:v>
      </x:c>
    </x:row>
    <x:row r="1579">
      <x:c r="A1579" t="str">
        <x:v>Client</x:v>
      </x:c>
      <x:c r="B1579" t="str">
        <x:f>'04_checks'!B227</x:f>
        <x:v>C009</x:v>
      </x:c>
      <x:c r="C1579" t="n">
        <x:v>47</x:v>
      </x:c>
      <x:c r="D1579" t="n">
        <x:f>IF('04_checks'!E227="ERROR",1,0)</x:f>
        <x:v>0</x:v>
      </x:c>
      <x:c r="E1579" t="str">
        <x:v>Client:47:3</x:v>
      </x:c>
      <x:c r="F1579" t="str">
        <x:v>Нет связи</x:v>
      </x:c>
      <x:c r="G1579" t="str">
        <x:v>High</x:v>
      </x:c>
      <x:c r="H1579" t="str">
        <x:v>client_id</x:v>
      </x:c>
      <x:c r="I1579" t="str">
        <x:v>Исправить ссылку или разрешить дубли связанного ID</x:v>
      </x:c>
      <x:c r="J1579" t="n">
        <x:f>IF(D1579=1,K1579,0)</x:f>
        <x:v>0</x:v>
      </x:c>
      <x:c r="K1579" t="n">
        <x:f>D1579+K1578</x:f>
        <x:v>19</x:v>
      </x:c>
    </x:row>
    <x:row r="1580">
      <x:c r="A1580" t="str">
        <x:v>Client</x:v>
      </x:c>
      <x:c r="B1580" t="str">
        <x:f>'04_checks'!B227</x:f>
        <x:v>C009</x:v>
      </x:c>
      <x:c r="C1580" t="n">
        <x:v>47</x:v>
      </x:c>
      <x:c r="D1580" t="n">
        <x:f>IF('04_checks'!F227="ERROR",1,0)</x:f>
        <x:v>0</x:v>
      </x:c>
      <x:c r="E1580" t="str">
        <x:v>Client:47:4</x:v>
      </x:c>
      <x:c r="F1580" t="str">
        <x:v>Формат ИНН</x:v>
      </x:c>
      <x:c r="G1580" t="str">
        <x:v>High</x:v>
      </x:c>
      <x:c r="H1580" t="str">
        <x:v>inn</x:v>
      </x:c>
      <x:c r="I1580" t="str">
        <x:v>Сверить длину ИНН 10/12 цифр с источником</x:v>
      </x:c>
      <x:c r="J1580" t="n">
        <x:f>IF(D1580=1,K1580,0)</x:f>
        <x:v>0</x:v>
      </x:c>
      <x:c r="K1580" t="n">
        <x:f>D1580+K1579</x:f>
        <x:v>19</x:v>
      </x:c>
    </x:row>
    <x:row r="1581">
      <x:c r="A1581" t="str">
        <x:v>Client</x:v>
      </x:c>
      <x:c r="B1581" t="str">
        <x:f>'04_checks'!B227</x:f>
        <x:v>C009</x:v>
      </x:c>
      <x:c r="C1581" t="n">
        <x:v>47</x:v>
      </x:c>
      <x:c r="D1581" t="n">
        <x:f>IF('04_checks'!G227="ERROR",1,0)</x:f>
        <x:v>0</x:v>
      </x:c>
      <x:c r="E1581" t="str">
        <x:v>Client:47:5</x:v>
      </x:c>
      <x:c r="F1581" t="str">
        <x:v>Отрицательная цена</x:v>
      </x:c>
      <x:c r="G1581" t="str">
        <x:v>High</x:v>
      </x:c>
      <x:c r="H1581" t="str">
        <x:v>N/A</x:v>
      </x:c>
      <x:c r="I1581" t="str">
        <x:v>Проверить цену в источнике</x:v>
      </x:c>
      <x:c r="J1581" t="n">
        <x:f>IF(D1581=1,K1581,0)</x:f>
        <x:v>0</x:v>
      </x:c>
      <x:c r="K1581" t="n">
        <x:f>D1581+K1580</x:f>
        <x:v>19</x:v>
      </x:c>
    </x:row>
    <x:row r="1582">
      <x:c r="A1582" t="str">
        <x:v>Client</x:v>
      </x:c>
      <x:c r="B1582" t="str">
        <x:f>'04_checks'!B227</x:f>
        <x:v>C009</x:v>
      </x:c>
      <x:c r="C1582" t="n">
        <x:v>47</x:v>
      </x:c>
      <x:c r="D1582" t="n">
        <x:f>IF('04_checks'!H227="ERROR",1,0)</x:f>
        <x:v>0</x:v>
      </x:c>
      <x:c r="E1582" t="str">
        <x:v>Client:47:6</x:v>
      </x:c>
      <x:c r="F1582" t="str">
        <x:v>Дата</x:v>
      </x:c>
      <x:c r="G1582" t="str">
        <x:v>Medium</x:v>
      </x:c>
      <x:c r="H1582" t="str">
        <x:v>registration_date</x:v>
      </x:c>
      <x:c r="I1582" t="str">
        <x:v>Сверить дату со срезом и исходной записью</x:v>
      </x:c>
      <x:c r="J1582" t="n">
        <x:f>IF(D1582=1,K1582,0)</x:f>
        <x:v>0</x:v>
      </x:c>
      <x:c r="K1582" t="n">
        <x:f>D1582+K1581</x:f>
        <x:v>19</x:v>
      </x:c>
    </x:row>
    <x:row r="1583">
      <x:c r="A1583" t="str">
        <x:v>Client</x:v>
      </x:c>
      <x:c r="B1583" t="str">
        <x:f>'04_checks'!B227</x:f>
        <x:v>C009</x:v>
      </x:c>
      <x:c r="C1583" t="n">
        <x:v>47</x:v>
      </x:c>
      <x:c r="D1583" t="n">
        <x:f>IF('04_checks'!I227="ERROR",1,0)</x:f>
        <x:v>0</x:v>
      </x:c>
      <x:c r="E1583" t="str">
        <x:v>Client:47:7</x:v>
      </x:c>
      <x:c r="F1583" t="str">
        <x:v>Статус</x:v>
      </x:c>
      <x:c r="G1583" t="str">
        <x:v>Medium</x:v>
      </x:c>
      <x:c r="H1583" t="str">
        <x:v>N/A</x:v>
      </x:c>
      <x:c r="I1583" t="str">
        <x:v>Выбрать допустимый статус</x:v>
      </x:c>
      <x:c r="J1583" t="n">
        <x:f>IF(D1583=1,K1583,0)</x:f>
        <x:v>0</x:v>
      </x:c>
      <x:c r="K1583" t="n">
        <x:f>D1583+K1582</x:f>
        <x:v>19</x:v>
      </x:c>
    </x:row>
    <x:row r="1584">
      <x:c r="A1584" t="str">
        <x:v>Client</x:v>
      </x:c>
      <x:c r="B1584" t="str">
        <x:f>'04_checks'!B228</x:f>
      </x:c>
      <x:c r="C1584" t="n">
        <x:v>48</x:v>
      </x:c>
      <x:c r="D1584" t="n">
        <x:f>IF('04_checks'!C228="ERROR",1,0)</x:f>
        <x:v>0</x:v>
      </x:c>
      <x:c r="E1584" t="str">
        <x:v>Client:48:1</x:v>
      </x:c>
      <x:c r="F1584" t="str">
        <x:v>Дубль</x:v>
      </x:c>
      <x:c r="G1584" t="str">
        <x:v>High</x:v>
      </x:c>
      <x:c r="H1584" t="str">
        <x:v>client_id</x:v>
      </x:c>
      <x:c r="I1584" t="str">
        <x:v>Проверить уникальность ID в источнике; не удалять записи автоматически</x:v>
      </x:c>
      <x:c r="J1584" t="n">
        <x:f>IF(D1584=1,K1584,0)</x:f>
        <x:v>0</x:v>
      </x:c>
      <x:c r="K1584" t="n">
        <x:f>D1584+K1583</x:f>
        <x:v>19</x:v>
      </x:c>
    </x:row>
    <x:row r="1585">
      <x:c r="A1585" t="str">
        <x:v>Client</x:v>
      </x:c>
      <x:c r="B1585" t="str">
        <x:f>'04_checks'!B228</x:f>
      </x:c>
      <x:c r="C1585" t="n">
        <x:v>48</x:v>
      </x:c>
      <x:c r="D1585" t="n">
        <x:f>IF('04_checks'!D228="ERROR",1,0)</x:f>
        <x:v>0</x:v>
      </x:c>
      <x:c r="E1585" t="str">
        <x:v>Client:48:2</x:v>
      </x:c>
      <x:c r="F1585" t="str">
        <x:v>Пустое поле</x:v>
      </x:c>
      <x:c r="G1585" t="str">
        <x:v>High</x:v>
      </x:c>
      <x:c r="H1585" t="str">
        <x:v>required_fields</x:v>
      </x:c>
      <x:c r="I1585" t="str">
        <x:v>Дополнить обязательные поля в источнике</x:v>
      </x:c>
      <x:c r="J1585" t="n">
        <x:f>IF(D1585=1,K1585,0)</x:f>
        <x:v>0</x:v>
      </x:c>
      <x:c r="K1585" t="n">
        <x:f>D1585+K1584</x:f>
        <x:v>19</x:v>
      </x:c>
    </x:row>
    <x:row r="1586">
      <x:c r="A1586" t="str">
        <x:v>Client</x:v>
      </x:c>
      <x:c r="B1586" t="str">
        <x:f>'04_checks'!B228</x:f>
      </x:c>
      <x:c r="C1586" t="n">
        <x:v>48</x:v>
      </x:c>
      <x:c r="D1586" t="n">
        <x:f>IF('04_checks'!E228="ERROR",1,0)</x:f>
        <x:v>0</x:v>
      </x:c>
      <x:c r="E1586" t="str">
        <x:v>Client:48:3</x:v>
      </x:c>
      <x:c r="F1586" t="str">
        <x:v>Нет связи</x:v>
      </x:c>
      <x:c r="G1586" t="str">
        <x:v>High</x:v>
      </x:c>
      <x:c r="H1586" t="str">
        <x:v>client_id</x:v>
      </x:c>
      <x:c r="I1586" t="str">
        <x:v>Исправить ссылку или разрешить дубли связанного ID</x:v>
      </x:c>
      <x:c r="J1586" t="n">
        <x:f>IF(D1586=1,K1586,0)</x:f>
        <x:v>0</x:v>
      </x:c>
      <x:c r="K1586" t="n">
        <x:f>D1586+K1585</x:f>
        <x:v>19</x:v>
      </x:c>
    </x:row>
    <x:row r="1587">
      <x:c r="A1587" t="str">
        <x:v>Client</x:v>
      </x:c>
      <x:c r="B1587" t="str">
        <x:f>'04_checks'!B228</x:f>
      </x:c>
      <x:c r="C1587" t="n">
        <x:v>48</x:v>
      </x:c>
      <x:c r="D1587" t="n">
        <x:f>IF('04_checks'!F228="ERROR",1,0)</x:f>
        <x:v>0</x:v>
      </x:c>
      <x:c r="E1587" t="str">
        <x:v>Client:48:4</x:v>
      </x:c>
      <x:c r="F1587" t="str">
        <x:v>Формат ИНН</x:v>
      </x:c>
      <x:c r="G1587" t="str">
        <x:v>High</x:v>
      </x:c>
      <x:c r="H1587" t="str">
        <x:v>inn</x:v>
      </x:c>
      <x:c r="I1587" t="str">
        <x:v>Сверить длину ИНН 10/12 цифр с источником</x:v>
      </x:c>
      <x:c r="J1587" t="n">
        <x:f>IF(D1587=1,K1587,0)</x:f>
        <x:v>0</x:v>
      </x:c>
      <x:c r="K1587" t="n">
        <x:f>D1587+K1586</x:f>
        <x:v>19</x:v>
      </x:c>
    </x:row>
    <x:row r="1588">
      <x:c r="A1588" t="str">
        <x:v>Client</x:v>
      </x:c>
      <x:c r="B1588" t="str">
        <x:f>'04_checks'!B228</x:f>
      </x:c>
      <x:c r="C1588" t="n">
        <x:v>48</x:v>
      </x:c>
      <x:c r="D1588" t="n">
        <x:f>IF('04_checks'!G228="ERROR",1,0)</x:f>
        <x:v>0</x:v>
      </x:c>
      <x:c r="E1588" t="str">
        <x:v>Client:48:5</x:v>
      </x:c>
      <x:c r="F1588" t="str">
        <x:v>Отрицательная цена</x:v>
      </x:c>
      <x:c r="G1588" t="str">
        <x:v>High</x:v>
      </x:c>
      <x:c r="H1588" t="str">
        <x:v>N/A</x:v>
      </x:c>
      <x:c r="I1588" t="str">
        <x:v>Проверить цену в источнике</x:v>
      </x:c>
      <x:c r="J1588" t="n">
        <x:f>IF(D1588=1,K1588,0)</x:f>
        <x:v>0</x:v>
      </x:c>
      <x:c r="K1588" t="n">
        <x:f>D1588+K1587</x:f>
        <x:v>19</x:v>
      </x:c>
    </x:row>
    <x:row r="1589">
      <x:c r="A1589" t="str">
        <x:v>Client</x:v>
      </x:c>
      <x:c r="B1589" t="str">
        <x:f>'04_checks'!B228</x:f>
      </x:c>
      <x:c r="C1589" t="n">
        <x:v>48</x:v>
      </x:c>
      <x:c r="D1589" t="n">
        <x:f>IF('04_checks'!H228="ERROR",1,0)</x:f>
        <x:v>0</x:v>
      </x:c>
      <x:c r="E1589" t="str">
        <x:v>Client:48:6</x:v>
      </x:c>
      <x:c r="F1589" t="str">
        <x:v>Дата</x:v>
      </x:c>
      <x:c r="G1589" t="str">
        <x:v>Medium</x:v>
      </x:c>
      <x:c r="H1589" t="str">
        <x:v>registration_date</x:v>
      </x:c>
      <x:c r="I1589" t="str">
        <x:v>Сверить дату со срезом и исходной записью</x:v>
      </x:c>
      <x:c r="J1589" t="n">
        <x:f>IF(D1589=1,K1589,0)</x:f>
        <x:v>0</x:v>
      </x:c>
      <x:c r="K1589" t="n">
        <x:f>D1589+K1588</x:f>
        <x:v>19</x:v>
      </x:c>
    </x:row>
    <x:row r="1590">
      <x:c r="A1590" t="str">
        <x:v>Client</x:v>
      </x:c>
      <x:c r="B1590" t="str">
        <x:f>'04_checks'!B228</x:f>
      </x:c>
      <x:c r="C1590" t="n">
        <x:v>48</x:v>
      </x:c>
      <x:c r="D1590" t="n">
        <x:f>IF('04_checks'!I228="ERROR",1,0)</x:f>
        <x:v>0</x:v>
      </x:c>
      <x:c r="E1590" t="str">
        <x:v>Client:48:7</x:v>
      </x:c>
      <x:c r="F1590" t="str">
        <x:v>Статус</x:v>
      </x:c>
      <x:c r="G1590" t="str">
        <x:v>Medium</x:v>
      </x:c>
      <x:c r="H1590" t="str">
        <x:v>N/A</x:v>
      </x:c>
      <x:c r="I1590" t="str">
        <x:v>Выбрать допустимый статус</x:v>
      </x:c>
      <x:c r="J1590" t="n">
        <x:f>IF(D1590=1,K1590,0)</x:f>
        <x:v>0</x:v>
      </x:c>
      <x:c r="K1590" t="n">
        <x:f>D1590+K1589</x:f>
        <x:v>19</x:v>
      </x:c>
    </x:row>
    <x:row r="1591">
      <x:c r="A1591" t="str">
        <x:v>Client</x:v>
      </x:c>
      <x:c r="B1591" t="str">
        <x:f>'04_checks'!B229</x:f>
      </x:c>
      <x:c r="C1591" t="n">
        <x:v>49</x:v>
      </x:c>
      <x:c r="D1591" t="n">
        <x:f>IF('04_checks'!C229="ERROR",1,0)</x:f>
        <x:v>0</x:v>
      </x:c>
      <x:c r="E1591" t="str">
        <x:v>Client:49:1</x:v>
      </x:c>
      <x:c r="F1591" t="str">
        <x:v>Дубль</x:v>
      </x:c>
      <x:c r="G1591" t="str">
        <x:v>High</x:v>
      </x:c>
      <x:c r="H1591" t="str">
        <x:v>client_id</x:v>
      </x:c>
      <x:c r="I1591" t="str">
        <x:v>Проверить уникальность ID в источнике; не удалять записи автоматически</x:v>
      </x:c>
      <x:c r="J1591" t="n">
        <x:f>IF(D1591=1,K1591,0)</x:f>
        <x:v>0</x:v>
      </x:c>
      <x:c r="K1591" t="n">
        <x:f>D1591+K1590</x:f>
        <x:v>19</x:v>
      </x:c>
    </x:row>
    <x:row r="1592">
      <x:c r="A1592" t="str">
        <x:v>Client</x:v>
      </x:c>
      <x:c r="B1592" t="str">
        <x:f>'04_checks'!B229</x:f>
      </x:c>
      <x:c r="C1592" t="n">
        <x:v>49</x:v>
      </x:c>
      <x:c r="D1592" t="n">
        <x:f>IF('04_checks'!D229="ERROR",1,0)</x:f>
        <x:v>0</x:v>
      </x:c>
      <x:c r="E1592" t="str">
        <x:v>Client:49:2</x:v>
      </x:c>
      <x:c r="F1592" t="str">
        <x:v>Пустое поле</x:v>
      </x:c>
      <x:c r="G1592" t="str">
        <x:v>High</x:v>
      </x:c>
      <x:c r="H1592" t="str">
        <x:v>required_fields</x:v>
      </x:c>
      <x:c r="I1592" t="str">
        <x:v>Дополнить обязательные поля в источнике</x:v>
      </x:c>
      <x:c r="J1592" t="n">
        <x:f>IF(D1592=1,K1592,0)</x:f>
        <x:v>0</x:v>
      </x:c>
      <x:c r="K1592" t="n">
        <x:f>D1592+K1591</x:f>
        <x:v>19</x:v>
      </x:c>
    </x:row>
    <x:row r="1593">
      <x:c r="A1593" t="str">
        <x:v>Client</x:v>
      </x:c>
      <x:c r="B1593" t="str">
        <x:f>'04_checks'!B229</x:f>
      </x:c>
      <x:c r="C1593" t="n">
        <x:v>49</x:v>
      </x:c>
      <x:c r="D1593" t="n">
        <x:f>IF('04_checks'!E229="ERROR",1,0)</x:f>
        <x:v>0</x:v>
      </x:c>
      <x:c r="E1593" t="str">
        <x:v>Client:49:3</x:v>
      </x:c>
      <x:c r="F1593" t="str">
        <x:v>Нет связи</x:v>
      </x:c>
      <x:c r="G1593" t="str">
        <x:v>High</x:v>
      </x:c>
      <x:c r="H1593" t="str">
        <x:v>client_id</x:v>
      </x:c>
      <x:c r="I1593" t="str">
        <x:v>Исправить ссылку или разрешить дубли связанного ID</x:v>
      </x:c>
      <x:c r="J1593" t="n">
        <x:f>IF(D1593=1,K1593,0)</x:f>
        <x:v>0</x:v>
      </x:c>
      <x:c r="K1593" t="n">
        <x:f>D1593+K1592</x:f>
        <x:v>19</x:v>
      </x:c>
    </x:row>
    <x:row r="1594">
      <x:c r="A1594" t="str">
        <x:v>Client</x:v>
      </x:c>
      <x:c r="B1594" t="str">
        <x:f>'04_checks'!B229</x:f>
      </x:c>
      <x:c r="C1594" t="n">
        <x:v>49</x:v>
      </x:c>
      <x:c r="D1594" t="n">
        <x:f>IF('04_checks'!F229="ERROR",1,0)</x:f>
        <x:v>0</x:v>
      </x:c>
      <x:c r="E1594" t="str">
        <x:v>Client:49:4</x:v>
      </x:c>
      <x:c r="F1594" t="str">
        <x:v>Формат ИНН</x:v>
      </x:c>
      <x:c r="G1594" t="str">
        <x:v>High</x:v>
      </x:c>
      <x:c r="H1594" t="str">
        <x:v>inn</x:v>
      </x:c>
      <x:c r="I1594" t="str">
        <x:v>Сверить длину ИНН 10/12 цифр с источником</x:v>
      </x:c>
      <x:c r="J1594" t="n">
        <x:f>IF(D1594=1,K1594,0)</x:f>
        <x:v>0</x:v>
      </x:c>
      <x:c r="K1594" t="n">
        <x:f>D1594+K1593</x:f>
        <x:v>19</x:v>
      </x:c>
    </x:row>
    <x:row r="1595">
      <x:c r="A1595" t="str">
        <x:v>Client</x:v>
      </x:c>
      <x:c r="B1595" t="str">
        <x:f>'04_checks'!B229</x:f>
      </x:c>
      <x:c r="C1595" t="n">
        <x:v>49</x:v>
      </x:c>
      <x:c r="D1595" t="n">
        <x:f>IF('04_checks'!G229="ERROR",1,0)</x:f>
        <x:v>0</x:v>
      </x:c>
      <x:c r="E1595" t="str">
        <x:v>Client:49:5</x:v>
      </x:c>
      <x:c r="F1595" t="str">
        <x:v>Отрицательная цена</x:v>
      </x:c>
      <x:c r="G1595" t="str">
        <x:v>High</x:v>
      </x:c>
      <x:c r="H1595" t="str">
        <x:v>N/A</x:v>
      </x:c>
      <x:c r="I1595" t="str">
        <x:v>Проверить цену в источнике</x:v>
      </x:c>
      <x:c r="J1595" t="n">
        <x:f>IF(D1595=1,K1595,0)</x:f>
        <x:v>0</x:v>
      </x:c>
      <x:c r="K1595" t="n">
        <x:f>D1595+K1594</x:f>
        <x:v>19</x:v>
      </x:c>
    </x:row>
    <x:row r="1596">
      <x:c r="A1596" t="str">
        <x:v>Client</x:v>
      </x:c>
      <x:c r="B1596" t="str">
        <x:f>'04_checks'!B229</x:f>
      </x:c>
      <x:c r="C1596" t="n">
        <x:v>49</x:v>
      </x:c>
      <x:c r="D1596" t="n">
        <x:f>IF('04_checks'!H229="ERROR",1,0)</x:f>
        <x:v>0</x:v>
      </x:c>
      <x:c r="E1596" t="str">
        <x:v>Client:49:6</x:v>
      </x:c>
      <x:c r="F1596" t="str">
        <x:v>Дата</x:v>
      </x:c>
      <x:c r="G1596" t="str">
        <x:v>Medium</x:v>
      </x:c>
      <x:c r="H1596" t="str">
        <x:v>registration_date</x:v>
      </x:c>
      <x:c r="I1596" t="str">
        <x:v>Сверить дату со срезом и исходной записью</x:v>
      </x:c>
      <x:c r="J1596" t="n">
        <x:f>IF(D1596=1,K1596,0)</x:f>
        <x:v>0</x:v>
      </x:c>
      <x:c r="K1596" t="n">
        <x:f>D1596+K1595</x:f>
        <x:v>19</x:v>
      </x:c>
    </x:row>
    <x:row r="1597">
      <x:c r="A1597" t="str">
        <x:v>Client</x:v>
      </x:c>
      <x:c r="B1597" t="str">
        <x:f>'04_checks'!B229</x:f>
      </x:c>
      <x:c r="C1597" t="n">
        <x:v>49</x:v>
      </x:c>
      <x:c r="D1597" t="n">
        <x:f>IF('04_checks'!I229="ERROR",1,0)</x:f>
        <x:v>0</x:v>
      </x:c>
      <x:c r="E1597" t="str">
        <x:v>Client:49:7</x:v>
      </x:c>
      <x:c r="F1597" t="str">
        <x:v>Статус</x:v>
      </x:c>
      <x:c r="G1597" t="str">
        <x:v>Medium</x:v>
      </x:c>
      <x:c r="H1597" t="str">
        <x:v>N/A</x:v>
      </x:c>
      <x:c r="I1597" t="str">
        <x:v>Выбрать допустимый статус</x:v>
      </x:c>
      <x:c r="J1597" t="n">
        <x:f>IF(D1597=1,K1597,0)</x:f>
        <x:v>0</x:v>
      </x:c>
      <x:c r="K1597" t="n">
        <x:f>D1597+K1596</x:f>
        <x:v>19</x:v>
      </x:c>
    </x:row>
    <x:row r="1598">
      <x:c r="A1598" t="str">
        <x:v>Client</x:v>
      </x:c>
      <x:c r="B1598" t="str">
        <x:f>'04_checks'!B230</x:f>
      </x:c>
      <x:c r="C1598" t="n">
        <x:v>50</x:v>
      </x:c>
      <x:c r="D1598" t="n">
        <x:f>IF('04_checks'!C230="ERROR",1,0)</x:f>
        <x:v>0</x:v>
      </x:c>
      <x:c r="E1598" t="str">
        <x:v>Client:50:1</x:v>
      </x:c>
      <x:c r="F1598" t="str">
        <x:v>Дубль</x:v>
      </x:c>
      <x:c r="G1598" t="str">
        <x:v>High</x:v>
      </x:c>
      <x:c r="H1598" t="str">
        <x:v>client_id</x:v>
      </x:c>
      <x:c r="I1598" t="str">
        <x:v>Проверить уникальность ID в источнике; не удалять записи автоматически</x:v>
      </x:c>
      <x:c r="J1598" t="n">
        <x:f>IF(D1598=1,K1598,0)</x:f>
        <x:v>0</x:v>
      </x:c>
      <x:c r="K1598" t="n">
        <x:f>D1598+K1597</x:f>
        <x:v>19</x:v>
      </x:c>
    </x:row>
    <x:row r="1599">
      <x:c r="A1599" t="str">
        <x:v>Client</x:v>
      </x:c>
      <x:c r="B1599" t="str">
        <x:f>'04_checks'!B230</x:f>
      </x:c>
      <x:c r="C1599" t="n">
        <x:v>50</x:v>
      </x:c>
      <x:c r="D1599" t="n">
        <x:f>IF('04_checks'!D230="ERROR",1,0)</x:f>
        <x:v>0</x:v>
      </x:c>
      <x:c r="E1599" t="str">
        <x:v>Client:50:2</x:v>
      </x:c>
      <x:c r="F1599" t="str">
        <x:v>Пустое поле</x:v>
      </x:c>
      <x:c r="G1599" t="str">
        <x:v>High</x:v>
      </x:c>
      <x:c r="H1599" t="str">
        <x:v>required_fields</x:v>
      </x:c>
      <x:c r="I1599" t="str">
        <x:v>Дополнить обязательные поля в источнике</x:v>
      </x:c>
      <x:c r="J1599" t="n">
        <x:f>IF(D1599=1,K1599,0)</x:f>
        <x:v>0</x:v>
      </x:c>
      <x:c r="K1599" t="n">
        <x:f>D1599+K1598</x:f>
        <x:v>19</x:v>
      </x:c>
    </x:row>
    <x:row r="1600">
      <x:c r="A1600" t="str">
        <x:v>Client</x:v>
      </x:c>
      <x:c r="B1600" t="str">
        <x:f>'04_checks'!B230</x:f>
      </x:c>
      <x:c r="C1600" t="n">
        <x:v>50</x:v>
      </x:c>
      <x:c r="D1600" t="n">
        <x:f>IF('04_checks'!E230="ERROR",1,0)</x:f>
        <x:v>0</x:v>
      </x:c>
      <x:c r="E1600" t="str">
        <x:v>Client:50:3</x:v>
      </x:c>
      <x:c r="F1600" t="str">
        <x:v>Нет связи</x:v>
      </x:c>
      <x:c r="G1600" t="str">
        <x:v>High</x:v>
      </x:c>
      <x:c r="H1600" t="str">
        <x:v>client_id</x:v>
      </x:c>
      <x:c r="I1600" t="str">
        <x:v>Исправить ссылку или разрешить дубли связанного ID</x:v>
      </x:c>
      <x:c r="J1600" t="n">
        <x:f>IF(D1600=1,K1600,0)</x:f>
        <x:v>0</x:v>
      </x:c>
      <x:c r="K1600" t="n">
        <x:f>D1600+K1599</x:f>
        <x:v>19</x:v>
      </x:c>
    </x:row>
    <x:row r="1601">
      <x:c r="A1601" t="str">
        <x:v>Client</x:v>
      </x:c>
      <x:c r="B1601" t="str">
        <x:f>'04_checks'!B230</x:f>
      </x:c>
      <x:c r="C1601" t="n">
        <x:v>50</x:v>
      </x:c>
      <x:c r="D1601" t="n">
        <x:f>IF('04_checks'!F230="ERROR",1,0)</x:f>
        <x:v>0</x:v>
      </x:c>
      <x:c r="E1601" t="str">
        <x:v>Client:50:4</x:v>
      </x:c>
      <x:c r="F1601" t="str">
        <x:v>Формат ИНН</x:v>
      </x:c>
      <x:c r="G1601" t="str">
        <x:v>High</x:v>
      </x:c>
      <x:c r="H1601" t="str">
        <x:v>inn</x:v>
      </x:c>
      <x:c r="I1601" t="str">
        <x:v>Сверить длину ИНН 10/12 цифр с источником</x:v>
      </x:c>
      <x:c r="J1601" t="n">
        <x:f>IF(D1601=1,K1601,0)</x:f>
        <x:v>0</x:v>
      </x:c>
      <x:c r="K1601" t="n">
        <x:f>D1601+K1600</x:f>
        <x:v>19</x:v>
      </x:c>
    </x:row>
    <x:row r="1602">
      <x:c r="A1602" t="str">
        <x:v>Client</x:v>
      </x:c>
      <x:c r="B1602" t="str">
        <x:f>'04_checks'!B230</x:f>
      </x:c>
      <x:c r="C1602" t="n">
        <x:v>50</x:v>
      </x:c>
      <x:c r="D1602" t="n">
        <x:f>IF('04_checks'!G230="ERROR",1,0)</x:f>
        <x:v>0</x:v>
      </x:c>
      <x:c r="E1602" t="str">
        <x:v>Client:50:5</x:v>
      </x:c>
      <x:c r="F1602" t="str">
        <x:v>Отрицательная цена</x:v>
      </x:c>
      <x:c r="G1602" t="str">
        <x:v>High</x:v>
      </x:c>
      <x:c r="H1602" t="str">
        <x:v>N/A</x:v>
      </x:c>
      <x:c r="I1602" t="str">
        <x:v>Проверить цену в источнике</x:v>
      </x:c>
      <x:c r="J1602" t="n">
        <x:f>IF(D1602=1,K1602,0)</x:f>
        <x:v>0</x:v>
      </x:c>
      <x:c r="K1602" t="n">
        <x:f>D1602+K1601</x:f>
        <x:v>19</x:v>
      </x:c>
    </x:row>
    <x:row r="1603">
      <x:c r="A1603" t="str">
        <x:v>Client</x:v>
      </x:c>
      <x:c r="B1603" t="str">
        <x:f>'04_checks'!B230</x:f>
      </x:c>
      <x:c r="C1603" t="n">
        <x:v>50</x:v>
      </x:c>
      <x:c r="D1603" t="n">
        <x:f>IF('04_checks'!H230="ERROR",1,0)</x:f>
        <x:v>0</x:v>
      </x:c>
      <x:c r="E1603" t="str">
        <x:v>Client:50:6</x:v>
      </x:c>
      <x:c r="F1603" t="str">
        <x:v>Дата</x:v>
      </x:c>
      <x:c r="G1603" t="str">
        <x:v>Medium</x:v>
      </x:c>
      <x:c r="H1603" t="str">
        <x:v>registration_date</x:v>
      </x:c>
      <x:c r="I1603" t="str">
        <x:v>Сверить дату со срезом и исходной записью</x:v>
      </x:c>
      <x:c r="J1603" t="n">
        <x:f>IF(D1603=1,K1603,0)</x:f>
        <x:v>0</x:v>
      </x:c>
      <x:c r="K1603" t="n">
        <x:f>D1603+K1602</x:f>
        <x:v>19</x:v>
      </x:c>
    </x:row>
    <x:row r="1604">
      <x:c r="A1604" t="str">
        <x:v>Client</x:v>
      </x:c>
      <x:c r="B1604" t="str">
        <x:f>'04_checks'!B230</x:f>
      </x:c>
      <x:c r="C1604" t="n">
        <x:v>50</x:v>
      </x:c>
      <x:c r="D1604" t="n">
        <x:f>IF('04_checks'!I230="ERROR",1,0)</x:f>
        <x:v>0</x:v>
      </x:c>
      <x:c r="E1604" t="str">
        <x:v>Client:50:7</x:v>
      </x:c>
      <x:c r="F1604" t="str">
        <x:v>Статус</x:v>
      </x:c>
      <x:c r="G1604" t="str">
        <x:v>Medium</x:v>
      </x:c>
      <x:c r="H1604" t="str">
        <x:v>N/A</x:v>
      </x:c>
      <x:c r="I1604" t="str">
        <x:v>Выбрать допустимый статус</x:v>
      </x:c>
      <x:c r="J1604" t="n">
        <x:f>IF(D1604=1,K1604,0)</x:f>
        <x:v>0</x:v>
      </x:c>
      <x:c r="K1604" t="n">
        <x:f>D1604+K1603</x:f>
        <x:v>19</x:v>
      </x:c>
    </x:row>
    <x:row r="1605">
      <x:c r="A1605" t="str">
        <x:v>Client</x:v>
      </x:c>
      <x:c r="B1605" t="str">
        <x:f>'04_checks'!B231</x:f>
      </x:c>
      <x:c r="C1605" t="n">
        <x:v>51</x:v>
      </x:c>
      <x:c r="D1605" t="n">
        <x:f>IF('04_checks'!C231="ERROR",1,0)</x:f>
        <x:v>0</x:v>
      </x:c>
      <x:c r="E1605" t="str">
        <x:v>Client:51:1</x:v>
      </x:c>
      <x:c r="F1605" t="str">
        <x:v>Дубль</x:v>
      </x:c>
      <x:c r="G1605" t="str">
        <x:v>High</x:v>
      </x:c>
      <x:c r="H1605" t="str">
        <x:v>client_id</x:v>
      </x:c>
      <x:c r="I1605" t="str">
        <x:v>Проверить уникальность ID в источнике; не удалять записи автоматически</x:v>
      </x:c>
      <x:c r="J1605" t="n">
        <x:f>IF(D1605=1,K1605,0)</x:f>
        <x:v>0</x:v>
      </x:c>
      <x:c r="K1605" t="n">
        <x:f>D1605+K1604</x:f>
        <x:v>19</x:v>
      </x:c>
    </x:row>
    <x:row r="1606">
      <x:c r="A1606" t="str">
        <x:v>Client</x:v>
      </x:c>
      <x:c r="B1606" t="str">
        <x:f>'04_checks'!B231</x:f>
      </x:c>
      <x:c r="C1606" t="n">
        <x:v>51</x:v>
      </x:c>
      <x:c r="D1606" t="n">
        <x:f>IF('04_checks'!D231="ERROR",1,0)</x:f>
        <x:v>0</x:v>
      </x:c>
      <x:c r="E1606" t="str">
        <x:v>Client:51:2</x:v>
      </x:c>
      <x:c r="F1606" t="str">
        <x:v>Пустое поле</x:v>
      </x:c>
      <x:c r="G1606" t="str">
        <x:v>High</x:v>
      </x:c>
      <x:c r="H1606" t="str">
        <x:v>required_fields</x:v>
      </x:c>
      <x:c r="I1606" t="str">
        <x:v>Дополнить обязательные поля в источнике</x:v>
      </x:c>
      <x:c r="J1606" t="n">
        <x:f>IF(D1606=1,K1606,0)</x:f>
        <x:v>0</x:v>
      </x:c>
      <x:c r="K1606" t="n">
        <x:f>D1606+K1605</x:f>
        <x:v>19</x:v>
      </x:c>
    </x:row>
    <x:row r="1607">
      <x:c r="A1607" t="str">
        <x:v>Client</x:v>
      </x:c>
      <x:c r="B1607" t="str">
        <x:f>'04_checks'!B231</x:f>
      </x:c>
      <x:c r="C1607" t="n">
        <x:v>51</x:v>
      </x:c>
      <x:c r="D1607" t="n">
        <x:f>IF('04_checks'!E231="ERROR",1,0)</x:f>
        <x:v>0</x:v>
      </x:c>
      <x:c r="E1607" t="str">
        <x:v>Client:51:3</x:v>
      </x:c>
      <x:c r="F1607" t="str">
        <x:v>Нет связи</x:v>
      </x:c>
      <x:c r="G1607" t="str">
        <x:v>High</x:v>
      </x:c>
      <x:c r="H1607" t="str">
        <x:v>client_id</x:v>
      </x:c>
      <x:c r="I1607" t="str">
        <x:v>Исправить ссылку или разрешить дубли связанного ID</x:v>
      </x:c>
      <x:c r="J1607" t="n">
        <x:f>IF(D1607=1,K1607,0)</x:f>
        <x:v>0</x:v>
      </x:c>
      <x:c r="K1607" t="n">
        <x:f>D1607+K1606</x:f>
        <x:v>19</x:v>
      </x:c>
    </x:row>
    <x:row r="1608">
      <x:c r="A1608" t="str">
        <x:v>Client</x:v>
      </x:c>
      <x:c r="B1608" t="str">
        <x:f>'04_checks'!B231</x:f>
      </x:c>
      <x:c r="C1608" t="n">
        <x:v>51</x:v>
      </x:c>
      <x:c r="D1608" t="n">
        <x:f>IF('04_checks'!F231="ERROR",1,0)</x:f>
        <x:v>0</x:v>
      </x:c>
      <x:c r="E1608" t="str">
        <x:v>Client:51:4</x:v>
      </x:c>
      <x:c r="F1608" t="str">
        <x:v>Формат ИНН</x:v>
      </x:c>
      <x:c r="G1608" t="str">
        <x:v>High</x:v>
      </x:c>
      <x:c r="H1608" t="str">
        <x:v>inn</x:v>
      </x:c>
      <x:c r="I1608" t="str">
        <x:v>Сверить длину ИНН 10/12 цифр с источником</x:v>
      </x:c>
      <x:c r="J1608" t="n">
        <x:f>IF(D1608=1,K1608,0)</x:f>
        <x:v>0</x:v>
      </x:c>
      <x:c r="K1608" t="n">
        <x:f>D1608+K1607</x:f>
        <x:v>19</x:v>
      </x:c>
    </x:row>
    <x:row r="1609">
      <x:c r="A1609" t="str">
        <x:v>Client</x:v>
      </x:c>
      <x:c r="B1609" t="str">
        <x:f>'04_checks'!B231</x:f>
      </x:c>
      <x:c r="C1609" t="n">
        <x:v>51</x:v>
      </x:c>
      <x:c r="D1609" t="n">
        <x:f>IF('04_checks'!G231="ERROR",1,0)</x:f>
        <x:v>0</x:v>
      </x:c>
      <x:c r="E1609" t="str">
        <x:v>Client:51:5</x:v>
      </x:c>
      <x:c r="F1609" t="str">
        <x:v>Отрицательная цена</x:v>
      </x:c>
      <x:c r="G1609" t="str">
        <x:v>High</x:v>
      </x:c>
      <x:c r="H1609" t="str">
        <x:v>N/A</x:v>
      </x:c>
      <x:c r="I1609" t="str">
        <x:v>Проверить цену в источнике</x:v>
      </x:c>
      <x:c r="J1609" t="n">
        <x:f>IF(D1609=1,K1609,0)</x:f>
        <x:v>0</x:v>
      </x:c>
      <x:c r="K1609" t="n">
        <x:f>D1609+K1608</x:f>
        <x:v>19</x:v>
      </x:c>
    </x:row>
    <x:row r="1610">
      <x:c r="A1610" t="str">
        <x:v>Client</x:v>
      </x:c>
      <x:c r="B1610" t="str">
        <x:f>'04_checks'!B231</x:f>
      </x:c>
      <x:c r="C1610" t="n">
        <x:v>51</x:v>
      </x:c>
      <x:c r="D1610" t="n">
        <x:f>IF('04_checks'!H231="ERROR",1,0)</x:f>
        <x:v>0</x:v>
      </x:c>
      <x:c r="E1610" t="str">
        <x:v>Client:51:6</x:v>
      </x:c>
      <x:c r="F1610" t="str">
        <x:v>Дата</x:v>
      </x:c>
      <x:c r="G1610" t="str">
        <x:v>Medium</x:v>
      </x:c>
      <x:c r="H1610" t="str">
        <x:v>registration_date</x:v>
      </x:c>
      <x:c r="I1610" t="str">
        <x:v>Сверить дату со срезом и исходной записью</x:v>
      </x:c>
      <x:c r="J1610" t="n">
        <x:f>IF(D1610=1,K1610,0)</x:f>
        <x:v>0</x:v>
      </x:c>
      <x:c r="K1610" t="n">
        <x:f>D1610+K1609</x:f>
        <x:v>19</x:v>
      </x:c>
    </x:row>
    <x:row r="1611">
      <x:c r="A1611" t="str">
        <x:v>Client</x:v>
      </x:c>
      <x:c r="B1611" t="str">
        <x:f>'04_checks'!B231</x:f>
      </x:c>
      <x:c r="C1611" t="n">
        <x:v>51</x:v>
      </x:c>
      <x:c r="D1611" t="n">
        <x:f>IF('04_checks'!I231="ERROR",1,0)</x:f>
        <x:v>0</x:v>
      </x:c>
      <x:c r="E1611" t="str">
        <x:v>Client:51:7</x:v>
      </x:c>
      <x:c r="F1611" t="str">
        <x:v>Статус</x:v>
      </x:c>
      <x:c r="G1611" t="str">
        <x:v>Medium</x:v>
      </x:c>
      <x:c r="H1611" t="str">
        <x:v>N/A</x:v>
      </x:c>
      <x:c r="I1611" t="str">
        <x:v>Выбрать допустимый статус</x:v>
      </x:c>
      <x:c r="J1611" t="n">
        <x:f>IF(D1611=1,K1611,0)</x:f>
        <x:v>0</x:v>
      </x:c>
      <x:c r="K1611" t="n">
        <x:f>D1611+K1610</x:f>
        <x:v>19</x:v>
      </x:c>
    </x:row>
    <x:row r="1612">
      <x:c r="A1612" t="str">
        <x:v>Client</x:v>
      </x:c>
      <x:c r="B1612" t="str">
        <x:f>'04_checks'!B232</x:f>
      </x:c>
      <x:c r="C1612" t="n">
        <x:v>52</x:v>
      </x:c>
      <x:c r="D1612" t="n">
        <x:f>IF('04_checks'!C232="ERROR",1,0)</x:f>
        <x:v>0</x:v>
      </x:c>
      <x:c r="E1612" t="str">
        <x:v>Client:52:1</x:v>
      </x:c>
      <x:c r="F1612" t="str">
        <x:v>Дубль</x:v>
      </x:c>
      <x:c r="G1612" t="str">
        <x:v>High</x:v>
      </x:c>
      <x:c r="H1612" t="str">
        <x:v>client_id</x:v>
      </x:c>
      <x:c r="I1612" t="str">
        <x:v>Проверить уникальность ID в источнике; не удалять записи автоматически</x:v>
      </x:c>
      <x:c r="J1612" t="n">
        <x:f>IF(D1612=1,K1612,0)</x:f>
        <x:v>0</x:v>
      </x:c>
      <x:c r="K1612" t="n">
        <x:f>D1612+K1611</x:f>
        <x:v>19</x:v>
      </x:c>
    </x:row>
    <x:row r="1613">
      <x:c r="A1613" t="str">
        <x:v>Client</x:v>
      </x:c>
      <x:c r="B1613" t="str">
        <x:f>'04_checks'!B232</x:f>
      </x:c>
      <x:c r="C1613" t="n">
        <x:v>52</x:v>
      </x:c>
      <x:c r="D1613" t="n">
        <x:f>IF('04_checks'!D232="ERROR",1,0)</x:f>
        <x:v>0</x:v>
      </x:c>
      <x:c r="E1613" t="str">
        <x:v>Client:52:2</x:v>
      </x:c>
      <x:c r="F1613" t="str">
        <x:v>Пустое поле</x:v>
      </x:c>
      <x:c r="G1613" t="str">
        <x:v>High</x:v>
      </x:c>
      <x:c r="H1613" t="str">
        <x:v>required_fields</x:v>
      </x:c>
      <x:c r="I1613" t="str">
        <x:v>Дополнить обязательные поля в источнике</x:v>
      </x:c>
      <x:c r="J1613" t="n">
        <x:f>IF(D1613=1,K1613,0)</x:f>
        <x:v>0</x:v>
      </x:c>
      <x:c r="K1613" t="n">
        <x:f>D1613+K1612</x:f>
        <x:v>19</x:v>
      </x:c>
    </x:row>
    <x:row r="1614">
      <x:c r="A1614" t="str">
        <x:v>Client</x:v>
      </x:c>
      <x:c r="B1614" t="str">
        <x:f>'04_checks'!B232</x:f>
      </x:c>
      <x:c r="C1614" t="n">
        <x:v>52</x:v>
      </x:c>
      <x:c r="D1614" t="n">
        <x:f>IF('04_checks'!E232="ERROR",1,0)</x:f>
        <x:v>0</x:v>
      </x:c>
      <x:c r="E1614" t="str">
        <x:v>Client:52:3</x:v>
      </x:c>
      <x:c r="F1614" t="str">
        <x:v>Нет связи</x:v>
      </x:c>
      <x:c r="G1614" t="str">
        <x:v>High</x:v>
      </x:c>
      <x:c r="H1614" t="str">
        <x:v>client_id</x:v>
      </x:c>
      <x:c r="I1614" t="str">
        <x:v>Исправить ссылку или разрешить дубли связанного ID</x:v>
      </x:c>
      <x:c r="J1614" t="n">
        <x:f>IF(D1614=1,K1614,0)</x:f>
        <x:v>0</x:v>
      </x:c>
      <x:c r="K1614" t="n">
        <x:f>D1614+K1613</x:f>
        <x:v>19</x:v>
      </x:c>
    </x:row>
    <x:row r="1615">
      <x:c r="A1615" t="str">
        <x:v>Client</x:v>
      </x:c>
      <x:c r="B1615" t="str">
        <x:f>'04_checks'!B232</x:f>
      </x:c>
      <x:c r="C1615" t="n">
        <x:v>52</x:v>
      </x:c>
      <x:c r="D1615" t="n">
        <x:f>IF('04_checks'!F232="ERROR",1,0)</x:f>
        <x:v>0</x:v>
      </x:c>
      <x:c r="E1615" t="str">
        <x:v>Client:52:4</x:v>
      </x:c>
      <x:c r="F1615" t="str">
        <x:v>Формат ИНН</x:v>
      </x:c>
      <x:c r="G1615" t="str">
        <x:v>High</x:v>
      </x:c>
      <x:c r="H1615" t="str">
        <x:v>inn</x:v>
      </x:c>
      <x:c r="I1615" t="str">
        <x:v>Сверить длину ИНН 10/12 цифр с источником</x:v>
      </x:c>
      <x:c r="J1615" t="n">
        <x:f>IF(D1615=1,K1615,0)</x:f>
        <x:v>0</x:v>
      </x:c>
      <x:c r="K1615" t="n">
        <x:f>D1615+K1614</x:f>
        <x:v>19</x:v>
      </x:c>
    </x:row>
    <x:row r="1616">
      <x:c r="A1616" t="str">
        <x:v>Client</x:v>
      </x:c>
      <x:c r="B1616" t="str">
        <x:f>'04_checks'!B232</x:f>
      </x:c>
      <x:c r="C1616" t="n">
        <x:v>52</x:v>
      </x:c>
      <x:c r="D1616" t="n">
        <x:f>IF('04_checks'!G232="ERROR",1,0)</x:f>
        <x:v>0</x:v>
      </x:c>
      <x:c r="E1616" t="str">
        <x:v>Client:52:5</x:v>
      </x:c>
      <x:c r="F1616" t="str">
        <x:v>Отрицательная цена</x:v>
      </x:c>
      <x:c r="G1616" t="str">
        <x:v>High</x:v>
      </x:c>
      <x:c r="H1616" t="str">
        <x:v>N/A</x:v>
      </x:c>
      <x:c r="I1616" t="str">
        <x:v>Проверить цену в источнике</x:v>
      </x:c>
      <x:c r="J1616" t="n">
        <x:f>IF(D1616=1,K1616,0)</x:f>
        <x:v>0</x:v>
      </x:c>
      <x:c r="K1616" t="n">
        <x:f>D1616+K1615</x:f>
        <x:v>19</x:v>
      </x:c>
    </x:row>
    <x:row r="1617">
      <x:c r="A1617" t="str">
        <x:v>Client</x:v>
      </x:c>
      <x:c r="B1617" t="str">
        <x:f>'04_checks'!B232</x:f>
      </x:c>
      <x:c r="C1617" t="n">
        <x:v>52</x:v>
      </x:c>
      <x:c r="D1617" t="n">
        <x:f>IF('04_checks'!H232="ERROR",1,0)</x:f>
        <x:v>0</x:v>
      </x:c>
      <x:c r="E1617" t="str">
        <x:v>Client:52:6</x:v>
      </x:c>
      <x:c r="F1617" t="str">
        <x:v>Дата</x:v>
      </x:c>
      <x:c r="G1617" t="str">
        <x:v>Medium</x:v>
      </x:c>
      <x:c r="H1617" t="str">
        <x:v>registration_date</x:v>
      </x:c>
      <x:c r="I1617" t="str">
        <x:v>Сверить дату со срезом и исходной записью</x:v>
      </x:c>
      <x:c r="J1617" t="n">
        <x:f>IF(D1617=1,K1617,0)</x:f>
        <x:v>0</x:v>
      </x:c>
      <x:c r="K1617" t="n">
        <x:f>D1617+K1616</x:f>
        <x:v>19</x:v>
      </x:c>
    </x:row>
    <x:row r="1618">
      <x:c r="A1618" t="str">
        <x:v>Client</x:v>
      </x:c>
      <x:c r="B1618" t="str">
        <x:f>'04_checks'!B232</x:f>
      </x:c>
      <x:c r="C1618" t="n">
        <x:v>52</x:v>
      </x:c>
      <x:c r="D1618" t="n">
        <x:f>IF('04_checks'!I232="ERROR",1,0)</x:f>
        <x:v>0</x:v>
      </x:c>
      <x:c r="E1618" t="str">
        <x:v>Client:52:7</x:v>
      </x:c>
      <x:c r="F1618" t="str">
        <x:v>Статус</x:v>
      </x:c>
      <x:c r="G1618" t="str">
        <x:v>Medium</x:v>
      </x:c>
      <x:c r="H1618" t="str">
        <x:v>N/A</x:v>
      </x:c>
      <x:c r="I1618" t="str">
        <x:v>Выбрать допустимый статус</x:v>
      </x:c>
      <x:c r="J1618" t="n">
        <x:f>IF(D1618=1,K1618,0)</x:f>
        <x:v>0</x:v>
      </x:c>
      <x:c r="K1618" t="n">
        <x:f>D1618+K1617</x:f>
        <x:v>19</x:v>
      </x:c>
    </x:row>
    <x:row r="1619">
      <x:c r="A1619" t="str">
        <x:v>Client</x:v>
      </x:c>
      <x:c r="B1619" t="str">
        <x:f>'04_checks'!B233</x:f>
      </x:c>
      <x:c r="C1619" t="n">
        <x:v>53</x:v>
      </x:c>
      <x:c r="D1619" t="n">
        <x:f>IF('04_checks'!C233="ERROR",1,0)</x:f>
        <x:v>0</x:v>
      </x:c>
      <x:c r="E1619" t="str">
        <x:v>Client:53:1</x:v>
      </x:c>
      <x:c r="F1619" t="str">
        <x:v>Дубль</x:v>
      </x:c>
      <x:c r="G1619" t="str">
        <x:v>High</x:v>
      </x:c>
      <x:c r="H1619" t="str">
        <x:v>client_id</x:v>
      </x:c>
      <x:c r="I1619" t="str">
        <x:v>Проверить уникальность ID в источнике; не удалять записи автоматически</x:v>
      </x:c>
      <x:c r="J1619" t="n">
        <x:f>IF(D1619=1,K1619,0)</x:f>
        <x:v>0</x:v>
      </x:c>
      <x:c r="K1619" t="n">
        <x:f>D1619+K1618</x:f>
        <x:v>19</x:v>
      </x:c>
    </x:row>
    <x:row r="1620">
      <x:c r="A1620" t="str">
        <x:v>Client</x:v>
      </x:c>
      <x:c r="B1620" t="str">
        <x:f>'04_checks'!B233</x:f>
      </x:c>
      <x:c r="C1620" t="n">
        <x:v>53</x:v>
      </x:c>
      <x:c r="D1620" t="n">
        <x:f>IF('04_checks'!D233="ERROR",1,0)</x:f>
        <x:v>0</x:v>
      </x:c>
      <x:c r="E1620" t="str">
        <x:v>Client:53:2</x:v>
      </x:c>
      <x:c r="F1620" t="str">
        <x:v>Пустое поле</x:v>
      </x:c>
      <x:c r="G1620" t="str">
        <x:v>High</x:v>
      </x:c>
      <x:c r="H1620" t="str">
        <x:v>required_fields</x:v>
      </x:c>
      <x:c r="I1620" t="str">
        <x:v>Дополнить обязательные поля в источнике</x:v>
      </x:c>
      <x:c r="J1620" t="n">
        <x:f>IF(D1620=1,K1620,0)</x:f>
        <x:v>0</x:v>
      </x:c>
      <x:c r="K1620" t="n">
        <x:f>D1620+K1619</x:f>
        <x:v>19</x:v>
      </x:c>
    </x:row>
    <x:row r="1621">
      <x:c r="A1621" t="str">
        <x:v>Client</x:v>
      </x:c>
      <x:c r="B1621" t="str">
        <x:f>'04_checks'!B233</x:f>
      </x:c>
      <x:c r="C1621" t="n">
        <x:v>53</x:v>
      </x:c>
      <x:c r="D1621" t="n">
        <x:f>IF('04_checks'!E233="ERROR",1,0)</x:f>
        <x:v>0</x:v>
      </x:c>
      <x:c r="E1621" t="str">
        <x:v>Client:53:3</x:v>
      </x:c>
      <x:c r="F1621" t="str">
        <x:v>Нет связи</x:v>
      </x:c>
      <x:c r="G1621" t="str">
        <x:v>High</x:v>
      </x:c>
      <x:c r="H1621" t="str">
        <x:v>client_id</x:v>
      </x:c>
      <x:c r="I1621" t="str">
        <x:v>Исправить ссылку или разрешить дубли связанного ID</x:v>
      </x:c>
      <x:c r="J1621" t="n">
        <x:f>IF(D1621=1,K1621,0)</x:f>
        <x:v>0</x:v>
      </x:c>
      <x:c r="K1621" t="n">
        <x:f>D1621+K1620</x:f>
        <x:v>19</x:v>
      </x:c>
    </x:row>
    <x:row r="1622">
      <x:c r="A1622" t="str">
        <x:v>Client</x:v>
      </x:c>
      <x:c r="B1622" t="str">
        <x:f>'04_checks'!B233</x:f>
      </x:c>
      <x:c r="C1622" t="n">
        <x:v>53</x:v>
      </x:c>
      <x:c r="D1622" t="n">
        <x:f>IF('04_checks'!F233="ERROR",1,0)</x:f>
        <x:v>0</x:v>
      </x:c>
      <x:c r="E1622" t="str">
        <x:v>Client:53:4</x:v>
      </x:c>
      <x:c r="F1622" t="str">
        <x:v>Формат ИНН</x:v>
      </x:c>
      <x:c r="G1622" t="str">
        <x:v>High</x:v>
      </x:c>
      <x:c r="H1622" t="str">
        <x:v>inn</x:v>
      </x:c>
      <x:c r="I1622" t="str">
        <x:v>Сверить длину ИНН 10/12 цифр с источником</x:v>
      </x:c>
      <x:c r="J1622" t="n">
        <x:f>IF(D1622=1,K1622,0)</x:f>
        <x:v>0</x:v>
      </x:c>
      <x:c r="K1622" t="n">
        <x:f>D1622+K1621</x:f>
        <x:v>19</x:v>
      </x:c>
    </x:row>
    <x:row r="1623">
      <x:c r="A1623" t="str">
        <x:v>Client</x:v>
      </x:c>
      <x:c r="B1623" t="str">
        <x:f>'04_checks'!B233</x:f>
      </x:c>
      <x:c r="C1623" t="n">
        <x:v>53</x:v>
      </x:c>
      <x:c r="D1623" t="n">
        <x:f>IF('04_checks'!G233="ERROR",1,0)</x:f>
        <x:v>0</x:v>
      </x:c>
      <x:c r="E1623" t="str">
        <x:v>Client:53:5</x:v>
      </x:c>
      <x:c r="F1623" t="str">
        <x:v>Отрицательная цена</x:v>
      </x:c>
      <x:c r="G1623" t="str">
        <x:v>High</x:v>
      </x:c>
      <x:c r="H1623" t="str">
        <x:v>N/A</x:v>
      </x:c>
      <x:c r="I1623" t="str">
        <x:v>Проверить цену в источнике</x:v>
      </x:c>
      <x:c r="J1623" t="n">
        <x:f>IF(D1623=1,K1623,0)</x:f>
        <x:v>0</x:v>
      </x:c>
      <x:c r="K1623" t="n">
        <x:f>D1623+K1622</x:f>
        <x:v>19</x:v>
      </x:c>
    </x:row>
    <x:row r="1624">
      <x:c r="A1624" t="str">
        <x:v>Client</x:v>
      </x:c>
      <x:c r="B1624" t="str">
        <x:f>'04_checks'!B233</x:f>
      </x:c>
      <x:c r="C1624" t="n">
        <x:v>53</x:v>
      </x:c>
      <x:c r="D1624" t="n">
        <x:f>IF('04_checks'!H233="ERROR",1,0)</x:f>
        <x:v>0</x:v>
      </x:c>
      <x:c r="E1624" t="str">
        <x:v>Client:53:6</x:v>
      </x:c>
      <x:c r="F1624" t="str">
        <x:v>Дата</x:v>
      </x:c>
      <x:c r="G1624" t="str">
        <x:v>Medium</x:v>
      </x:c>
      <x:c r="H1624" t="str">
        <x:v>registration_date</x:v>
      </x:c>
      <x:c r="I1624" t="str">
        <x:v>Сверить дату со срезом и исходной записью</x:v>
      </x:c>
      <x:c r="J1624" t="n">
        <x:f>IF(D1624=1,K1624,0)</x:f>
        <x:v>0</x:v>
      </x:c>
      <x:c r="K1624" t="n">
        <x:f>D1624+K1623</x:f>
        <x:v>19</x:v>
      </x:c>
    </x:row>
    <x:row r="1625">
      <x:c r="A1625" t="str">
        <x:v>Client</x:v>
      </x:c>
      <x:c r="B1625" t="str">
        <x:f>'04_checks'!B233</x:f>
      </x:c>
      <x:c r="C1625" t="n">
        <x:v>53</x:v>
      </x:c>
      <x:c r="D1625" t="n">
        <x:f>IF('04_checks'!I233="ERROR",1,0)</x:f>
        <x:v>0</x:v>
      </x:c>
      <x:c r="E1625" t="str">
        <x:v>Client:53:7</x:v>
      </x:c>
      <x:c r="F1625" t="str">
        <x:v>Статус</x:v>
      </x:c>
      <x:c r="G1625" t="str">
        <x:v>Medium</x:v>
      </x:c>
      <x:c r="H1625" t="str">
        <x:v>N/A</x:v>
      </x:c>
      <x:c r="I1625" t="str">
        <x:v>Выбрать допустимый статус</x:v>
      </x:c>
      <x:c r="J1625" t="n">
        <x:f>IF(D1625=1,K1625,0)</x:f>
        <x:v>0</x:v>
      </x:c>
      <x:c r="K1625" t="n">
        <x:f>D1625+K1624</x:f>
        <x:v>19</x:v>
      </x:c>
    </x:row>
    <x:row r="1626">
      <x:c r="A1626" t="str">
        <x:v>Client</x:v>
      </x:c>
      <x:c r="B1626" t="str">
        <x:f>'04_checks'!B234</x:f>
      </x:c>
      <x:c r="C1626" t="n">
        <x:v>54</x:v>
      </x:c>
      <x:c r="D1626" t="n">
        <x:f>IF('04_checks'!C234="ERROR",1,0)</x:f>
        <x:v>0</x:v>
      </x:c>
      <x:c r="E1626" t="str">
        <x:v>Client:54:1</x:v>
      </x:c>
      <x:c r="F1626" t="str">
        <x:v>Дубль</x:v>
      </x:c>
      <x:c r="G1626" t="str">
        <x:v>High</x:v>
      </x:c>
      <x:c r="H1626" t="str">
        <x:v>client_id</x:v>
      </x:c>
      <x:c r="I1626" t="str">
        <x:v>Проверить уникальность ID в источнике; не удалять записи автоматически</x:v>
      </x:c>
      <x:c r="J1626" t="n">
        <x:f>IF(D1626=1,K1626,0)</x:f>
        <x:v>0</x:v>
      </x:c>
      <x:c r="K1626" t="n">
        <x:f>D1626+K1625</x:f>
        <x:v>19</x:v>
      </x:c>
    </x:row>
    <x:row r="1627">
      <x:c r="A1627" t="str">
        <x:v>Client</x:v>
      </x:c>
      <x:c r="B1627" t="str">
        <x:f>'04_checks'!B234</x:f>
      </x:c>
      <x:c r="C1627" t="n">
        <x:v>54</x:v>
      </x:c>
      <x:c r="D1627" t="n">
        <x:f>IF('04_checks'!D234="ERROR",1,0)</x:f>
        <x:v>0</x:v>
      </x:c>
      <x:c r="E1627" t="str">
        <x:v>Client:54:2</x:v>
      </x:c>
      <x:c r="F1627" t="str">
        <x:v>Пустое поле</x:v>
      </x:c>
      <x:c r="G1627" t="str">
        <x:v>High</x:v>
      </x:c>
      <x:c r="H1627" t="str">
        <x:v>required_fields</x:v>
      </x:c>
      <x:c r="I1627" t="str">
        <x:v>Дополнить обязательные поля в источнике</x:v>
      </x:c>
      <x:c r="J1627" t="n">
        <x:f>IF(D1627=1,K1627,0)</x:f>
        <x:v>0</x:v>
      </x:c>
      <x:c r="K1627" t="n">
        <x:f>D1627+K1626</x:f>
        <x:v>19</x:v>
      </x:c>
    </x:row>
    <x:row r="1628">
      <x:c r="A1628" t="str">
        <x:v>Client</x:v>
      </x:c>
      <x:c r="B1628" t="str">
        <x:f>'04_checks'!B234</x:f>
      </x:c>
      <x:c r="C1628" t="n">
        <x:v>54</x:v>
      </x:c>
      <x:c r="D1628" t="n">
        <x:f>IF('04_checks'!E234="ERROR",1,0)</x:f>
        <x:v>0</x:v>
      </x:c>
      <x:c r="E1628" t="str">
        <x:v>Client:54:3</x:v>
      </x:c>
      <x:c r="F1628" t="str">
        <x:v>Нет связи</x:v>
      </x:c>
      <x:c r="G1628" t="str">
        <x:v>High</x:v>
      </x:c>
      <x:c r="H1628" t="str">
        <x:v>client_id</x:v>
      </x:c>
      <x:c r="I1628" t="str">
        <x:v>Исправить ссылку или разрешить дубли связанного ID</x:v>
      </x:c>
      <x:c r="J1628" t="n">
        <x:f>IF(D1628=1,K1628,0)</x:f>
        <x:v>0</x:v>
      </x:c>
      <x:c r="K1628" t="n">
        <x:f>D1628+K1627</x:f>
        <x:v>19</x:v>
      </x:c>
    </x:row>
    <x:row r="1629">
      <x:c r="A1629" t="str">
        <x:v>Client</x:v>
      </x:c>
      <x:c r="B1629" t="str">
        <x:f>'04_checks'!B234</x:f>
      </x:c>
      <x:c r="C1629" t="n">
        <x:v>54</x:v>
      </x:c>
      <x:c r="D1629" t="n">
        <x:f>IF('04_checks'!F234="ERROR",1,0)</x:f>
        <x:v>0</x:v>
      </x:c>
      <x:c r="E1629" t="str">
        <x:v>Client:54:4</x:v>
      </x:c>
      <x:c r="F1629" t="str">
        <x:v>Формат ИНН</x:v>
      </x:c>
      <x:c r="G1629" t="str">
        <x:v>High</x:v>
      </x:c>
      <x:c r="H1629" t="str">
        <x:v>inn</x:v>
      </x:c>
      <x:c r="I1629" t="str">
        <x:v>Сверить длину ИНН 10/12 цифр с источником</x:v>
      </x:c>
      <x:c r="J1629" t="n">
        <x:f>IF(D1629=1,K1629,0)</x:f>
        <x:v>0</x:v>
      </x:c>
      <x:c r="K1629" t="n">
        <x:f>D1629+K1628</x:f>
        <x:v>19</x:v>
      </x:c>
    </x:row>
    <x:row r="1630">
      <x:c r="A1630" t="str">
        <x:v>Client</x:v>
      </x:c>
      <x:c r="B1630" t="str">
        <x:f>'04_checks'!B234</x:f>
      </x:c>
      <x:c r="C1630" t="n">
        <x:v>54</x:v>
      </x:c>
      <x:c r="D1630" t="n">
        <x:f>IF('04_checks'!G234="ERROR",1,0)</x:f>
        <x:v>0</x:v>
      </x:c>
      <x:c r="E1630" t="str">
        <x:v>Client:54:5</x:v>
      </x:c>
      <x:c r="F1630" t="str">
        <x:v>Отрицательная цена</x:v>
      </x:c>
      <x:c r="G1630" t="str">
        <x:v>High</x:v>
      </x:c>
      <x:c r="H1630" t="str">
        <x:v>N/A</x:v>
      </x:c>
      <x:c r="I1630" t="str">
        <x:v>Проверить цену в источнике</x:v>
      </x:c>
      <x:c r="J1630" t="n">
        <x:f>IF(D1630=1,K1630,0)</x:f>
        <x:v>0</x:v>
      </x:c>
      <x:c r="K1630" t="n">
        <x:f>D1630+K1629</x:f>
        <x:v>19</x:v>
      </x:c>
    </x:row>
    <x:row r="1631">
      <x:c r="A1631" t="str">
        <x:v>Client</x:v>
      </x:c>
      <x:c r="B1631" t="str">
        <x:f>'04_checks'!B234</x:f>
      </x:c>
      <x:c r="C1631" t="n">
        <x:v>54</x:v>
      </x:c>
      <x:c r="D1631" t="n">
        <x:f>IF('04_checks'!H234="ERROR",1,0)</x:f>
        <x:v>0</x:v>
      </x:c>
      <x:c r="E1631" t="str">
        <x:v>Client:54:6</x:v>
      </x:c>
      <x:c r="F1631" t="str">
        <x:v>Дата</x:v>
      </x:c>
      <x:c r="G1631" t="str">
        <x:v>Medium</x:v>
      </x:c>
      <x:c r="H1631" t="str">
        <x:v>registration_date</x:v>
      </x:c>
      <x:c r="I1631" t="str">
        <x:v>Сверить дату со срезом и исходной записью</x:v>
      </x:c>
      <x:c r="J1631" t="n">
        <x:f>IF(D1631=1,K1631,0)</x:f>
        <x:v>0</x:v>
      </x:c>
      <x:c r="K1631" t="n">
        <x:f>D1631+K1630</x:f>
        <x:v>19</x:v>
      </x:c>
    </x:row>
    <x:row r="1632">
      <x:c r="A1632" t="str">
        <x:v>Client</x:v>
      </x:c>
      <x:c r="B1632" t="str">
        <x:f>'04_checks'!B234</x:f>
      </x:c>
      <x:c r="C1632" t="n">
        <x:v>54</x:v>
      </x:c>
      <x:c r="D1632" t="n">
        <x:f>IF('04_checks'!I234="ERROR",1,0)</x:f>
        <x:v>0</x:v>
      </x:c>
      <x:c r="E1632" t="str">
        <x:v>Client:54:7</x:v>
      </x:c>
      <x:c r="F1632" t="str">
        <x:v>Статус</x:v>
      </x:c>
      <x:c r="G1632" t="str">
        <x:v>Medium</x:v>
      </x:c>
      <x:c r="H1632" t="str">
        <x:v>N/A</x:v>
      </x:c>
      <x:c r="I1632" t="str">
        <x:v>Выбрать допустимый статус</x:v>
      </x:c>
      <x:c r="J1632" t="n">
        <x:f>IF(D1632=1,K1632,0)</x:f>
        <x:v>0</x:v>
      </x:c>
      <x:c r="K1632" t="n">
        <x:f>D1632+K1631</x:f>
        <x:v>19</x:v>
      </x:c>
    </x:row>
    <x:row r="1633">
      <x:c r="A1633" t="str">
        <x:v>Client</x:v>
      </x:c>
      <x:c r="B1633" t="str">
        <x:f>'04_checks'!B235</x:f>
      </x:c>
      <x:c r="C1633" t="n">
        <x:v>55</x:v>
      </x:c>
      <x:c r="D1633" t="n">
        <x:f>IF('04_checks'!C235="ERROR",1,0)</x:f>
        <x:v>0</x:v>
      </x:c>
      <x:c r="E1633" t="str">
        <x:v>Client:55:1</x:v>
      </x:c>
      <x:c r="F1633" t="str">
        <x:v>Дубль</x:v>
      </x:c>
      <x:c r="G1633" t="str">
        <x:v>High</x:v>
      </x:c>
      <x:c r="H1633" t="str">
        <x:v>client_id</x:v>
      </x:c>
      <x:c r="I1633" t="str">
        <x:v>Проверить уникальность ID в источнике; не удалять записи автоматически</x:v>
      </x:c>
      <x:c r="J1633" t="n">
        <x:f>IF(D1633=1,K1633,0)</x:f>
        <x:v>0</x:v>
      </x:c>
      <x:c r="K1633" t="n">
        <x:f>D1633+K1632</x:f>
        <x:v>19</x:v>
      </x:c>
    </x:row>
    <x:row r="1634">
      <x:c r="A1634" t="str">
        <x:v>Client</x:v>
      </x:c>
      <x:c r="B1634" t="str">
        <x:f>'04_checks'!B235</x:f>
      </x:c>
      <x:c r="C1634" t="n">
        <x:v>55</x:v>
      </x:c>
      <x:c r="D1634" t="n">
        <x:f>IF('04_checks'!D235="ERROR",1,0)</x:f>
        <x:v>0</x:v>
      </x:c>
      <x:c r="E1634" t="str">
        <x:v>Client:55:2</x:v>
      </x:c>
      <x:c r="F1634" t="str">
        <x:v>Пустое поле</x:v>
      </x:c>
      <x:c r="G1634" t="str">
        <x:v>High</x:v>
      </x:c>
      <x:c r="H1634" t="str">
        <x:v>required_fields</x:v>
      </x:c>
      <x:c r="I1634" t="str">
        <x:v>Дополнить обязательные поля в источнике</x:v>
      </x:c>
      <x:c r="J1634" t="n">
        <x:f>IF(D1634=1,K1634,0)</x:f>
        <x:v>0</x:v>
      </x:c>
      <x:c r="K1634" t="n">
        <x:f>D1634+K1633</x:f>
        <x:v>19</x:v>
      </x:c>
    </x:row>
    <x:row r="1635">
      <x:c r="A1635" t="str">
        <x:v>Client</x:v>
      </x:c>
      <x:c r="B1635" t="str">
        <x:f>'04_checks'!B235</x:f>
      </x:c>
      <x:c r="C1635" t="n">
        <x:v>55</x:v>
      </x:c>
      <x:c r="D1635" t="n">
        <x:f>IF('04_checks'!E235="ERROR",1,0)</x:f>
        <x:v>0</x:v>
      </x:c>
      <x:c r="E1635" t="str">
        <x:v>Client:55:3</x:v>
      </x:c>
      <x:c r="F1635" t="str">
        <x:v>Нет связи</x:v>
      </x:c>
      <x:c r="G1635" t="str">
        <x:v>High</x:v>
      </x:c>
      <x:c r="H1635" t="str">
        <x:v>client_id</x:v>
      </x:c>
      <x:c r="I1635" t="str">
        <x:v>Исправить ссылку или разрешить дубли связанного ID</x:v>
      </x:c>
      <x:c r="J1635" t="n">
        <x:f>IF(D1635=1,K1635,0)</x:f>
        <x:v>0</x:v>
      </x:c>
      <x:c r="K1635" t="n">
        <x:f>D1635+K1634</x:f>
        <x:v>19</x:v>
      </x:c>
    </x:row>
    <x:row r="1636">
      <x:c r="A1636" t="str">
        <x:v>Client</x:v>
      </x:c>
      <x:c r="B1636" t="str">
        <x:f>'04_checks'!B235</x:f>
      </x:c>
      <x:c r="C1636" t="n">
        <x:v>55</x:v>
      </x:c>
      <x:c r="D1636" t="n">
        <x:f>IF('04_checks'!F235="ERROR",1,0)</x:f>
        <x:v>0</x:v>
      </x:c>
      <x:c r="E1636" t="str">
        <x:v>Client:55:4</x:v>
      </x:c>
      <x:c r="F1636" t="str">
        <x:v>Формат ИНН</x:v>
      </x:c>
      <x:c r="G1636" t="str">
        <x:v>High</x:v>
      </x:c>
      <x:c r="H1636" t="str">
        <x:v>inn</x:v>
      </x:c>
      <x:c r="I1636" t="str">
        <x:v>Сверить длину ИНН 10/12 цифр с источником</x:v>
      </x:c>
      <x:c r="J1636" t="n">
        <x:f>IF(D1636=1,K1636,0)</x:f>
        <x:v>0</x:v>
      </x:c>
      <x:c r="K1636" t="n">
        <x:f>D1636+K1635</x:f>
        <x:v>19</x:v>
      </x:c>
    </x:row>
    <x:row r="1637">
      <x:c r="A1637" t="str">
        <x:v>Client</x:v>
      </x:c>
      <x:c r="B1637" t="str">
        <x:f>'04_checks'!B235</x:f>
      </x:c>
      <x:c r="C1637" t="n">
        <x:v>55</x:v>
      </x:c>
      <x:c r="D1637" t="n">
        <x:f>IF('04_checks'!G235="ERROR",1,0)</x:f>
        <x:v>0</x:v>
      </x:c>
      <x:c r="E1637" t="str">
        <x:v>Client:55:5</x:v>
      </x:c>
      <x:c r="F1637" t="str">
        <x:v>Отрицательная цена</x:v>
      </x:c>
      <x:c r="G1637" t="str">
        <x:v>High</x:v>
      </x:c>
      <x:c r="H1637" t="str">
        <x:v>N/A</x:v>
      </x:c>
      <x:c r="I1637" t="str">
        <x:v>Проверить цену в источнике</x:v>
      </x:c>
      <x:c r="J1637" t="n">
        <x:f>IF(D1637=1,K1637,0)</x:f>
        <x:v>0</x:v>
      </x:c>
      <x:c r="K1637" t="n">
        <x:f>D1637+K1636</x:f>
        <x:v>19</x:v>
      </x:c>
    </x:row>
    <x:row r="1638">
      <x:c r="A1638" t="str">
        <x:v>Client</x:v>
      </x:c>
      <x:c r="B1638" t="str">
        <x:f>'04_checks'!B235</x:f>
      </x:c>
      <x:c r="C1638" t="n">
        <x:v>55</x:v>
      </x:c>
      <x:c r="D1638" t="n">
        <x:f>IF('04_checks'!H235="ERROR",1,0)</x:f>
        <x:v>0</x:v>
      </x:c>
      <x:c r="E1638" t="str">
        <x:v>Client:55:6</x:v>
      </x:c>
      <x:c r="F1638" t="str">
        <x:v>Дата</x:v>
      </x:c>
      <x:c r="G1638" t="str">
        <x:v>Medium</x:v>
      </x:c>
      <x:c r="H1638" t="str">
        <x:v>registration_date</x:v>
      </x:c>
      <x:c r="I1638" t="str">
        <x:v>Сверить дату со срезом и исходной записью</x:v>
      </x:c>
      <x:c r="J1638" t="n">
        <x:f>IF(D1638=1,K1638,0)</x:f>
        <x:v>0</x:v>
      </x:c>
      <x:c r="K1638" t="n">
        <x:f>D1638+K1637</x:f>
        <x:v>19</x:v>
      </x:c>
    </x:row>
    <x:row r="1639">
      <x:c r="A1639" t="str">
        <x:v>Client</x:v>
      </x:c>
      <x:c r="B1639" t="str">
        <x:f>'04_checks'!B235</x:f>
      </x:c>
      <x:c r="C1639" t="n">
        <x:v>55</x:v>
      </x:c>
      <x:c r="D1639" t="n">
        <x:f>IF('04_checks'!I235="ERROR",1,0)</x:f>
        <x:v>0</x:v>
      </x:c>
      <x:c r="E1639" t="str">
        <x:v>Client:55:7</x:v>
      </x:c>
      <x:c r="F1639" t="str">
        <x:v>Статус</x:v>
      </x:c>
      <x:c r="G1639" t="str">
        <x:v>Medium</x:v>
      </x:c>
      <x:c r="H1639" t="str">
        <x:v>N/A</x:v>
      </x:c>
      <x:c r="I1639" t="str">
        <x:v>Выбрать допустимый статус</x:v>
      </x:c>
      <x:c r="J1639" t="n">
        <x:f>IF(D1639=1,K1639,0)</x:f>
        <x:v>0</x:v>
      </x:c>
      <x:c r="K1639" t="n">
        <x:f>D1639+K1638</x:f>
        <x:v>19</x:v>
      </x:c>
    </x:row>
    <x:row r="1640">
      <x:c r="A1640" t="str">
        <x:v>Client</x:v>
      </x:c>
      <x:c r="B1640" t="str">
        <x:f>'04_checks'!B236</x:f>
      </x:c>
      <x:c r="C1640" t="n">
        <x:v>56</x:v>
      </x:c>
      <x:c r="D1640" t="n">
        <x:f>IF('04_checks'!C236="ERROR",1,0)</x:f>
        <x:v>0</x:v>
      </x:c>
      <x:c r="E1640" t="str">
        <x:v>Client:56:1</x:v>
      </x:c>
      <x:c r="F1640" t="str">
        <x:v>Дубль</x:v>
      </x:c>
      <x:c r="G1640" t="str">
        <x:v>High</x:v>
      </x:c>
      <x:c r="H1640" t="str">
        <x:v>client_id</x:v>
      </x:c>
      <x:c r="I1640" t="str">
        <x:v>Проверить уникальность ID в источнике; не удалять записи автоматически</x:v>
      </x:c>
      <x:c r="J1640" t="n">
        <x:f>IF(D1640=1,K1640,0)</x:f>
        <x:v>0</x:v>
      </x:c>
      <x:c r="K1640" t="n">
        <x:f>D1640+K1639</x:f>
        <x:v>19</x:v>
      </x:c>
    </x:row>
    <x:row r="1641">
      <x:c r="A1641" t="str">
        <x:v>Client</x:v>
      </x:c>
      <x:c r="B1641" t="str">
        <x:f>'04_checks'!B236</x:f>
      </x:c>
      <x:c r="C1641" t="n">
        <x:v>56</x:v>
      </x:c>
      <x:c r="D1641" t="n">
        <x:f>IF('04_checks'!D236="ERROR",1,0)</x:f>
        <x:v>0</x:v>
      </x:c>
      <x:c r="E1641" t="str">
        <x:v>Client:56:2</x:v>
      </x:c>
      <x:c r="F1641" t="str">
        <x:v>Пустое поле</x:v>
      </x:c>
      <x:c r="G1641" t="str">
        <x:v>High</x:v>
      </x:c>
      <x:c r="H1641" t="str">
        <x:v>required_fields</x:v>
      </x:c>
      <x:c r="I1641" t="str">
        <x:v>Дополнить обязательные поля в источнике</x:v>
      </x:c>
      <x:c r="J1641" t="n">
        <x:f>IF(D1641=1,K1641,0)</x:f>
        <x:v>0</x:v>
      </x:c>
      <x:c r="K1641" t="n">
        <x:f>D1641+K1640</x:f>
        <x:v>19</x:v>
      </x:c>
    </x:row>
    <x:row r="1642">
      <x:c r="A1642" t="str">
        <x:v>Client</x:v>
      </x:c>
      <x:c r="B1642" t="str">
        <x:f>'04_checks'!B236</x:f>
      </x:c>
      <x:c r="C1642" t="n">
        <x:v>56</x:v>
      </x:c>
      <x:c r="D1642" t="n">
        <x:f>IF('04_checks'!E236="ERROR",1,0)</x:f>
        <x:v>0</x:v>
      </x:c>
      <x:c r="E1642" t="str">
        <x:v>Client:56:3</x:v>
      </x:c>
      <x:c r="F1642" t="str">
        <x:v>Нет связи</x:v>
      </x:c>
      <x:c r="G1642" t="str">
        <x:v>High</x:v>
      </x:c>
      <x:c r="H1642" t="str">
        <x:v>client_id</x:v>
      </x:c>
      <x:c r="I1642" t="str">
        <x:v>Исправить ссылку или разрешить дубли связанного ID</x:v>
      </x:c>
      <x:c r="J1642" t="n">
        <x:f>IF(D1642=1,K1642,0)</x:f>
        <x:v>0</x:v>
      </x:c>
      <x:c r="K1642" t="n">
        <x:f>D1642+K1641</x:f>
        <x:v>19</x:v>
      </x:c>
    </x:row>
    <x:row r="1643">
      <x:c r="A1643" t="str">
        <x:v>Client</x:v>
      </x:c>
      <x:c r="B1643" t="str">
        <x:f>'04_checks'!B236</x:f>
      </x:c>
      <x:c r="C1643" t="n">
        <x:v>56</x:v>
      </x:c>
      <x:c r="D1643" t="n">
        <x:f>IF('04_checks'!F236="ERROR",1,0)</x:f>
        <x:v>0</x:v>
      </x:c>
      <x:c r="E1643" t="str">
        <x:v>Client:56:4</x:v>
      </x:c>
      <x:c r="F1643" t="str">
        <x:v>Формат ИНН</x:v>
      </x:c>
      <x:c r="G1643" t="str">
        <x:v>High</x:v>
      </x:c>
      <x:c r="H1643" t="str">
        <x:v>inn</x:v>
      </x:c>
      <x:c r="I1643" t="str">
        <x:v>Сверить длину ИНН 10/12 цифр с источником</x:v>
      </x:c>
      <x:c r="J1643" t="n">
        <x:f>IF(D1643=1,K1643,0)</x:f>
        <x:v>0</x:v>
      </x:c>
      <x:c r="K1643" t="n">
        <x:f>D1643+K1642</x:f>
        <x:v>19</x:v>
      </x:c>
    </x:row>
    <x:row r="1644">
      <x:c r="A1644" t="str">
        <x:v>Client</x:v>
      </x:c>
      <x:c r="B1644" t="str">
        <x:f>'04_checks'!B236</x:f>
      </x:c>
      <x:c r="C1644" t="n">
        <x:v>56</x:v>
      </x:c>
      <x:c r="D1644" t="n">
        <x:f>IF('04_checks'!G236="ERROR",1,0)</x:f>
        <x:v>0</x:v>
      </x:c>
      <x:c r="E1644" t="str">
        <x:v>Client:56:5</x:v>
      </x:c>
      <x:c r="F1644" t="str">
        <x:v>Отрицательная цена</x:v>
      </x:c>
      <x:c r="G1644" t="str">
        <x:v>High</x:v>
      </x:c>
      <x:c r="H1644" t="str">
        <x:v>N/A</x:v>
      </x:c>
      <x:c r="I1644" t="str">
        <x:v>Проверить цену в источнике</x:v>
      </x:c>
      <x:c r="J1644" t="n">
        <x:f>IF(D1644=1,K1644,0)</x:f>
        <x:v>0</x:v>
      </x:c>
      <x:c r="K1644" t="n">
        <x:f>D1644+K1643</x:f>
        <x:v>19</x:v>
      </x:c>
    </x:row>
    <x:row r="1645">
      <x:c r="A1645" t="str">
        <x:v>Client</x:v>
      </x:c>
      <x:c r="B1645" t="str">
        <x:f>'04_checks'!B236</x:f>
      </x:c>
      <x:c r="C1645" t="n">
        <x:v>56</x:v>
      </x:c>
      <x:c r="D1645" t="n">
        <x:f>IF('04_checks'!H236="ERROR",1,0)</x:f>
        <x:v>0</x:v>
      </x:c>
      <x:c r="E1645" t="str">
        <x:v>Client:56:6</x:v>
      </x:c>
      <x:c r="F1645" t="str">
        <x:v>Дата</x:v>
      </x:c>
      <x:c r="G1645" t="str">
        <x:v>Medium</x:v>
      </x:c>
      <x:c r="H1645" t="str">
        <x:v>registration_date</x:v>
      </x:c>
      <x:c r="I1645" t="str">
        <x:v>Сверить дату со срезом и исходной записью</x:v>
      </x:c>
      <x:c r="J1645" t="n">
        <x:f>IF(D1645=1,K1645,0)</x:f>
        <x:v>0</x:v>
      </x:c>
      <x:c r="K1645" t="n">
        <x:f>D1645+K1644</x:f>
        <x:v>19</x:v>
      </x:c>
    </x:row>
    <x:row r="1646">
      <x:c r="A1646" t="str">
        <x:v>Client</x:v>
      </x:c>
      <x:c r="B1646" t="str">
        <x:f>'04_checks'!B236</x:f>
      </x:c>
      <x:c r="C1646" t="n">
        <x:v>56</x:v>
      </x:c>
      <x:c r="D1646" t="n">
        <x:f>IF('04_checks'!I236="ERROR",1,0)</x:f>
        <x:v>0</x:v>
      </x:c>
      <x:c r="E1646" t="str">
        <x:v>Client:56:7</x:v>
      </x:c>
      <x:c r="F1646" t="str">
        <x:v>Статус</x:v>
      </x:c>
      <x:c r="G1646" t="str">
        <x:v>Medium</x:v>
      </x:c>
      <x:c r="H1646" t="str">
        <x:v>N/A</x:v>
      </x:c>
      <x:c r="I1646" t="str">
        <x:v>Выбрать допустимый статус</x:v>
      </x:c>
      <x:c r="J1646" t="n">
        <x:f>IF(D1646=1,K1646,0)</x:f>
        <x:v>0</x:v>
      </x:c>
      <x:c r="K1646" t="n">
        <x:f>D1646+K1645</x:f>
        <x:v>19</x:v>
      </x:c>
    </x:row>
    <x:row r="1647">
      <x:c r="A1647" t="str">
        <x:v>Client</x:v>
      </x:c>
      <x:c r="B1647" t="str">
        <x:f>'04_checks'!B237</x:f>
      </x:c>
      <x:c r="C1647" t="n">
        <x:v>57</x:v>
      </x:c>
      <x:c r="D1647" t="n">
        <x:f>IF('04_checks'!C237="ERROR",1,0)</x:f>
        <x:v>0</x:v>
      </x:c>
      <x:c r="E1647" t="str">
        <x:v>Client:57:1</x:v>
      </x:c>
      <x:c r="F1647" t="str">
        <x:v>Дубль</x:v>
      </x:c>
      <x:c r="G1647" t="str">
        <x:v>High</x:v>
      </x:c>
      <x:c r="H1647" t="str">
        <x:v>client_id</x:v>
      </x:c>
      <x:c r="I1647" t="str">
        <x:v>Проверить уникальность ID в источнике; не удалять записи автоматически</x:v>
      </x:c>
      <x:c r="J1647" t="n">
        <x:f>IF(D1647=1,K1647,0)</x:f>
        <x:v>0</x:v>
      </x:c>
      <x:c r="K1647" t="n">
        <x:f>D1647+K1646</x:f>
        <x:v>19</x:v>
      </x:c>
    </x:row>
    <x:row r="1648">
      <x:c r="A1648" t="str">
        <x:v>Client</x:v>
      </x:c>
      <x:c r="B1648" t="str">
        <x:f>'04_checks'!B237</x:f>
      </x:c>
      <x:c r="C1648" t="n">
        <x:v>57</x:v>
      </x:c>
      <x:c r="D1648" t="n">
        <x:f>IF('04_checks'!D237="ERROR",1,0)</x:f>
        <x:v>0</x:v>
      </x:c>
      <x:c r="E1648" t="str">
        <x:v>Client:57:2</x:v>
      </x:c>
      <x:c r="F1648" t="str">
        <x:v>Пустое поле</x:v>
      </x:c>
      <x:c r="G1648" t="str">
        <x:v>High</x:v>
      </x:c>
      <x:c r="H1648" t="str">
        <x:v>required_fields</x:v>
      </x:c>
      <x:c r="I1648" t="str">
        <x:v>Дополнить обязательные поля в источнике</x:v>
      </x:c>
      <x:c r="J1648" t="n">
        <x:f>IF(D1648=1,K1648,0)</x:f>
        <x:v>0</x:v>
      </x:c>
      <x:c r="K1648" t="n">
        <x:f>D1648+K1647</x:f>
        <x:v>19</x:v>
      </x:c>
    </x:row>
    <x:row r="1649">
      <x:c r="A1649" t="str">
        <x:v>Client</x:v>
      </x:c>
      <x:c r="B1649" t="str">
        <x:f>'04_checks'!B237</x:f>
      </x:c>
      <x:c r="C1649" t="n">
        <x:v>57</x:v>
      </x:c>
      <x:c r="D1649" t="n">
        <x:f>IF('04_checks'!E237="ERROR",1,0)</x:f>
        <x:v>0</x:v>
      </x:c>
      <x:c r="E1649" t="str">
        <x:v>Client:57:3</x:v>
      </x:c>
      <x:c r="F1649" t="str">
        <x:v>Нет связи</x:v>
      </x:c>
      <x:c r="G1649" t="str">
        <x:v>High</x:v>
      </x:c>
      <x:c r="H1649" t="str">
        <x:v>client_id</x:v>
      </x:c>
      <x:c r="I1649" t="str">
        <x:v>Исправить ссылку или разрешить дубли связанного ID</x:v>
      </x:c>
      <x:c r="J1649" t="n">
        <x:f>IF(D1649=1,K1649,0)</x:f>
        <x:v>0</x:v>
      </x:c>
      <x:c r="K1649" t="n">
        <x:f>D1649+K1648</x:f>
        <x:v>19</x:v>
      </x:c>
    </x:row>
    <x:row r="1650">
      <x:c r="A1650" t="str">
        <x:v>Client</x:v>
      </x:c>
      <x:c r="B1650" t="str">
        <x:f>'04_checks'!B237</x:f>
      </x:c>
      <x:c r="C1650" t="n">
        <x:v>57</x:v>
      </x:c>
      <x:c r="D1650" t="n">
        <x:f>IF('04_checks'!F237="ERROR",1,0)</x:f>
        <x:v>0</x:v>
      </x:c>
      <x:c r="E1650" t="str">
        <x:v>Client:57:4</x:v>
      </x:c>
      <x:c r="F1650" t="str">
        <x:v>Формат ИНН</x:v>
      </x:c>
      <x:c r="G1650" t="str">
        <x:v>High</x:v>
      </x:c>
      <x:c r="H1650" t="str">
        <x:v>inn</x:v>
      </x:c>
      <x:c r="I1650" t="str">
        <x:v>Сверить длину ИНН 10/12 цифр с источником</x:v>
      </x:c>
      <x:c r="J1650" t="n">
        <x:f>IF(D1650=1,K1650,0)</x:f>
        <x:v>0</x:v>
      </x:c>
      <x:c r="K1650" t="n">
        <x:f>D1650+K1649</x:f>
        <x:v>19</x:v>
      </x:c>
    </x:row>
    <x:row r="1651">
      <x:c r="A1651" t="str">
        <x:v>Client</x:v>
      </x:c>
      <x:c r="B1651" t="str">
        <x:f>'04_checks'!B237</x:f>
      </x:c>
      <x:c r="C1651" t="n">
        <x:v>57</x:v>
      </x:c>
      <x:c r="D1651" t="n">
        <x:f>IF('04_checks'!G237="ERROR",1,0)</x:f>
        <x:v>0</x:v>
      </x:c>
      <x:c r="E1651" t="str">
        <x:v>Client:57:5</x:v>
      </x:c>
      <x:c r="F1651" t="str">
        <x:v>Отрицательная цена</x:v>
      </x:c>
      <x:c r="G1651" t="str">
        <x:v>High</x:v>
      </x:c>
      <x:c r="H1651" t="str">
        <x:v>N/A</x:v>
      </x:c>
      <x:c r="I1651" t="str">
        <x:v>Проверить цену в источнике</x:v>
      </x:c>
      <x:c r="J1651" t="n">
        <x:f>IF(D1651=1,K1651,0)</x:f>
        <x:v>0</x:v>
      </x:c>
      <x:c r="K1651" t="n">
        <x:f>D1651+K1650</x:f>
        <x:v>19</x:v>
      </x:c>
    </x:row>
    <x:row r="1652">
      <x:c r="A1652" t="str">
        <x:v>Client</x:v>
      </x:c>
      <x:c r="B1652" t="str">
        <x:f>'04_checks'!B237</x:f>
      </x:c>
      <x:c r="C1652" t="n">
        <x:v>57</x:v>
      </x:c>
      <x:c r="D1652" t="n">
        <x:f>IF('04_checks'!H237="ERROR",1,0)</x:f>
        <x:v>0</x:v>
      </x:c>
      <x:c r="E1652" t="str">
        <x:v>Client:57:6</x:v>
      </x:c>
      <x:c r="F1652" t="str">
        <x:v>Дата</x:v>
      </x:c>
      <x:c r="G1652" t="str">
        <x:v>Medium</x:v>
      </x:c>
      <x:c r="H1652" t="str">
        <x:v>registration_date</x:v>
      </x:c>
      <x:c r="I1652" t="str">
        <x:v>Сверить дату со срезом и исходной записью</x:v>
      </x:c>
      <x:c r="J1652" t="n">
        <x:f>IF(D1652=1,K1652,0)</x:f>
        <x:v>0</x:v>
      </x:c>
      <x:c r="K1652" t="n">
        <x:f>D1652+K1651</x:f>
        <x:v>19</x:v>
      </x:c>
    </x:row>
    <x:row r="1653">
      <x:c r="A1653" t="str">
        <x:v>Client</x:v>
      </x:c>
      <x:c r="B1653" t="str">
        <x:f>'04_checks'!B237</x:f>
      </x:c>
      <x:c r="C1653" t="n">
        <x:v>57</x:v>
      </x:c>
      <x:c r="D1653" t="n">
        <x:f>IF('04_checks'!I237="ERROR",1,0)</x:f>
        <x:v>0</x:v>
      </x:c>
      <x:c r="E1653" t="str">
        <x:v>Client:57:7</x:v>
      </x:c>
      <x:c r="F1653" t="str">
        <x:v>Статус</x:v>
      </x:c>
      <x:c r="G1653" t="str">
        <x:v>Medium</x:v>
      </x:c>
      <x:c r="H1653" t="str">
        <x:v>N/A</x:v>
      </x:c>
      <x:c r="I1653" t="str">
        <x:v>Выбрать допустимый статус</x:v>
      </x:c>
      <x:c r="J1653" t="n">
        <x:f>IF(D1653=1,K1653,0)</x:f>
        <x:v>0</x:v>
      </x:c>
      <x:c r="K1653" t="n">
        <x:f>D1653+K1652</x:f>
        <x:v>19</x:v>
      </x:c>
    </x:row>
    <x:row r="1654">
      <x:c r="A1654" t="str">
        <x:v>Client</x:v>
      </x:c>
      <x:c r="B1654" t="str">
        <x:f>'04_checks'!B238</x:f>
      </x:c>
      <x:c r="C1654" t="n">
        <x:v>58</x:v>
      </x:c>
      <x:c r="D1654" t="n">
        <x:f>IF('04_checks'!C238="ERROR",1,0)</x:f>
        <x:v>0</x:v>
      </x:c>
      <x:c r="E1654" t="str">
        <x:v>Client:58:1</x:v>
      </x:c>
      <x:c r="F1654" t="str">
        <x:v>Дубль</x:v>
      </x:c>
      <x:c r="G1654" t="str">
        <x:v>High</x:v>
      </x:c>
      <x:c r="H1654" t="str">
        <x:v>client_id</x:v>
      </x:c>
      <x:c r="I1654" t="str">
        <x:v>Проверить уникальность ID в источнике; не удалять записи автоматически</x:v>
      </x:c>
      <x:c r="J1654" t="n">
        <x:f>IF(D1654=1,K1654,0)</x:f>
        <x:v>0</x:v>
      </x:c>
      <x:c r="K1654" t="n">
        <x:f>D1654+K1653</x:f>
        <x:v>19</x:v>
      </x:c>
    </x:row>
    <x:row r="1655">
      <x:c r="A1655" t="str">
        <x:v>Client</x:v>
      </x:c>
      <x:c r="B1655" t="str">
        <x:f>'04_checks'!B238</x:f>
      </x:c>
      <x:c r="C1655" t="n">
        <x:v>58</x:v>
      </x:c>
      <x:c r="D1655" t="n">
        <x:f>IF('04_checks'!D238="ERROR",1,0)</x:f>
        <x:v>0</x:v>
      </x:c>
      <x:c r="E1655" t="str">
        <x:v>Client:58:2</x:v>
      </x:c>
      <x:c r="F1655" t="str">
        <x:v>Пустое поле</x:v>
      </x:c>
      <x:c r="G1655" t="str">
        <x:v>High</x:v>
      </x:c>
      <x:c r="H1655" t="str">
        <x:v>required_fields</x:v>
      </x:c>
      <x:c r="I1655" t="str">
        <x:v>Дополнить обязательные поля в источнике</x:v>
      </x:c>
      <x:c r="J1655" t="n">
        <x:f>IF(D1655=1,K1655,0)</x:f>
        <x:v>0</x:v>
      </x:c>
      <x:c r="K1655" t="n">
        <x:f>D1655+K1654</x:f>
        <x:v>19</x:v>
      </x:c>
    </x:row>
    <x:row r="1656">
      <x:c r="A1656" t="str">
        <x:v>Client</x:v>
      </x:c>
      <x:c r="B1656" t="str">
        <x:f>'04_checks'!B238</x:f>
      </x:c>
      <x:c r="C1656" t="n">
        <x:v>58</x:v>
      </x:c>
      <x:c r="D1656" t="n">
        <x:f>IF('04_checks'!E238="ERROR",1,0)</x:f>
        <x:v>0</x:v>
      </x:c>
      <x:c r="E1656" t="str">
        <x:v>Client:58:3</x:v>
      </x:c>
      <x:c r="F1656" t="str">
        <x:v>Нет связи</x:v>
      </x:c>
      <x:c r="G1656" t="str">
        <x:v>High</x:v>
      </x:c>
      <x:c r="H1656" t="str">
        <x:v>client_id</x:v>
      </x:c>
      <x:c r="I1656" t="str">
        <x:v>Исправить ссылку или разрешить дубли связанного ID</x:v>
      </x:c>
      <x:c r="J1656" t="n">
        <x:f>IF(D1656=1,K1656,0)</x:f>
        <x:v>0</x:v>
      </x:c>
      <x:c r="K1656" t="n">
        <x:f>D1656+K1655</x:f>
        <x:v>19</x:v>
      </x:c>
    </x:row>
    <x:row r="1657">
      <x:c r="A1657" t="str">
        <x:v>Client</x:v>
      </x:c>
      <x:c r="B1657" t="str">
        <x:f>'04_checks'!B238</x:f>
      </x:c>
      <x:c r="C1657" t="n">
        <x:v>58</x:v>
      </x:c>
      <x:c r="D1657" t="n">
        <x:f>IF('04_checks'!F238="ERROR",1,0)</x:f>
        <x:v>0</x:v>
      </x:c>
      <x:c r="E1657" t="str">
        <x:v>Client:58:4</x:v>
      </x:c>
      <x:c r="F1657" t="str">
        <x:v>Формат ИНН</x:v>
      </x:c>
      <x:c r="G1657" t="str">
        <x:v>High</x:v>
      </x:c>
      <x:c r="H1657" t="str">
        <x:v>inn</x:v>
      </x:c>
      <x:c r="I1657" t="str">
        <x:v>Сверить длину ИНН 10/12 цифр с источником</x:v>
      </x:c>
      <x:c r="J1657" t="n">
        <x:f>IF(D1657=1,K1657,0)</x:f>
        <x:v>0</x:v>
      </x:c>
      <x:c r="K1657" t="n">
        <x:f>D1657+K1656</x:f>
        <x:v>19</x:v>
      </x:c>
    </x:row>
    <x:row r="1658">
      <x:c r="A1658" t="str">
        <x:v>Client</x:v>
      </x:c>
      <x:c r="B1658" t="str">
        <x:f>'04_checks'!B238</x:f>
      </x:c>
      <x:c r="C1658" t="n">
        <x:v>58</x:v>
      </x:c>
      <x:c r="D1658" t="n">
        <x:f>IF('04_checks'!G238="ERROR",1,0)</x:f>
        <x:v>0</x:v>
      </x:c>
      <x:c r="E1658" t="str">
        <x:v>Client:58:5</x:v>
      </x:c>
      <x:c r="F1658" t="str">
        <x:v>Отрицательная цена</x:v>
      </x:c>
      <x:c r="G1658" t="str">
        <x:v>High</x:v>
      </x:c>
      <x:c r="H1658" t="str">
        <x:v>N/A</x:v>
      </x:c>
      <x:c r="I1658" t="str">
        <x:v>Проверить цену в источнике</x:v>
      </x:c>
      <x:c r="J1658" t="n">
        <x:f>IF(D1658=1,K1658,0)</x:f>
        <x:v>0</x:v>
      </x:c>
      <x:c r="K1658" t="n">
        <x:f>D1658+K1657</x:f>
        <x:v>19</x:v>
      </x:c>
    </x:row>
    <x:row r="1659">
      <x:c r="A1659" t="str">
        <x:v>Client</x:v>
      </x:c>
      <x:c r="B1659" t="str">
        <x:f>'04_checks'!B238</x:f>
      </x:c>
      <x:c r="C1659" t="n">
        <x:v>58</x:v>
      </x:c>
      <x:c r="D1659" t="n">
        <x:f>IF('04_checks'!H238="ERROR",1,0)</x:f>
        <x:v>0</x:v>
      </x:c>
      <x:c r="E1659" t="str">
        <x:v>Client:58:6</x:v>
      </x:c>
      <x:c r="F1659" t="str">
        <x:v>Дата</x:v>
      </x:c>
      <x:c r="G1659" t="str">
        <x:v>Medium</x:v>
      </x:c>
      <x:c r="H1659" t="str">
        <x:v>registration_date</x:v>
      </x:c>
      <x:c r="I1659" t="str">
        <x:v>Сверить дату со срезом и исходной записью</x:v>
      </x:c>
      <x:c r="J1659" t="n">
        <x:f>IF(D1659=1,K1659,0)</x:f>
        <x:v>0</x:v>
      </x:c>
      <x:c r="K1659" t="n">
        <x:f>D1659+K1658</x:f>
        <x:v>19</x:v>
      </x:c>
    </x:row>
    <x:row r="1660">
      <x:c r="A1660" t="str">
        <x:v>Client</x:v>
      </x:c>
      <x:c r="B1660" t="str">
        <x:f>'04_checks'!B238</x:f>
      </x:c>
      <x:c r="C1660" t="n">
        <x:v>58</x:v>
      </x:c>
      <x:c r="D1660" t="n">
        <x:f>IF('04_checks'!I238="ERROR",1,0)</x:f>
        <x:v>0</x:v>
      </x:c>
      <x:c r="E1660" t="str">
        <x:v>Client:58:7</x:v>
      </x:c>
      <x:c r="F1660" t="str">
        <x:v>Статус</x:v>
      </x:c>
      <x:c r="G1660" t="str">
        <x:v>Medium</x:v>
      </x:c>
      <x:c r="H1660" t="str">
        <x:v>N/A</x:v>
      </x:c>
      <x:c r="I1660" t="str">
        <x:v>Выбрать допустимый статус</x:v>
      </x:c>
      <x:c r="J1660" t="n">
        <x:f>IF(D1660=1,K1660,0)</x:f>
        <x:v>0</x:v>
      </x:c>
      <x:c r="K1660" t="n">
        <x:f>D1660+K1659</x:f>
        <x:v>19</x:v>
      </x:c>
    </x:row>
    <x:row r="1661">
      <x:c r="A1661" t="str">
        <x:v>Client</x:v>
      </x:c>
      <x:c r="B1661" t="str">
        <x:f>'04_checks'!B239</x:f>
      </x:c>
      <x:c r="C1661" t="n">
        <x:v>59</x:v>
      </x:c>
      <x:c r="D1661" t="n">
        <x:f>IF('04_checks'!C239="ERROR",1,0)</x:f>
        <x:v>0</x:v>
      </x:c>
      <x:c r="E1661" t="str">
        <x:v>Client:59:1</x:v>
      </x:c>
      <x:c r="F1661" t="str">
        <x:v>Дубль</x:v>
      </x:c>
      <x:c r="G1661" t="str">
        <x:v>High</x:v>
      </x:c>
      <x:c r="H1661" t="str">
        <x:v>client_id</x:v>
      </x:c>
      <x:c r="I1661" t="str">
        <x:v>Проверить уникальность ID в источнике; не удалять записи автоматически</x:v>
      </x:c>
      <x:c r="J1661" t="n">
        <x:f>IF(D1661=1,K1661,0)</x:f>
        <x:v>0</x:v>
      </x:c>
      <x:c r="K1661" t="n">
        <x:f>D1661+K1660</x:f>
        <x:v>19</x:v>
      </x:c>
    </x:row>
    <x:row r="1662">
      <x:c r="A1662" t="str">
        <x:v>Client</x:v>
      </x:c>
      <x:c r="B1662" t="str">
        <x:f>'04_checks'!B239</x:f>
      </x:c>
      <x:c r="C1662" t="n">
        <x:v>59</x:v>
      </x:c>
      <x:c r="D1662" t="n">
        <x:f>IF('04_checks'!D239="ERROR",1,0)</x:f>
        <x:v>0</x:v>
      </x:c>
      <x:c r="E1662" t="str">
        <x:v>Client:59:2</x:v>
      </x:c>
      <x:c r="F1662" t="str">
        <x:v>Пустое поле</x:v>
      </x:c>
      <x:c r="G1662" t="str">
        <x:v>High</x:v>
      </x:c>
      <x:c r="H1662" t="str">
        <x:v>required_fields</x:v>
      </x:c>
      <x:c r="I1662" t="str">
        <x:v>Дополнить обязательные поля в источнике</x:v>
      </x:c>
      <x:c r="J1662" t="n">
        <x:f>IF(D1662=1,K1662,0)</x:f>
        <x:v>0</x:v>
      </x:c>
      <x:c r="K1662" t="n">
        <x:f>D1662+K1661</x:f>
        <x:v>19</x:v>
      </x:c>
    </x:row>
    <x:row r="1663">
      <x:c r="A1663" t="str">
        <x:v>Client</x:v>
      </x:c>
      <x:c r="B1663" t="str">
        <x:f>'04_checks'!B239</x:f>
      </x:c>
      <x:c r="C1663" t="n">
        <x:v>59</x:v>
      </x:c>
      <x:c r="D1663" t="n">
        <x:f>IF('04_checks'!E239="ERROR",1,0)</x:f>
        <x:v>0</x:v>
      </x:c>
      <x:c r="E1663" t="str">
        <x:v>Client:59:3</x:v>
      </x:c>
      <x:c r="F1663" t="str">
        <x:v>Нет связи</x:v>
      </x:c>
      <x:c r="G1663" t="str">
        <x:v>High</x:v>
      </x:c>
      <x:c r="H1663" t="str">
        <x:v>client_id</x:v>
      </x:c>
      <x:c r="I1663" t="str">
        <x:v>Исправить ссылку или разрешить дубли связанного ID</x:v>
      </x:c>
      <x:c r="J1663" t="n">
        <x:f>IF(D1663=1,K1663,0)</x:f>
        <x:v>0</x:v>
      </x:c>
      <x:c r="K1663" t="n">
        <x:f>D1663+K1662</x:f>
        <x:v>19</x:v>
      </x:c>
    </x:row>
    <x:row r="1664">
      <x:c r="A1664" t="str">
        <x:v>Client</x:v>
      </x:c>
      <x:c r="B1664" t="str">
        <x:f>'04_checks'!B239</x:f>
      </x:c>
      <x:c r="C1664" t="n">
        <x:v>59</x:v>
      </x:c>
      <x:c r="D1664" t="n">
        <x:f>IF('04_checks'!F239="ERROR",1,0)</x:f>
        <x:v>0</x:v>
      </x:c>
      <x:c r="E1664" t="str">
        <x:v>Client:59:4</x:v>
      </x:c>
      <x:c r="F1664" t="str">
        <x:v>Формат ИНН</x:v>
      </x:c>
      <x:c r="G1664" t="str">
        <x:v>High</x:v>
      </x:c>
      <x:c r="H1664" t="str">
        <x:v>inn</x:v>
      </x:c>
      <x:c r="I1664" t="str">
        <x:v>Сверить длину ИНН 10/12 цифр с источником</x:v>
      </x:c>
      <x:c r="J1664" t="n">
        <x:f>IF(D1664=1,K1664,0)</x:f>
        <x:v>0</x:v>
      </x:c>
      <x:c r="K1664" t="n">
        <x:f>D1664+K1663</x:f>
        <x:v>19</x:v>
      </x:c>
    </x:row>
    <x:row r="1665">
      <x:c r="A1665" t="str">
        <x:v>Client</x:v>
      </x:c>
      <x:c r="B1665" t="str">
        <x:f>'04_checks'!B239</x:f>
      </x:c>
      <x:c r="C1665" t="n">
        <x:v>59</x:v>
      </x:c>
      <x:c r="D1665" t="n">
        <x:f>IF('04_checks'!G239="ERROR",1,0)</x:f>
        <x:v>0</x:v>
      </x:c>
      <x:c r="E1665" t="str">
        <x:v>Client:59:5</x:v>
      </x:c>
      <x:c r="F1665" t="str">
        <x:v>Отрицательная цена</x:v>
      </x:c>
      <x:c r="G1665" t="str">
        <x:v>High</x:v>
      </x:c>
      <x:c r="H1665" t="str">
        <x:v>N/A</x:v>
      </x:c>
      <x:c r="I1665" t="str">
        <x:v>Проверить цену в источнике</x:v>
      </x:c>
      <x:c r="J1665" t="n">
        <x:f>IF(D1665=1,K1665,0)</x:f>
        <x:v>0</x:v>
      </x:c>
      <x:c r="K1665" t="n">
        <x:f>D1665+K1664</x:f>
        <x:v>19</x:v>
      </x:c>
    </x:row>
    <x:row r="1666">
      <x:c r="A1666" t="str">
        <x:v>Client</x:v>
      </x:c>
      <x:c r="B1666" t="str">
        <x:f>'04_checks'!B239</x:f>
      </x:c>
      <x:c r="C1666" t="n">
        <x:v>59</x:v>
      </x:c>
      <x:c r="D1666" t="n">
        <x:f>IF('04_checks'!H239="ERROR",1,0)</x:f>
        <x:v>0</x:v>
      </x:c>
      <x:c r="E1666" t="str">
        <x:v>Client:59:6</x:v>
      </x:c>
      <x:c r="F1666" t="str">
        <x:v>Дата</x:v>
      </x:c>
      <x:c r="G1666" t="str">
        <x:v>Medium</x:v>
      </x:c>
      <x:c r="H1666" t="str">
        <x:v>registration_date</x:v>
      </x:c>
      <x:c r="I1666" t="str">
        <x:v>Сверить дату со срезом и исходной записью</x:v>
      </x:c>
      <x:c r="J1666" t="n">
        <x:f>IF(D1666=1,K1666,0)</x:f>
        <x:v>0</x:v>
      </x:c>
      <x:c r="K1666" t="n">
        <x:f>D1666+K1665</x:f>
        <x:v>19</x:v>
      </x:c>
    </x:row>
    <x:row r="1667">
      <x:c r="A1667" t="str">
        <x:v>Client</x:v>
      </x:c>
      <x:c r="B1667" t="str">
        <x:f>'04_checks'!B239</x:f>
      </x:c>
      <x:c r="C1667" t="n">
        <x:v>59</x:v>
      </x:c>
      <x:c r="D1667" t="n">
        <x:f>IF('04_checks'!I239="ERROR",1,0)</x:f>
        <x:v>0</x:v>
      </x:c>
      <x:c r="E1667" t="str">
        <x:v>Client:59:7</x:v>
      </x:c>
      <x:c r="F1667" t="str">
        <x:v>Статус</x:v>
      </x:c>
      <x:c r="G1667" t="str">
        <x:v>Medium</x:v>
      </x:c>
      <x:c r="H1667" t="str">
        <x:v>N/A</x:v>
      </x:c>
      <x:c r="I1667" t="str">
        <x:v>Выбрать допустимый статус</x:v>
      </x:c>
      <x:c r="J1667" t="n">
        <x:f>IF(D1667=1,K1667,0)</x:f>
        <x:v>0</x:v>
      </x:c>
      <x:c r="K1667" t="n">
        <x:f>D1667+K1666</x:f>
        <x:v>19</x:v>
      </x:c>
    </x:row>
    <x:row r="1668">
      <x:c r="A1668" t="str">
        <x:v>Client</x:v>
      </x:c>
      <x:c r="B1668" t="str">
        <x:f>'04_checks'!B240</x:f>
      </x:c>
      <x:c r="C1668" t="n">
        <x:v>60</x:v>
      </x:c>
      <x:c r="D1668" t="n">
        <x:f>IF('04_checks'!C240="ERROR",1,0)</x:f>
        <x:v>0</x:v>
      </x:c>
      <x:c r="E1668" t="str">
        <x:v>Client:60:1</x:v>
      </x:c>
      <x:c r="F1668" t="str">
        <x:v>Дубль</x:v>
      </x:c>
      <x:c r="G1668" t="str">
        <x:v>High</x:v>
      </x:c>
      <x:c r="H1668" t="str">
        <x:v>client_id</x:v>
      </x:c>
      <x:c r="I1668" t="str">
        <x:v>Проверить уникальность ID в источнике; не удалять записи автоматически</x:v>
      </x:c>
      <x:c r="J1668" t="n">
        <x:f>IF(D1668=1,K1668,0)</x:f>
        <x:v>0</x:v>
      </x:c>
      <x:c r="K1668" t="n">
        <x:f>D1668+K1667</x:f>
        <x:v>19</x:v>
      </x:c>
    </x:row>
    <x:row r="1669">
      <x:c r="A1669" t="str">
        <x:v>Client</x:v>
      </x:c>
      <x:c r="B1669" t="str">
        <x:f>'04_checks'!B240</x:f>
      </x:c>
      <x:c r="C1669" t="n">
        <x:v>60</x:v>
      </x:c>
      <x:c r="D1669" t="n">
        <x:f>IF('04_checks'!D240="ERROR",1,0)</x:f>
        <x:v>0</x:v>
      </x:c>
      <x:c r="E1669" t="str">
        <x:v>Client:60:2</x:v>
      </x:c>
      <x:c r="F1669" t="str">
        <x:v>Пустое поле</x:v>
      </x:c>
      <x:c r="G1669" t="str">
        <x:v>High</x:v>
      </x:c>
      <x:c r="H1669" t="str">
        <x:v>required_fields</x:v>
      </x:c>
      <x:c r="I1669" t="str">
        <x:v>Дополнить обязательные поля в источнике</x:v>
      </x:c>
      <x:c r="J1669" t="n">
        <x:f>IF(D1669=1,K1669,0)</x:f>
        <x:v>0</x:v>
      </x:c>
      <x:c r="K1669" t="n">
        <x:f>D1669+K1668</x:f>
        <x:v>19</x:v>
      </x:c>
    </x:row>
    <x:row r="1670">
      <x:c r="A1670" t="str">
        <x:v>Client</x:v>
      </x:c>
      <x:c r="B1670" t="str">
        <x:f>'04_checks'!B240</x:f>
      </x:c>
      <x:c r="C1670" t="n">
        <x:v>60</x:v>
      </x:c>
      <x:c r="D1670" t="n">
        <x:f>IF('04_checks'!E240="ERROR",1,0)</x:f>
        <x:v>0</x:v>
      </x:c>
      <x:c r="E1670" t="str">
        <x:v>Client:60:3</x:v>
      </x:c>
      <x:c r="F1670" t="str">
        <x:v>Нет связи</x:v>
      </x:c>
      <x:c r="G1670" t="str">
        <x:v>High</x:v>
      </x:c>
      <x:c r="H1670" t="str">
        <x:v>client_id</x:v>
      </x:c>
      <x:c r="I1670" t="str">
        <x:v>Исправить ссылку или разрешить дубли связанного ID</x:v>
      </x:c>
      <x:c r="J1670" t="n">
        <x:f>IF(D1670=1,K1670,0)</x:f>
        <x:v>0</x:v>
      </x:c>
      <x:c r="K1670" t="n">
        <x:f>D1670+K1669</x:f>
        <x:v>19</x:v>
      </x:c>
    </x:row>
    <x:row r="1671">
      <x:c r="A1671" t="str">
        <x:v>Client</x:v>
      </x:c>
      <x:c r="B1671" t="str">
        <x:f>'04_checks'!B240</x:f>
      </x:c>
      <x:c r="C1671" t="n">
        <x:v>60</x:v>
      </x:c>
      <x:c r="D1671" t="n">
        <x:f>IF('04_checks'!F240="ERROR",1,0)</x:f>
        <x:v>0</x:v>
      </x:c>
      <x:c r="E1671" t="str">
        <x:v>Client:60:4</x:v>
      </x:c>
      <x:c r="F1671" t="str">
        <x:v>Формат ИНН</x:v>
      </x:c>
      <x:c r="G1671" t="str">
        <x:v>High</x:v>
      </x:c>
      <x:c r="H1671" t="str">
        <x:v>inn</x:v>
      </x:c>
      <x:c r="I1671" t="str">
        <x:v>Сверить длину ИНН 10/12 цифр с источником</x:v>
      </x:c>
      <x:c r="J1671" t="n">
        <x:f>IF(D1671=1,K1671,0)</x:f>
        <x:v>0</x:v>
      </x:c>
      <x:c r="K1671" t="n">
        <x:f>D1671+K1670</x:f>
        <x:v>19</x:v>
      </x:c>
    </x:row>
    <x:row r="1672">
      <x:c r="A1672" t="str">
        <x:v>Client</x:v>
      </x:c>
      <x:c r="B1672" t="str">
        <x:f>'04_checks'!B240</x:f>
      </x:c>
      <x:c r="C1672" t="n">
        <x:v>60</x:v>
      </x:c>
      <x:c r="D1672" t="n">
        <x:f>IF('04_checks'!G240="ERROR",1,0)</x:f>
        <x:v>0</x:v>
      </x:c>
      <x:c r="E1672" t="str">
        <x:v>Client:60:5</x:v>
      </x:c>
      <x:c r="F1672" t="str">
        <x:v>Отрицательная цена</x:v>
      </x:c>
      <x:c r="G1672" t="str">
        <x:v>High</x:v>
      </x:c>
      <x:c r="H1672" t="str">
        <x:v>N/A</x:v>
      </x:c>
      <x:c r="I1672" t="str">
        <x:v>Проверить цену в источнике</x:v>
      </x:c>
      <x:c r="J1672" t="n">
        <x:f>IF(D1672=1,K1672,0)</x:f>
        <x:v>0</x:v>
      </x:c>
      <x:c r="K1672" t="n">
        <x:f>D1672+K1671</x:f>
        <x:v>19</x:v>
      </x:c>
    </x:row>
    <x:row r="1673">
      <x:c r="A1673" t="str">
        <x:v>Client</x:v>
      </x:c>
      <x:c r="B1673" t="str">
        <x:f>'04_checks'!B240</x:f>
      </x:c>
      <x:c r="C1673" t="n">
        <x:v>60</x:v>
      </x:c>
      <x:c r="D1673" t="n">
        <x:f>IF('04_checks'!H240="ERROR",1,0)</x:f>
        <x:v>0</x:v>
      </x:c>
      <x:c r="E1673" t="str">
        <x:v>Client:60:6</x:v>
      </x:c>
      <x:c r="F1673" t="str">
        <x:v>Дата</x:v>
      </x:c>
      <x:c r="G1673" t="str">
        <x:v>Medium</x:v>
      </x:c>
      <x:c r="H1673" t="str">
        <x:v>registration_date</x:v>
      </x:c>
      <x:c r="I1673" t="str">
        <x:v>Сверить дату со срезом и исходной записью</x:v>
      </x:c>
      <x:c r="J1673" t="n">
        <x:f>IF(D1673=1,K1673,0)</x:f>
        <x:v>0</x:v>
      </x:c>
      <x:c r="K1673" t="n">
        <x:f>D1673+K1672</x:f>
        <x:v>19</x:v>
      </x:c>
    </x:row>
    <x:row r="1674">
      <x:c r="A1674" t="str">
        <x:v>Client</x:v>
      </x:c>
      <x:c r="B1674" t="str">
        <x:f>'04_checks'!B240</x:f>
      </x:c>
      <x:c r="C1674" t="n">
        <x:v>60</x:v>
      </x:c>
      <x:c r="D1674" t="n">
        <x:f>IF('04_checks'!I240="ERROR",1,0)</x:f>
        <x:v>0</x:v>
      </x:c>
      <x:c r="E1674" t="str">
        <x:v>Client:60:7</x:v>
      </x:c>
      <x:c r="F1674" t="str">
        <x:v>Статус</x:v>
      </x:c>
      <x:c r="G1674" t="str">
        <x:v>Medium</x:v>
      </x:c>
      <x:c r="H1674" t="str">
        <x:v>N/A</x:v>
      </x:c>
      <x:c r="I1674" t="str">
        <x:v>Выбрать допустимый статус</x:v>
      </x:c>
      <x:c r="J1674" t="n">
        <x:f>IF(D1674=1,K1674,0)</x:f>
        <x:v>0</x:v>
      </x:c>
      <x:c r="K1674" t="n">
        <x:f>D1674+K1673</x:f>
        <x:v>19</x:v>
      </x:c>
    </x:row>
    <x:row r="1675">
      <x:c r="A1675" t="str">
        <x:v>Client</x:v>
      </x:c>
      <x:c r="B1675" t="str">
        <x:f>'04_checks'!B241</x:f>
      </x:c>
      <x:c r="C1675" t="n">
        <x:v>61</x:v>
      </x:c>
      <x:c r="D1675" t="n">
        <x:f>IF('04_checks'!C241="ERROR",1,0)</x:f>
        <x:v>0</x:v>
      </x:c>
      <x:c r="E1675" t="str">
        <x:v>Client:61:1</x:v>
      </x:c>
      <x:c r="F1675" t="str">
        <x:v>Дубль</x:v>
      </x:c>
      <x:c r="G1675" t="str">
        <x:v>High</x:v>
      </x:c>
      <x:c r="H1675" t="str">
        <x:v>client_id</x:v>
      </x:c>
      <x:c r="I1675" t="str">
        <x:v>Проверить уникальность ID в источнике; не удалять записи автоматически</x:v>
      </x:c>
      <x:c r="J1675" t="n">
        <x:f>IF(D1675=1,K1675,0)</x:f>
        <x:v>0</x:v>
      </x:c>
      <x:c r="K1675" t="n">
        <x:f>D1675+K1674</x:f>
        <x:v>19</x:v>
      </x:c>
    </x:row>
    <x:row r="1676">
      <x:c r="A1676" t="str">
        <x:v>Client</x:v>
      </x:c>
      <x:c r="B1676" t="str">
        <x:f>'04_checks'!B241</x:f>
      </x:c>
      <x:c r="C1676" t="n">
        <x:v>61</x:v>
      </x:c>
      <x:c r="D1676" t="n">
        <x:f>IF('04_checks'!D241="ERROR",1,0)</x:f>
        <x:v>0</x:v>
      </x:c>
      <x:c r="E1676" t="str">
        <x:v>Client:61:2</x:v>
      </x:c>
      <x:c r="F1676" t="str">
        <x:v>Пустое поле</x:v>
      </x:c>
      <x:c r="G1676" t="str">
        <x:v>High</x:v>
      </x:c>
      <x:c r="H1676" t="str">
        <x:v>required_fields</x:v>
      </x:c>
      <x:c r="I1676" t="str">
        <x:v>Дополнить обязательные поля в источнике</x:v>
      </x:c>
      <x:c r="J1676" t="n">
        <x:f>IF(D1676=1,K1676,0)</x:f>
        <x:v>0</x:v>
      </x:c>
      <x:c r="K1676" t="n">
        <x:f>D1676+K1675</x:f>
        <x:v>19</x:v>
      </x:c>
    </x:row>
    <x:row r="1677">
      <x:c r="A1677" t="str">
        <x:v>Client</x:v>
      </x:c>
      <x:c r="B1677" t="str">
        <x:f>'04_checks'!B241</x:f>
      </x:c>
      <x:c r="C1677" t="n">
        <x:v>61</x:v>
      </x:c>
      <x:c r="D1677" t="n">
        <x:f>IF('04_checks'!E241="ERROR",1,0)</x:f>
        <x:v>0</x:v>
      </x:c>
      <x:c r="E1677" t="str">
        <x:v>Client:61:3</x:v>
      </x:c>
      <x:c r="F1677" t="str">
        <x:v>Нет связи</x:v>
      </x:c>
      <x:c r="G1677" t="str">
        <x:v>High</x:v>
      </x:c>
      <x:c r="H1677" t="str">
        <x:v>client_id</x:v>
      </x:c>
      <x:c r="I1677" t="str">
        <x:v>Исправить ссылку или разрешить дубли связанного ID</x:v>
      </x:c>
      <x:c r="J1677" t="n">
        <x:f>IF(D1677=1,K1677,0)</x:f>
        <x:v>0</x:v>
      </x:c>
      <x:c r="K1677" t="n">
        <x:f>D1677+K1676</x:f>
        <x:v>19</x:v>
      </x:c>
    </x:row>
    <x:row r="1678">
      <x:c r="A1678" t="str">
        <x:v>Client</x:v>
      </x:c>
      <x:c r="B1678" t="str">
        <x:f>'04_checks'!B241</x:f>
      </x:c>
      <x:c r="C1678" t="n">
        <x:v>61</x:v>
      </x:c>
      <x:c r="D1678" t="n">
        <x:f>IF('04_checks'!F241="ERROR",1,0)</x:f>
        <x:v>0</x:v>
      </x:c>
      <x:c r="E1678" t="str">
        <x:v>Client:61:4</x:v>
      </x:c>
      <x:c r="F1678" t="str">
        <x:v>Формат ИНН</x:v>
      </x:c>
      <x:c r="G1678" t="str">
        <x:v>High</x:v>
      </x:c>
      <x:c r="H1678" t="str">
        <x:v>inn</x:v>
      </x:c>
      <x:c r="I1678" t="str">
        <x:v>Сверить длину ИНН 10/12 цифр с источником</x:v>
      </x:c>
      <x:c r="J1678" t="n">
        <x:f>IF(D1678=1,K1678,0)</x:f>
        <x:v>0</x:v>
      </x:c>
      <x:c r="K1678" t="n">
        <x:f>D1678+K1677</x:f>
        <x:v>19</x:v>
      </x:c>
    </x:row>
    <x:row r="1679">
      <x:c r="A1679" t="str">
        <x:v>Client</x:v>
      </x:c>
      <x:c r="B1679" t="str">
        <x:f>'04_checks'!B241</x:f>
      </x:c>
      <x:c r="C1679" t="n">
        <x:v>61</x:v>
      </x:c>
      <x:c r="D1679" t="n">
        <x:f>IF('04_checks'!G241="ERROR",1,0)</x:f>
        <x:v>0</x:v>
      </x:c>
      <x:c r="E1679" t="str">
        <x:v>Client:61:5</x:v>
      </x:c>
      <x:c r="F1679" t="str">
        <x:v>Отрицательная цена</x:v>
      </x:c>
      <x:c r="G1679" t="str">
        <x:v>High</x:v>
      </x:c>
      <x:c r="H1679" t="str">
        <x:v>N/A</x:v>
      </x:c>
      <x:c r="I1679" t="str">
        <x:v>Проверить цену в источнике</x:v>
      </x:c>
      <x:c r="J1679" t="n">
        <x:f>IF(D1679=1,K1679,0)</x:f>
        <x:v>0</x:v>
      </x:c>
      <x:c r="K1679" t="n">
        <x:f>D1679+K1678</x:f>
        <x:v>19</x:v>
      </x:c>
    </x:row>
    <x:row r="1680">
      <x:c r="A1680" t="str">
        <x:v>Client</x:v>
      </x:c>
      <x:c r="B1680" t="str">
        <x:f>'04_checks'!B241</x:f>
      </x:c>
      <x:c r="C1680" t="n">
        <x:v>61</x:v>
      </x:c>
      <x:c r="D1680" t="n">
        <x:f>IF('04_checks'!H241="ERROR",1,0)</x:f>
        <x:v>0</x:v>
      </x:c>
      <x:c r="E1680" t="str">
        <x:v>Client:61:6</x:v>
      </x:c>
      <x:c r="F1680" t="str">
        <x:v>Дата</x:v>
      </x:c>
      <x:c r="G1680" t="str">
        <x:v>Medium</x:v>
      </x:c>
      <x:c r="H1680" t="str">
        <x:v>registration_date</x:v>
      </x:c>
      <x:c r="I1680" t="str">
        <x:v>Сверить дату со срезом и исходной записью</x:v>
      </x:c>
      <x:c r="J1680" t="n">
        <x:f>IF(D1680=1,K1680,0)</x:f>
        <x:v>0</x:v>
      </x:c>
      <x:c r="K1680" t="n">
        <x:f>D1680+K1679</x:f>
        <x:v>19</x:v>
      </x:c>
    </x:row>
    <x:row r="1681">
      <x:c r="A1681" t="str">
        <x:v>Client</x:v>
      </x:c>
      <x:c r="B1681" t="str">
        <x:f>'04_checks'!B241</x:f>
      </x:c>
      <x:c r="C1681" t="n">
        <x:v>61</x:v>
      </x:c>
      <x:c r="D1681" t="n">
        <x:f>IF('04_checks'!I241="ERROR",1,0)</x:f>
        <x:v>0</x:v>
      </x:c>
      <x:c r="E1681" t="str">
        <x:v>Client:61:7</x:v>
      </x:c>
      <x:c r="F1681" t="str">
        <x:v>Статус</x:v>
      </x:c>
      <x:c r="G1681" t="str">
        <x:v>Medium</x:v>
      </x:c>
      <x:c r="H1681" t="str">
        <x:v>N/A</x:v>
      </x:c>
      <x:c r="I1681" t="str">
        <x:v>Выбрать допустимый статус</x:v>
      </x:c>
      <x:c r="J1681" t="n">
        <x:f>IF(D1681=1,K1681,0)</x:f>
        <x:v>0</x:v>
      </x:c>
      <x:c r="K1681" t="n">
        <x:f>D1681+K1680</x:f>
        <x:v>19</x:v>
      </x:c>
    </x:row>
    <x:row r="1682">
      <x:c r="A1682" t="str">
        <x:v>Client</x:v>
      </x:c>
      <x:c r="B1682" t="str">
        <x:f>'04_checks'!B242</x:f>
      </x:c>
      <x:c r="C1682" t="n">
        <x:v>62</x:v>
      </x:c>
      <x:c r="D1682" t="n">
        <x:f>IF('04_checks'!C242="ERROR",1,0)</x:f>
        <x:v>0</x:v>
      </x:c>
      <x:c r="E1682" t="str">
        <x:v>Client:62:1</x:v>
      </x:c>
      <x:c r="F1682" t="str">
        <x:v>Дубль</x:v>
      </x:c>
      <x:c r="G1682" t="str">
        <x:v>High</x:v>
      </x:c>
      <x:c r="H1682" t="str">
        <x:v>client_id</x:v>
      </x:c>
      <x:c r="I1682" t="str">
        <x:v>Проверить уникальность ID в источнике; не удалять записи автоматически</x:v>
      </x:c>
      <x:c r="J1682" t="n">
        <x:f>IF(D1682=1,K1682,0)</x:f>
        <x:v>0</x:v>
      </x:c>
      <x:c r="K1682" t="n">
        <x:f>D1682+K1681</x:f>
        <x:v>19</x:v>
      </x:c>
    </x:row>
    <x:row r="1683">
      <x:c r="A1683" t="str">
        <x:v>Client</x:v>
      </x:c>
      <x:c r="B1683" t="str">
        <x:f>'04_checks'!B242</x:f>
      </x:c>
      <x:c r="C1683" t="n">
        <x:v>62</x:v>
      </x:c>
      <x:c r="D1683" t="n">
        <x:f>IF('04_checks'!D242="ERROR",1,0)</x:f>
        <x:v>0</x:v>
      </x:c>
      <x:c r="E1683" t="str">
        <x:v>Client:62:2</x:v>
      </x:c>
      <x:c r="F1683" t="str">
        <x:v>Пустое поле</x:v>
      </x:c>
      <x:c r="G1683" t="str">
        <x:v>High</x:v>
      </x:c>
      <x:c r="H1683" t="str">
        <x:v>required_fields</x:v>
      </x:c>
      <x:c r="I1683" t="str">
        <x:v>Дополнить обязательные поля в источнике</x:v>
      </x:c>
      <x:c r="J1683" t="n">
        <x:f>IF(D1683=1,K1683,0)</x:f>
        <x:v>0</x:v>
      </x:c>
      <x:c r="K1683" t="n">
        <x:f>D1683+K1682</x:f>
        <x:v>19</x:v>
      </x:c>
    </x:row>
    <x:row r="1684">
      <x:c r="A1684" t="str">
        <x:v>Client</x:v>
      </x:c>
      <x:c r="B1684" t="str">
        <x:f>'04_checks'!B242</x:f>
      </x:c>
      <x:c r="C1684" t="n">
        <x:v>62</x:v>
      </x:c>
      <x:c r="D1684" t="n">
        <x:f>IF('04_checks'!E242="ERROR",1,0)</x:f>
        <x:v>0</x:v>
      </x:c>
      <x:c r="E1684" t="str">
        <x:v>Client:62:3</x:v>
      </x:c>
      <x:c r="F1684" t="str">
        <x:v>Нет связи</x:v>
      </x:c>
      <x:c r="G1684" t="str">
        <x:v>High</x:v>
      </x:c>
      <x:c r="H1684" t="str">
        <x:v>client_id</x:v>
      </x:c>
      <x:c r="I1684" t="str">
        <x:v>Исправить ссылку или разрешить дубли связанного ID</x:v>
      </x:c>
      <x:c r="J1684" t="n">
        <x:f>IF(D1684=1,K1684,0)</x:f>
        <x:v>0</x:v>
      </x:c>
      <x:c r="K1684" t="n">
        <x:f>D1684+K1683</x:f>
        <x:v>19</x:v>
      </x:c>
    </x:row>
    <x:row r="1685">
      <x:c r="A1685" t="str">
        <x:v>Client</x:v>
      </x:c>
      <x:c r="B1685" t="str">
        <x:f>'04_checks'!B242</x:f>
      </x:c>
      <x:c r="C1685" t="n">
        <x:v>62</x:v>
      </x:c>
      <x:c r="D1685" t="n">
        <x:f>IF('04_checks'!F242="ERROR",1,0)</x:f>
        <x:v>0</x:v>
      </x:c>
      <x:c r="E1685" t="str">
        <x:v>Client:62:4</x:v>
      </x:c>
      <x:c r="F1685" t="str">
        <x:v>Формат ИНН</x:v>
      </x:c>
      <x:c r="G1685" t="str">
        <x:v>High</x:v>
      </x:c>
      <x:c r="H1685" t="str">
        <x:v>inn</x:v>
      </x:c>
      <x:c r="I1685" t="str">
        <x:v>Сверить длину ИНН 10/12 цифр с источником</x:v>
      </x:c>
      <x:c r="J1685" t="n">
        <x:f>IF(D1685=1,K1685,0)</x:f>
        <x:v>0</x:v>
      </x:c>
      <x:c r="K1685" t="n">
        <x:f>D1685+K1684</x:f>
        <x:v>19</x:v>
      </x:c>
    </x:row>
    <x:row r="1686">
      <x:c r="A1686" t="str">
        <x:v>Client</x:v>
      </x:c>
      <x:c r="B1686" t="str">
        <x:f>'04_checks'!B242</x:f>
      </x:c>
      <x:c r="C1686" t="n">
        <x:v>62</x:v>
      </x:c>
      <x:c r="D1686" t="n">
        <x:f>IF('04_checks'!G242="ERROR",1,0)</x:f>
        <x:v>0</x:v>
      </x:c>
      <x:c r="E1686" t="str">
        <x:v>Client:62:5</x:v>
      </x:c>
      <x:c r="F1686" t="str">
        <x:v>Отрицательная цена</x:v>
      </x:c>
      <x:c r="G1686" t="str">
        <x:v>High</x:v>
      </x:c>
      <x:c r="H1686" t="str">
        <x:v>N/A</x:v>
      </x:c>
      <x:c r="I1686" t="str">
        <x:v>Проверить цену в источнике</x:v>
      </x:c>
      <x:c r="J1686" t="n">
        <x:f>IF(D1686=1,K1686,0)</x:f>
        <x:v>0</x:v>
      </x:c>
      <x:c r="K1686" t="n">
        <x:f>D1686+K1685</x:f>
        <x:v>19</x:v>
      </x:c>
    </x:row>
    <x:row r="1687">
      <x:c r="A1687" t="str">
        <x:v>Client</x:v>
      </x:c>
      <x:c r="B1687" t="str">
        <x:f>'04_checks'!B242</x:f>
      </x:c>
      <x:c r="C1687" t="n">
        <x:v>62</x:v>
      </x:c>
      <x:c r="D1687" t="n">
        <x:f>IF('04_checks'!H242="ERROR",1,0)</x:f>
        <x:v>0</x:v>
      </x:c>
      <x:c r="E1687" t="str">
        <x:v>Client:62:6</x:v>
      </x:c>
      <x:c r="F1687" t="str">
        <x:v>Дата</x:v>
      </x:c>
      <x:c r="G1687" t="str">
        <x:v>Medium</x:v>
      </x:c>
      <x:c r="H1687" t="str">
        <x:v>registration_date</x:v>
      </x:c>
      <x:c r="I1687" t="str">
        <x:v>Сверить дату со срезом и исходной записью</x:v>
      </x:c>
      <x:c r="J1687" t="n">
        <x:f>IF(D1687=1,K1687,0)</x:f>
        <x:v>0</x:v>
      </x:c>
      <x:c r="K1687" t="n">
        <x:f>D1687+K1686</x:f>
        <x:v>19</x:v>
      </x:c>
    </x:row>
    <x:row r="1688">
      <x:c r="A1688" t="str">
        <x:v>Client</x:v>
      </x:c>
      <x:c r="B1688" t="str">
        <x:f>'04_checks'!B242</x:f>
      </x:c>
      <x:c r="C1688" t="n">
        <x:v>62</x:v>
      </x:c>
      <x:c r="D1688" t="n">
        <x:f>IF('04_checks'!I242="ERROR",1,0)</x:f>
        <x:v>0</x:v>
      </x:c>
      <x:c r="E1688" t="str">
        <x:v>Client:62:7</x:v>
      </x:c>
      <x:c r="F1688" t="str">
        <x:v>Статус</x:v>
      </x:c>
      <x:c r="G1688" t="str">
        <x:v>Medium</x:v>
      </x:c>
      <x:c r="H1688" t="str">
        <x:v>N/A</x:v>
      </x:c>
      <x:c r="I1688" t="str">
        <x:v>Выбрать допустимый статус</x:v>
      </x:c>
      <x:c r="J1688" t="n">
        <x:f>IF(D1688=1,K1688,0)</x:f>
        <x:v>0</x:v>
      </x:c>
      <x:c r="K1688" t="n">
        <x:f>D1688+K1687</x:f>
        <x:v>19</x:v>
      </x:c>
    </x:row>
    <x:row r="1689">
      <x:c r="A1689" t="str">
        <x:v>Client</x:v>
      </x:c>
      <x:c r="B1689" t="str">
        <x:f>'04_checks'!B243</x:f>
      </x:c>
      <x:c r="C1689" t="n">
        <x:v>63</x:v>
      </x:c>
      <x:c r="D1689" t="n">
        <x:f>IF('04_checks'!C243="ERROR",1,0)</x:f>
        <x:v>0</x:v>
      </x:c>
      <x:c r="E1689" t="str">
        <x:v>Client:63:1</x:v>
      </x:c>
      <x:c r="F1689" t="str">
        <x:v>Дубль</x:v>
      </x:c>
      <x:c r="G1689" t="str">
        <x:v>High</x:v>
      </x:c>
      <x:c r="H1689" t="str">
        <x:v>client_id</x:v>
      </x:c>
      <x:c r="I1689" t="str">
        <x:v>Проверить уникальность ID в источнике; не удалять записи автоматически</x:v>
      </x:c>
      <x:c r="J1689" t="n">
        <x:f>IF(D1689=1,K1689,0)</x:f>
        <x:v>0</x:v>
      </x:c>
      <x:c r="K1689" t="n">
        <x:f>D1689+K1688</x:f>
        <x:v>19</x:v>
      </x:c>
    </x:row>
    <x:row r="1690">
      <x:c r="A1690" t="str">
        <x:v>Client</x:v>
      </x:c>
      <x:c r="B1690" t="str">
        <x:f>'04_checks'!B243</x:f>
      </x:c>
      <x:c r="C1690" t="n">
        <x:v>63</x:v>
      </x:c>
      <x:c r="D1690" t="n">
        <x:f>IF('04_checks'!D243="ERROR",1,0)</x:f>
        <x:v>0</x:v>
      </x:c>
      <x:c r="E1690" t="str">
        <x:v>Client:63:2</x:v>
      </x:c>
      <x:c r="F1690" t="str">
        <x:v>Пустое поле</x:v>
      </x:c>
      <x:c r="G1690" t="str">
        <x:v>High</x:v>
      </x:c>
      <x:c r="H1690" t="str">
        <x:v>required_fields</x:v>
      </x:c>
      <x:c r="I1690" t="str">
        <x:v>Дополнить обязательные поля в источнике</x:v>
      </x:c>
      <x:c r="J1690" t="n">
        <x:f>IF(D1690=1,K1690,0)</x:f>
        <x:v>0</x:v>
      </x:c>
      <x:c r="K1690" t="n">
        <x:f>D1690+K1689</x:f>
        <x:v>19</x:v>
      </x:c>
    </x:row>
    <x:row r="1691">
      <x:c r="A1691" t="str">
        <x:v>Client</x:v>
      </x:c>
      <x:c r="B1691" t="str">
        <x:f>'04_checks'!B243</x:f>
      </x:c>
      <x:c r="C1691" t="n">
        <x:v>63</x:v>
      </x:c>
      <x:c r="D1691" t="n">
        <x:f>IF('04_checks'!E243="ERROR",1,0)</x:f>
        <x:v>0</x:v>
      </x:c>
      <x:c r="E1691" t="str">
        <x:v>Client:63:3</x:v>
      </x:c>
      <x:c r="F1691" t="str">
        <x:v>Нет связи</x:v>
      </x:c>
      <x:c r="G1691" t="str">
        <x:v>High</x:v>
      </x:c>
      <x:c r="H1691" t="str">
        <x:v>client_id</x:v>
      </x:c>
      <x:c r="I1691" t="str">
        <x:v>Исправить ссылку или разрешить дубли связанного ID</x:v>
      </x:c>
      <x:c r="J1691" t="n">
        <x:f>IF(D1691=1,K1691,0)</x:f>
        <x:v>0</x:v>
      </x:c>
      <x:c r="K1691" t="n">
        <x:f>D1691+K1690</x:f>
        <x:v>19</x:v>
      </x:c>
    </x:row>
    <x:row r="1692">
      <x:c r="A1692" t="str">
        <x:v>Client</x:v>
      </x:c>
      <x:c r="B1692" t="str">
        <x:f>'04_checks'!B243</x:f>
      </x:c>
      <x:c r="C1692" t="n">
        <x:v>63</x:v>
      </x:c>
      <x:c r="D1692" t="n">
        <x:f>IF('04_checks'!F243="ERROR",1,0)</x:f>
        <x:v>0</x:v>
      </x:c>
      <x:c r="E1692" t="str">
        <x:v>Client:63:4</x:v>
      </x:c>
      <x:c r="F1692" t="str">
        <x:v>Формат ИНН</x:v>
      </x:c>
      <x:c r="G1692" t="str">
        <x:v>High</x:v>
      </x:c>
      <x:c r="H1692" t="str">
        <x:v>inn</x:v>
      </x:c>
      <x:c r="I1692" t="str">
        <x:v>Сверить длину ИНН 10/12 цифр с источником</x:v>
      </x:c>
      <x:c r="J1692" t="n">
        <x:f>IF(D1692=1,K1692,0)</x:f>
        <x:v>0</x:v>
      </x:c>
      <x:c r="K1692" t="n">
        <x:f>D1692+K1691</x:f>
        <x:v>19</x:v>
      </x:c>
    </x:row>
    <x:row r="1693">
      <x:c r="A1693" t="str">
        <x:v>Client</x:v>
      </x:c>
      <x:c r="B1693" t="str">
        <x:f>'04_checks'!B243</x:f>
      </x:c>
      <x:c r="C1693" t="n">
        <x:v>63</x:v>
      </x:c>
      <x:c r="D1693" t="n">
        <x:f>IF('04_checks'!G243="ERROR",1,0)</x:f>
        <x:v>0</x:v>
      </x:c>
      <x:c r="E1693" t="str">
        <x:v>Client:63:5</x:v>
      </x:c>
      <x:c r="F1693" t="str">
        <x:v>Отрицательная цена</x:v>
      </x:c>
      <x:c r="G1693" t="str">
        <x:v>High</x:v>
      </x:c>
      <x:c r="H1693" t="str">
        <x:v>N/A</x:v>
      </x:c>
      <x:c r="I1693" t="str">
        <x:v>Проверить цену в источнике</x:v>
      </x:c>
      <x:c r="J1693" t="n">
        <x:f>IF(D1693=1,K1693,0)</x:f>
        <x:v>0</x:v>
      </x:c>
      <x:c r="K1693" t="n">
        <x:f>D1693+K1692</x:f>
        <x:v>19</x:v>
      </x:c>
    </x:row>
    <x:row r="1694">
      <x:c r="A1694" t="str">
        <x:v>Client</x:v>
      </x:c>
      <x:c r="B1694" t="str">
        <x:f>'04_checks'!B243</x:f>
      </x:c>
      <x:c r="C1694" t="n">
        <x:v>63</x:v>
      </x:c>
      <x:c r="D1694" t="n">
        <x:f>IF('04_checks'!H243="ERROR",1,0)</x:f>
        <x:v>0</x:v>
      </x:c>
      <x:c r="E1694" t="str">
        <x:v>Client:63:6</x:v>
      </x:c>
      <x:c r="F1694" t="str">
        <x:v>Дата</x:v>
      </x:c>
      <x:c r="G1694" t="str">
        <x:v>Medium</x:v>
      </x:c>
      <x:c r="H1694" t="str">
        <x:v>registration_date</x:v>
      </x:c>
      <x:c r="I1694" t="str">
        <x:v>Сверить дату со срезом и исходной записью</x:v>
      </x:c>
      <x:c r="J1694" t="n">
        <x:f>IF(D1694=1,K1694,0)</x:f>
        <x:v>0</x:v>
      </x:c>
      <x:c r="K1694" t="n">
        <x:f>D1694+K1693</x:f>
        <x:v>19</x:v>
      </x:c>
    </x:row>
    <x:row r="1695">
      <x:c r="A1695" t="str">
        <x:v>Client</x:v>
      </x:c>
      <x:c r="B1695" t="str">
        <x:f>'04_checks'!B243</x:f>
      </x:c>
      <x:c r="C1695" t="n">
        <x:v>63</x:v>
      </x:c>
      <x:c r="D1695" t="n">
        <x:f>IF('04_checks'!I243="ERROR",1,0)</x:f>
        <x:v>0</x:v>
      </x:c>
      <x:c r="E1695" t="str">
        <x:v>Client:63:7</x:v>
      </x:c>
      <x:c r="F1695" t="str">
        <x:v>Статус</x:v>
      </x:c>
      <x:c r="G1695" t="str">
        <x:v>Medium</x:v>
      </x:c>
      <x:c r="H1695" t="str">
        <x:v>N/A</x:v>
      </x:c>
      <x:c r="I1695" t="str">
        <x:v>Выбрать допустимый статус</x:v>
      </x:c>
      <x:c r="J1695" t="n">
        <x:f>IF(D1695=1,K1695,0)</x:f>
        <x:v>0</x:v>
      </x:c>
      <x:c r="K1695" t="n">
        <x:f>D1695+K1694</x:f>
        <x:v>19</x:v>
      </x:c>
    </x:row>
    <x:row r="1696">
      <x:c r="A1696" t="str">
        <x:v>Client</x:v>
      </x:c>
      <x:c r="B1696" t="str">
        <x:f>'04_checks'!B244</x:f>
      </x:c>
      <x:c r="C1696" t="n">
        <x:v>64</x:v>
      </x:c>
      <x:c r="D1696" t="n">
        <x:f>IF('04_checks'!C244="ERROR",1,0)</x:f>
        <x:v>0</x:v>
      </x:c>
      <x:c r="E1696" t="str">
        <x:v>Client:64:1</x:v>
      </x:c>
      <x:c r="F1696" t="str">
        <x:v>Дубль</x:v>
      </x:c>
      <x:c r="G1696" t="str">
        <x:v>High</x:v>
      </x:c>
      <x:c r="H1696" t="str">
        <x:v>client_id</x:v>
      </x:c>
      <x:c r="I1696" t="str">
        <x:v>Проверить уникальность ID в источнике; не удалять записи автоматически</x:v>
      </x:c>
      <x:c r="J1696" t="n">
        <x:f>IF(D1696=1,K1696,0)</x:f>
        <x:v>0</x:v>
      </x:c>
      <x:c r="K1696" t="n">
        <x:f>D1696+K1695</x:f>
        <x:v>19</x:v>
      </x:c>
    </x:row>
    <x:row r="1697">
      <x:c r="A1697" t="str">
        <x:v>Client</x:v>
      </x:c>
      <x:c r="B1697" t="str">
        <x:f>'04_checks'!B244</x:f>
      </x:c>
      <x:c r="C1697" t="n">
        <x:v>64</x:v>
      </x:c>
      <x:c r="D1697" t="n">
        <x:f>IF('04_checks'!D244="ERROR",1,0)</x:f>
        <x:v>0</x:v>
      </x:c>
      <x:c r="E1697" t="str">
        <x:v>Client:64:2</x:v>
      </x:c>
      <x:c r="F1697" t="str">
        <x:v>Пустое поле</x:v>
      </x:c>
      <x:c r="G1697" t="str">
        <x:v>High</x:v>
      </x:c>
      <x:c r="H1697" t="str">
        <x:v>required_fields</x:v>
      </x:c>
      <x:c r="I1697" t="str">
        <x:v>Дополнить обязательные поля в источнике</x:v>
      </x:c>
      <x:c r="J1697" t="n">
        <x:f>IF(D1697=1,K1697,0)</x:f>
        <x:v>0</x:v>
      </x:c>
      <x:c r="K1697" t="n">
        <x:f>D1697+K1696</x:f>
        <x:v>19</x:v>
      </x:c>
    </x:row>
    <x:row r="1698">
      <x:c r="A1698" t="str">
        <x:v>Client</x:v>
      </x:c>
      <x:c r="B1698" t="str">
        <x:f>'04_checks'!B244</x:f>
      </x:c>
      <x:c r="C1698" t="n">
        <x:v>64</x:v>
      </x:c>
      <x:c r="D1698" t="n">
        <x:f>IF('04_checks'!E244="ERROR",1,0)</x:f>
        <x:v>0</x:v>
      </x:c>
      <x:c r="E1698" t="str">
        <x:v>Client:64:3</x:v>
      </x:c>
      <x:c r="F1698" t="str">
        <x:v>Нет связи</x:v>
      </x:c>
      <x:c r="G1698" t="str">
        <x:v>High</x:v>
      </x:c>
      <x:c r="H1698" t="str">
        <x:v>client_id</x:v>
      </x:c>
      <x:c r="I1698" t="str">
        <x:v>Исправить ссылку или разрешить дубли связанного ID</x:v>
      </x:c>
      <x:c r="J1698" t="n">
        <x:f>IF(D1698=1,K1698,0)</x:f>
        <x:v>0</x:v>
      </x:c>
      <x:c r="K1698" t="n">
        <x:f>D1698+K1697</x:f>
        <x:v>19</x:v>
      </x:c>
    </x:row>
    <x:row r="1699">
      <x:c r="A1699" t="str">
        <x:v>Client</x:v>
      </x:c>
      <x:c r="B1699" t="str">
        <x:f>'04_checks'!B244</x:f>
      </x:c>
      <x:c r="C1699" t="n">
        <x:v>64</x:v>
      </x:c>
      <x:c r="D1699" t="n">
        <x:f>IF('04_checks'!F244="ERROR",1,0)</x:f>
        <x:v>0</x:v>
      </x:c>
      <x:c r="E1699" t="str">
        <x:v>Client:64:4</x:v>
      </x:c>
      <x:c r="F1699" t="str">
        <x:v>Формат ИНН</x:v>
      </x:c>
      <x:c r="G1699" t="str">
        <x:v>High</x:v>
      </x:c>
      <x:c r="H1699" t="str">
        <x:v>inn</x:v>
      </x:c>
      <x:c r="I1699" t="str">
        <x:v>Сверить длину ИНН 10/12 цифр с источником</x:v>
      </x:c>
      <x:c r="J1699" t="n">
        <x:f>IF(D1699=1,K1699,0)</x:f>
        <x:v>0</x:v>
      </x:c>
      <x:c r="K1699" t="n">
        <x:f>D1699+K1698</x:f>
        <x:v>19</x:v>
      </x:c>
    </x:row>
    <x:row r="1700">
      <x:c r="A1700" t="str">
        <x:v>Client</x:v>
      </x:c>
      <x:c r="B1700" t="str">
        <x:f>'04_checks'!B244</x:f>
      </x:c>
      <x:c r="C1700" t="n">
        <x:v>64</x:v>
      </x:c>
      <x:c r="D1700" t="n">
        <x:f>IF('04_checks'!G244="ERROR",1,0)</x:f>
        <x:v>0</x:v>
      </x:c>
      <x:c r="E1700" t="str">
        <x:v>Client:64:5</x:v>
      </x:c>
      <x:c r="F1700" t="str">
        <x:v>Отрицательная цена</x:v>
      </x:c>
      <x:c r="G1700" t="str">
        <x:v>High</x:v>
      </x:c>
      <x:c r="H1700" t="str">
        <x:v>N/A</x:v>
      </x:c>
      <x:c r="I1700" t="str">
        <x:v>Проверить цену в источнике</x:v>
      </x:c>
      <x:c r="J1700" t="n">
        <x:f>IF(D1700=1,K1700,0)</x:f>
        <x:v>0</x:v>
      </x:c>
      <x:c r="K1700" t="n">
        <x:f>D1700+K1699</x:f>
        <x:v>19</x:v>
      </x:c>
    </x:row>
    <x:row r="1701">
      <x:c r="A1701" t="str">
        <x:v>Client</x:v>
      </x:c>
      <x:c r="B1701" t="str">
        <x:f>'04_checks'!B244</x:f>
      </x:c>
      <x:c r="C1701" t="n">
        <x:v>64</x:v>
      </x:c>
      <x:c r="D1701" t="n">
        <x:f>IF('04_checks'!H244="ERROR",1,0)</x:f>
        <x:v>0</x:v>
      </x:c>
      <x:c r="E1701" t="str">
        <x:v>Client:64:6</x:v>
      </x:c>
      <x:c r="F1701" t="str">
        <x:v>Дата</x:v>
      </x:c>
      <x:c r="G1701" t="str">
        <x:v>Medium</x:v>
      </x:c>
      <x:c r="H1701" t="str">
        <x:v>registration_date</x:v>
      </x:c>
      <x:c r="I1701" t="str">
        <x:v>Сверить дату со срезом и исходной записью</x:v>
      </x:c>
      <x:c r="J1701" t="n">
        <x:f>IF(D1701=1,K1701,0)</x:f>
        <x:v>0</x:v>
      </x:c>
      <x:c r="K1701" t="n">
        <x:f>D1701+K1700</x:f>
        <x:v>19</x:v>
      </x:c>
    </x:row>
    <x:row r="1702">
      <x:c r="A1702" t="str">
        <x:v>Client</x:v>
      </x:c>
      <x:c r="B1702" t="str">
        <x:f>'04_checks'!B244</x:f>
      </x:c>
      <x:c r="C1702" t="n">
        <x:v>64</x:v>
      </x:c>
      <x:c r="D1702" t="n">
        <x:f>IF('04_checks'!I244="ERROR",1,0)</x:f>
        <x:v>0</x:v>
      </x:c>
      <x:c r="E1702" t="str">
        <x:v>Client:64:7</x:v>
      </x:c>
      <x:c r="F1702" t="str">
        <x:v>Статус</x:v>
      </x:c>
      <x:c r="G1702" t="str">
        <x:v>Medium</x:v>
      </x:c>
      <x:c r="H1702" t="str">
        <x:v>N/A</x:v>
      </x:c>
      <x:c r="I1702" t="str">
        <x:v>Выбрать допустимый статус</x:v>
      </x:c>
      <x:c r="J1702" t="n">
        <x:f>IF(D1702=1,K1702,0)</x:f>
        <x:v>0</x:v>
      </x:c>
      <x:c r="K1702" t="n">
        <x:f>D1702+K1701</x:f>
        <x:v>19</x:v>
      </x:c>
    </x:row>
    <x:row r="1703">
      <x:c r="A1703" t="str">
        <x:v>Client</x:v>
      </x:c>
      <x:c r="B1703" t="str">
        <x:f>'04_checks'!B245</x:f>
      </x:c>
      <x:c r="C1703" t="n">
        <x:v>65</x:v>
      </x:c>
      <x:c r="D1703" t="n">
        <x:f>IF('04_checks'!C245="ERROR",1,0)</x:f>
        <x:v>0</x:v>
      </x:c>
      <x:c r="E1703" t="str">
        <x:v>Client:65:1</x:v>
      </x:c>
      <x:c r="F1703" t="str">
        <x:v>Дубль</x:v>
      </x:c>
      <x:c r="G1703" t="str">
        <x:v>High</x:v>
      </x:c>
      <x:c r="H1703" t="str">
        <x:v>client_id</x:v>
      </x:c>
      <x:c r="I1703" t="str">
        <x:v>Проверить уникальность ID в источнике; не удалять записи автоматически</x:v>
      </x:c>
      <x:c r="J1703" t="n">
        <x:f>IF(D1703=1,K1703,0)</x:f>
        <x:v>0</x:v>
      </x:c>
      <x:c r="K1703" t="n">
        <x:f>D1703+K1702</x:f>
        <x:v>19</x:v>
      </x:c>
    </x:row>
    <x:row r="1704">
      <x:c r="A1704" t="str">
        <x:v>Client</x:v>
      </x:c>
      <x:c r="B1704" t="str">
        <x:f>'04_checks'!B245</x:f>
      </x:c>
      <x:c r="C1704" t="n">
        <x:v>65</x:v>
      </x:c>
      <x:c r="D1704" t="n">
        <x:f>IF('04_checks'!D245="ERROR",1,0)</x:f>
        <x:v>0</x:v>
      </x:c>
      <x:c r="E1704" t="str">
        <x:v>Client:65:2</x:v>
      </x:c>
      <x:c r="F1704" t="str">
        <x:v>Пустое поле</x:v>
      </x:c>
      <x:c r="G1704" t="str">
        <x:v>High</x:v>
      </x:c>
      <x:c r="H1704" t="str">
        <x:v>required_fields</x:v>
      </x:c>
      <x:c r="I1704" t="str">
        <x:v>Дополнить обязательные поля в источнике</x:v>
      </x:c>
      <x:c r="J1704" t="n">
        <x:f>IF(D1704=1,K1704,0)</x:f>
        <x:v>0</x:v>
      </x:c>
      <x:c r="K1704" t="n">
        <x:f>D1704+K1703</x:f>
        <x:v>19</x:v>
      </x:c>
    </x:row>
    <x:row r="1705">
      <x:c r="A1705" t="str">
        <x:v>Client</x:v>
      </x:c>
      <x:c r="B1705" t="str">
        <x:f>'04_checks'!B245</x:f>
      </x:c>
      <x:c r="C1705" t="n">
        <x:v>65</x:v>
      </x:c>
      <x:c r="D1705" t="n">
        <x:f>IF('04_checks'!E245="ERROR",1,0)</x:f>
        <x:v>0</x:v>
      </x:c>
      <x:c r="E1705" t="str">
        <x:v>Client:65:3</x:v>
      </x:c>
      <x:c r="F1705" t="str">
        <x:v>Нет связи</x:v>
      </x:c>
      <x:c r="G1705" t="str">
        <x:v>High</x:v>
      </x:c>
      <x:c r="H1705" t="str">
        <x:v>client_id</x:v>
      </x:c>
      <x:c r="I1705" t="str">
        <x:v>Исправить ссылку или разрешить дубли связанного ID</x:v>
      </x:c>
      <x:c r="J1705" t="n">
        <x:f>IF(D1705=1,K1705,0)</x:f>
        <x:v>0</x:v>
      </x:c>
      <x:c r="K1705" t="n">
        <x:f>D1705+K1704</x:f>
        <x:v>19</x:v>
      </x:c>
    </x:row>
    <x:row r="1706">
      <x:c r="A1706" t="str">
        <x:v>Client</x:v>
      </x:c>
      <x:c r="B1706" t="str">
        <x:f>'04_checks'!B245</x:f>
      </x:c>
      <x:c r="C1706" t="n">
        <x:v>65</x:v>
      </x:c>
      <x:c r="D1706" t="n">
        <x:f>IF('04_checks'!F245="ERROR",1,0)</x:f>
        <x:v>0</x:v>
      </x:c>
      <x:c r="E1706" t="str">
        <x:v>Client:65:4</x:v>
      </x:c>
      <x:c r="F1706" t="str">
        <x:v>Формат ИНН</x:v>
      </x:c>
      <x:c r="G1706" t="str">
        <x:v>High</x:v>
      </x:c>
      <x:c r="H1706" t="str">
        <x:v>inn</x:v>
      </x:c>
      <x:c r="I1706" t="str">
        <x:v>Сверить длину ИНН 10/12 цифр с источником</x:v>
      </x:c>
      <x:c r="J1706" t="n">
        <x:f>IF(D1706=1,K1706,0)</x:f>
        <x:v>0</x:v>
      </x:c>
      <x:c r="K1706" t="n">
        <x:f>D1706+K1705</x:f>
        <x:v>19</x:v>
      </x:c>
    </x:row>
    <x:row r="1707">
      <x:c r="A1707" t="str">
        <x:v>Client</x:v>
      </x:c>
      <x:c r="B1707" t="str">
        <x:f>'04_checks'!B245</x:f>
      </x:c>
      <x:c r="C1707" t="n">
        <x:v>65</x:v>
      </x:c>
      <x:c r="D1707" t="n">
        <x:f>IF('04_checks'!G245="ERROR",1,0)</x:f>
        <x:v>0</x:v>
      </x:c>
      <x:c r="E1707" t="str">
        <x:v>Client:65:5</x:v>
      </x:c>
      <x:c r="F1707" t="str">
        <x:v>Отрицательная цена</x:v>
      </x:c>
      <x:c r="G1707" t="str">
        <x:v>High</x:v>
      </x:c>
      <x:c r="H1707" t="str">
        <x:v>N/A</x:v>
      </x:c>
      <x:c r="I1707" t="str">
        <x:v>Проверить цену в источнике</x:v>
      </x:c>
      <x:c r="J1707" t="n">
        <x:f>IF(D1707=1,K1707,0)</x:f>
        <x:v>0</x:v>
      </x:c>
      <x:c r="K1707" t="n">
        <x:f>D1707+K1706</x:f>
        <x:v>19</x:v>
      </x:c>
    </x:row>
    <x:row r="1708">
      <x:c r="A1708" t="str">
        <x:v>Client</x:v>
      </x:c>
      <x:c r="B1708" t="str">
        <x:f>'04_checks'!B245</x:f>
      </x:c>
      <x:c r="C1708" t="n">
        <x:v>65</x:v>
      </x:c>
      <x:c r="D1708" t="n">
        <x:f>IF('04_checks'!H245="ERROR",1,0)</x:f>
        <x:v>0</x:v>
      </x:c>
      <x:c r="E1708" t="str">
        <x:v>Client:65:6</x:v>
      </x:c>
      <x:c r="F1708" t="str">
        <x:v>Дата</x:v>
      </x:c>
      <x:c r="G1708" t="str">
        <x:v>Medium</x:v>
      </x:c>
      <x:c r="H1708" t="str">
        <x:v>registration_date</x:v>
      </x:c>
      <x:c r="I1708" t="str">
        <x:v>Сверить дату со срезом и исходной записью</x:v>
      </x:c>
      <x:c r="J1708" t="n">
        <x:f>IF(D1708=1,K1708,0)</x:f>
        <x:v>0</x:v>
      </x:c>
      <x:c r="K1708" t="n">
        <x:f>D1708+K1707</x:f>
        <x:v>19</x:v>
      </x:c>
    </x:row>
    <x:row r="1709">
      <x:c r="A1709" t="str">
        <x:v>Client</x:v>
      </x:c>
      <x:c r="B1709" t="str">
        <x:f>'04_checks'!B245</x:f>
      </x:c>
      <x:c r="C1709" t="n">
        <x:v>65</x:v>
      </x:c>
      <x:c r="D1709" t="n">
        <x:f>IF('04_checks'!I245="ERROR",1,0)</x:f>
        <x:v>0</x:v>
      </x:c>
      <x:c r="E1709" t="str">
        <x:v>Client:65:7</x:v>
      </x:c>
      <x:c r="F1709" t="str">
        <x:v>Статус</x:v>
      </x:c>
      <x:c r="G1709" t="str">
        <x:v>Medium</x:v>
      </x:c>
      <x:c r="H1709" t="str">
        <x:v>N/A</x:v>
      </x:c>
      <x:c r="I1709" t="str">
        <x:v>Выбрать допустимый статус</x:v>
      </x:c>
      <x:c r="J1709" t="n">
        <x:f>IF(D1709=1,K1709,0)</x:f>
        <x:v>0</x:v>
      </x:c>
      <x:c r="K1709" t="n">
        <x:f>D1709+K1708</x:f>
        <x:v>19</x:v>
      </x:c>
    </x:row>
    <x:row r="1710">
      <x:c r="A1710" t="str">
        <x:v>Client</x:v>
      </x:c>
      <x:c r="B1710" t="str">
        <x:f>'04_checks'!B246</x:f>
      </x:c>
      <x:c r="C1710" t="n">
        <x:v>66</x:v>
      </x:c>
      <x:c r="D1710" t="n">
        <x:f>IF('04_checks'!C246="ERROR",1,0)</x:f>
        <x:v>0</x:v>
      </x:c>
      <x:c r="E1710" t="str">
        <x:v>Client:66:1</x:v>
      </x:c>
      <x:c r="F1710" t="str">
        <x:v>Дубль</x:v>
      </x:c>
      <x:c r="G1710" t="str">
        <x:v>High</x:v>
      </x:c>
      <x:c r="H1710" t="str">
        <x:v>client_id</x:v>
      </x:c>
      <x:c r="I1710" t="str">
        <x:v>Проверить уникальность ID в источнике; не удалять записи автоматически</x:v>
      </x:c>
      <x:c r="J1710" t="n">
        <x:f>IF(D1710=1,K1710,0)</x:f>
        <x:v>0</x:v>
      </x:c>
      <x:c r="K1710" t="n">
        <x:f>D1710+K1709</x:f>
        <x:v>19</x:v>
      </x:c>
    </x:row>
    <x:row r="1711">
      <x:c r="A1711" t="str">
        <x:v>Client</x:v>
      </x:c>
      <x:c r="B1711" t="str">
        <x:f>'04_checks'!B246</x:f>
      </x:c>
      <x:c r="C1711" t="n">
        <x:v>66</x:v>
      </x:c>
      <x:c r="D1711" t="n">
        <x:f>IF('04_checks'!D246="ERROR",1,0)</x:f>
        <x:v>0</x:v>
      </x:c>
      <x:c r="E1711" t="str">
        <x:v>Client:66:2</x:v>
      </x:c>
      <x:c r="F1711" t="str">
        <x:v>Пустое поле</x:v>
      </x:c>
      <x:c r="G1711" t="str">
        <x:v>High</x:v>
      </x:c>
      <x:c r="H1711" t="str">
        <x:v>required_fields</x:v>
      </x:c>
      <x:c r="I1711" t="str">
        <x:v>Дополнить обязательные поля в источнике</x:v>
      </x:c>
      <x:c r="J1711" t="n">
        <x:f>IF(D1711=1,K1711,0)</x:f>
        <x:v>0</x:v>
      </x:c>
      <x:c r="K1711" t="n">
        <x:f>D1711+K1710</x:f>
        <x:v>19</x:v>
      </x:c>
    </x:row>
    <x:row r="1712">
      <x:c r="A1712" t="str">
        <x:v>Client</x:v>
      </x:c>
      <x:c r="B1712" t="str">
        <x:f>'04_checks'!B246</x:f>
      </x:c>
      <x:c r="C1712" t="n">
        <x:v>66</x:v>
      </x:c>
      <x:c r="D1712" t="n">
        <x:f>IF('04_checks'!E246="ERROR",1,0)</x:f>
        <x:v>0</x:v>
      </x:c>
      <x:c r="E1712" t="str">
        <x:v>Client:66:3</x:v>
      </x:c>
      <x:c r="F1712" t="str">
        <x:v>Нет связи</x:v>
      </x:c>
      <x:c r="G1712" t="str">
        <x:v>High</x:v>
      </x:c>
      <x:c r="H1712" t="str">
        <x:v>client_id</x:v>
      </x:c>
      <x:c r="I1712" t="str">
        <x:v>Исправить ссылку или разрешить дубли связанного ID</x:v>
      </x:c>
      <x:c r="J1712" t="n">
        <x:f>IF(D1712=1,K1712,0)</x:f>
        <x:v>0</x:v>
      </x:c>
      <x:c r="K1712" t="n">
        <x:f>D1712+K1711</x:f>
        <x:v>19</x:v>
      </x:c>
    </x:row>
    <x:row r="1713">
      <x:c r="A1713" t="str">
        <x:v>Client</x:v>
      </x:c>
      <x:c r="B1713" t="str">
        <x:f>'04_checks'!B246</x:f>
      </x:c>
      <x:c r="C1713" t="n">
        <x:v>66</x:v>
      </x:c>
      <x:c r="D1713" t="n">
        <x:f>IF('04_checks'!F246="ERROR",1,0)</x:f>
        <x:v>0</x:v>
      </x:c>
      <x:c r="E1713" t="str">
        <x:v>Client:66:4</x:v>
      </x:c>
      <x:c r="F1713" t="str">
        <x:v>Формат ИНН</x:v>
      </x:c>
      <x:c r="G1713" t="str">
        <x:v>High</x:v>
      </x:c>
      <x:c r="H1713" t="str">
        <x:v>inn</x:v>
      </x:c>
      <x:c r="I1713" t="str">
        <x:v>Сверить длину ИНН 10/12 цифр с источником</x:v>
      </x:c>
      <x:c r="J1713" t="n">
        <x:f>IF(D1713=1,K1713,0)</x:f>
        <x:v>0</x:v>
      </x:c>
      <x:c r="K1713" t="n">
        <x:f>D1713+K1712</x:f>
        <x:v>19</x:v>
      </x:c>
    </x:row>
    <x:row r="1714">
      <x:c r="A1714" t="str">
        <x:v>Client</x:v>
      </x:c>
      <x:c r="B1714" t="str">
        <x:f>'04_checks'!B246</x:f>
      </x:c>
      <x:c r="C1714" t="n">
        <x:v>66</x:v>
      </x:c>
      <x:c r="D1714" t="n">
        <x:f>IF('04_checks'!G246="ERROR",1,0)</x:f>
        <x:v>0</x:v>
      </x:c>
      <x:c r="E1714" t="str">
        <x:v>Client:66:5</x:v>
      </x:c>
      <x:c r="F1714" t="str">
        <x:v>Отрицательная цена</x:v>
      </x:c>
      <x:c r="G1714" t="str">
        <x:v>High</x:v>
      </x:c>
      <x:c r="H1714" t="str">
        <x:v>N/A</x:v>
      </x:c>
      <x:c r="I1714" t="str">
        <x:v>Проверить цену в источнике</x:v>
      </x:c>
      <x:c r="J1714" t="n">
        <x:f>IF(D1714=1,K1714,0)</x:f>
        <x:v>0</x:v>
      </x:c>
      <x:c r="K1714" t="n">
        <x:f>D1714+K1713</x:f>
        <x:v>19</x:v>
      </x:c>
    </x:row>
    <x:row r="1715">
      <x:c r="A1715" t="str">
        <x:v>Client</x:v>
      </x:c>
      <x:c r="B1715" t="str">
        <x:f>'04_checks'!B246</x:f>
      </x:c>
      <x:c r="C1715" t="n">
        <x:v>66</x:v>
      </x:c>
      <x:c r="D1715" t="n">
        <x:f>IF('04_checks'!H246="ERROR",1,0)</x:f>
        <x:v>0</x:v>
      </x:c>
      <x:c r="E1715" t="str">
        <x:v>Client:66:6</x:v>
      </x:c>
      <x:c r="F1715" t="str">
        <x:v>Дата</x:v>
      </x:c>
      <x:c r="G1715" t="str">
        <x:v>Medium</x:v>
      </x:c>
      <x:c r="H1715" t="str">
        <x:v>registration_date</x:v>
      </x:c>
      <x:c r="I1715" t="str">
        <x:v>Сверить дату со срезом и исходной записью</x:v>
      </x:c>
      <x:c r="J1715" t="n">
        <x:f>IF(D1715=1,K1715,0)</x:f>
        <x:v>0</x:v>
      </x:c>
      <x:c r="K1715" t="n">
        <x:f>D1715+K1714</x:f>
        <x:v>19</x:v>
      </x:c>
    </x:row>
    <x:row r="1716">
      <x:c r="A1716" t="str">
        <x:v>Client</x:v>
      </x:c>
      <x:c r="B1716" t="str">
        <x:f>'04_checks'!B246</x:f>
      </x:c>
      <x:c r="C1716" t="n">
        <x:v>66</x:v>
      </x:c>
      <x:c r="D1716" t="n">
        <x:f>IF('04_checks'!I246="ERROR",1,0)</x:f>
        <x:v>0</x:v>
      </x:c>
      <x:c r="E1716" t="str">
        <x:v>Client:66:7</x:v>
      </x:c>
      <x:c r="F1716" t="str">
        <x:v>Статус</x:v>
      </x:c>
      <x:c r="G1716" t="str">
        <x:v>Medium</x:v>
      </x:c>
      <x:c r="H1716" t="str">
        <x:v>N/A</x:v>
      </x:c>
      <x:c r="I1716" t="str">
        <x:v>Выбрать допустимый статус</x:v>
      </x:c>
      <x:c r="J1716" t="n">
        <x:f>IF(D1716=1,K1716,0)</x:f>
        <x:v>0</x:v>
      </x:c>
      <x:c r="K1716" t="n">
        <x:f>D1716+K1715</x:f>
        <x:v>19</x:v>
      </x:c>
    </x:row>
    <x:row r="1717">
      <x:c r="A1717" t="str">
        <x:v>Client</x:v>
      </x:c>
      <x:c r="B1717" t="str">
        <x:f>'04_checks'!B247</x:f>
      </x:c>
      <x:c r="C1717" t="n">
        <x:v>67</x:v>
      </x:c>
      <x:c r="D1717" t="n">
        <x:f>IF('04_checks'!C247="ERROR",1,0)</x:f>
        <x:v>0</x:v>
      </x:c>
      <x:c r="E1717" t="str">
        <x:v>Client:67:1</x:v>
      </x:c>
      <x:c r="F1717" t="str">
        <x:v>Дубль</x:v>
      </x:c>
      <x:c r="G1717" t="str">
        <x:v>High</x:v>
      </x:c>
      <x:c r="H1717" t="str">
        <x:v>client_id</x:v>
      </x:c>
      <x:c r="I1717" t="str">
        <x:v>Проверить уникальность ID в источнике; не удалять записи автоматически</x:v>
      </x:c>
      <x:c r="J1717" t="n">
        <x:f>IF(D1717=1,K1717,0)</x:f>
        <x:v>0</x:v>
      </x:c>
      <x:c r="K1717" t="n">
        <x:f>D1717+K1716</x:f>
        <x:v>19</x:v>
      </x:c>
    </x:row>
    <x:row r="1718">
      <x:c r="A1718" t="str">
        <x:v>Client</x:v>
      </x:c>
      <x:c r="B1718" t="str">
        <x:f>'04_checks'!B247</x:f>
      </x:c>
      <x:c r="C1718" t="n">
        <x:v>67</x:v>
      </x:c>
      <x:c r="D1718" t="n">
        <x:f>IF('04_checks'!D247="ERROR",1,0)</x:f>
        <x:v>0</x:v>
      </x:c>
      <x:c r="E1718" t="str">
        <x:v>Client:67:2</x:v>
      </x:c>
      <x:c r="F1718" t="str">
        <x:v>Пустое поле</x:v>
      </x:c>
      <x:c r="G1718" t="str">
        <x:v>High</x:v>
      </x:c>
      <x:c r="H1718" t="str">
        <x:v>required_fields</x:v>
      </x:c>
      <x:c r="I1718" t="str">
        <x:v>Дополнить обязательные поля в источнике</x:v>
      </x:c>
      <x:c r="J1718" t="n">
        <x:f>IF(D1718=1,K1718,0)</x:f>
        <x:v>0</x:v>
      </x:c>
      <x:c r="K1718" t="n">
        <x:f>D1718+K1717</x:f>
        <x:v>19</x:v>
      </x:c>
    </x:row>
    <x:row r="1719">
      <x:c r="A1719" t="str">
        <x:v>Client</x:v>
      </x:c>
      <x:c r="B1719" t="str">
        <x:f>'04_checks'!B247</x:f>
      </x:c>
      <x:c r="C1719" t="n">
        <x:v>67</x:v>
      </x:c>
      <x:c r="D1719" t="n">
        <x:f>IF('04_checks'!E247="ERROR",1,0)</x:f>
        <x:v>0</x:v>
      </x:c>
      <x:c r="E1719" t="str">
        <x:v>Client:67:3</x:v>
      </x:c>
      <x:c r="F1719" t="str">
        <x:v>Нет связи</x:v>
      </x:c>
      <x:c r="G1719" t="str">
        <x:v>High</x:v>
      </x:c>
      <x:c r="H1719" t="str">
        <x:v>client_id</x:v>
      </x:c>
      <x:c r="I1719" t="str">
        <x:v>Исправить ссылку или разрешить дубли связанного ID</x:v>
      </x:c>
      <x:c r="J1719" t="n">
        <x:f>IF(D1719=1,K1719,0)</x:f>
        <x:v>0</x:v>
      </x:c>
      <x:c r="K1719" t="n">
        <x:f>D1719+K1718</x:f>
        <x:v>19</x:v>
      </x:c>
    </x:row>
    <x:row r="1720">
      <x:c r="A1720" t="str">
        <x:v>Client</x:v>
      </x:c>
      <x:c r="B1720" t="str">
        <x:f>'04_checks'!B247</x:f>
      </x:c>
      <x:c r="C1720" t="n">
        <x:v>67</x:v>
      </x:c>
      <x:c r="D1720" t="n">
        <x:f>IF('04_checks'!F247="ERROR",1,0)</x:f>
        <x:v>0</x:v>
      </x:c>
      <x:c r="E1720" t="str">
        <x:v>Client:67:4</x:v>
      </x:c>
      <x:c r="F1720" t="str">
        <x:v>Формат ИНН</x:v>
      </x:c>
      <x:c r="G1720" t="str">
        <x:v>High</x:v>
      </x:c>
      <x:c r="H1720" t="str">
        <x:v>inn</x:v>
      </x:c>
      <x:c r="I1720" t="str">
        <x:v>Сверить длину ИНН 10/12 цифр с источником</x:v>
      </x:c>
      <x:c r="J1720" t="n">
        <x:f>IF(D1720=1,K1720,0)</x:f>
        <x:v>0</x:v>
      </x:c>
      <x:c r="K1720" t="n">
        <x:f>D1720+K1719</x:f>
        <x:v>19</x:v>
      </x:c>
    </x:row>
    <x:row r="1721">
      <x:c r="A1721" t="str">
        <x:v>Client</x:v>
      </x:c>
      <x:c r="B1721" t="str">
        <x:f>'04_checks'!B247</x:f>
      </x:c>
      <x:c r="C1721" t="n">
        <x:v>67</x:v>
      </x:c>
      <x:c r="D1721" t="n">
        <x:f>IF('04_checks'!G247="ERROR",1,0)</x:f>
        <x:v>0</x:v>
      </x:c>
      <x:c r="E1721" t="str">
        <x:v>Client:67:5</x:v>
      </x:c>
      <x:c r="F1721" t="str">
        <x:v>Отрицательная цена</x:v>
      </x:c>
      <x:c r="G1721" t="str">
        <x:v>High</x:v>
      </x:c>
      <x:c r="H1721" t="str">
        <x:v>N/A</x:v>
      </x:c>
      <x:c r="I1721" t="str">
        <x:v>Проверить цену в источнике</x:v>
      </x:c>
      <x:c r="J1721" t="n">
        <x:f>IF(D1721=1,K1721,0)</x:f>
        <x:v>0</x:v>
      </x:c>
      <x:c r="K1721" t="n">
        <x:f>D1721+K1720</x:f>
        <x:v>19</x:v>
      </x:c>
    </x:row>
    <x:row r="1722">
      <x:c r="A1722" t="str">
        <x:v>Client</x:v>
      </x:c>
      <x:c r="B1722" t="str">
        <x:f>'04_checks'!B247</x:f>
      </x:c>
      <x:c r="C1722" t="n">
        <x:v>67</x:v>
      </x:c>
      <x:c r="D1722" t="n">
        <x:f>IF('04_checks'!H247="ERROR",1,0)</x:f>
        <x:v>0</x:v>
      </x:c>
      <x:c r="E1722" t="str">
        <x:v>Client:67:6</x:v>
      </x:c>
      <x:c r="F1722" t="str">
        <x:v>Дата</x:v>
      </x:c>
      <x:c r="G1722" t="str">
        <x:v>Medium</x:v>
      </x:c>
      <x:c r="H1722" t="str">
        <x:v>registration_date</x:v>
      </x:c>
      <x:c r="I1722" t="str">
        <x:v>Сверить дату со срезом и исходной записью</x:v>
      </x:c>
      <x:c r="J1722" t="n">
        <x:f>IF(D1722=1,K1722,0)</x:f>
        <x:v>0</x:v>
      </x:c>
      <x:c r="K1722" t="n">
        <x:f>D1722+K1721</x:f>
        <x:v>19</x:v>
      </x:c>
    </x:row>
    <x:row r="1723">
      <x:c r="A1723" t="str">
        <x:v>Client</x:v>
      </x:c>
      <x:c r="B1723" t="str">
        <x:f>'04_checks'!B247</x:f>
      </x:c>
      <x:c r="C1723" t="n">
        <x:v>67</x:v>
      </x:c>
      <x:c r="D1723" t="n">
        <x:f>IF('04_checks'!I247="ERROR",1,0)</x:f>
        <x:v>0</x:v>
      </x:c>
      <x:c r="E1723" t="str">
        <x:v>Client:67:7</x:v>
      </x:c>
      <x:c r="F1723" t="str">
        <x:v>Статус</x:v>
      </x:c>
      <x:c r="G1723" t="str">
        <x:v>Medium</x:v>
      </x:c>
      <x:c r="H1723" t="str">
        <x:v>N/A</x:v>
      </x:c>
      <x:c r="I1723" t="str">
        <x:v>Выбрать допустимый статус</x:v>
      </x:c>
      <x:c r="J1723" t="n">
        <x:f>IF(D1723=1,K1723,0)</x:f>
        <x:v>0</x:v>
      </x:c>
      <x:c r="K1723" t="n">
        <x:f>D1723+K1722</x:f>
        <x:v>19</x:v>
      </x:c>
    </x:row>
    <x:row r="1724">
      <x:c r="A1724" t="str">
        <x:v>Payment</x:v>
      </x:c>
      <x:c r="B1724" t="str">
        <x:f>'04_checks'!B248</x:f>
        <x:v>P001</x:v>
      </x:c>
      <x:c r="C1724" t="n">
        <x:v>2</x:v>
      </x:c>
      <x:c r="D1724" t="n">
        <x:f>IF('04_checks'!C248="ERROR",1,0)</x:f>
        <x:v>0</x:v>
      </x:c>
      <x:c r="E1724" t="str">
        <x:v>Payment:2:1</x:v>
      </x:c>
      <x:c r="F1724" t="str">
        <x:v>Дубль</x:v>
      </x:c>
      <x:c r="G1724" t="str">
        <x:v>High</x:v>
      </x:c>
      <x:c r="H1724" t="str">
        <x:v>payment_id</x:v>
      </x:c>
      <x:c r="I1724" t="str">
        <x:v>Проверить уникальность ID в источнике; не удалять записи автоматически</x:v>
      </x:c>
      <x:c r="J1724" t="n">
        <x:f>IF(D1724=1,K1724,0)</x:f>
        <x:v>0</x:v>
      </x:c>
      <x:c r="K1724" t="n">
        <x:f>D1724+K1723</x:f>
        <x:v>19</x:v>
      </x:c>
    </x:row>
    <x:row r="1725">
      <x:c r="A1725" t="str">
        <x:v>Payment</x:v>
      </x:c>
      <x:c r="B1725" t="str">
        <x:f>'04_checks'!B248</x:f>
        <x:v>P001</x:v>
      </x:c>
      <x:c r="C1725" t="n">
        <x:v>2</x:v>
      </x:c>
      <x:c r="D1725" t="n">
        <x:f>IF('04_checks'!D248="ERROR",1,0)</x:f>
        <x:v>0</x:v>
      </x:c>
      <x:c r="E1725" t="str">
        <x:v>Payment:2:2</x:v>
      </x:c>
      <x:c r="F1725" t="str">
        <x:v>Пустое поле</x:v>
      </x:c>
      <x:c r="G1725" t="str">
        <x:v>High</x:v>
      </x:c>
      <x:c r="H1725" t="str">
        <x:v>required_fields</x:v>
      </x:c>
      <x:c r="I1725" t="str">
        <x:v>Дополнить обязательные поля в источнике</x:v>
      </x:c>
      <x:c r="J1725" t="n">
        <x:f>IF(D1725=1,K1725,0)</x:f>
        <x:v>0</x:v>
      </x:c>
      <x:c r="K1725" t="n">
        <x:f>D1725+K1724</x:f>
        <x:v>19</x:v>
      </x:c>
    </x:row>
    <x:row r="1726">
      <x:c r="A1726" t="str">
        <x:v>Payment</x:v>
      </x:c>
      <x:c r="B1726" t="str">
        <x:f>'04_checks'!B248</x:f>
        <x:v>P001</x:v>
      </x:c>
      <x:c r="C1726" t="n">
        <x:v>2</x:v>
      </x:c>
      <x:c r="D1726" t="n">
        <x:f>IF('04_checks'!E248="ERROR",1,0)</x:f>
        <x:v>0</x:v>
      </x:c>
      <x:c r="E1726" t="str">
        <x:v>Payment:2:3</x:v>
      </x:c>
      <x:c r="F1726" t="str">
        <x:f>IF(COUNTIF('01_orders_raw'!$A$2:$A$181,'03_payments_raw'!B2)&gt;1,"Неоднозначная связь","Нет связи")</x:f>
        <x:v>Нет связи</x:v>
      </x:c>
      <x:c r="G1726" t="str">
        <x:v>High</x:v>
      </x:c>
      <x:c r="H1726" t="str">
        <x:v>order_id</x:v>
      </x:c>
      <x:c r="I1726" t="str">
        <x:v>Исправить ссылку или разрешить дубли связанного ID</x:v>
      </x:c>
      <x:c r="J1726" t="n">
        <x:f>IF(D1726=1,K1726,0)</x:f>
        <x:v>0</x:v>
      </x:c>
      <x:c r="K1726" t="n">
        <x:f>D1726+K1725</x:f>
        <x:v>19</x:v>
      </x:c>
    </x:row>
    <x:row r="1727">
      <x:c r="A1727" t="str">
        <x:v>Payment</x:v>
      </x:c>
      <x:c r="B1727" t="str">
        <x:f>'04_checks'!B248</x:f>
        <x:v>P001</x:v>
      </x:c>
      <x:c r="C1727" t="n">
        <x:v>2</x:v>
      </x:c>
      <x:c r="D1727" t="n">
        <x:f>IF('04_checks'!F248="ERROR",1,0)</x:f>
        <x:v>0</x:v>
      </x:c>
      <x:c r="E1727" t="str">
        <x:v>Payment:2:4</x:v>
      </x:c>
      <x:c r="F1727" t="str">
        <x:v>Ошибка расчета</x:v>
      </x:c>
      <x:c r="G1727" t="str">
        <x:v>High</x:v>
      </x:c>
      <x:c r="H1727" t="str">
        <x:v>payment_sum</x:v>
      </x:c>
      <x:c r="I1727" t="str">
        <x:v>Сверить исходные значения и правило расчёта</x:v>
      </x:c>
      <x:c r="J1727" t="n">
        <x:f>IF(D1727=1,K1727,0)</x:f>
        <x:v>0</x:v>
      </x:c>
      <x:c r="K1727" t="n">
        <x:f>D1727+K1726</x:f>
        <x:v>19</x:v>
      </x:c>
    </x:row>
    <x:row r="1728">
      <x:c r="A1728" t="str">
        <x:v>Payment</x:v>
      </x:c>
      <x:c r="B1728" t="str">
        <x:f>'04_checks'!B248</x:f>
        <x:v>P001</x:v>
      </x:c>
      <x:c r="C1728" t="n">
        <x:v>2</x:v>
      </x:c>
      <x:c r="D1728" t="n">
        <x:f>IF('04_checks'!G248="ERROR",1,0)</x:f>
        <x:v>0</x:v>
      </x:c>
      <x:c r="E1728" t="str">
        <x:v>Payment:2:5</x:v>
      </x:c>
      <x:c r="F1728" t="str">
        <x:v>Отрицательная цена</x:v>
      </x:c>
      <x:c r="G1728" t="str">
        <x:v>High</x:v>
      </x:c>
      <x:c r="H1728" t="str">
        <x:v>N/A</x:v>
      </x:c>
      <x:c r="I1728" t="str">
        <x:v>Проверить цену в источнике</x:v>
      </x:c>
      <x:c r="J1728" t="n">
        <x:f>IF(D1728=1,K1728,0)</x:f>
        <x:v>0</x:v>
      </x:c>
      <x:c r="K1728" t="n">
        <x:f>D1728+K1727</x:f>
        <x:v>19</x:v>
      </x:c>
    </x:row>
    <x:row r="1729">
      <x:c r="A1729" t="str">
        <x:v>Payment</x:v>
      </x:c>
      <x:c r="B1729" t="str">
        <x:f>'04_checks'!B248</x:f>
        <x:v>P001</x:v>
      </x:c>
      <x:c r="C1729" t="n">
        <x:v>2</x:v>
      </x:c>
      <x:c r="D1729" t="n">
        <x:f>IF('04_checks'!H248="ERROR",1,0)</x:f>
        <x:v>0</x:v>
      </x:c>
      <x:c r="E1729" t="str">
        <x:v>Payment:2:6</x:v>
      </x:c>
      <x:c r="F1729" t="str">
        <x:v>Дата</x:v>
      </x:c>
      <x:c r="G1729" t="str">
        <x:v>Medium</x:v>
      </x:c>
      <x:c r="H1729" t="str">
        <x:v>payment_date</x:v>
      </x:c>
      <x:c r="I1729" t="str">
        <x:v>Сверить дату со срезом и исходной записью</x:v>
      </x:c>
      <x:c r="J1729" t="n">
        <x:f>IF(D1729=1,K1729,0)</x:f>
        <x:v>0</x:v>
      </x:c>
      <x:c r="K1729" t="n">
        <x:f>D1729+K1728</x:f>
        <x:v>19</x:v>
      </x:c>
    </x:row>
    <x:row r="1730">
      <x:c r="A1730" t="str">
        <x:v>Payment</x:v>
      </x:c>
      <x:c r="B1730" t="str">
        <x:f>'04_checks'!B248</x:f>
        <x:v>P001</x:v>
      </x:c>
      <x:c r="C1730" t="n">
        <x:v>2</x:v>
      </x:c>
      <x:c r="D1730" t="n">
        <x:f>IF('04_checks'!I248="ERROR",1,0)</x:f>
        <x:v>0</x:v>
      </x:c>
      <x:c r="E1730" t="str">
        <x:v>Payment:2:7</x:v>
      </x:c>
      <x:c r="F1730" t="str">
        <x:v>Статус</x:v>
      </x:c>
      <x:c r="G1730" t="str">
        <x:v>Medium</x:v>
      </x:c>
      <x:c r="H1730" t="str">
        <x:v>payment_status</x:v>
      </x:c>
      <x:c r="I1730" t="str">
        <x:v>Выбрать допустимый статус</x:v>
      </x:c>
      <x:c r="J1730" t="n">
        <x:f>IF(D1730=1,K1730,0)</x:f>
        <x:v>0</x:v>
      </x:c>
      <x:c r="K1730" t="n">
        <x:f>D1730+K1729</x:f>
        <x:v>19</x:v>
      </x:c>
    </x:row>
    <x:row r="1731">
      <x:c r="A1731" t="str">
        <x:v>Payment</x:v>
      </x:c>
      <x:c r="B1731" t="str">
        <x:f>'04_checks'!B249</x:f>
        <x:v>P002</x:v>
      </x:c>
      <x:c r="C1731" t="n">
        <x:v>3</x:v>
      </x:c>
      <x:c r="D1731" t="n">
        <x:f>IF('04_checks'!C249="ERROR",1,0)</x:f>
        <x:v>0</x:v>
      </x:c>
      <x:c r="E1731" t="str">
        <x:v>Payment:3:1</x:v>
      </x:c>
      <x:c r="F1731" t="str">
        <x:v>Дубль</x:v>
      </x:c>
      <x:c r="G1731" t="str">
        <x:v>High</x:v>
      </x:c>
      <x:c r="H1731" t="str">
        <x:v>payment_id</x:v>
      </x:c>
      <x:c r="I1731" t="str">
        <x:v>Проверить уникальность ID в источнике; не удалять записи автоматически</x:v>
      </x:c>
      <x:c r="J1731" t="n">
        <x:f>IF(D1731=1,K1731,0)</x:f>
        <x:v>0</x:v>
      </x:c>
      <x:c r="K1731" t="n">
        <x:f>D1731+K1730</x:f>
        <x:v>19</x:v>
      </x:c>
    </x:row>
    <x:row r="1732">
      <x:c r="A1732" t="str">
        <x:v>Payment</x:v>
      </x:c>
      <x:c r="B1732" t="str">
        <x:f>'04_checks'!B249</x:f>
        <x:v>P002</x:v>
      </x:c>
      <x:c r="C1732" t="n">
        <x:v>3</x:v>
      </x:c>
      <x:c r="D1732" t="n">
        <x:f>IF('04_checks'!D249="ERROR",1,0)</x:f>
        <x:v>0</x:v>
      </x:c>
      <x:c r="E1732" t="str">
        <x:v>Payment:3:2</x:v>
      </x:c>
      <x:c r="F1732" t="str">
        <x:v>Пустое поле</x:v>
      </x:c>
      <x:c r="G1732" t="str">
        <x:v>High</x:v>
      </x:c>
      <x:c r="H1732" t="str">
        <x:v>required_fields</x:v>
      </x:c>
      <x:c r="I1732" t="str">
        <x:v>Дополнить обязательные поля в источнике</x:v>
      </x:c>
      <x:c r="J1732" t="n">
        <x:f>IF(D1732=1,K1732,0)</x:f>
        <x:v>0</x:v>
      </x:c>
      <x:c r="K1732" t="n">
        <x:f>D1732+K1731</x:f>
        <x:v>19</x:v>
      </x:c>
    </x:row>
    <x:row r="1733">
      <x:c r="A1733" t="str">
        <x:v>Payment</x:v>
      </x:c>
      <x:c r="B1733" t="str">
        <x:f>'04_checks'!B249</x:f>
        <x:v>P002</x:v>
      </x:c>
      <x:c r="C1733" t="n">
        <x:v>3</x:v>
      </x:c>
      <x:c r="D1733" t="n">
        <x:f>IF('04_checks'!E249="ERROR",1,0)</x:f>
        <x:v>0</x:v>
      </x:c>
      <x:c r="E1733" t="str">
        <x:v>Payment:3:3</x:v>
      </x:c>
      <x:c r="F1733" t="str">
        <x:f>IF(COUNTIF('01_orders_raw'!$A$2:$A$181,'03_payments_raw'!B3)&gt;1,"Неоднозначная связь","Нет связи")</x:f>
        <x:v>Нет связи</x:v>
      </x:c>
      <x:c r="G1733" t="str">
        <x:v>High</x:v>
      </x:c>
      <x:c r="H1733" t="str">
        <x:v>order_id</x:v>
      </x:c>
      <x:c r="I1733" t="str">
        <x:v>Исправить ссылку или разрешить дубли связанного ID</x:v>
      </x:c>
      <x:c r="J1733" t="n">
        <x:f>IF(D1733=1,K1733,0)</x:f>
        <x:v>0</x:v>
      </x:c>
      <x:c r="K1733" t="n">
        <x:f>D1733+K1732</x:f>
        <x:v>19</x:v>
      </x:c>
    </x:row>
    <x:row r="1734">
      <x:c r="A1734" t="str">
        <x:v>Payment</x:v>
      </x:c>
      <x:c r="B1734" t="str">
        <x:f>'04_checks'!B249</x:f>
        <x:v>P002</x:v>
      </x:c>
      <x:c r="C1734" t="n">
        <x:v>3</x:v>
      </x:c>
      <x:c r="D1734" t="n">
        <x:f>IF('04_checks'!F249="ERROR",1,0)</x:f>
        <x:v>0</x:v>
      </x:c>
      <x:c r="E1734" t="str">
        <x:v>Payment:3:4</x:v>
      </x:c>
      <x:c r="F1734" t="str">
        <x:v>Ошибка расчета</x:v>
      </x:c>
      <x:c r="G1734" t="str">
        <x:v>High</x:v>
      </x:c>
      <x:c r="H1734" t="str">
        <x:v>payment_sum</x:v>
      </x:c>
      <x:c r="I1734" t="str">
        <x:v>Сверить исходные значения и правило расчёта</x:v>
      </x:c>
      <x:c r="J1734" t="n">
        <x:f>IF(D1734=1,K1734,0)</x:f>
        <x:v>0</x:v>
      </x:c>
      <x:c r="K1734" t="n">
        <x:f>D1734+K1733</x:f>
        <x:v>19</x:v>
      </x:c>
    </x:row>
    <x:row r="1735">
      <x:c r="A1735" t="str">
        <x:v>Payment</x:v>
      </x:c>
      <x:c r="B1735" t="str">
        <x:f>'04_checks'!B249</x:f>
        <x:v>P002</x:v>
      </x:c>
      <x:c r="C1735" t="n">
        <x:v>3</x:v>
      </x:c>
      <x:c r="D1735" t="n">
        <x:f>IF('04_checks'!G249="ERROR",1,0)</x:f>
        <x:v>0</x:v>
      </x:c>
      <x:c r="E1735" t="str">
        <x:v>Payment:3:5</x:v>
      </x:c>
      <x:c r="F1735" t="str">
        <x:v>Отрицательная цена</x:v>
      </x:c>
      <x:c r="G1735" t="str">
        <x:v>High</x:v>
      </x:c>
      <x:c r="H1735" t="str">
        <x:v>N/A</x:v>
      </x:c>
      <x:c r="I1735" t="str">
        <x:v>Проверить цену в источнике</x:v>
      </x:c>
      <x:c r="J1735" t="n">
        <x:f>IF(D1735=1,K1735,0)</x:f>
        <x:v>0</x:v>
      </x:c>
      <x:c r="K1735" t="n">
        <x:f>D1735+K1734</x:f>
        <x:v>19</x:v>
      </x:c>
    </x:row>
    <x:row r="1736">
      <x:c r="A1736" t="str">
        <x:v>Payment</x:v>
      </x:c>
      <x:c r="B1736" t="str">
        <x:f>'04_checks'!B249</x:f>
        <x:v>P002</x:v>
      </x:c>
      <x:c r="C1736" t="n">
        <x:v>3</x:v>
      </x:c>
      <x:c r="D1736" t="n">
        <x:f>IF('04_checks'!H249="ERROR",1,0)</x:f>
        <x:v>0</x:v>
      </x:c>
      <x:c r="E1736" t="str">
        <x:v>Payment:3:6</x:v>
      </x:c>
      <x:c r="F1736" t="str">
        <x:v>Дата</x:v>
      </x:c>
      <x:c r="G1736" t="str">
        <x:v>Medium</x:v>
      </x:c>
      <x:c r="H1736" t="str">
        <x:v>payment_date</x:v>
      </x:c>
      <x:c r="I1736" t="str">
        <x:v>Сверить дату со срезом и исходной записью</x:v>
      </x:c>
      <x:c r="J1736" t="n">
        <x:f>IF(D1736=1,K1736,0)</x:f>
        <x:v>0</x:v>
      </x:c>
      <x:c r="K1736" t="n">
        <x:f>D1736+K1735</x:f>
        <x:v>19</x:v>
      </x:c>
    </x:row>
    <x:row r="1737">
      <x:c r="A1737" t="str">
        <x:v>Payment</x:v>
      </x:c>
      <x:c r="B1737" t="str">
        <x:f>'04_checks'!B249</x:f>
        <x:v>P002</x:v>
      </x:c>
      <x:c r="C1737" t="n">
        <x:v>3</x:v>
      </x:c>
      <x:c r="D1737" t="n">
        <x:f>IF('04_checks'!I249="ERROR",1,0)</x:f>
        <x:v>0</x:v>
      </x:c>
      <x:c r="E1737" t="str">
        <x:v>Payment:3:7</x:v>
      </x:c>
      <x:c r="F1737" t="str">
        <x:v>Статус</x:v>
      </x:c>
      <x:c r="G1737" t="str">
        <x:v>Medium</x:v>
      </x:c>
      <x:c r="H1737" t="str">
        <x:v>payment_status</x:v>
      </x:c>
      <x:c r="I1737" t="str">
        <x:v>Выбрать допустимый статус</x:v>
      </x:c>
      <x:c r="J1737" t="n">
        <x:f>IF(D1737=1,K1737,0)</x:f>
        <x:v>0</x:v>
      </x:c>
      <x:c r="K1737" t="n">
        <x:f>D1737+K1736</x:f>
        <x:v>19</x:v>
      </x:c>
    </x:row>
    <x:row r="1738">
      <x:c r="A1738" t="str">
        <x:v>Payment</x:v>
      </x:c>
      <x:c r="B1738" t="str">
        <x:f>'04_checks'!B250</x:f>
        <x:v>P003</x:v>
      </x:c>
      <x:c r="C1738" t="n">
        <x:v>4</x:v>
      </x:c>
      <x:c r="D1738" t="n">
        <x:f>IF('04_checks'!C250="ERROR",1,0)</x:f>
        <x:v>0</x:v>
      </x:c>
      <x:c r="E1738" t="str">
        <x:v>Payment:4:1</x:v>
      </x:c>
      <x:c r="F1738" t="str">
        <x:v>Дубль</x:v>
      </x:c>
      <x:c r="G1738" t="str">
        <x:v>High</x:v>
      </x:c>
      <x:c r="H1738" t="str">
        <x:v>payment_id</x:v>
      </x:c>
      <x:c r="I1738" t="str">
        <x:v>Проверить уникальность ID в источнике; не удалять записи автоматически</x:v>
      </x:c>
      <x:c r="J1738" t="n">
        <x:f>IF(D1738=1,K1738,0)</x:f>
        <x:v>0</x:v>
      </x:c>
      <x:c r="K1738" t="n">
        <x:f>D1738+K1737</x:f>
        <x:v>19</x:v>
      </x:c>
    </x:row>
    <x:row r="1739">
      <x:c r="A1739" t="str">
        <x:v>Payment</x:v>
      </x:c>
      <x:c r="B1739" t="str">
        <x:f>'04_checks'!B250</x:f>
        <x:v>P003</x:v>
      </x:c>
      <x:c r="C1739" t="n">
        <x:v>4</x:v>
      </x:c>
      <x:c r="D1739" t="n">
        <x:f>IF('04_checks'!D250="ERROR",1,0)</x:f>
        <x:v>0</x:v>
      </x:c>
      <x:c r="E1739" t="str">
        <x:v>Payment:4:2</x:v>
      </x:c>
      <x:c r="F1739" t="str">
        <x:v>Пустое поле</x:v>
      </x:c>
      <x:c r="G1739" t="str">
        <x:v>High</x:v>
      </x:c>
      <x:c r="H1739" t="str">
        <x:v>required_fields</x:v>
      </x:c>
      <x:c r="I1739" t="str">
        <x:v>Дополнить обязательные поля в источнике</x:v>
      </x:c>
      <x:c r="J1739" t="n">
        <x:f>IF(D1739=1,K1739,0)</x:f>
        <x:v>0</x:v>
      </x:c>
      <x:c r="K1739" t="n">
        <x:f>D1739+K1738</x:f>
        <x:v>19</x:v>
      </x:c>
    </x:row>
    <x:row r="1740">
      <x:c r="A1740" t="str">
        <x:v>Payment</x:v>
      </x:c>
      <x:c r="B1740" t="str">
        <x:f>'04_checks'!B250</x:f>
        <x:v>P003</x:v>
      </x:c>
      <x:c r="C1740" t="n">
        <x:v>4</x:v>
      </x:c>
      <x:c r="D1740" t="n">
        <x:f>IF('04_checks'!E250="ERROR",1,0)</x:f>
        <x:v>0</x:v>
      </x:c>
      <x:c r="E1740" t="str">
        <x:v>Payment:4:3</x:v>
      </x:c>
      <x:c r="F1740" t="str">
        <x:f>IF(COUNTIF('01_orders_raw'!$A$2:$A$181,'03_payments_raw'!B4)&gt;1,"Неоднозначная связь","Нет связи")</x:f>
        <x:v>Нет связи</x:v>
      </x:c>
      <x:c r="G1740" t="str">
        <x:v>High</x:v>
      </x:c>
      <x:c r="H1740" t="str">
        <x:v>order_id</x:v>
      </x:c>
      <x:c r="I1740" t="str">
        <x:v>Исправить ссылку или разрешить дубли связанного ID</x:v>
      </x:c>
      <x:c r="J1740" t="n">
        <x:f>IF(D1740=1,K1740,0)</x:f>
        <x:v>0</x:v>
      </x:c>
      <x:c r="K1740" t="n">
        <x:f>D1740+K1739</x:f>
        <x:v>19</x:v>
      </x:c>
    </x:row>
    <x:row r="1741">
      <x:c r="A1741" t="str">
        <x:v>Payment</x:v>
      </x:c>
      <x:c r="B1741" t="str">
        <x:f>'04_checks'!B250</x:f>
        <x:v>P003</x:v>
      </x:c>
      <x:c r="C1741" t="n">
        <x:v>4</x:v>
      </x:c>
      <x:c r="D1741" t="n">
        <x:f>IF('04_checks'!F250="ERROR",1,0)</x:f>
        <x:v>0</x:v>
      </x:c>
      <x:c r="E1741" t="str">
        <x:v>Payment:4:4</x:v>
      </x:c>
      <x:c r="F1741" t="str">
        <x:v>Ошибка расчета</x:v>
      </x:c>
      <x:c r="G1741" t="str">
        <x:v>High</x:v>
      </x:c>
      <x:c r="H1741" t="str">
        <x:v>payment_sum</x:v>
      </x:c>
      <x:c r="I1741" t="str">
        <x:v>Сверить исходные значения и правило расчёта</x:v>
      </x:c>
      <x:c r="J1741" t="n">
        <x:f>IF(D1741=1,K1741,0)</x:f>
        <x:v>0</x:v>
      </x:c>
      <x:c r="K1741" t="n">
        <x:f>D1741+K1740</x:f>
        <x:v>19</x:v>
      </x:c>
    </x:row>
    <x:row r="1742">
      <x:c r="A1742" t="str">
        <x:v>Payment</x:v>
      </x:c>
      <x:c r="B1742" t="str">
        <x:f>'04_checks'!B250</x:f>
        <x:v>P003</x:v>
      </x:c>
      <x:c r="C1742" t="n">
        <x:v>4</x:v>
      </x:c>
      <x:c r="D1742" t="n">
        <x:f>IF('04_checks'!G250="ERROR",1,0)</x:f>
        <x:v>0</x:v>
      </x:c>
      <x:c r="E1742" t="str">
        <x:v>Payment:4:5</x:v>
      </x:c>
      <x:c r="F1742" t="str">
        <x:v>Отрицательная цена</x:v>
      </x:c>
      <x:c r="G1742" t="str">
        <x:v>High</x:v>
      </x:c>
      <x:c r="H1742" t="str">
        <x:v>N/A</x:v>
      </x:c>
      <x:c r="I1742" t="str">
        <x:v>Проверить цену в источнике</x:v>
      </x:c>
      <x:c r="J1742" t="n">
        <x:f>IF(D1742=1,K1742,0)</x:f>
        <x:v>0</x:v>
      </x:c>
      <x:c r="K1742" t="n">
        <x:f>D1742+K1741</x:f>
        <x:v>19</x:v>
      </x:c>
    </x:row>
    <x:row r="1743">
      <x:c r="A1743" t="str">
        <x:v>Payment</x:v>
      </x:c>
      <x:c r="B1743" t="str">
        <x:f>'04_checks'!B250</x:f>
        <x:v>P003</x:v>
      </x:c>
      <x:c r="C1743" t="n">
        <x:v>4</x:v>
      </x:c>
      <x:c r="D1743" t="n">
        <x:f>IF('04_checks'!H250="ERROR",1,0)</x:f>
        <x:v>0</x:v>
      </x:c>
      <x:c r="E1743" t="str">
        <x:v>Payment:4:6</x:v>
      </x:c>
      <x:c r="F1743" t="str">
        <x:v>Дата</x:v>
      </x:c>
      <x:c r="G1743" t="str">
        <x:v>Medium</x:v>
      </x:c>
      <x:c r="H1743" t="str">
        <x:v>payment_date</x:v>
      </x:c>
      <x:c r="I1743" t="str">
        <x:v>Сверить дату со срезом и исходной записью</x:v>
      </x:c>
      <x:c r="J1743" t="n">
        <x:f>IF(D1743=1,K1743,0)</x:f>
        <x:v>0</x:v>
      </x:c>
      <x:c r="K1743" t="n">
        <x:f>D1743+K1742</x:f>
        <x:v>19</x:v>
      </x:c>
    </x:row>
    <x:row r="1744">
      <x:c r="A1744" t="str">
        <x:v>Payment</x:v>
      </x:c>
      <x:c r="B1744" t="str">
        <x:f>'04_checks'!B250</x:f>
        <x:v>P003</x:v>
      </x:c>
      <x:c r="C1744" t="n">
        <x:v>4</x:v>
      </x:c>
      <x:c r="D1744" t="n">
        <x:f>IF('04_checks'!I250="ERROR",1,0)</x:f>
        <x:v>0</x:v>
      </x:c>
      <x:c r="E1744" t="str">
        <x:v>Payment:4:7</x:v>
      </x:c>
      <x:c r="F1744" t="str">
        <x:v>Статус</x:v>
      </x:c>
      <x:c r="G1744" t="str">
        <x:v>Medium</x:v>
      </x:c>
      <x:c r="H1744" t="str">
        <x:v>payment_status</x:v>
      </x:c>
      <x:c r="I1744" t="str">
        <x:v>Выбрать допустимый статус</x:v>
      </x:c>
      <x:c r="J1744" t="n">
        <x:f>IF(D1744=1,K1744,0)</x:f>
        <x:v>0</x:v>
      </x:c>
      <x:c r="K1744" t="n">
        <x:f>D1744+K1743</x:f>
        <x:v>19</x:v>
      </x:c>
    </x:row>
    <x:row r="1745">
      <x:c r="A1745" t="str">
        <x:v>Payment</x:v>
      </x:c>
      <x:c r="B1745" t="str">
        <x:f>'04_checks'!B251</x:f>
        <x:v>P004</x:v>
      </x:c>
      <x:c r="C1745" t="n">
        <x:v>5</x:v>
      </x:c>
      <x:c r="D1745" t="n">
        <x:f>IF('04_checks'!C251="ERROR",1,0)</x:f>
        <x:v>0</x:v>
      </x:c>
      <x:c r="E1745" t="str">
        <x:v>Payment:5:1</x:v>
      </x:c>
      <x:c r="F1745" t="str">
        <x:v>Дубль</x:v>
      </x:c>
      <x:c r="G1745" t="str">
        <x:v>High</x:v>
      </x:c>
      <x:c r="H1745" t="str">
        <x:v>payment_id</x:v>
      </x:c>
      <x:c r="I1745" t="str">
        <x:v>Проверить уникальность ID в источнике; не удалять записи автоматически</x:v>
      </x:c>
      <x:c r="J1745" t="n">
        <x:f>IF(D1745=1,K1745,0)</x:f>
        <x:v>0</x:v>
      </x:c>
      <x:c r="K1745" t="n">
        <x:f>D1745+K1744</x:f>
        <x:v>19</x:v>
      </x:c>
    </x:row>
    <x:row r="1746">
      <x:c r="A1746" t="str">
        <x:v>Payment</x:v>
      </x:c>
      <x:c r="B1746" t="str">
        <x:f>'04_checks'!B251</x:f>
        <x:v>P004</x:v>
      </x:c>
      <x:c r="C1746" t="n">
        <x:v>5</x:v>
      </x:c>
      <x:c r="D1746" t="n">
        <x:f>IF('04_checks'!D251="ERROR",1,0)</x:f>
        <x:v>0</x:v>
      </x:c>
      <x:c r="E1746" t="str">
        <x:v>Payment:5:2</x:v>
      </x:c>
      <x:c r="F1746" t="str">
        <x:v>Пустое поле</x:v>
      </x:c>
      <x:c r="G1746" t="str">
        <x:v>High</x:v>
      </x:c>
      <x:c r="H1746" t="str">
        <x:v>required_fields</x:v>
      </x:c>
      <x:c r="I1746" t="str">
        <x:v>Дополнить обязательные поля в источнике</x:v>
      </x:c>
      <x:c r="J1746" t="n">
        <x:f>IF(D1746=1,K1746,0)</x:f>
        <x:v>0</x:v>
      </x:c>
      <x:c r="K1746" t="n">
        <x:f>D1746+K1745</x:f>
        <x:v>19</x:v>
      </x:c>
    </x:row>
    <x:row r="1747">
      <x:c r="A1747" t="str">
        <x:v>Payment</x:v>
      </x:c>
      <x:c r="B1747" t="str">
        <x:f>'04_checks'!B251</x:f>
        <x:v>P004</x:v>
      </x:c>
      <x:c r="C1747" t="n">
        <x:v>5</x:v>
      </x:c>
      <x:c r="D1747" t="n">
        <x:f>IF('04_checks'!E251="ERROR",1,0)</x:f>
        <x:v>0</x:v>
      </x:c>
      <x:c r="E1747" t="str">
        <x:v>Payment:5:3</x:v>
      </x:c>
      <x:c r="F1747" t="str">
        <x:f>IF(COUNTIF('01_orders_raw'!$A$2:$A$181,'03_payments_raw'!B5)&gt;1,"Неоднозначная связь","Нет связи")</x:f>
        <x:v>Нет связи</x:v>
      </x:c>
      <x:c r="G1747" t="str">
        <x:v>High</x:v>
      </x:c>
      <x:c r="H1747" t="str">
        <x:v>order_id</x:v>
      </x:c>
      <x:c r="I1747" t="str">
        <x:v>Исправить ссылку или разрешить дубли связанного ID</x:v>
      </x:c>
      <x:c r="J1747" t="n">
        <x:f>IF(D1747=1,K1747,0)</x:f>
        <x:v>0</x:v>
      </x:c>
      <x:c r="K1747" t="n">
        <x:f>D1747+K1746</x:f>
        <x:v>19</x:v>
      </x:c>
    </x:row>
    <x:row r="1748">
      <x:c r="A1748" t="str">
        <x:v>Payment</x:v>
      </x:c>
      <x:c r="B1748" t="str">
        <x:f>'04_checks'!B251</x:f>
        <x:v>P004</x:v>
      </x:c>
      <x:c r="C1748" t="n">
        <x:v>5</x:v>
      </x:c>
      <x:c r="D1748" t="n">
        <x:f>IF('04_checks'!F251="ERROR",1,0)</x:f>
        <x:v>0</x:v>
      </x:c>
      <x:c r="E1748" t="str">
        <x:v>Payment:5:4</x:v>
      </x:c>
      <x:c r="F1748" t="str">
        <x:v>Ошибка расчета</x:v>
      </x:c>
      <x:c r="G1748" t="str">
        <x:v>High</x:v>
      </x:c>
      <x:c r="H1748" t="str">
        <x:v>payment_sum</x:v>
      </x:c>
      <x:c r="I1748" t="str">
        <x:v>Сверить исходные значения и правило расчёта</x:v>
      </x:c>
      <x:c r="J1748" t="n">
        <x:f>IF(D1748=1,K1748,0)</x:f>
        <x:v>0</x:v>
      </x:c>
      <x:c r="K1748" t="n">
        <x:f>D1748+K1747</x:f>
        <x:v>19</x:v>
      </x:c>
    </x:row>
    <x:row r="1749">
      <x:c r="A1749" t="str">
        <x:v>Payment</x:v>
      </x:c>
      <x:c r="B1749" t="str">
        <x:f>'04_checks'!B251</x:f>
        <x:v>P004</x:v>
      </x:c>
      <x:c r="C1749" t="n">
        <x:v>5</x:v>
      </x:c>
      <x:c r="D1749" t="n">
        <x:f>IF('04_checks'!G251="ERROR",1,0)</x:f>
        <x:v>0</x:v>
      </x:c>
      <x:c r="E1749" t="str">
        <x:v>Payment:5:5</x:v>
      </x:c>
      <x:c r="F1749" t="str">
        <x:v>Отрицательная цена</x:v>
      </x:c>
      <x:c r="G1749" t="str">
        <x:v>High</x:v>
      </x:c>
      <x:c r="H1749" t="str">
        <x:v>N/A</x:v>
      </x:c>
      <x:c r="I1749" t="str">
        <x:v>Проверить цену в источнике</x:v>
      </x:c>
      <x:c r="J1749" t="n">
        <x:f>IF(D1749=1,K1749,0)</x:f>
        <x:v>0</x:v>
      </x:c>
      <x:c r="K1749" t="n">
        <x:f>D1749+K1748</x:f>
        <x:v>19</x:v>
      </x:c>
    </x:row>
    <x:row r="1750">
      <x:c r="A1750" t="str">
        <x:v>Payment</x:v>
      </x:c>
      <x:c r="B1750" t="str">
        <x:f>'04_checks'!B251</x:f>
        <x:v>P004</x:v>
      </x:c>
      <x:c r="C1750" t="n">
        <x:v>5</x:v>
      </x:c>
      <x:c r="D1750" t="n">
        <x:f>IF('04_checks'!H251="ERROR",1,0)</x:f>
        <x:v>0</x:v>
      </x:c>
      <x:c r="E1750" t="str">
        <x:v>Payment:5:6</x:v>
      </x:c>
      <x:c r="F1750" t="str">
        <x:v>Дата</x:v>
      </x:c>
      <x:c r="G1750" t="str">
        <x:v>Medium</x:v>
      </x:c>
      <x:c r="H1750" t="str">
        <x:v>payment_date</x:v>
      </x:c>
      <x:c r="I1750" t="str">
        <x:v>Сверить дату со срезом и исходной записью</x:v>
      </x:c>
      <x:c r="J1750" t="n">
        <x:f>IF(D1750=1,K1750,0)</x:f>
        <x:v>0</x:v>
      </x:c>
      <x:c r="K1750" t="n">
        <x:f>D1750+K1749</x:f>
        <x:v>19</x:v>
      </x:c>
    </x:row>
    <x:row r="1751">
      <x:c r="A1751" t="str">
        <x:v>Payment</x:v>
      </x:c>
      <x:c r="B1751" t="str">
        <x:f>'04_checks'!B251</x:f>
        <x:v>P004</x:v>
      </x:c>
      <x:c r="C1751" t="n">
        <x:v>5</x:v>
      </x:c>
      <x:c r="D1751" t="n">
        <x:f>IF('04_checks'!I251="ERROR",1,0)</x:f>
        <x:v>0</x:v>
      </x:c>
      <x:c r="E1751" t="str">
        <x:v>Payment:5:7</x:v>
      </x:c>
      <x:c r="F1751" t="str">
        <x:v>Статус</x:v>
      </x:c>
      <x:c r="G1751" t="str">
        <x:v>Medium</x:v>
      </x:c>
      <x:c r="H1751" t="str">
        <x:v>payment_status</x:v>
      </x:c>
      <x:c r="I1751" t="str">
        <x:v>Выбрать допустимый статус</x:v>
      </x:c>
      <x:c r="J1751" t="n">
        <x:f>IF(D1751=1,K1751,0)</x:f>
        <x:v>0</x:v>
      </x:c>
      <x:c r="K1751" t="n">
        <x:f>D1751+K1750</x:f>
        <x:v>19</x:v>
      </x:c>
    </x:row>
    <x:row r="1752">
      <x:c r="A1752" t="str">
        <x:v>Payment</x:v>
      </x:c>
      <x:c r="B1752" t="str">
        <x:f>'04_checks'!B252</x:f>
        <x:v>P005</x:v>
      </x:c>
      <x:c r="C1752" t="n">
        <x:v>6</x:v>
      </x:c>
      <x:c r="D1752" t="n">
        <x:f>IF('04_checks'!C252="ERROR",1,0)</x:f>
        <x:v>0</x:v>
      </x:c>
      <x:c r="E1752" t="str">
        <x:v>Payment:6:1</x:v>
      </x:c>
      <x:c r="F1752" t="str">
        <x:v>Дубль</x:v>
      </x:c>
      <x:c r="G1752" t="str">
        <x:v>High</x:v>
      </x:c>
      <x:c r="H1752" t="str">
        <x:v>payment_id</x:v>
      </x:c>
      <x:c r="I1752" t="str">
        <x:v>Проверить уникальность ID в источнике; не удалять записи автоматически</x:v>
      </x:c>
      <x:c r="J1752" t="n">
        <x:f>IF(D1752=1,K1752,0)</x:f>
        <x:v>0</x:v>
      </x:c>
      <x:c r="K1752" t="n">
        <x:f>D1752+K1751</x:f>
        <x:v>19</x:v>
      </x:c>
    </x:row>
    <x:row r="1753">
      <x:c r="A1753" t="str">
        <x:v>Payment</x:v>
      </x:c>
      <x:c r="B1753" t="str">
        <x:f>'04_checks'!B252</x:f>
        <x:v>P005</x:v>
      </x:c>
      <x:c r="C1753" t="n">
        <x:v>6</x:v>
      </x:c>
      <x:c r="D1753" t="n">
        <x:f>IF('04_checks'!D252="ERROR",1,0)</x:f>
        <x:v>0</x:v>
      </x:c>
      <x:c r="E1753" t="str">
        <x:v>Payment:6:2</x:v>
      </x:c>
      <x:c r="F1753" t="str">
        <x:v>Пустое поле</x:v>
      </x:c>
      <x:c r="G1753" t="str">
        <x:v>High</x:v>
      </x:c>
      <x:c r="H1753" t="str">
        <x:v>required_fields</x:v>
      </x:c>
      <x:c r="I1753" t="str">
        <x:v>Дополнить обязательные поля в источнике</x:v>
      </x:c>
      <x:c r="J1753" t="n">
        <x:f>IF(D1753=1,K1753,0)</x:f>
        <x:v>0</x:v>
      </x:c>
      <x:c r="K1753" t="n">
        <x:f>D1753+K1752</x:f>
        <x:v>19</x:v>
      </x:c>
    </x:row>
    <x:row r="1754">
      <x:c r="A1754" t="str">
        <x:v>Payment</x:v>
      </x:c>
      <x:c r="B1754" t="str">
        <x:f>'04_checks'!B252</x:f>
        <x:v>P005</x:v>
      </x:c>
      <x:c r="C1754" t="n">
        <x:v>6</x:v>
      </x:c>
      <x:c r="D1754" t="n">
        <x:f>IF('04_checks'!E252="ERROR",1,0)</x:f>
        <x:v>0</x:v>
      </x:c>
      <x:c r="E1754" t="str">
        <x:v>Payment:6:3</x:v>
      </x:c>
      <x:c r="F1754" t="str">
        <x:f>IF(COUNTIF('01_orders_raw'!$A$2:$A$181,'03_payments_raw'!B6)&gt;1,"Неоднозначная связь","Нет связи")</x:f>
        <x:v>Нет связи</x:v>
      </x:c>
      <x:c r="G1754" t="str">
        <x:v>High</x:v>
      </x:c>
      <x:c r="H1754" t="str">
        <x:v>order_id</x:v>
      </x:c>
      <x:c r="I1754" t="str">
        <x:v>Исправить ссылку или разрешить дубли связанного ID</x:v>
      </x:c>
      <x:c r="J1754" t="n">
        <x:f>IF(D1754=1,K1754,0)</x:f>
        <x:v>0</x:v>
      </x:c>
      <x:c r="K1754" t="n">
        <x:f>D1754+K1753</x:f>
        <x:v>19</x:v>
      </x:c>
    </x:row>
    <x:row r="1755">
      <x:c r="A1755" t="str">
        <x:v>Payment</x:v>
      </x:c>
      <x:c r="B1755" t="str">
        <x:f>'04_checks'!B252</x:f>
        <x:v>P005</x:v>
      </x:c>
      <x:c r="C1755" t="n">
        <x:v>6</x:v>
      </x:c>
      <x:c r="D1755" t="n">
        <x:f>IF('04_checks'!F252="ERROR",1,0)</x:f>
        <x:v>0</x:v>
      </x:c>
      <x:c r="E1755" t="str">
        <x:v>Payment:6:4</x:v>
      </x:c>
      <x:c r="F1755" t="str">
        <x:v>Ошибка расчета</x:v>
      </x:c>
      <x:c r="G1755" t="str">
        <x:v>High</x:v>
      </x:c>
      <x:c r="H1755" t="str">
        <x:v>payment_sum</x:v>
      </x:c>
      <x:c r="I1755" t="str">
        <x:v>Сверить исходные значения и правило расчёта</x:v>
      </x:c>
      <x:c r="J1755" t="n">
        <x:f>IF(D1755=1,K1755,0)</x:f>
        <x:v>0</x:v>
      </x:c>
      <x:c r="K1755" t="n">
        <x:f>D1755+K1754</x:f>
        <x:v>19</x:v>
      </x:c>
    </x:row>
    <x:row r="1756">
      <x:c r="A1756" t="str">
        <x:v>Payment</x:v>
      </x:c>
      <x:c r="B1756" t="str">
        <x:f>'04_checks'!B252</x:f>
        <x:v>P005</x:v>
      </x:c>
      <x:c r="C1756" t="n">
        <x:v>6</x:v>
      </x:c>
      <x:c r="D1756" t="n">
        <x:f>IF('04_checks'!G252="ERROR",1,0)</x:f>
        <x:v>0</x:v>
      </x:c>
      <x:c r="E1756" t="str">
        <x:v>Payment:6:5</x:v>
      </x:c>
      <x:c r="F1756" t="str">
        <x:v>Отрицательная цена</x:v>
      </x:c>
      <x:c r="G1756" t="str">
        <x:v>High</x:v>
      </x:c>
      <x:c r="H1756" t="str">
        <x:v>N/A</x:v>
      </x:c>
      <x:c r="I1756" t="str">
        <x:v>Проверить цену в источнике</x:v>
      </x:c>
      <x:c r="J1756" t="n">
        <x:f>IF(D1756=1,K1756,0)</x:f>
        <x:v>0</x:v>
      </x:c>
      <x:c r="K1756" t="n">
        <x:f>D1756+K1755</x:f>
        <x:v>19</x:v>
      </x:c>
    </x:row>
    <x:row r="1757">
      <x:c r="A1757" t="str">
        <x:v>Payment</x:v>
      </x:c>
      <x:c r="B1757" t="str">
        <x:f>'04_checks'!B252</x:f>
        <x:v>P005</x:v>
      </x:c>
      <x:c r="C1757" t="n">
        <x:v>6</x:v>
      </x:c>
      <x:c r="D1757" t="n">
        <x:f>IF('04_checks'!H252="ERROR",1,0)</x:f>
        <x:v>0</x:v>
      </x:c>
      <x:c r="E1757" t="str">
        <x:v>Payment:6:6</x:v>
      </x:c>
      <x:c r="F1757" t="str">
        <x:v>Дата</x:v>
      </x:c>
      <x:c r="G1757" t="str">
        <x:v>Medium</x:v>
      </x:c>
      <x:c r="H1757" t="str">
        <x:v>payment_date</x:v>
      </x:c>
      <x:c r="I1757" t="str">
        <x:v>Сверить дату со срезом и исходной записью</x:v>
      </x:c>
      <x:c r="J1757" t="n">
        <x:f>IF(D1757=1,K1757,0)</x:f>
        <x:v>0</x:v>
      </x:c>
      <x:c r="K1757" t="n">
        <x:f>D1757+K1756</x:f>
        <x:v>19</x:v>
      </x:c>
    </x:row>
    <x:row r="1758">
      <x:c r="A1758" t="str">
        <x:v>Payment</x:v>
      </x:c>
      <x:c r="B1758" t="str">
        <x:f>'04_checks'!B252</x:f>
        <x:v>P005</x:v>
      </x:c>
      <x:c r="C1758" t="n">
        <x:v>6</x:v>
      </x:c>
      <x:c r="D1758" t="n">
        <x:f>IF('04_checks'!I252="ERROR",1,0)</x:f>
        <x:v>0</x:v>
      </x:c>
      <x:c r="E1758" t="str">
        <x:v>Payment:6:7</x:v>
      </x:c>
      <x:c r="F1758" t="str">
        <x:v>Статус</x:v>
      </x:c>
      <x:c r="G1758" t="str">
        <x:v>Medium</x:v>
      </x:c>
      <x:c r="H1758" t="str">
        <x:v>payment_status</x:v>
      </x:c>
      <x:c r="I1758" t="str">
        <x:v>Выбрать допустимый статус</x:v>
      </x:c>
      <x:c r="J1758" t="n">
        <x:f>IF(D1758=1,K1758,0)</x:f>
        <x:v>0</x:v>
      </x:c>
      <x:c r="K1758" t="n">
        <x:f>D1758+K1757</x:f>
        <x:v>19</x:v>
      </x:c>
    </x:row>
    <x:row r="1759">
      <x:c r="A1759" t="str">
        <x:v>Payment</x:v>
      </x:c>
      <x:c r="B1759" t="str">
        <x:f>'04_checks'!B253</x:f>
        <x:v>P006</x:v>
      </x:c>
      <x:c r="C1759" t="n">
        <x:v>7</x:v>
      </x:c>
      <x:c r="D1759" t="n">
        <x:f>IF('04_checks'!C253="ERROR",1,0)</x:f>
        <x:v>0</x:v>
      </x:c>
      <x:c r="E1759" t="str">
        <x:v>Payment:7:1</x:v>
      </x:c>
      <x:c r="F1759" t="str">
        <x:v>Дубль</x:v>
      </x:c>
      <x:c r="G1759" t="str">
        <x:v>High</x:v>
      </x:c>
      <x:c r="H1759" t="str">
        <x:v>payment_id</x:v>
      </x:c>
      <x:c r="I1759" t="str">
        <x:v>Проверить уникальность ID в источнике; не удалять записи автоматически</x:v>
      </x:c>
      <x:c r="J1759" t="n">
        <x:f>IF(D1759=1,K1759,0)</x:f>
        <x:v>0</x:v>
      </x:c>
      <x:c r="K1759" t="n">
        <x:f>D1759+K1758</x:f>
        <x:v>19</x:v>
      </x:c>
    </x:row>
    <x:row r="1760">
      <x:c r="A1760" t="str">
        <x:v>Payment</x:v>
      </x:c>
      <x:c r="B1760" t="str">
        <x:f>'04_checks'!B253</x:f>
        <x:v>P006</x:v>
      </x:c>
      <x:c r="C1760" t="n">
        <x:v>7</x:v>
      </x:c>
      <x:c r="D1760" t="n">
        <x:f>IF('04_checks'!D253="ERROR",1,0)</x:f>
        <x:v>0</x:v>
      </x:c>
      <x:c r="E1760" t="str">
        <x:v>Payment:7:2</x:v>
      </x:c>
      <x:c r="F1760" t="str">
        <x:v>Пустое поле</x:v>
      </x:c>
      <x:c r="G1760" t="str">
        <x:v>High</x:v>
      </x:c>
      <x:c r="H1760" t="str">
        <x:v>required_fields</x:v>
      </x:c>
      <x:c r="I1760" t="str">
        <x:v>Дополнить обязательные поля в источнике</x:v>
      </x:c>
      <x:c r="J1760" t="n">
        <x:f>IF(D1760=1,K1760,0)</x:f>
        <x:v>0</x:v>
      </x:c>
      <x:c r="K1760" t="n">
        <x:f>D1760+K1759</x:f>
        <x:v>19</x:v>
      </x:c>
    </x:row>
    <x:row r="1761">
      <x:c r="A1761" t="str">
        <x:v>Payment</x:v>
      </x:c>
      <x:c r="B1761" t="str">
        <x:f>'04_checks'!B253</x:f>
        <x:v>P006</x:v>
      </x:c>
      <x:c r="C1761" t="n">
        <x:v>7</x:v>
      </x:c>
      <x:c r="D1761" t="n">
        <x:f>IF('04_checks'!E253="ERROR",1,0)</x:f>
        <x:v>0</x:v>
      </x:c>
      <x:c r="E1761" t="str">
        <x:v>Payment:7:3</x:v>
      </x:c>
      <x:c r="F1761" t="str">
        <x:f>IF(COUNTIF('01_orders_raw'!$A$2:$A$181,'03_payments_raw'!B7)&gt;1,"Неоднозначная связь","Нет связи")</x:f>
        <x:v>Нет связи</x:v>
      </x:c>
      <x:c r="G1761" t="str">
        <x:v>High</x:v>
      </x:c>
      <x:c r="H1761" t="str">
        <x:v>order_id</x:v>
      </x:c>
      <x:c r="I1761" t="str">
        <x:v>Исправить ссылку или разрешить дубли связанного ID</x:v>
      </x:c>
      <x:c r="J1761" t="n">
        <x:f>IF(D1761=1,K1761,0)</x:f>
        <x:v>0</x:v>
      </x:c>
      <x:c r="K1761" t="n">
        <x:f>D1761+K1760</x:f>
        <x:v>19</x:v>
      </x:c>
    </x:row>
    <x:row r="1762">
      <x:c r="A1762" t="str">
        <x:v>Payment</x:v>
      </x:c>
      <x:c r="B1762" t="str">
        <x:f>'04_checks'!B253</x:f>
        <x:v>P006</x:v>
      </x:c>
      <x:c r="C1762" t="n">
        <x:v>7</x:v>
      </x:c>
      <x:c r="D1762" t="n">
        <x:f>IF('04_checks'!F253="ERROR",1,0)</x:f>
        <x:v>0</x:v>
      </x:c>
      <x:c r="E1762" t="str">
        <x:v>Payment:7:4</x:v>
      </x:c>
      <x:c r="F1762" t="str">
        <x:v>Ошибка расчета</x:v>
      </x:c>
      <x:c r="G1762" t="str">
        <x:v>High</x:v>
      </x:c>
      <x:c r="H1762" t="str">
        <x:v>payment_sum</x:v>
      </x:c>
      <x:c r="I1762" t="str">
        <x:v>Сверить исходные значения и правило расчёта</x:v>
      </x:c>
      <x:c r="J1762" t="n">
        <x:f>IF(D1762=1,K1762,0)</x:f>
        <x:v>0</x:v>
      </x:c>
      <x:c r="K1762" t="n">
        <x:f>D1762+K1761</x:f>
        <x:v>19</x:v>
      </x:c>
    </x:row>
    <x:row r="1763">
      <x:c r="A1763" t="str">
        <x:v>Payment</x:v>
      </x:c>
      <x:c r="B1763" t="str">
        <x:f>'04_checks'!B253</x:f>
        <x:v>P006</x:v>
      </x:c>
      <x:c r="C1763" t="n">
        <x:v>7</x:v>
      </x:c>
      <x:c r="D1763" t="n">
        <x:f>IF('04_checks'!G253="ERROR",1,0)</x:f>
        <x:v>0</x:v>
      </x:c>
      <x:c r="E1763" t="str">
        <x:v>Payment:7:5</x:v>
      </x:c>
      <x:c r="F1763" t="str">
        <x:v>Отрицательная цена</x:v>
      </x:c>
      <x:c r="G1763" t="str">
        <x:v>High</x:v>
      </x:c>
      <x:c r="H1763" t="str">
        <x:v>N/A</x:v>
      </x:c>
      <x:c r="I1763" t="str">
        <x:v>Проверить цену в источнике</x:v>
      </x:c>
      <x:c r="J1763" t="n">
        <x:f>IF(D1763=1,K1763,0)</x:f>
        <x:v>0</x:v>
      </x:c>
      <x:c r="K1763" t="n">
        <x:f>D1763+K1762</x:f>
        <x:v>19</x:v>
      </x:c>
    </x:row>
    <x:row r="1764">
      <x:c r="A1764" t="str">
        <x:v>Payment</x:v>
      </x:c>
      <x:c r="B1764" t="str">
        <x:f>'04_checks'!B253</x:f>
        <x:v>P006</x:v>
      </x:c>
      <x:c r="C1764" t="n">
        <x:v>7</x:v>
      </x:c>
      <x:c r="D1764" t="n">
        <x:f>IF('04_checks'!H253="ERROR",1,0)</x:f>
        <x:v>0</x:v>
      </x:c>
      <x:c r="E1764" t="str">
        <x:v>Payment:7:6</x:v>
      </x:c>
      <x:c r="F1764" t="str">
        <x:v>Дата</x:v>
      </x:c>
      <x:c r="G1764" t="str">
        <x:v>Medium</x:v>
      </x:c>
      <x:c r="H1764" t="str">
        <x:v>payment_date</x:v>
      </x:c>
      <x:c r="I1764" t="str">
        <x:v>Сверить дату со срезом и исходной записью</x:v>
      </x:c>
      <x:c r="J1764" t="n">
        <x:f>IF(D1764=1,K1764,0)</x:f>
        <x:v>0</x:v>
      </x:c>
      <x:c r="K1764" t="n">
        <x:f>D1764+K1763</x:f>
        <x:v>19</x:v>
      </x:c>
    </x:row>
    <x:row r="1765">
      <x:c r="A1765" t="str">
        <x:v>Payment</x:v>
      </x:c>
      <x:c r="B1765" t="str">
        <x:f>'04_checks'!B253</x:f>
        <x:v>P006</x:v>
      </x:c>
      <x:c r="C1765" t="n">
        <x:v>7</x:v>
      </x:c>
      <x:c r="D1765" t="n">
        <x:f>IF('04_checks'!I253="ERROR",1,0)</x:f>
        <x:v>0</x:v>
      </x:c>
      <x:c r="E1765" t="str">
        <x:v>Payment:7:7</x:v>
      </x:c>
      <x:c r="F1765" t="str">
        <x:v>Статус</x:v>
      </x:c>
      <x:c r="G1765" t="str">
        <x:v>Medium</x:v>
      </x:c>
      <x:c r="H1765" t="str">
        <x:v>payment_status</x:v>
      </x:c>
      <x:c r="I1765" t="str">
        <x:v>Выбрать допустимый статус</x:v>
      </x:c>
      <x:c r="J1765" t="n">
        <x:f>IF(D1765=1,K1765,0)</x:f>
        <x:v>0</x:v>
      </x:c>
      <x:c r="K1765" t="n">
        <x:f>D1765+K1764</x:f>
        <x:v>19</x:v>
      </x:c>
    </x:row>
    <x:row r="1766">
      <x:c r="A1766" t="str">
        <x:v>Payment</x:v>
      </x:c>
      <x:c r="B1766" t="str">
        <x:f>'04_checks'!B254</x:f>
        <x:v>P007</x:v>
      </x:c>
      <x:c r="C1766" t="n">
        <x:v>8</x:v>
      </x:c>
      <x:c r="D1766" t="n">
        <x:f>IF('04_checks'!C254="ERROR",1,0)</x:f>
        <x:v>0</x:v>
      </x:c>
      <x:c r="E1766" t="str">
        <x:v>Payment:8:1</x:v>
      </x:c>
      <x:c r="F1766" t="str">
        <x:v>Дубль</x:v>
      </x:c>
      <x:c r="G1766" t="str">
        <x:v>High</x:v>
      </x:c>
      <x:c r="H1766" t="str">
        <x:v>payment_id</x:v>
      </x:c>
      <x:c r="I1766" t="str">
        <x:v>Проверить уникальность ID в источнике; не удалять записи автоматически</x:v>
      </x:c>
      <x:c r="J1766" t="n">
        <x:f>IF(D1766=1,K1766,0)</x:f>
        <x:v>0</x:v>
      </x:c>
      <x:c r="K1766" t="n">
        <x:f>D1766+K1765</x:f>
        <x:v>19</x:v>
      </x:c>
    </x:row>
    <x:row r="1767">
      <x:c r="A1767" t="str">
        <x:v>Payment</x:v>
      </x:c>
      <x:c r="B1767" t="str">
        <x:f>'04_checks'!B254</x:f>
        <x:v>P007</x:v>
      </x:c>
      <x:c r="C1767" t="n">
        <x:v>8</x:v>
      </x:c>
      <x:c r="D1767" t="n">
        <x:f>IF('04_checks'!D254="ERROR",1,0)</x:f>
        <x:v>0</x:v>
      </x:c>
      <x:c r="E1767" t="str">
        <x:v>Payment:8:2</x:v>
      </x:c>
      <x:c r="F1767" t="str">
        <x:v>Пустое поле</x:v>
      </x:c>
      <x:c r="G1767" t="str">
        <x:v>High</x:v>
      </x:c>
      <x:c r="H1767" t="str">
        <x:v>required_fields</x:v>
      </x:c>
      <x:c r="I1767" t="str">
        <x:v>Дополнить обязательные поля в источнике</x:v>
      </x:c>
      <x:c r="J1767" t="n">
        <x:f>IF(D1767=1,K1767,0)</x:f>
        <x:v>0</x:v>
      </x:c>
      <x:c r="K1767" t="n">
        <x:f>D1767+K1766</x:f>
        <x:v>19</x:v>
      </x:c>
    </x:row>
    <x:row r="1768">
      <x:c r="A1768" t="str">
        <x:v>Payment</x:v>
      </x:c>
      <x:c r="B1768" t="str">
        <x:f>'04_checks'!B254</x:f>
        <x:v>P007</x:v>
      </x:c>
      <x:c r="C1768" t="n">
        <x:v>8</x:v>
      </x:c>
      <x:c r="D1768" t="n">
        <x:f>IF('04_checks'!E254="ERROR",1,0)</x:f>
        <x:v>0</x:v>
      </x:c>
      <x:c r="E1768" t="str">
        <x:v>Payment:8:3</x:v>
      </x:c>
      <x:c r="F1768" t="str">
        <x:f>IF(COUNTIF('01_orders_raw'!$A$2:$A$181,'03_payments_raw'!B8)&gt;1,"Неоднозначная связь","Нет связи")</x:f>
        <x:v>Нет связи</x:v>
      </x:c>
      <x:c r="G1768" t="str">
        <x:v>High</x:v>
      </x:c>
      <x:c r="H1768" t="str">
        <x:v>order_id</x:v>
      </x:c>
      <x:c r="I1768" t="str">
        <x:v>Исправить ссылку или разрешить дубли связанного ID</x:v>
      </x:c>
      <x:c r="J1768" t="n">
        <x:f>IF(D1768=1,K1768,0)</x:f>
        <x:v>0</x:v>
      </x:c>
      <x:c r="K1768" t="n">
        <x:f>D1768+K1767</x:f>
        <x:v>19</x:v>
      </x:c>
    </x:row>
    <x:row r="1769">
      <x:c r="A1769" t="str">
        <x:v>Payment</x:v>
      </x:c>
      <x:c r="B1769" t="str">
        <x:f>'04_checks'!B254</x:f>
        <x:v>P007</x:v>
      </x:c>
      <x:c r="C1769" t="n">
        <x:v>8</x:v>
      </x:c>
      <x:c r="D1769" t="n">
        <x:f>IF('04_checks'!F254="ERROR",1,0)</x:f>
        <x:v>0</x:v>
      </x:c>
      <x:c r="E1769" t="str">
        <x:v>Payment:8:4</x:v>
      </x:c>
      <x:c r="F1769" t="str">
        <x:v>Ошибка расчета</x:v>
      </x:c>
      <x:c r="G1769" t="str">
        <x:v>High</x:v>
      </x:c>
      <x:c r="H1769" t="str">
        <x:v>payment_sum</x:v>
      </x:c>
      <x:c r="I1769" t="str">
        <x:v>Сверить исходные значения и правило расчёта</x:v>
      </x:c>
      <x:c r="J1769" t="n">
        <x:f>IF(D1769=1,K1769,0)</x:f>
        <x:v>0</x:v>
      </x:c>
      <x:c r="K1769" t="n">
        <x:f>D1769+K1768</x:f>
        <x:v>19</x:v>
      </x:c>
    </x:row>
    <x:row r="1770">
      <x:c r="A1770" t="str">
        <x:v>Payment</x:v>
      </x:c>
      <x:c r="B1770" t="str">
        <x:f>'04_checks'!B254</x:f>
        <x:v>P007</x:v>
      </x:c>
      <x:c r="C1770" t="n">
        <x:v>8</x:v>
      </x:c>
      <x:c r="D1770" t="n">
        <x:f>IF('04_checks'!G254="ERROR",1,0)</x:f>
        <x:v>0</x:v>
      </x:c>
      <x:c r="E1770" t="str">
        <x:v>Payment:8:5</x:v>
      </x:c>
      <x:c r="F1770" t="str">
        <x:v>Отрицательная цена</x:v>
      </x:c>
      <x:c r="G1770" t="str">
        <x:v>High</x:v>
      </x:c>
      <x:c r="H1770" t="str">
        <x:v>N/A</x:v>
      </x:c>
      <x:c r="I1770" t="str">
        <x:v>Проверить цену в источнике</x:v>
      </x:c>
      <x:c r="J1770" t="n">
        <x:f>IF(D1770=1,K1770,0)</x:f>
        <x:v>0</x:v>
      </x:c>
      <x:c r="K1770" t="n">
        <x:f>D1770+K1769</x:f>
        <x:v>19</x:v>
      </x:c>
    </x:row>
    <x:row r="1771">
      <x:c r="A1771" t="str">
        <x:v>Payment</x:v>
      </x:c>
      <x:c r="B1771" t="str">
        <x:f>'04_checks'!B254</x:f>
        <x:v>P007</x:v>
      </x:c>
      <x:c r="C1771" t="n">
        <x:v>8</x:v>
      </x:c>
      <x:c r="D1771" t="n">
        <x:f>IF('04_checks'!H254="ERROR",1,0)</x:f>
        <x:v>0</x:v>
      </x:c>
      <x:c r="E1771" t="str">
        <x:v>Payment:8:6</x:v>
      </x:c>
      <x:c r="F1771" t="str">
        <x:v>Дата</x:v>
      </x:c>
      <x:c r="G1771" t="str">
        <x:v>Medium</x:v>
      </x:c>
      <x:c r="H1771" t="str">
        <x:v>payment_date</x:v>
      </x:c>
      <x:c r="I1771" t="str">
        <x:v>Сверить дату со срезом и исходной записью</x:v>
      </x:c>
      <x:c r="J1771" t="n">
        <x:f>IF(D1771=1,K1771,0)</x:f>
        <x:v>0</x:v>
      </x:c>
      <x:c r="K1771" t="n">
        <x:f>D1771+K1770</x:f>
        <x:v>19</x:v>
      </x:c>
    </x:row>
    <x:row r="1772">
      <x:c r="A1772" t="str">
        <x:v>Payment</x:v>
      </x:c>
      <x:c r="B1772" t="str">
        <x:f>'04_checks'!B254</x:f>
        <x:v>P007</x:v>
      </x:c>
      <x:c r="C1772" t="n">
        <x:v>8</x:v>
      </x:c>
      <x:c r="D1772" t="n">
        <x:f>IF('04_checks'!I254="ERROR",1,0)</x:f>
        <x:v>0</x:v>
      </x:c>
      <x:c r="E1772" t="str">
        <x:v>Payment:8:7</x:v>
      </x:c>
      <x:c r="F1772" t="str">
        <x:v>Статус</x:v>
      </x:c>
      <x:c r="G1772" t="str">
        <x:v>Medium</x:v>
      </x:c>
      <x:c r="H1772" t="str">
        <x:v>payment_status</x:v>
      </x:c>
      <x:c r="I1772" t="str">
        <x:v>Выбрать допустимый статус</x:v>
      </x:c>
      <x:c r="J1772" t="n">
        <x:f>IF(D1772=1,K1772,0)</x:f>
        <x:v>0</x:v>
      </x:c>
      <x:c r="K1772" t="n">
        <x:f>D1772+K1771</x:f>
        <x:v>19</x:v>
      </x:c>
    </x:row>
    <x:row r="1773">
      <x:c r="A1773" t="str">
        <x:v>Payment</x:v>
      </x:c>
      <x:c r="B1773" t="str">
        <x:f>'04_checks'!B255</x:f>
        <x:v>P008</x:v>
      </x:c>
      <x:c r="C1773" t="n">
        <x:v>9</x:v>
      </x:c>
      <x:c r="D1773" t="n">
        <x:f>IF('04_checks'!C255="ERROR",1,0)</x:f>
        <x:v>0</x:v>
      </x:c>
      <x:c r="E1773" t="str">
        <x:v>Payment:9:1</x:v>
      </x:c>
      <x:c r="F1773" t="str">
        <x:v>Дубль</x:v>
      </x:c>
      <x:c r="G1773" t="str">
        <x:v>High</x:v>
      </x:c>
      <x:c r="H1773" t="str">
        <x:v>payment_id</x:v>
      </x:c>
      <x:c r="I1773" t="str">
        <x:v>Проверить уникальность ID в источнике; не удалять записи автоматически</x:v>
      </x:c>
      <x:c r="J1773" t="n">
        <x:f>IF(D1773=1,K1773,0)</x:f>
        <x:v>0</x:v>
      </x:c>
      <x:c r="K1773" t="n">
        <x:f>D1773+K1772</x:f>
        <x:v>19</x:v>
      </x:c>
    </x:row>
    <x:row r="1774">
      <x:c r="A1774" t="str">
        <x:v>Payment</x:v>
      </x:c>
      <x:c r="B1774" t="str">
        <x:f>'04_checks'!B255</x:f>
        <x:v>P008</x:v>
      </x:c>
      <x:c r="C1774" t="n">
        <x:v>9</x:v>
      </x:c>
      <x:c r="D1774" t="n">
        <x:f>IF('04_checks'!D255="ERROR",1,0)</x:f>
        <x:v>0</x:v>
      </x:c>
      <x:c r="E1774" t="str">
        <x:v>Payment:9:2</x:v>
      </x:c>
      <x:c r="F1774" t="str">
        <x:v>Пустое поле</x:v>
      </x:c>
      <x:c r="G1774" t="str">
        <x:v>High</x:v>
      </x:c>
      <x:c r="H1774" t="str">
        <x:v>required_fields</x:v>
      </x:c>
      <x:c r="I1774" t="str">
        <x:v>Дополнить обязательные поля в источнике</x:v>
      </x:c>
      <x:c r="J1774" t="n">
        <x:f>IF(D1774=1,K1774,0)</x:f>
        <x:v>0</x:v>
      </x:c>
      <x:c r="K1774" t="n">
        <x:f>D1774+K1773</x:f>
        <x:v>19</x:v>
      </x:c>
    </x:row>
    <x:row r="1775">
      <x:c r="A1775" t="str">
        <x:v>Payment</x:v>
      </x:c>
      <x:c r="B1775" t="str">
        <x:f>'04_checks'!B255</x:f>
        <x:v>P008</x:v>
      </x:c>
      <x:c r="C1775" t="n">
        <x:v>9</x:v>
      </x:c>
      <x:c r="D1775" t="n">
        <x:f>IF('04_checks'!E255="ERROR",1,0)</x:f>
        <x:v>1</x:v>
      </x:c>
      <x:c r="E1775" t="str">
        <x:v>Payment:9:3</x:v>
      </x:c>
      <x:c r="F1775" t="str">
        <x:f>IF(COUNTIF('01_orders_raw'!$A$2:$A$181,'03_payments_raw'!B9)&gt;1,"Неоднозначная связь","Нет связи")</x:f>
        <x:v>Неоднозначная связь</x:v>
      </x:c>
      <x:c r="G1775" t="str">
        <x:v>High</x:v>
      </x:c>
      <x:c r="H1775" t="str">
        <x:v>order_id</x:v>
      </x:c>
      <x:c r="I1775" t="str">
        <x:v>Исправить ссылку или разрешить дубли связанного ID</x:v>
      </x:c>
      <x:c r="J1775" t="n">
        <x:f>IF(D1775=1,K1775,0)</x:f>
        <x:v>20</x:v>
      </x:c>
      <x:c r="K1775" t="n">
        <x:f>D1775+K1774</x:f>
        <x:v>20</x:v>
      </x:c>
    </x:row>
    <x:row r="1776">
      <x:c r="A1776" t="str">
        <x:v>Payment</x:v>
      </x:c>
      <x:c r="B1776" t="str">
        <x:f>'04_checks'!B255</x:f>
        <x:v>P008</x:v>
      </x:c>
      <x:c r="C1776" t="n">
        <x:v>9</x:v>
      </x:c>
      <x:c r="D1776" t="n">
        <x:f>IF('04_checks'!F255="ERROR",1,0)</x:f>
        <x:v>0</x:v>
      </x:c>
      <x:c r="E1776" t="str">
        <x:v>Payment:9:4</x:v>
      </x:c>
      <x:c r="F1776" t="str">
        <x:v>Ошибка расчета</x:v>
      </x:c>
      <x:c r="G1776" t="str">
        <x:v>High</x:v>
      </x:c>
      <x:c r="H1776" t="str">
        <x:v>payment_sum</x:v>
      </x:c>
      <x:c r="I1776" t="str">
        <x:v>Сверить исходные значения и правило расчёта</x:v>
      </x:c>
      <x:c r="J1776" t="n">
        <x:f>IF(D1776=1,K1776,0)</x:f>
        <x:v>0</x:v>
      </x:c>
      <x:c r="K1776" t="n">
        <x:f>D1776+K1775</x:f>
        <x:v>20</x:v>
      </x:c>
    </x:row>
    <x:row r="1777">
      <x:c r="A1777" t="str">
        <x:v>Payment</x:v>
      </x:c>
      <x:c r="B1777" t="str">
        <x:f>'04_checks'!B255</x:f>
        <x:v>P008</x:v>
      </x:c>
      <x:c r="C1777" t="n">
        <x:v>9</x:v>
      </x:c>
      <x:c r="D1777" t="n">
        <x:f>IF('04_checks'!G255="ERROR",1,0)</x:f>
        <x:v>0</x:v>
      </x:c>
      <x:c r="E1777" t="str">
        <x:v>Payment:9:5</x:v>
      </x:c>
      <x:c r="F1777" t="str">
        <x:v>Отрицательная цена</x:v>
      </x:c>
      <x:c r="G1777" t="str">
        <x:v>High</x:v>
      </x:c>
      <x:c r="H1777" t="str">
        <x:v>N/A</x:v>
      </x:c>
      <x:c r="I1777" t="str">
        <x:v>Проверить цену в источнике</x:v>
      </x:c>
      <x:c r="J1777" t="n">
        <x:f>IF(D1777=1,K1777,0)</x:f>
        <x:v>0</x:v>
      </x:c>
      <x:c r="K1777" t="n">
        <x:f>D1777+K1776</x:f>
        <x:v>20</x:v>
      </x:c>
    </x:row>
    <x:row r="1778">
      <x:c r="A1778" t="str">
        <x:v>Payment</x:v>
      </x:c>
      <x:c r="B1778" t="str">
        <x:f>'04_checks'!B255</x:f>
        <x:v>P008</x:v>
      </x:c>
      <x:c r="C1778" t="n">
        <x:v>9</x:v>
      </x:c>
      <x:c r="D1778" t="n">
        <x:f>IF('04_checks'!H255="ERROR",1,0)</x:f>
        <x:v>0</x:v>
      </x:c>
      <x:c r="E1778" t="str">
        <x:v>Payment:9:6</x:v>
      </x:c>
      <x:c r="F1778" t="str">
        <x:v>Дата</x:v>
      </x:c>
      <x:c r="G1778" t="str">
        <x:v>Medium</x:v>
      </x:c>
      <x:c r="H1778" t="str">
        <x:v>payment_date</x:v>
      </x:c>
      <x:c r="I1778" t="str">
        <x:v>Сверить дату со срезом и исходной записью</x:v>
      </x:c>
      <x:c r="J1778" t="n">
        <x:f>IF(D1778=1,K1778,0)</x:f>
        <x:v>0</x:v>
      </x:c>
      <x:c r="K1778" t="n">
        <x:f>D1778+K1777</x:f>
        <x:v>20</x:v>
      </x:c>
    </x:row>
    <x:row r="1779">
      <x:c r="A1779" t="str">
        <x:v>Payment</x:v>
      </x:c>
      <x:c r="B1779" t="str">
        <x:f>'04_checks'!B255</x:f>
        <x:v>P008</x:v>
      </x:c>
      <x:c r="C1779" t="n">
        <x:v>9</x:v>
      </x:c>
      <x:c r="D1779" t="n">
        <x:f>IF('04_checks'!I255="ERROR",1,0)</x:f>
        <x:v>0</x:v>
      </x:c>
      <x:c r="E1779" t="str">
        <x:v>Payment:9:7</x:v>
      </x:c>
      <x:c r="F1779" t="str">
        <x:v>Статус</x:v>
      </x:c>
      <x:c r="G1779" t="str">
        <x:v>Medium</x:v>
      </x:c>
      <x:c r="H1779" t="str">
        <x:v>payment_status</x:v>
      </x:c>
      <x:c r="I1779" t="str">
        <x:v>Выбрать допустимый статус</x:v>
      </x:c>
      <x:c r="J1779" t="n">
        <x:f>IF(D1779=1,K1779,0)</x:f>
        <x:v>0</x:v>
      </x:c>
      <x:c r="K1779" t="n">
        <x:f>D1779+K1778</x:f>
        <x:v>20</x:v>
      </x:c>
    </x:row>
    <x:row r="1780">
      <x:c r="A1780" t="str">
        <x:v>Payment</x:v>
      </x:c>
      <x:c r="B1780" t="str">
        <x:f>'04_checks'!B256</x:f>
        <x:v>P009</x:v>
      </x:c>
      <x:c r="C1780" t="n">
        <x:v>10</x:v>
      </x:c>
      <x:c r="D1780" t="n">
        <x:f>IF('04_checks'!C256="ERROR",1,0)</x:f>
        <x:v>0</x:v>
      </x:c>
      <x:c r="E1780" t="str">
        <x:v>Payment:10:1</x:v>
      </x:c>
      <x:c r="F1780" t="str">
        <x:v>Дубль</x:v>
      </x:c>
      <x:c r="G1780" t="str">
        <x:v>High</x:v>
      </x:c>
      <x:c r="H1780" t="str">
        <x:v>payment_id</x:v>
      </x:c>
      <x:c r="I1780" t="str">
        <x:v>Проверить уникальность ID в источнике; не удалять записи автоматически</x:v>
      </x:c>
      <x:c r="J1780" t="n">
        <x:f>IF(D1780=1,K1780,0)</x:f>
        <x:v>0</x:v>
      </x:c>
      <x:c r="K1780" t="n">
        <x:f>D1780+K1779</x:f>
        <x:v>20</x:v>
      </x:c>
    </x:row>
    <x:row r="1781">
      <x:c r="A1781" t="str">
        <x:v>Payment</x:v>
      </x:c>
      <x:c r="B1781" t="str">
        <x:f>'04_checks'!B256</x:f>
        <x:v>P009</x:v>
      </x:c>
      <x:c r="C1781" t="n">
        <x:v>10</x:v>
      </x:c>
      <x:c r="D1781" t="n">
        <x:f>IF('04_checks'!D256="ERROR",1,0)</x:f>
        <x:v>0</x:v>
      </x:c>
      <x:c r="E1781" t="str">
        <x:v>Payment:10:2</x:v>
      </x:c>
      <x:c r="F1781" t="str">
        <x:v>Пустое поле</x:v>
      </x:c>
      <x:c r="G1781" t="str">
        <x:v>High</x:v>
      </x:c>
      <x:c r="H1781" t="str">
        <x:v>required_fields</x:v>
      </x:c>
      <x:c r="I1781" t="str">
        <x:v>Дополнить обязательные поля в источнике</x:v>
      </x:c>
      <x:c r="J1781" t="n">
        <x:f>IF(D1781=1,K1781,0)</x:f>
        <x:v>0</x:v>
      </x:c>
      <x:c r="K1781" t="n">
        <x:f>D1781+K1780</x:f>
        <x:v>20</x:v>
      </x:c>
    </x:row>
    <x:row r="1782">
      <x:c r="A1782" t="str">
        <x:v>Payment</x:v>
      </x:c>
      <x:c r="B1782" t="str">
        <x:f>'04_checks'!B256</x:f>
        <x:v>P009</x:v>
      </x:c>
      <x:c r="C1782" t="n">
        <x:v>10</x:v>
      </x:c>
      <x:c r="D1782" t="n">
        <x:f>IF('04_checks'!E256="ERROR",1,0)</x:f>
        <x:v>0</x:v>
      </x:c>
      <x:c r="E1782" t="str">
        <x:v>Payment:10:3</x:v>
      </x:c>
      <x:c r="F1782" t="str">
        <x:f>IF(COUNTIF('01_orders_raw'!$A$2:$A$181,'03_payments_raw'!B10)&gt;1,"Неоднозначная связь","Нет связи")</x:f>
        <x:v>Нет связи</x:v>
      </x:c>
      <x:c r="G1782" t="str">
        <x:v>High</x:v>
      </x:c>
      <x:c r="H1782" t="str">
        <x:v>order_id</x:v>
      </x:c>
      <x:c r="I1782" t="str">
        <x:v>Исправить ссылку или разрешить дубли связанного ID</x:v>
      </x:c>
      <x:c r="J1782" t="n">
        <x:f>IF(D1782=1,K1782,0)</x:f>
        <x:v>0</x:v>
      </x:c>
      <x:c r="K1782" t="n">
        <x:f>D1782+K1781</x:f>
        <x:v>20</x:v>
      </x:c>
    </x:row>
    <x:row r="1783">
      <x:c r="A1783" t="str">
        <x:v>Payment</x:v>
      </x:c>
      <x:c r="B1783" t="str">
        <x:f>'04_checks'!B256</x:f>
        <x:v>P009</x:v>
      </x:c>
      <x:c r="C1783" t="n">
        <x:v>10</x:v>
      </x:c>
      <x:c r="D1783" t="n">
        <x:f>IF('04_checks'!F256="ERROR",1,0)</x:f>
        <x:v>0</x:v>
      </x:c>
      <x:c r="E1783" t="str">
        <x:v>Payment:10:4</x:v>
      </x:c>
      <x:c r="F1783" t="str">
        <x:v>Ошибка расчета</x:v>
      </x:c>
      <x:c r="G1783" t="str">
        <x:v>High</x:v>
      </x:c>
      <x:c r="H1783" t="str">
        <x:v>payment_sum</x:v>
      </x:c>
      <x:c r="I1783" t="str">
        <x:v>Сверить исходные значения и правило расчёта</x:v>
      </x:c>
      <x:c r="J1783" t="n">
        <x:f>IF(D1783=1,K1783,0)</x:f>
        <x:v>0</x:v>
      </x:c>
      <x:c r="K1783" t="n">
        <x:f>D1783+K1782</x:f>
        <x:v>20</x:v>
      </x:c>
    </x:row>
    <x:row r="1784">
      <x:c r="A1784" t="str">
        <x:v>Payment</x:v>
      </x:c>
      <x:c r="B1784" t="str">
        <x:f>'04_checks'!B256</x:f>
        <x:v>P009</x:v>
      </x:c>
      <x:c r="C1784" t="n">
        <x:v>10</x:v>
      </x:c>
      <x:c r="D1784" t="n">
        <x:f>IF('04_checks'!G256="ERROR",1,0)</x:f>
        <x:v>0</x:v>
      </x:c>
      <x:c r="E1784" t="str">
        <x:v>Payment:10:5</x:v>
      </x:c>
      <x:c r="F1784" t="str">
        <x:v>Отрицательная цена</x:v>
      </x:c>
      <x:c r="G1784" t="str">
        <x:v>High</x:v>
      </x:c>
      <x:c r="H1784" t="str">
        <x:v>N/A</x:v>
      </x:c>
      <x:c r="I1784" t="str">
        <x:v>Проверить цену в источнике</x:v>
      </x:c>
      <x:c r="J1784" t="n">
        <x:f>IF(D1784=1,K1784,0)</x:f>
        <x:v>0</x:v>
      </x:c>
      <x:c r="K1784" t="n">
        <x:f>D1784+K1783</x:f>
        <x:v>20</x:v>
      </x:c>
    </x:row>
    <x:row r="1785">
      <x:c r="A1785" t="str">
        <x:v>Payment</x:v>
      </x:c>
      <x:c r="B1785" t="str">
        <x:f>'04_checks'!B256</x:f>
        <x:v>P009</x:v>
      </x:c>
      <x:c r="C1785" t="n">
        <x:v>10</x:v>
      </x:c>
      <x:c r="D1785" t="n">
        <x:f>IF('04_checks'!H256="ERROR",1,0)</x:f>
        <x:v>0</x:v>
      </x:c>
      <x:c r="E1785" t="str">
        <x:v>Payment:10:6</x:v>
      </x:c>
      <x:c r="F1785" t="str">
        <x:v>Дата</x:v>
      </x:c>
      <x:c r="G1785" t="str">
        <x:v>Medium</x:v>
      </x:c>
      <x:c r="H1785" t="str">
        <x:v>payment_date</x:v>
      </x:c>
      <x:c r="I1785" t="str">
        <x:v>Сверить дату со срезом и исходной записью</x:v>
      </x:c>
      <x:c r="J1785" t="n">
        <x:f>IF(D1785=1,K1785,0)</x:f>
        <x:v>0</x:v>
      </x:c>
      <x:c r="K1785" t="n">
        <x:f>D1785+K1784</x:f>
        <x:v>20</x:v>
      </x:c>
    </x:row>
    <x:row r="1786">
      <x:c r="A1786" t="str">
        <x:v>Payment</x:v>
      </x:c>
      <x:c r="B1786" t="str">
        <x:f>'04_checks'!B256</x:f>
        <x:v>P009</x:v>
      </x:c>
      <x:c r="C1786" t="n">
        <x:v>10</x:v>
      </x:c>
      <x:c r="D1786" t="n">
        <x:f>IF('04_checks'!I256="ERROR",1,0)</x:f>
        <x:v>0</x:v>
      </x:c>
      <x:c r="E1786" t="str">
        <x:v>Payment:10:7</x:v>
      </x:c>
      <x:c r="F1786" t="str">
        <x:v>Статус</x:v>
      </x:c>
      <x:c r="G1786" t="str">
        <x:v>Medium</x:v>
      </x:c>
      <x:c r="H1786" t="str">
        <x:v>payment_status</x:v>
      </x:c>
      <x:c r="I1786" t="str">
        <x:v>Выбрать допустимый статус</x:v>
      </x:c>
      <x:c r="J1786" t="n">
        <x:f>IF(D1786=1,K1786,0)</x:f>
        <x:v>0</x:v>
      </x:c>
      <x:c r="K1786" t="n">
        <x:f>D1786+K1785</x:f>
        <x:v>20</x:v>
      </x:c>
    </x:row>
    <x:row r="1787">
      <x:c r="A1787" t="str">
        <x:v>Payment</x:v>
      </x:c>
      <x:c r="B1787" t="str">
        <x:f>'04_checks'!B257</x:f>
        <x:v>P010</x:v>
      </x:c>
      <x:c r="C1787" t="n">
        <x:v>11</x:v>
      </x:c>
      <x:c r="D1787" t="n">
        <x:f>IF('04_checks'!C257="ERROR",1,0)</x:f>
        <x:v>0</x:v>
      </x:c>
      <x:c r="E1787" t="str">
        <x:v>Payment:11:1</x:v>
      </x:c>
      <x:c r="F1787" t="str">
        <x:v>Дубль</x:v>
      </x:c>
      <x:c r="G1787" t="str">
        <x:v>High</x:v>
      </x:c>
      <x:c r="H1787" t="str">
        <x:v>payment_id</x:v>
      </x:c>
      <x:c r="I1787" t="str">
        <x:v>Проверить уникальность ID в источнике; не удалять записи автоматически</x:v>
      </x:c>
      <x:c r="J1787" t="n">
        <x:f>IF(D1787=1,K1787,0)</x:f>
        <x:v>0</x:v>
      </x:c>
      <x:c r="K1787" t="n">
        <x:f>D1787+K1786</x:f>
        <x:v>20</x:v>
      </x:c>
    </x:row>
    <x:row r="1788">
      <x:c r="A1788" t="str">
        <x:v>Payment</x:v>
      </x:c>
      <x:c r="B1788" t="str">
        <x:f>'04_checks'!B257</x:f>
        <x:v>P010</x:v>
      </x:c>
      <x:c r="C1788" t="n">
        <x:v>11</x:v>
      </x:c>
      <x:c r="D1788" t="n">
        <x:f>IF('04_checks'!D257="ERROR",1,0)</x:f>
        <x:v>0</x:v>
      </x:c>
      <x:c r="E1788" t="str">
        <x:v>Payment:11:2</x:v>
      </x:c>
      <x:c r="F1788" t="str">
        <x:v>Пустое поле</x:v>
      </x:c>
      <x:c r="G1788" t="str">
        <x:v>High</x:v>
      </x:c>
      <x:c r="H1788" t="str">
        <x:v>required_fields</x:v>
      </x:c>
      <x:c r="I1788" t="str">
        <x:v>Дополнить обязательные поля в источнике</x:v>
      </x:c>
      <x:c r="J1788" t="n">
        <x:f>IF(D1788=1,K1788,0)</x:f>
        <x:v>0</x:v>
      </x:c>
      <x:c r="K1788" t="n">
        <x:f>D1788+K1787</x:f>
        <x:v>20</x:v>
      </x:c>
    </x:row>
    <x:row r="1789">
      <x:c r="A1789" t="str">
        <x:v>Payment</x:v>
      </x:c>
      <x:c r="B1789" t="str">
        <x:f>'04_checks'!B257</x:f>
        <x:v>P010</x:v>
      </x:c>
      <x:c r="C1789" t="n">
        <x:v>11</x:v>
      </x:c>
      <x:c r="D1789" t="n">
        <x:f>IF('04_checks'!E257="ERROR",1,0)</x:f>
        <x:v>1</x:v>
      </x:c>
      <x:c r="E1789" t="str">
        <x:v>Payment:11:3</x:v>
      </x:c>
      <x:c r="F1789" t="str">
        <x:f>IF(COUNTIF('01_orders_raw'!$A$2:$A$181,'03_payments_raw'!B11)&gt;1,"Неоднозначная связь","Нет связи")</x:f>
        <x:v>Нет связи</x:v>
      </x:c>
      <x:c r="G1789" t="str">
        <x:v>High</x:v>
      </x:c>
      <x:c r="H1789" t="str">
        <x:v>order_id</x:v>
      </x:c>
      <x:c r="I1789" t="str">
        <x:v>Исправить ссылку или разрешить дубли связанного ID</x:v>
      </x:c>
      <x:c r="J1789" t="n">
        <x:f>IF(D1789=1,K1789,0)</x:f>
        <x:v>21</x:v>
      </x:c>
      <x:c r="K1789" t="n">
        <x:f>D1789+K1788</x:f>
        <x:v>21</x:v>
      </x:c>
    </x:row>
    <x:row r="1790">
      <x:c r="A1790" t="str">
        <x:v>Payment</x:v>
      </x:c>
      <x:c r="B1790" t="str">
        <x:f>'04_checks'!B257</x:f>
        <x:v>P010</x:v>
      </x:c>
      <x:c r="C1790" t="n">
        <x:v>11</x:v>
      </x:c>
      <x:c r="D1790" t="n">
        <x:f>IF('04_checks'!F257="ERROR",1,0)</x:f>
        <x:v>0</x:v>
      </x:c>
      <x:c r="E1790" t="str">
        <x:v>Payment:11:4</x:v>
      </x:c>
      <x:c r="F1790" t="str">
        <x:v>Ошибка расчета</x:v>
      </x:c>
      <x:c r="G1790" t="str">
        <x:v>High</x:v>
      </x:c>
      <x:c r="H1790" t="str">
        <x:v>payment_sum</x:v>
      </x:c>
      <x:c r="I1790" t="str">
        <x:v>Сверить исходные значения и правило расчёта</x:v>
      </x:c>
      <x:c r="J1790" t="n">
        <x:f>IF(D1790=1,K1790,0)</x:f>
        <x:v>0</x:v>
      </x:c>
      <x:c r="K1790" t="n">
        <x:f>D1790+K1789</x:f>
        <x:v>21</x:v>
      </x:c>
    </x:row>
    <x:row r="1791">
      <x:c r="A1791" t="str">
        <x:v>Payment</x:v>
      </x:c>
      <x:c r="B1791" t="str">
        <x:f>'04_checks'!B257</x:f>
        <x:v>P010</x:v>
      </x:c>
      <x:c r="C1791" t="n">
        <x:v>11</x:v>
      </x:c>
      <x:c r="D1791" t="n">
        <x:f>IF('04_checks'!G257="ERROR",1,0)</x:f>
        <x:v>0</x:v>
      </x:c>
      <x:c r="E1791" t="str">
        <x:v>Payment:11:5</x:v>
      </x:c>
      <x:c r="F1791" t="str">
        <x:v>Отрицательная цена</x:v>
      </x:c>
      <x:c r="G1791" t="str">
        <x:v>High</x:v>
      </x:c>
      <x:c r="H1791" t="str">
        <x:v>N/A</x:v>
      </x:c>
      <x:c r="I1791" t="str">
        <x:v>Проверить цену в источнике</x:v>
      </x:c>
      <x:c r="J1791" t="n">
        <x:f>IF(D1791=1,K1791,0)</x:f>
        <x:v>0</x:v>
      </x:c>
      <x:c r="K1791" t="n">
        <x:f>D1791+K1790</x:f>
        <x:v>21</x:v>
      </x:c>
    </x:row>
    <x:row r="1792">
      <x:c r="A1792" t="str">
        <x:v>Payment</x:v>
      </x:c>
      <x:c r="B1792" t="str">
        <x:f>'04_checks'!B257</x:f>
        <x:v>P010</x:v>
      </x:c>
      <x:c r="C1792" t="n">
        <x:v>11</x:v>
      </x:c>
      <x:c r="D1792" t="n">
        <x:f>IF('04_checks'!H257="ERROR",1,0)</x:f>
        <x:v>0</x:v>
      </x:c>
      <x:c r="E1792" t="str">
        <x:v>Payment:11:6</x:v>
      </x:c>
      <x:c r="F1792" t="str">
        <x:v>Дата</x:v>
      </x:c>
      <x:c r="G1792" t="str">
        <x:v>Medium</x:v>
      </x:c>
      <x:c r="H1792" t="str">
        <x:v>payment_date</x:v>
      </x:c>
      <x:c r="I1792" t="str">
        <x:v>Сверить дату со срезом и исходной записью</x:v>
      </x:c>
      <x:c r="J1792" t="n">
        <x:f>IF(D1792=1,K1792,0)</x:f>
        <x:v>0</x:v>
      </x:c>
      <x:c r="K1792" t="n">
        <x:f>D1792+K1791</x:f>
        <x:v>21</x:v>
      </x:c>
    </x:row>
    <x:row r="1793">
      <x:c r="A1793" t="str">
        <x:v>Payment</x:v>
      </x:c>
      <x:c r="B1793" t="str">
        <x:f>'04_checks'!B257</x:f>
        <x:v>P010</x:v>
      </x:c>
      <x:c r="C1793" t="n">
        <x:v>11</x:v>
      </x:c>
      <x:c r="D1793" t="n">
        <x:f>IF('04_checks'!I257="ERROR",1,0)</x:f>
        <x:v>0</x:v>
      </x:c>
      <x:c r="E1793" t="str">
        <x:v>Payment:11:7</x:v>
      </x:c>
      <x:c r="F1793" t="str">
        <x:v>Статус</x:v>
      </x:c>
      <x:c r="G1793" t="str">
        <x:v>Medium</x:v>
      </x:c>
      <x:c r="H1793" t="str">
        <x:v>payment_status</x:v>
      </x:c>
      <x:c r="I1793" t="str">
        <x:v>Выбрать допустимый статус</x:v>
      </x:c>
      <x:c r="J1793" t="n">
        <x:f>IF(D1793=1,K1793,0)</x:f>
        <x:v>0</x:v>
      </x:c>
      <x:c r="K1793" t="n">
        <x:f>D1793+K1792</x:f>
        <x:v>21</x:v>
      </x:c>
    </x:row>
    <x:row r="1794">
      <x:c r="A1794" t="str">
        <x:v>Payment</x:v>
      </x:c>
      <x:c r="B1794" t="str">
        <x:f>'04_checks'!B258</x:f>
        <x:v>P011</x:v>
      </x:c>
      <x:c r="C1794" t="n">
        <x:v>12</x:v>
      </x:c>
      <x:c r="D1794" t="n">
        <x:f>IF('04_checks'!C258="ERROR",1,0)</x:f>
        <x:v>0</x:v>
      </x:c>
      <x:c r="E1794" t="str">
        <x:v>Payment:12:1</x:v>
      </x:c>
      <x:c r="F1794" t="str">
        <x:v>Дубль</x:v>
      </x:c>
      <x:c r="G1794" t="str">
        <x:v>High</x:v>
      </x:c>
      <x:c r="H1794" t="str">
        <x:v>payment_id</x:v>
      </x:c>
      <x:c r="I1794" t="str">
        <x:v>Проверить уникальность ID в источнике; не удалять записи автоматически</x:v>
      </x:c>
      <x:c r="J1794" t="n">
        <x:f>IF(D1794=1,K1794,0)</x:f>
        <x:v>0</x:v>
      </x:c>
      <x:c r="K1794" t="n">
        <x:f>D1794+K1793</x:f>
        <x:v>21</x:v>
      </x:c>
    </x:row>
    <x:row r="1795">
      <x:c r="A1795" t="str">
        <x:v>Payment</x:v>
      </x:c>
      <x:c r="B1795" t="str">
        <x:f>'04_checks'!B258</x:f>
        <x:v>P011</x:v>
      </x:c>
      <x:c r="C1795" t="n">
        <x:v>12</x:v>
      </x:c>
      <x:c r="D1795" t="n">
        <x:f>IF('04_checks'!D258="ERROR",1,0)</x:f>
        <x:v>0</x:v>
      </x:c>
      <x:c r="E1795" t="str">
        <x:v>Payment:12:2</x:v>
      </x:c>
      <x:c r="F1795" t="str">
        <x:v>Пустое поле</x:v>
      </x:c>
      <x:c r="G1795" t="str">
        <x:v>High</x:v>
      </x:c>
      <x:c r="H1795" t="str">
        <x:v>required_fields</x:v>
      </x:c>
      <x:c r="I1795" t="str">
        <x:v>Дополнить обязательные поля в источнике</x:v>
      </x:c>
      <x:c r="J1795" t="n">
        <x:f>IF(D1795=1,K1795,0)</x:f>
        <x:v>0</x:v>
      </x:c>
      <x:c r="K1795" t="n">
        <x:f>D1795+K1794</x:f>
        <x:v>21</x:v>
      </x:c>
    </x:row>
    <x:row r="1796">
      <x:c r="A1796" t="str">
        <x:v>Payment</x:v>
      </x:c>
      <x:c r="B1796" t="str">
        <x:f>'04_checks'!B258</x:f>
        <x:v>P011</x:v>
      </x:c>
      <x:c r="C1796" t="n">
        <x:v>12</x:v>
      </x:c>
      <x:c r="D1796" t="n">
        <x:f>IF('04_checks'!E258="ERROR",1,0)</x:f>
        <x:v>0</x:v>
      </x:c>
      <x:c r="E1796" t="str">
        <x:v>Payment:12:3</x:v>
      </x:c>
      <x:c r="F1796" t="str">
        <x:f>IF(COUNTIF('01_orders_raw'!$A$2:$A$181,'03_payments_raw'!B12)&gt;1,"Неоднозначная связь","Нет связи")</x:f>
        <x:v>Нет связи</x:v>
      </x:c>
      <x:c r="G1796" t="str">
        <x:v>High</x:v>
      </x:c>
      <x:c r="H1796" t="str">
        <x:v>order_id</x:v>
      </x:c>
      <x:c r="I1796" t="str">
        <x:v>Исправить ссылку или разрешить дубли связанного ID</x:v>
      </x:c>
      <x:c r="J1796" t="n">
        <x:f>IF(D1796=1,K1796,0)</x:f>
        <x:v>0</x:v>
      </x:c>
      <x:c r="K1796" t="n">
        <x:f>D1796+K1795</x:f>
        <x:v>21</x:v>
      </x:c>
    </x:row>
    <x:row r="1797">
      <x:c r="A1797" t="str">
        <x:v>Payment</x:v>
      </x:c>
      <x:c r="B1797" t="str">
        <x:f>'04_checks'!B258</x:f>
        <x:v>P011</x:v>
      </x:c>
      <x:c r="C1797" t="n">
        <x:v>12</x:v>
      </x:c>
      <x:c r="D1797" t="n">
        <x:f>IF('04_checks'!F258="ERROR",1,0)</x:f>
        <x:v>0</x:v>
      </x:c>
      <x:c r="E1797" t="str">
        <x:v>Payment:12:4</x:v>
      </x:c>
      <x:c r="F1797" t="str">
        <x:v>Ошибка расчета</x:v>
      </x:c>
      <x:c r="G1797" t="str">
        <x:v>High</x:v>
      </x:c>
      <x:c r="H1797" t="str">
        <x:v>payment_sum</x:v>
      </x:c>
      <x:c r="I1797" t="str">
        <x:v>Сверить исходные значения и правило расчёта</x:v>
      </x:c>
      <x:c r="J1797" t="n">
        <x:f>IF(D1797=1,K1797,0)</x:f>
        <x:v>0</x:v>
      </x:c>
      <x:c r="K1797" t="n">
        <x:f>D1797+K1796</x:f>
        <x:v>21</x:v>
      </x:c>
    </x:row>
    <x:row r="1798">
      <x:c r="A1798" t="str">
        <x:v>Payment</x:v>
      </x:c>
      <x:c r="B1798" t="str">
        <x:f>'04_checks'!B258</x:f>
        <x:v>P011</x:v>
      </x:c>
      <x:c r="C1798" t="n">
        <x:v>12</x:v>
      </x:c>
      <x:c r="D1798" t="n">
        <x:f>IF('04_checks'!G258="ERROR",1,0)</x:f>
        <x:v>0</x:v>
      </x:c>
      <x:c r="E1798" t="str">
        <x:v>Payment:12:5</x:v>
      </x:c>
      <x:c r="F1798" t="str">
        <x:v>Отрицательная цена</x:v>
      </x:c>
      <x:c r="G1798" t="str">
        <x:v>High</x:v>
      </x:c>
      <x:c r="H1798" t="str">
        <x:v>N/A</x:v>
      </x:c>
      <x:c r="I1798" t="str">
        <x:v>Проверить цену в источнике</x:v>
      </x:c>
      <x:c r="J1798" t="n">
        <x:f>IF(D1798=1,K1798,0)</x:f>
        <x:v>0</x:v>
      </x:c>
      <x:c r="K1798" t="n">
        <x:f>D1798+K1797</x:f>
        <x:v>21</x:v>
      </x:c>
    </x:row>
    <x:row r="1799">
      <x:c r="A1799" t="str">
        <x:v>Payment</x:v>
      </x:c>
      <x:c r="B1799" t="str">
        <x:f>'04_checks'!B258</x:f>
        <x:v>P011</x:v>
      </x:c>
      <x:c r="C1799" t="n">
        <x:v>12</x:v>
      </x:c>
      <x:c r="D1799" t="n">
        <x:f>IF('04_checks'!H258="ERROR",1,0)</x:f>
        <x:v>0</x:v>
      </x:c>
      <x:c r="E1799" t="str">
        <x:v>Payment:12:6</x:v>
      </x:c>
      <x:c r="F1799" t="str">
        <x:v>Дата</x:v>
      </x:c>
      <x:c r="G1799" t="str">
        <x:v>Medium</x:v>
      </x:c>
      <x:c r="H1799" t="str">
        <x:v>payment_date</x:v>
      </x:c>
      <x:c r="I1799" t="str">
        <x:v>Сверить дату со срезом и исходной записью</x:v>
      </x:c>
      <x:c r="J1799" t="n">
        <x:f>IF(D1799=1,K1799,0)</x:f>
        <x:v>0</x:v>
      </x:c>
      <x:c r="K1799" t="n">
        <x:f>D1799+K1798</x:f>
        <x:v>21</x:v>
      </x:c>
    </x:row>
    <x:row r="1800">
      <x:c r="A1800" t="str">
        <x:v>Payment</x:v>
      </x:c>
      <x:c r="B1800" t="str">
        <x:f>'04_checks'!B258</x:f>
        <x:v>P011</x:v>
      </x:c>
      <x:c r="C1800" t="n">
        <x:v>12</x:v>
      </x:c>
      <x:c r="D1800" t="n">
        <x:f>IF('04_checks'!I258="ERROR",1,0)</x:f>
        <x:v>0</x:v>
      </x:c>
      <x:c r="E1800" t="str">
        <x:v>Payment:12:7</x:v>
      </x:c>
      <x:c r="F1800" t="str">
        <x:v>Статус</x:v>
      </x:c>
      <x:c r="G1800" t="str">
        <x:v>Medium</x:v>
      </x:c>
      <x:c r="H1800" t="str">
        <x:v>payment_status</x:v>
      </x:c>
      <x:c r="I1800" t="str">
        <x:v>Выбрать допустимый статус</x:v>
      </x:c>
      <x:c r="J1800" t="n">
        <x:f>IF(D1800=1,K1800,0)</x:f>
        <x:v>0</x:v>
      </x:c>
      <x:c r="K1800" t="n">
        <x:f>D1800+K1799</x:f>
        <x:v>21</x:v>
      </x:c>
    </x:row>
    <x:row r="1801">
      <x:c r="A1801" t="str">
        <x:v>Payment</x:v>
      </x:c>
      <x:c r="B1801" t="str">
        <x:f>'04_checks'!B259</x:f>
        <x:v>P012</x:v>
      </x:c>
      <x:c r="C1801" t="n">
        <x:v>13</x:v>
      </x:c>
      <x:c r="D1801" t="n">
        <x:f>IF('04_checks'!C259="ERROR",1,0)</x:f>
        <x:v>0</x:v>
      </x:c>
      <x:c r="E1801" t="str">
        <x:v>Payment:13:1</x:v>
      </x:c>
      <x:c r="F1801" t="str">
        <x:v>Дубль</x:v>
      </x:c>
      <x:c r="G1801" t="str">
        <x:v>High</x:v>
      </x:c>
      <x:c r="H1801" t="str">
        <x:v>payment_id</x:v>
      </x:c>
      <x:c r="I1801" t="str">
        <x:v>Проверить уникальность ID в источнике; не удалять записи автоматически</x:v>
      </x:c>
      <x:c r="J1801" t="n">
        <x:f>IF(D1801=1,K1801,0)</x:f>
        <x:v>0</x:v>
      </x:c>
      <x:c r="K1801" t="n">
        <x:f>D1801+K1800</x:f>
        <x:v>21</x:v>
      </x:c>
    </x:row>
    <x:row r="1802">
      <x:c r="A1802" t="str">
        <x:v>Payment</x:v>
      </x:c>
      <x:c r="B1802" t="str">
        <x:f>'04_checks'!B259</x:f>
        <x:v>P012</x:v>
      </x:c>
      <x:c r="C1802" t="n">
        <x:v>13</x:v>
      </x:c>
      <x:c r="D1802" t="n">
        <x:f>IF('04_checks'!D259="ERROR",1,0)</x:f>
        <x:v>0</x:v>
      </x:c>
      <x:c r="E1802" t="str">
        <x:v>Payment:13:2</x:v>
      </x:c>
      <x:c r="F1802" t="str">
        <x:v>Пустое поле</x:v>
      </x:c>
      <x:c r="G1802" t="str">
        <x:v>High</x:v>
      </x:c>
      <x:c r="H1802" t="str">
        <x:v>required_fields</x:v>
      </x:c>
      <x:c r="I1802" t="str">
        <x:v>Дополнить обязательные поля в источнике</x:v>
      </x:c>
      <x:c r="J1802" t="n">
        <x:f>IF(D1802=1,K1802,0)</x:f>
        <x:v>0</x:v>
      </x:c>
      <x:c r="K1802" t="n">
        <x:f>D1802+K1801</x:f>
        <x:v>21</x:v>
      </x:c>
    </x:row>
    <x:row r="1803">
      <x:c r="A1803" t="str">
        <x:v>Payment</x:v>
      </x:c>
      <x:c r="B1803" t="str">
        <x:f>'04_checks'!B259</x:f>
        <x:v>P012</x:v>
      </x:c>
      <x:c r="C1803" t="n">
        <x:v>13</x:v>
      </x:c>
      <x:c r="D1803" t="n">
        <x:f>IF('04_checks'!E259="ERROR",1,0)</x:f>
        <x:v>0</x:v>
      </x:c>
      <x:c r="E1803" t="str">
        <x:v>Payment:13:3</x:v>
      </x:c>
      <x:c r="F1803" t="str">
        <x:f>IF(COUNTIF('01_orders_raw'!$A$2:$A$181,'03_payments_raw'!B13)&gt;1,"Неоднозначная связь","Нет связи")</x:f>
        <x:v>Нет связи</x:v>
      </x:c>
      <x:c r="G1803" t="str">
        <x:v>High</x:v>
      </x:c>
      <x:c r="H1803" t="str">
        <x:v>order_id</x:v>
      </x:c>
      <x:c r="I1803" t="str">
        <x:v>Исправить ссылку или разрешить дубли связанного ID</x:v>
      </x:c>
      <x:c r="J1803" t="n">
        <x:f>IF(D1803=1,K1803,0)</x:f>
        <x:v>0</x:v>
      </x:c>
      <x:c r="K1803" t="n">
        <x:f>D1803+K1802</x:f>
        <x:v>21</x:v>
      </x:c>
    </x:row>
    <x:row r="1804">
      <x:c r="A1804" t="str">
        <x:v>Payment</x:v>
      </x:c>
      <x:c r="B1804" t="str">
        <x:f>'04_checks'!B259</x:f>
        <x:v>P012</x:v>
      </x:c>
      <x:c r="C1804" t="n">
        <x:v>13</x:v>
      </x:c>
      <x:c r="D1804" t="n">
        <x:f>IF('04_checks'!F259="ERROR",1,0)</x:f>
        <x:v>0</x:v>
      </x:c>
      <x:c r="E1804" t="str">
        <x:v>Payment:13:4</x:v>
      </x:c>
      <x:c r="F1804" t="str">
        <x:v>Ошибка расчета</x:v>
      </x:c>
      <x:c r="G1804" t="str">
        <x:v>High</x:v>
      </x:c>
      <x:c r="H1804" t="str">
        <x:v>payment_sum</x:v>
      </x:c>
      <x:c r="I1804" t="str">
        <x:v>Сверить исходные значения и правило расчёта</x:v>
      </x:c>
      <x:c r="J1804" t="n">
        <x:f>IF(D1804=1,K1804,0)</x:f>
        <x:v>0</x:v>
      </x:c>
      <x:c r="K1804" t="n">
        <x:f>D1804+K1803</x:f>
        <x:v>21</x:v>
      </x:c>
    </x:row>
    <x:row r="1805">
      <x:c r="A1805" t="str">
        <x:v>Payment</x:v>
      </x:c>
      <x:c r="B1805" t="str">
        <x:f>'04_checks'!B259</x:f>
        <x:v>P012</x:v>
      </x:c>
      <x:c r="C1805" t="n">
        <x:v>13</x:v>
      </x:c>
      <x:c r="D1805" t="n">
        <x:f>IF('04_checks'!G259="ERROR",1,0)</x:f>
        <x:v>0</x:v>
      </x:c>
      <x:c r="E1805" t="str">
        <x:v>Payment:13:5</x:v>
      </x:c>
      <x:c r="F1805" t="str">
        <x:v>Отрицательная цена</x:v>
      </x:c>
      <x:c r="G1805" t="str">
        <x:v>High</x:v>
      </x:c>
      <x:c r="H1805" t="str">
        <x:v>N/A</x:v>
      </x:c>
      <x:c r="I1805" t="str">
        <x:v>Проверить цену в источнике</x:v>
      </x:c>
      <x:c r="J1805" t="n">
        <x:f>IF(D1805=1,K1805,0)</x:f>
        <x:v>0</x:v>
      </x:c>
      <x:c r="K1805" t="n">
        <x:f>D1805+K1804</x:f>
        <x:v>21</x:v>
      </x:c>
    </x:row>
    <x:row r="1806">
      <x:c r="A1806" t="str">
        <x:v>Payment</x:v>
      </x:c>
      <x:c r="B1806" t="str">
        <x:f>'04_checks'!B259</x:f>
        <x:v>P012</x:v>
      </x:c>
      <x:c r="C1806" t="n">
        <x:v>13</x:v>
      </x:c>
      <x:c r="D1806" t="n">
        <x:f>IF('04_checks'!H259="ERROR",1,0)</x:f>
        <x:v>0</x:v>
      </x:c>
      <x:c r="E1806" t="str">
        <x:v>Payment:13:6</x:v>
      </x:c>
      <x:c r="F1806" t="str">
        <x:v>Дата</x:v>
      </x:c>
      <x:c r="G1806" t="str">
        <x:v>Medium</x:v>
      </x:c>
      <x:c r="H1806" t="str">
        <x:v>payment_date</x:v>
      </x:c>
      <x:c r="I1806" t="str">
        <x:v>Сверить дату со срезом и исходной записью</x:v>
      </x:c>
      <x:c r="J1806" t="n">
        <x:f>IF(D1806=1,K1806,0)</x:f>
        <x:v>0</x:v>
      </x:c>
      <x:c r="K1806" t="n">
        <x:f>D1806+K1805</x:f>
        <x:v>21</x:v>
      </x:c>
    </x:row>
    <x:row r="1807">
      <x:c r="A1807" t="str">
        <x:v>Payment</x:v>
      </x:c>
      <x:c r="B1807" t="str">
        <x:f>'04_checks'!B259</x:f>
        <x:v>P012</x:v>
      </x:c>
      <x:c r="C1807" t="n">
        <x:v>13</x:v>
      </x:c>
      <x:c r="D1807" t="n">
        <x:f>IF('04_checks'!I259="ERROR",1,0)</x:f>
        <x:v>0</x:v>
      </x:c>
      <x:c r="E1807" t="str">
        <x:v>Payment:13:7</x:v>
      </x:c>
      <x:c r="F1807" t="str">
        <x:v>Статус</x:v>
      </x:c>
      <x:c r="G1807" t="str">
        <x:v>Medium</x:v>
      </x:c>
      <x:c r="H1807" t="str">
        <x:v>payment_status</x:v>
      </x:c>
      <x:c r="I1807" t="str">
        <x:v>Выбрать допустимый статус</x:v>
      </x:c>
      <x:c r="J1807" t="n">
        <x:f>IF(D1807=1,K1807,0)</x:f>
        <x:v>0</x:v>
      </x:c>
      <x:c r="K1807" t="n">
        <x:f>D1807+K1806</x:f>
        <x:v>21</x:v>
      </x:c>
    </x:row>
    <x:row r="1808">
      <x:c r="A1808" t="str">
        <x:v>Payment</x:v>
      </x:c>
      <x:c r="B1808" t="str">
        <x:f>'04_checks'!B260</x:f>
        <x:v>P013</x:v>
      </x:c>
      <x:c r="C1808" t="n">
        <x:v>14</x:v>
      </x:c>
      <x:c r="D1808" t="n">
        <x:f>IF('04_checks'!C260="ERROR",1,0)</x:f>
        <x:v>0</x:v>
      </x:c>
      <x:c r="E1808" t="str">
        <x:v>Payment:14:1</x:v>
      </x:c>
      <x:c r="F1808" t="str">
        <x:v>Дубль</x:v>
      </x:c>
      <x:c r="G1808" t="str">
        <x:v>High</x:v>
      </x:c>
      <x:c r="H1808" t="str">
        <x:v>payment_id</x:v>
      </x:c>
      <x:c r="I1808" t="str">
        <x:v>Проверить уникальность ID в источнике; не удалять записи автоматически</x:v>
      </x:c>
      <x:c r="J1808" t="n">
        <x:f>IF(D1808=1,K1808,0)</x:f>
        <x:v>0</x:v>
      </x:c>
      <x:c r="K1808" t="n">
        <x:f>D1808+K1807</x:f>
        <x:v>21</x:v>
      </x:c>
    </x:row>
    <x:row r="1809">
      <x:c r="A1809" t="str">
        <x:v>Payment</x:v>
      </x:c>
      <x:c r="B1809" t="str">
        <x:f>'04_checks'!B260</x:f>
        <x:v>P013</x:v>
      </x:c>
      <x:c r="C1809" t="n">
        <x:v>14</x:v>
      </x:c>
      <x:c r="D1809" t="n">
        <x:f>IF('04_checks'!D260="ERROR",1,0)</x:f>
        <x:v>0</x:v>
      </x:c>
      <x:c r="E1809" t="str">
        <x:v>Payment:14:2</x:v>
      </x:c>
      <x:c r="F1809" t="str">
        <x:v>Пустое поле</x:v>
      </x:c>
      <x:c r="G1809" t="str">
        <x:v>High</x:v>
      </x:c>
      <x:c r="H1809" t="str">
        <x:v>required_fields</x:v>
      </x:c>
      <x:c r="I1809" t="str">
        <x:v>Дополнить обязательные поля в источнике</x:v>
      </x:c>
      <x:c r="J1809" t="n">
        <x:f>IF(D1809=1,K1809,0)</x:f>
        <x:v>0</x:v>
      </x:c>
      <x:c r="K1809" t="n">
        <x:f>D1809+K1808</x:f>
        <x:v>21</x:v>
      </x:c>
    </x:row>
    <x:row r="1810">
      <x:c r="A1810" t="str">
        <x:v>Payment</x:v>
      </x:c>
      <x:c r="B1810" t="str">
        <x:f>'04_checks'!B260</x:f>
        <x:v>P013</x:v>
      </x:c>
      <x:c r="C1810" t="n">
        <x:v>14</x:v>
      </x:c>
      <x:c r="D1810" t="n">
        <x:f>IF('04_checks'!E260="ERROR",1,0)</x:f>
        <x:v>0</x:v>
      </x:c>
      <x:c r="E1810" t="str">
        <x:v>Payment:14:3</x:v>
      </x:c>
      <x:c r="F1810" t="str">
        <x:f>IF(COUNTIF('01_orders_raw'!$A$2:$A$181,'03_payments_raw'!B14)&gt;1,"Неоднозначная связь","Нет связи")</x:f>
        <x:v>Нет связи</x:v>
      </x:c>
      <x:c r="G1810" t="str">
        <x:v>High</x:v>
      </x:c>
      <x:c r="H1810" t="str">
        <x:v>order_id</x:v>
      </x:c>
      <x:c r="I1810" t="str">
        <x:v>Исправить ссылку или разрешить дубли связанного ID</x:v>
      </x:c>
      <x:c r="J1810" t="n">
        <x:f>IF(D1810=1,K1810,0)</x:f>
        <x:v>0</x:v>
      </x:c>
      <x:c r="K1810" t="n">
        <x:f>D1810+K1809</x:f>
        <x:v>21</x:v>
      </x:c>
    </x:row>
    <x:row r="1811">
      <x:c r="A1811" t="str">
        <x:v>Payment</x:v>
      </x:c>
      <x:c r="B1811" t="str">
        <x:f>'04_checks'!B260</x:f>
        <x:v>P013</x:v>
      </x:c>
      <x:c r="C1811" t="n">
        <x:v>14</x:v>
      </x:c>
      <x:c r="D1811" t="n">
        <x:f>IF('04_checks'!F260="ERROR",1,0)</x:f>
        <x:v>0</x:v>
      </x:c>
      <x:c r="E1811" t="str">
        <x:v>Payment:14:4</x:v>
      </x:c>
      <x:c r="F1811" t="str">
        <x:v>Ошибка расчета</x:v>
      </x:c>
      <x:c r="G1811" t="str">
        <x:v>High</x:v>
      </x:c>
      <x:c r="H1811" t="str">
        <x:v>payment_sum</x:v>
      </x:c>
      <x:c r="I1811" t="str">
        <x:v>Сверить исходные значения и правило расчёта</x:v>
      </x:c>
      <x:c r="J1811" t="n">
        <x:f>IF(D1811=1,K1811,0)</x:f>
        <x:v>0</x:v>
      </x:c>
      <x:c r="K1811" t="n">
        <x:f>D1811+K1810</x:f>
        <x:v>21</x:v>
      </x:c>
    </x:row>
    <x:row r="1812">
      <x:c r="A1812" t="str">
        <x:v>Payment</x:v>
      </x:c>
      <x:c r="B1812" t="str">
        <x:f>'04_checks'!B260</x:f>
        <x:v>P013</x:v>
      </x:c>
      <x:c r="C1812" t="n">
        <x:v>14</x:v>
      </x:c>
      <x:c r="D1812" t="n">
        <x:f>IF('04_checks'!G260="ERROR",1,0)</x:f>
        <x:v>0</x:v>
      </x:c>
      <x:c r="E1812" t="str">
        <x:v>Payment:14:5</x:v>
      </x:c>
      <x:c r="F1812" t="str">
        <x:v>Отрицательная цена</x:v>
      </x:c>
      <x:c r="G1812" t="str">
        <x:v>High</x:v>
      </x:c>
      <x:c r="H1812" t="str">
        <x:v>N/A</x:v>
      </x:c>
      <x:c r="I1812" t="str">
        <x:v>Проверить цену в источнике</x:v>
      </x:c>
      <x:c r="J1812" t="n">
        <x:f>IF(D1812=1,K1812,0)</x:f>
        <x:v>0</x:v>
      </x:c>
      <x:c r="K1812" t="n">
        <x:f>D1812+K1811</x:f>
        <x:v>21</x:v>
      </x:c>
    </x:row>
    <x:row r="1813">
      <x:c r="A1813" t="str">
        <x:v>Payment</x:v>
      </x:c>
      <x:c r="B1813" t="str">
        <x:f>'04_checks'!B260</x:f>
        <x:v>P013</x:v>
      </x:c>
      <x:c r="C1813" t="n">
        <x:v>14</x:v>
      </x:c>
      <x:c r="D1813" t="n">
        <x:f>IF('04_checks'!H260="ERROR",1,0)</x:f>
        <x:v>0</x:v>
      </x:c>
      <x:c r="E1813" t="str">
        <x:v>Payment:14:6</x:v>
      </x:c>
      <x:c r="F1813" t="str">
        <x:v>Дата</x:v>
      </x:c>
      <x:c r="G1813" t="str">
        <x:v>Medium</x:v>
      </x:c>
      <x:c r="H1813" t="str">
        <x:v>payment_date</x:v>
      </x:c>
      <x:c r="I1813" t="str">
        <x:v>Сверить дату со срезом и исходной записью</x:v>
      </x:c>
      <x:c r="J1813" t="n">
        <x:f>IF(D1813=1,K1813,0)</x:f>
        <x:v>0</x:v>
      </x:c>
      <x:c r="K1813" t="n">
        <x:f>D1813+K1812</x:f>
        <x:v>21</x:v>
      </x:c>
    </x:row>
    <x:row r="1814">
      <x:c r="A1814" t="str">
        <x:v>Payment</x:v>
      </x:c>
      <x:c r="B1814" t="str">
        <x:f>'04_checks'!B260</x:f>
        <x:v>P013</x:v>
      </x:c>
      <x:c r="C1814" t="n">
        <x:v>14</x:v>
      </x:c>
      <x:c r="D1814" t="n">
        <x:f>IF('04_checks'!I260="ERROR",1,0)</x:f>
        <x:v>0</x:v>
      </x:c>
      <x:c r="E1814" t="str">
        <x:v>Payment:14:7</x:v>
      </x:c>
      <x:c r="F1814" t="str">
        <x:v>Статус</x:v>
      </x:c>
      <x:c r="G1814" t="str">
        <x:v>Medium</x:v>
      </x:c>
      <x:c r="H1814" t="str">
        <x:v>payment_status</x:v>
      </x:c>
      <x:c r="I1814" t="str">
        <x:v>Выбрать допустимый статус</x:v>
      </x:c>
      <x:c r="J1814" t="n">
        <x:f>IF(D1814=1,K1814,0)</x:f>
        <x:v>0</x:v>
      </x:c>
      <x:c r="K1814" t="n">
        <x:f>D1814+K1813</x:f>
        <x:v>21</x:v>
      </x:c>
    </x:row>
    <x:row r="1815">
      <x:c r="A1815" t="str">
        <x:v>Payment</x:v>
      </x:c>
      <x:c r="B1815" t="str">
        <x:f>'04_checks'!B261</x:f>
        <x:v>P014</x:v>
      </x:c>
      <x:c r="C1815" t="n">
        <x:v>15</x:v>
      </x:c>
      <x:c r="D1815" t="n">
        <x:f>IF('04_checks'!C261="ERROR",1,0)</x:f>
        <x:v>0</x:v>
      </x:c>
      <x:c r="E1815" t="str">
        <x:v>Payment:15:1</x:v>
      </x:c>
      <x:c r="F1815" t="str">
        <x:v>Дубль</x:v>
      </x:c>
      <x:c r="G1815" t="str">
        <x:v>High</x:v>
      </x:c>
      <x:c r="H1815" t="str">
        <x:v>payment_id</x:v>
      </x:c>
      <x:c r="I1815" t="str">
        <x:v>Проверить уникальность ID в источнике; не удалять записи автоматически</x:v>
      </x:c>
      <x:c r="J1815" t="n">
        <x:f>IF(D1815=1,K1815,0)</x:f>
        <x:v>0</x:v>
      </x:c>
      <x:c r="K1815" t="n">
        <x:f>D1815+K1814</x:f>
        <x:v>21</x:v>
      </x:c>
    </x:row>
    <x:row r="1816">
      <x:c r="A1816" t="str">
        <x:v>Payment</x:v>
      </x:c>
      <x:c r="B1816" t="str">
        <x:f>'04_checks'!B261</x:f>
        <x:v>P014</x:v>
      </x:c>
      <x:c r="C1816" t="n">
        <x:v>15</x:v>
      </x:c>
      <x:c r="D1816" t="n">
        <x:f>IF('04_checks'!D261="ERROR",1,0)</x:f>
        <x:v>0</x:v>
      </x:c>
      <x:c r="E1816" t="str">
        <x:v>Payment:15:2</x:v>
      </x:c>
      <x:c r="F1816" t="str">
        <x:v>Пустое поле</x:v>
      </x:c>
      <x:c r="G1816" t="str">
        <x:v>High</x:v>
      </x:c>
      <x:c r="H1816" t="str">
        <x:v>required_fields</x:v>
      </x:c>
      <x:c r="I1816" t="str">
        <x:v>Дополнить обязательные поля в источнике</x:v>
      </x:c>
      <x:c r="J1816" t="n">
        <x:f>IF(D1816=1,K1816,0)</x:f>
        <x:v>0</x:v>
      </x:c>
      <x:c r="K1816" t="n">
        <x:f>D1816+K1815</x:f>
        <x:v>21</x:v>
      </x:c>
    </x:row>
    <x:row r="1817">
      <x:c r="A1817" t="str">
        <x:v>Payment</x:v>
      </x:c>
      <x:c r="B1817" t="str">
        <x:f>'04_checks'!B261</x:f>
        <x:v>P014</x:v>
      </x:c>
      <x:c r="C1817" t="n">
        <x:v>15</x:v>
      </x:c>
      <x:c r="D1817" t="n">
        <x:f>IF('04_checks'!E261="ERROR",1,0)</x:f>
        <x:v>0</x:v>
      </x:c>
      <x:c r="E1817" t="str">
        <x:v>Payment:15:3</x:v>
      </x:c>
      <x:c r="F1817" t="str">
        <x:f>IF(COUNTIF('01_orders_raw'!$A$2:$A$181,'03_payments_raw'!B15)&gt;1,"Неоднозначная связь","Нет связи")</x:f>
        <x:v>Нет связи</x:v>
      </x:c>
      <x:c r="G1817" t="str">
        <x:v>High</x:v>
      </x:c>
      <x:c r="H1817" t="str">
        <x:v>order_id</x:v>
      </x:c>
      <x:c r="I1817" t="str">
        <x:v>Исправить ссылку или разрешить дубли связанного ID</x:v>
      </x:c>
      <x:c r="J1817" t="n">
        <x:f>IF(D1817=1,K1817,0)</x:f>
        <x:v>0</x:v>
      </x:c>
      <x:c r="K1817" t="n">
        <x:f>D1817+K1816</x:f>
        <x:v>21</x:v>
      </x:c>
    </x:row>
    <x:row r="1818">
      <x:c r="A1818" t="str">
        <x:v>Payment</x:v>
      </x:c>
      <x:c r="B1818" t="str">
        <x:f>'04_checks'!B261</x:f>
        <x:v>P014</x:v>
      </x:c>
      <x:c r="C1818" t="n">
        <x:v>15</x:v>
      </x:c>
      <x:c r="D1818" t="n">
        <x:f>IF('04_checks'!F261="ERROR",1,0)</x:f>
        <x:v>0</x:v>
      </x:c>
      <x:c r="E1818" t="str">
        <x:v>Payment:15:4</x:v>
      </x:c>
      <x:c r="F1818" t="str">
        <x:v>Ошибка расчета</x:v>
      </x:c>
      <x:c r="G1818" t="str">
        <x:v>High</x:v>
      </x:c>
      <x:c r="H1818" t="str">
        <x:v>payment_sum</x:v>
      </x:c>
      <x:c r="I1818" t="str">
        <x:v>Сверить исходные значения и правило расчёта</x:v>
      </x:c>
      <x:c r="J1818" t="n">
        <x:f>IF(D1818=1,K1818,0)</x:f>
        <x:v>0</x:v>
      </x:c>
      <x:c r="K1818" t="n">
        <x:f>D1818+K1817</x:f>
        <x:v>21</x:v>
      </x:c>
    </x:row>
    <x:row r="1819">
      <x:c r="A1819" t="str">
        <x:v>Payment</x:v>
      </x:c>
      <x:c r="B1819" t="str">
        <x:f>'04_checks'!B261</x:f>
        <x:v>P014</x:v>
      </x:c>
      <x:c r="C1819" t="n">
        <x:v>15</x:v>
      </x:c>
      <x:c r="D1819" t="n">
        <x:f>IF('04_checks'!G261="ERROR",1,0)</x:f>
        <x:v>0</x:v>
      </x:c>
      <x:c r="E1819" t="str">
        <x:v>Payment:15:5</x:v>
      </x:c>
      <x:c r="F1819" t="str">
        <x:v>Отрицательная цена</x:v>
      </x:c>
      <x:c r="G1819" t="str">
        <x:v>High</x:v>
      </x:c>
      <x:c r="H1819" t="str">
        <x:v>N/A</x:v>
      </x:c>
      <x:c r="I1819" t="str">
        <x:v>Проверить цену в источнике</x:v>
      </x:c>
      <x:c r="J1819" t="n">
        <x:f>IF(D1819=1,K1819,0)</x:f>
        <x:v>0</x:v>
      </x:c>
      <x:c r="K1819" t="n">
        <x:f>D1819+K1818</x:f>
        <x:v>21</x:v>
      </x:c>
    </x:row>
    <x:row r="1820">
      <x:c r="A1820" t="str">
        <x:v>Payment</x:v>
      </x:c>
      <x:c r="B1820" t="str">
        <x:f>'04_checks'!B261</x:f>
        <x:v>P014</x:v>
      </x:c>
      <x:c r="C1820" t="n">
        <x:v>15</x:v>
      </x:c>
      <x:c r="D1820" t="n">
        <x:f>IF('04_checks'!H261="ERROR",1,0)</x:f>
        <x:v>0</x:v>
      </x:c>
      <x:c r="E1820" t="str">
        <x:v>Payment:15:6</x:v>
      </x:c>
      <x:c r="F1820" t="str">
        <x:v>Дата</x:v>
      </x:c>
      <x:c r="G1820" t="str">
        <x:v>Medium</x:v>
      </x:c>
      <x:c r="H1820" t="str">
        <x:v>payment_date</x:v>
      </x:c>
      <x:c r="I1820" t="str">
        <x:v>Сверить дату со срезом и исходной записью</x:v>
      </x:c>
      <x:c r="J1820" t="n">
        <x:f>IF(D1820=1,K1820,0)</x:f>
        <x:v>0</x:v>
      </x:c>
      <x:c r="K1820" t="n">
        <x:f>D1820+K1819</x:f>
        <x:v>21</x:v>
      </x:c>
    </x:row>
    <x:row r="1821">
      <x:c r="A1821" t="str">
        <x:v>Payment</x:v>
      </x:c>
      <x:c r="B1821" t="str">
        <x:f>'04_checks'!B261</x:f>
        <x:v>P014</x:v>
      </x:c>
      <x:c r="C1821" t="n">
        <x:v>15</x:v>
      </x:c>
      <x:c r="D1821" t="n">
        <x:f>IF('04_checks'!I261="ERROR",1,0)</x:f>
        <x:v>0</x:v>
      </x:c>
      <x:c r="E1821" t="str">
        <x:v>Payment:15:7</x:v>
      </x:c>
      <x:c r="F1821" t="str">
        <x:v>Статус</x:v>
      </x:c>
      <x:c r="G1821" t="str">
        <x:v>Medium</x:v>
      </x:c>
      <x:c r="H1821" t="str">
        <x:v>payment_status</x:v>
      </x:c>
      <x:c r="I1821" t="str">
        <x:v>Выбрать допустимый статус</x:v>
      </x:c>
      <x:c r="J1821" t="n">
        <x:f>IF(D1821=1,K1821,0)</x:f>
        <x:v>0</x:v>
      </x:c>
      <x:c r="K1821" t="n">
        <x:f>D1821+K1820</x:f>
        <x:v>21</x:v>
      </x:c>
    </x:row>
    <x:row r="1822">
      <x:c r="A1822" t="str">
        <x:v>Payment</x:v>
      </x:c>
      <x:c r="B1822" t="str">
        <x:f>'04_checks'!B262</x:f>
        <x:v>P015</x:v>
      </x:c>
      <x:c r="C1822" t="n">
        <x:v>16</x:v>
      </x:c>
      <x:c r="D1822" t="n">
        <x:f>IF('04_checks'!C262="ERROR",1,0)</x:f>
        <x:v>0</x:v>
      </x:c>
      <x:c r="E1822" t="str">
        <x:v>Payment:16:1</x:v>
      </x:c>
      <x:c r="F1822" t="str">
        <x:v>Дубль</x:v>
      </x:c>
      <x:c r="G1822" t="str">
        <x:v>High</x:v>
      </x:c>
      <x:c r="H1822" t="str">
        <x:v>payment_id</x:v>
      </x:c>
      <x:c r="I1822" t="str">
        <x:v>Проверить уникальность ID в источнике; не удалять записи автоматически</x:v>
      </x:c>
      <x:c r="J1822" t="n">
        <x:f>IF(D1822=1,K1822,0)</x:f>
        <x:v>0</x:v>
      </x:c>
      <x:c r="K1822" t="n">
        <x:f>D1822+K1821</x:f>
        <x:v>21</x:v>
      </x:c>
    </x:row>
    <x:row r="1823">
      <x:c r="A1823" t="str">
        <x:v>Payment</x:v>
      </x:c>
      <x:c r="B1823" t="str">
        <x:f>'04_checks'!B262</x:f>
        <x:v>P015</x:v>
      </x:c>
      <x:c r="C1823" t="n">
        <x:v>16</x:v>
      </x:c>
      <x:c r="D1823" t="n">
        <x:f>IF('04_checks'!D262="ERROR",1,0)</x:f>
        <x:v>0</x:v>
      </x:c>
      <x:c r="E1823" t="str">
        <x:v>Payment:16:2</x:v>
      </x:c>
      <x:c r="F1823" t="str">
        <x:v>Пустое поле</x:v>
      </x:c>
      <x:c r="G1823" t="str">
        <x:v>High</x:v>
      </x:c>
      <x:c r="H1823" t="str">
        <x:v>required_fields</x:v>
      </x:c>
      <x:c r="I1823" t="str">
        <x:v>Дополнить обязательные поля в источнике</x:v>
      </x:c>
      <x:c r="J1823" t="n">
        <x:f>IF(D1823=1,K1823,0)</x:f>
        <x:v>0</x:v>
      </x:c>
      <x:c r="K1823" t="n">
        <x:f>D1823+K1822</x:f>
        <x:v>21</x:v>
      </x:c>
    </x:row>
    <x:row r="1824">
      <x:c r="A1824" t="str">
        <x:v>Payment</x:v>
      </x:c>
      <x:c r="B1824" t="str">
        <x:f>'04_checks'!B262</x:f>
        <x:v>P015</x:v>
      </x:c>
      <x:c r="C1824" t="n">
        <x:v>16</x:v>
      </x:c>
      <x:c r="D1824" t="n">
        <x:f>IF('04_checks'!E262="ERROR",1,0)</x:f>
        <x:v>0</x:v>
      </x:c>
      <x:c r="E1824" t="str">
        <x:v>Payment:16:3</x:v>
      </x:c>
      <x:c r="F1824" t="str">
        <x:f>IF(COUNTIF('01_orders_raw'!$A$2:$A$181,'03_payments_raw'!B16)&gt;1,"Неоднозначная связь","Нет связи")</x:f>
        <x:v>Нет связи</x:v>
      </x:c>
      <x:c r="G1824" t="str">
        <x:v>High</x:v>
      </x:c>
      <x:c r="H1824" t="str">
        <x:v>order_id</x:v>
      </x:c>
      <x:c r="I1824" t="str">
        <x:v>Исправить ссылку или разрешить дубли связанного ID</x:v>
      </x:c>
      <x:c r="J1824" t="n">
        <x:f>IF(D1824=1,K1824,0)</x:f>
        <x:v>0</x:v>
      </x:c>
      <x:c r="K1824" t="n">
        <x:f>D1824+K1823</x:f>
        <x:v>21</x:v>
      </x:c>
    </x:row>
    <x:row r="1825">
      <x:c r="A1825" t="str">
        <x:v>Payment</x:v>
      </x:c>
      <x:c r="B1825" t="str">
        <x:f>'04_checks'!B262</x:f>
        <x:v>P015</x:v>
      </x:c>
      <x:c r="C1825" t="n">
        <x:v>16</x:v>
      </x:c>
      <x:c r="D1825" t="n">
        <x:f>IF('04_checks'!F262="ERROR",1,0)</x:f>
        <x:v>0</x:v>
      </x:c>
      <x:c r="E1825" t="str">
        <x:v>Payment:16:4</x:v>
      </x:c>
      <x:c r="F1825" t="str">
        <x:v>Ошибка расчета</x:v>
      </x:c>
      <x:c r="G1825" t="str">
        <x:v>High</x:v>
      </x:c>
      <x:c r="H1825" t="str">
        <x:v>payment_sum</x:v>
      </x:c>
      <x:c r="I1825" t="str">
        <x:v>Сверить исходные значения и правило расчёта</x:v>
      </x:c>
      <x:c r="J1825" t="n">
        <x:f>IF(D1825=1,K1825,0)</x:f>
        <x:v>0</x:v>
      </x:c>
      <x:c r="K1825" t="n">
        <x:f>D1825+K1824</x:f>
        <x:v>21</x:v>
      </x:c>
    </x:row>
    <x:row r="1826">
      <x:c r="A1826" t="str">
        <x:v>Payment</x:v>
      </x:c>
      <x:c r="B1826" t="str">
        <x:f>'04_checks'!B262</x:f>
        <x:v>P015</x:v>
      </x:c>
      <x:c r="C1826" t="n">
        <x:v>16</x:v>
      </x:c>
      <x:c r="D1826" t="n">
        <x:f>IF('04_checks'!G262="ERROR",1,0)</x:f>
        <x:v>0</x:v>
      </x:c>
      <x:c r="E1826" t="str">
        <x:v>Payment:16:5</x:v>
      </x:c>
      <x:c r="F1826" t="str">
        <x:v>Отрицательная цена</x:v>
      </x:c>
      <x:c r="G1826" t="str">
        <x:v>High</x:v>
      </x:c>
      <x:c r="H1826" t="str">
        <x:v>N/A</x:v>
      </x:c>
      <x:c r="I1826" t="str">
        <x:v>Проверить цену в источнике</x:v>
      </x:c>
      <x:c r="J1826" t="n">
        <x:f>IF(D1826=1,K1826,0)</x:f>
        <x:v>0</x:v>
      </x:c>
      <x:c r="K1826" t="n">
        <x:f>D1826+K1825</x:f>
        <x:v>21</x:v>
      </x:c>
    </x:row>
    <x:row r="1827">
      <x:c r="A1827" t="str">
        <x:v>Payment</x:v>
      </x:c>
      <x:c r="B1827" t="str">
        <x:f>'04_checks'!B262</x:f>
        <x:v>P015</x:v>
      </x:c>
      <x:c r="C1827" t="n">
        <x:v>16</x:v>
      </x:c>
      <x:c r="D1827" t="n">
        <x:f>IF('04_checks'!H262="ERROR",1,0)</x:f>
        <x:v>0</x:v>
      </x:c>
      <x:c r="E1827" t="str">
        <x:v>Payment:16:6</x:v>
      </x:c>
      <x:c r="F1827" t="str">
        <x:v>Дата</x:v>
      </x:c>
      <x:c r="G1827" t="str">
        <x:v>Medium</x:v>
      </x:c>
      <x:c r="H1827" t="str">
        <x:v>payment_date</x:v>
      </x:c>
      <x:c r="I1827" t="str">
        <x:v>Сверить дату со срезом и исходной записью</x:v>
      </x:c>
      <x:c r="J1827" t="n">
        <x:f>IF(D1827=1,K1827,0)</x:f>
        <x:v>0</x:v>
      </x:c>
      <x:c r="K1827" t="n">
        <x:f>D1827+K1826</x:f>
        <x:v>21</x:v>
      </x:c>
    </x:row>
    <x:row r="1828">
      <x:c r="A1828" t="str">
        <x:v>Payment</x:v>
      </x:c>
      <x:c r="B1828" t="str">
        <x:f>'04_checks'!B262</x:f>
        <x:v>P015</x:v>
      </x:c>
      <x:c r="C1828" t="n">
        <x:v>16</x:v>
      </x:c>
      <x:c r="D1828" t="n">
        <x:f>IF('04_checks'!I262="ERROR",1,0)</x:f>
        <x:v>0</x:v>
      </x:c>
      <x:c r="E1828" t="str">
        <x:v>Payment:16:7</x:v>
      </x:c>
      <x:c r="F1828" t="str">
        <x:v>Статус</x:v>
      </x:c>
      <x:c r="G1828" t="str">
        <x:v>Medium</x:v>
      </x:c>
      <x:c r="H1828" t="str">
        <x:v>payment_status</x:v>
      </x:c>
      <x:c r="I1828" t="str">
        <x:v>Выбрать допустимый статус</x:v>
      </x:c>
      <x:c r="J1828" t="n">
        <x:f>IF(D1828=1,K1828,0)</x:f>
        <x:v>0</x:v>
      </x:c>
      <x:c r="K1828" t="n">
        <x:f>D1828+K1827</x:f>
        <x:v>21</x:v>
      </x:c>
    </x:row>
    <x:row r="1829">
      <x:c r="A1829" t="str">
        <x:v>Payment</x:v>
      </x:c>
      <x:c r="B1829" t="str">
        <x:f>'04_checks'!B263</x:f>
        <x:v>P016</x:v>
      </x:c>
      <x:c r="C1829" t="n">
        <x:v>17</x:v>
      </x:c>
      <x:c r="D1829" t="n">
        <x:f>IF('04_checks'!C263="ERROR",1,0)</x:f>
        <x:v>0</x:v>
      </x:c>
      <x:c r="E1829" t="str">
        <x:v>Payment:17:1</x:v>
      </x:c>
      <x:c r="F1829" t="str">
        <x:v>Дубль</x:v>
      </x:c>
      <x:c r="G1829" t="str">
        <x:v>High</x:v>
      </x:c>
      <x:c r="H1829" t="str">
        <x:v>payment_id</x:v>
      </x:c>
      <x:c r="I1829" t="str">
        <x:v>Проверить уникальность ID в источнике; не удалять записи автоматически</x:v>
      </x:c>
      <x:c r="J1829" t="n">
        <x:f>IF(D1829=1,K1829,0)</x:f>
        <x:v>0</x:v>
      </x:c>
      <x:c r="K1829" t="n">
        <x:f>D1829+K1828</x:f>
        <x:v>21</x:v>
      </x:c>
    </x:row>
    <x:row r="1830">
      <x:c r="A1830" t="str">
        <x:v>Payment</x:v>
      </x:c>
      <x:c r="B1830" t="str">
        <x:f>'04_checks'!B263</x:f>
        <x:v>P016</x:v>
      </x:c>
      <x:c r="C1830" t="n">
        <x:v>17</x:v>
      </x:c>
      <x:c r="D1830" t="n">
        <x:f>IF('04_checks'!D263="ERROR",1,0)</x:f>
        <x:v>0</x:v>
      </x:c>
      <x:c r="E1830" t="str">
        <x:v>Payment:17:2</x:v>
      </x:c>
      <x:c r="F1830" t="str">
        <x:v>Пустое поле</x:v>
      </x:c>
      <x:c r="G1830" t="str">
        <x:v>High</x:v>
      </x:c>
      <x:c r="H1830" t="str">
        <x:v>required_fields</x:v>
      </x:c>
      <x:c r="I1830" t="str">
        <x:v>Дополнить обязательные поля в источнике</x:v>
      </x:c>
      <x:c r="J1830" t="n">
        <x:f>IF(D1830=1,K1830,0)</x:f>
        <x:v>0</x:v>
      </x:c>
      <x:c r="K1830" t="n">
        <x:f>D1830+K1829</x:f>
        <x:v>21</x:v>
      </x:c>
    </x:row>
    <x:row r="1831">
      <x:c r="A1831" t="str">
        <x:v>Payment</x:v>
      </x:c>
      <x:c r="B1831" t="str">
        <x:f>'04_checks'!B263</x:f>
        <x:v>P016</x:v>
      </x:c>
      <x:c r="C1831" t="n">
        <x:v>17</x:v>
      </x:c>
      <x:c r="D1831" t="n">
        <x:f>IF('04_checks'!E263="ERROR",1,0)</x:f>
        <x:v>0</x:v>
      </x:c>
      <x:c r="E1831" t="str">
        <x:v>Payment:17:3</x:v>
      </x:c>
      <x:c r="F1831" t="str">
        <x:f>IF(COUNTIF('01_orders_raw'!$A$2:$A$181,'03_payments_raw'!B17)&gt;1,"Неоднозначная связь","Нет связи")</x:f>
        <x:v>Нет связи</x:v>
      </x:c>
      <x:c r="G1831" t="str">
        <x:v>High</x:v>
      </x:c>
      <x:c r="H1831" t="str">
        <x:v>order_id</x:v>
      </x:c>
      <x:c r="I1831" t="str">
        <x:v>Исправить ссылку или разрешить дубли связанного ID</x:v>
      </x:c>
      <x:c r="J1831" t="n">
        <x:f>IF(D1831=1,K1831,0)</x:f>
        <x:v>0</x:v>
      </x:c>
      <x:c r="K1831" t="n">
        <x:f>D1831+K1830</x:f>
        <x:v>21</x:v>
      </x:c>
    </x:row>
    <x:row r="1832">
      <x:c r="A1832" t="str">
        <x:v>Payment</x:v>
      </x:c>
      <x:c r="B1832" t="str">
        <x:f>'04_checks'!B263</x:f>
        <x:v>P016</x:v>
      </x:c>
      <x:c r="C1832" t="n">
        <x:v>17</x:v>
      </x:c>
      <x:c r="D1832" t="n">
        <x:f>IF('04_checks'!F263="ERROR",1,0)</x:f>
        <x:v>0</x:v>
      </x:c>
      <x:c r="E1832" t="str">
        <x:v>Payment:17:4</x:v>
      </x:c>
      <x:c r="F1832" t="str">
        <x:v>Ошибка расчета</x:v>
      </x:c>
      <x:c r="G1832" t="str">
        <x:v>High</x:v>
      </x:c>
      <x:c r="H1832" t="str">
        <x:v>payment_sum</x:v>
      </x:c>
      <x:c r="I1832" t="str">
        <x:v>Сверить исходные значения и правило расчёта</x:v>
      </x:c>
      <x:c r="J1832" t="n">
        <x:f>IF(D1832=1,K1832,0)</x:f>
        <x:v>0</x:v>
      </x:c>
      <x:c r="K1832" t="n">
        <x:f>D1832+K1831</x:f>
        <x:v>21</x:v>
      </x:c>
    </x:row>
    <x:row r="1833">
      <x:c r="A1833" t="str">
        <x:v>Payment</x:v>
      </x:c>
      <x:c r="B1833" t="str">
        <x:f>'04_checks'!B263</x:f>
        <x:v>P016</x:v>
      </x:c>
      <x:c r="C1833" t="n">
        <x:v>17</x:v>
      </x:c>
      <x:c r="D1833" t="n">
        <x:f>IF('04_checks'!G263="ERROR",1,0)</x:f>
        <x:v>0</x:v>
      </x:c>
      <x:c r="E1833" t="str">
        <x:v>Payment:17:5</x:v>
      </x:c>
      <x:c r="F1833" t="str">
        <x:v>Отрицательная цена</x:v>
      </x:c>
      <x:c r="G1833" t="str">
        <x:v>High</x:v>
      </x:c>
      <x:c r="H1833" t="str">
        <x:v>N/A</x:v>
      </x:c>
      <x:c r="I1833" t="str">
        <x:v>Проверить цену в источнике</x:v>
      </x:c>
      <x:c r="J1833" t="n">
        <x:f>IF(D1833=1,K1833,0)</x:f>
        <x:v>0</x:v>
      </x:c>
      <x:c r="K1833" t="n">
        <x:f>D1833+K1832</x:f>
        <x:v>21</x:v>
      </x:c>
    </x:row>
    <x:row r="1834">
      <x:c r="A1834" t="str">
        <x:v>Payment</x:v>
      </x:c>
      <x:c r="B1834" t="str">
        <x:f>'04_checks'!B263</x:f>
        <x:v>P016</x:v>
      </x:c>
      <x:c r="C1834" t="n">
        <x:v>17</x:v>
      </x:c>
      <x:c r="D1834" t="n">
        <x:f>IF('04_checks'!H263="ERROR",1,0)</x:f>
        <x:v>0</x:v>
      </x:c>
      <x:c r="E1834" t="str">
        <x:v>Payment:17:6</x:v>
      </x:c>
      <x:c r="F1834" t="str">
        <x:v>Дата</x:v>
      </x:c>
      <x:c r="G1834" t="str">
        <x:v>Medium</x:v>
      </x:c>
      <x:c r="H1834" t="str">
        <x:v>payment_date</x:v>
      </x:c>
      <x:c r="I1834" t="str">
        <x:v>Сверить дату со срезом и исходной записью</x:v>
      </x:c>
      <x:c r="J1834" t="n">
        <x:f>IF(D1834=1,K1834,0)</x:f>
        <x:v>0</x:v>
      </x:c>
      <x:c r="K1834" t="n">
        <x:f>D1834+K1833</x:f>
        <x:v>21</x:v>
      </x:c>
    </x:row>
    <x:row r="1835">
      <x:c r="A1835" t="str">
        <x:v>Payment</x:v>
      </x:c>
      <x:c r="B1835" t="str">
        <x:f>'04_checks'!B263</x:f>
        <x:v>P016</x:v>
      </x:c>
      <x:c r="C1835" t="n">
        <x:v>17</x:v>
      </x:c>
      <x:c r="D1835" t="n">
        <x:f>IF('04_checks'!I263="ERROR",1,0)</x:f>
        <x:v>0</x:v>
      </x:c>
      <x:c r="E1835" t="str">
        <x:v>Payment:17:7</x:v>
      </x:c>
      <x:c r="F1835" t="str">
        <x:v>Статус</x:v>
      </x:c>
      <x:c r="G1835" t="str">
        <x:v>Medium</x:v>
      </x:c>
      <x:c r="H1835" t="str">
        <x:v>payment_status</x:v>
      </x:c>
      <x:c r="I1835" t="str">
        <x:v>Выбрать допустимый статус</x:v>
      </x:c>
      <x:c r="J1835" t="n">
        <x:f>IF(D1835=1,K1835,0)</x:f>
        <x:v>0</x:v>
      </x:c>
      <x:c r="K1835" t="n">
        <x:f>D1835+K1834</x:f>
        <x:v>21</x:v>
      </x:c>
    </x:row>
    <x:row r="1836">
      <x:c r="A1836" t="str">
        <x:v>Payment</x:v>
      </x:c>
      <x:c r="B1836" t="str">
        <x:f>'04_checks'!B264</x:f>
        <x:v>P017</x:v>
      </x:c>
      <x:c r="C1836" t="n">
        <x:v>18</x:v>
      </x:c>
      <x:c r="D1836" t="n">
        <x:f>IF('04_checks'!C264="ERROR",1,0)</x:f>
        <x:v>0</x:v>
      </x:c>
      <x:c r="E1836" t="str">
        <x:v>Payment:18:1</x:v>
      </x:c>
      <x:c r="F1836" t="str">
        <x:v>Дубль</x:v>
      </x:c>
      <x:c r="G1836" t="str">
        <x:v>High</x:v>
      </x:c>
      <x:c r="H1836" t="str">
        <x:v>payment_id</x:v>
      </x:c>
      <x:c r="I1836" t="str">
        <x:v>Проверить уникальность ID в источнике; не удалять записи автоматически</x:v>
      </x:c>
      <x:c r="J1836" t="n">
        <x:f>IF(D1836=1,K1836,0)</x:f>
        <x:v>0</x:v>
      </x:c>
      <x:c r="K1836" t="n">
        <x:f>D1836+K1835</x:f>
        <x:v>21</x:v>
      </x:c>
    </x:row>
    <x:row r="1837">
      <x:c r="A1837" t="str">
        <x:v>Payment</x:v>
      </x:c>
      <x:c r="B1837" t="str">
        <x:f>'04_checks'!B264</x:f>
        <x:v>P017</x:v>
      </x:c>
      <x:c r="C1837" t="n">
        <x:v>18</x:v>
      </x:c>
      <x:c r="D1837" t="n">
        <x:f>IF('04_checks'!D264="ERROR",1,0)</x:f>
        <x:v>0</x:v>
      </x:c>
      <x:c r="E1837" t="str">
        <x:v>Payment:18:2</x:v>
      </x:c>
      <x:c r="F1837" t="str">
        <x:v>Пустое поле</x:v>
      </x:c>
      <x:c r="G1837" t="str">
        <x:v>High</x:v>
      </x:c>
      <x:c r="H1837" t="str">
        <x:v>required_fields</x:v>
      </x:c>
      <x:c r="I1837" t="str">
        <x:v>Дополнить обязательные поля в источнике</x:v>
      </x:c>
      <x:c r="J1837" t="n">
        <x:f>IF(D1837=1,K1837,0)</x:f>
        <x:v>0</x:v>
      </x:c>
      <x:c r="K1837" t="n">
        <x:f>D1837+K1836</x:f>
        <x:v>21</x:v>
      </x:c>
    </x:row>
    <x:row r="1838">
      <x:c r="A1838" t="str">
        <x:v>Payment</x:v>
      </x:c>
      <x:c r="B1838" t="str">
        <x:f>'04_checks'!B264</x:f>
        <x:v>P017</x:v>
      </x:c>
      <x:c r="C1838" t="n">
        <x:v>18</x:v>
      </x:c>
      <x:c r="D1838" t="n">
        <x:f>IF('04_checks'!E264="ERROR",1,0)</x:f>
        <x:v>0</x:v>
      </x:c>
      <x:c r="E1838" t="str">
        <x:v>Payment:18:3</x:v>
      </x:c>
      <x:c r="F1838" t="str">
        <x:f>IF(COUNTIF('01_orders_raw'!$A$2:$A$181,'03_payments_raw'!B18)&gt;1,"Неоднозначная связь","Нет связи")</x:f>
        <x:v>Нет связи</x:v>
      </x:c>
      <x:c r="G1838" t="str">
        <x:v>High</x:v>
      </x:c>
      <x:c r="H1838" t="str">
        <x:v>order_id</x:v>
      </x:c>
      <x:c r="I1838" t="str">
        <x:v>Исправить ссылку или разрешить дубли связанного ID</x:v>
      </x:c>
      <x:c r="J1838" t="n">
        <x:f>IF(D1838=1,K1838,0)</x:f>
        <x:v>0</x:v>
      </x:c>
      <x:c r="K1838" t="n">
        <x:f>D1838+K1837</x:f>
        <x:v>21</x:v>
      </x:c>
    </x:row>
    <x:row r="1839">
      <x:c r="A1839" t="str">
        <x:v>Payment</x:v>
      </x:c>
      <x:c r="B1839" t="str">
        <x:f>'04_checks'!B264</x:f>
        <x:v>P017</x:v>
      </x:c>
      <x:c r="C1839" t="n">
        <x:v>18</x:v>
      </x:c>
      <x:c r="D1839" t="n">
        <x:f>IF('04_checks'!F264="ERROR",1,0)</x:f>
        <x:v>0</x:v>
      </x:c>
      <x:c r="E1839" t="str">
        <x:v>Payment:18:4</x:v>
      </x:c>
      <x:c r="F1839" t="str">
        <x:v>Ошибка расчета</x:v>
      </x:c>
      <x:c r="G1839" t="str">
        <x:v>High</x:v>
      </x:c>
      <x:c r="H1839" t="str">
        <x:v>payment_sum</x:v>
      </x:c>
      <x:c r="I1839" t="str">
        <x:v>Сверить исходные значения и правило расчёта</x:v>
      </x:c>
      <x:c r="J1839" t="n">
        <x:f>IF(D1839=1,K1839,0)</x:f>
        <x:v>0</x:v>
      </x:c>
      <x:c r="K1839" t="n">
        <x:f>D1839+K1838</x:f>
        <x:v>21</x:v>
      </x:c>
    </x:row>
    <x:row r="1840">
      <x:c r="A1840" t="str">
        <x:v>Payment</x:v>
      </x:c>
      <x:c r="B1840" t="str">
        <x:f>'04_checks'!B264</x:f>
        <x:v>P017</x:v>
      </x:c>
      <x:c r="C1840" t="n">
        <x:v>18</x:v>
      </x:c>
      <x:c r="D1840" t="n">
        <x:f>IF('04_checks'!G264="ERROR",1,0)</x:f>
        <x:v>0</x:v>
      </x:c>
      <x:c r="E1840" t="str">
        <x:v>Payment:18:5</x:v>
      </x:c>
      <x:c r="F1840" t="str">
        <x:v>Отрицательная цена</x:v>
      </x:c>
      <x:c r="G1840" t="str">
        <x:v>High</x:v>
      </x:c>
      <x:c r="H1840" t="str">
        <x:v>N/A</x:v>
      </x:c>
      <x:c r="I1840" t="str">
        <x:v>Проверить цену в источнике</x:v>
      </x:c>
      <x:c r="J1840" t="n">
        <x:f>IF(D1840=1,K1840,0)</x:f>
        <x:v>0</x:v>
      </x:c>
      <x:c r="K1840" t="n">
        <x:f>D1840+K1839</x:f>
        <x:v>21</x:v>
      </x:c>
    </x:row>
    <x:row r="1841">
      <x:c r="A1841" t="str">
        <x:v>Payment</x:v>
      </x:c>
      <x:c r="B1841" t="str">
        <x:f>'04_checks'!B264</x:f>
        <x:v>P017</x:v>
      </x:c>
      <x:c r="C1841" t="n">
        <x:v>18</x:v>
      </x:c>
      <x:c r="D1841" t="n">
        <x:f>IF('04_checks'!H264="ERROR",1,0)</x:f>
        <x:v>0</x:v>
      </x:c>
      <x:c r="E1841" t="str">
        <x:v>Payment:18:6</x:v>
      </x:c>
      <x:c r="F1841" t="str">
        <x:v>Дата</x:v>
      </x:c>
      <x:c r="G1841" t="str">
        <x:v>Medium</x:v>
      </x:c>
      <x:c r="H1841" t="str">
        <x:v>payment_date</x:v>
      </x:c>
      <x:c r="I1841" t="str">
        <x:v>Сверить дату со срезом и исходной записью</x:v>
      </x:c>
      <x:c r="J1841" t="n">
        <x:f>IF(D1841=1,K1841,0)</x:f>
        <x:v>0</x:v>
      </x:c>
      <x:c r="K1841" t="n">
        <x:f>D1841+K1840</x:f>
        <x:v>21</x:v>
      </x:c>
    </x:row>
    <x:row r="1842">
      <x:c r="A1842" t="str">
        <x:v>Payment</x:v>
      </x:c>
      <x:c r="B1842" t="str">
        <x:f>'04_checks'!B264</x:f>
        <x:v>P017</x:v>
      </x:c>
      <x:c r="C1842" t="n">
        <x:v>18</x:v>
      </x:c>
      <x:c r="D1842" t="n">
        <x:f>IF('04_checks'!I264="ERROR",1,0)</x:f>
        <x:v>0</x:v>
      </x:c>
      <x:c r="E1842" t="str">
        <x:v>Payment:18:7</x:v>
      </x:c>
      <x:c r="F1842" t="str">
        <x:v>Статус</x:v>
      </x:c>
      <x:c r="G1842" t="str">
        <x:v>Medium</x:v>
      </x:c>
      <x:c r="H1842" t="str">
        <x:v>payment_status</x:v>
      </x:c>
      <x:c r="I1842" t="str">
        <x:v>Выбрать допустимый статус</x:v>
      </x:c>
      <x:c r="J1842" t="n">
        <x:f>IF(D1842=1,K1842,0)</x:f>
        <x:v>0</x:v>
      </x:c>
      <x:c r="K1842" t="n">
        <x:f>D1842+K1841</x:f>
        <x:v>21</x:v>
      </x:c>
    </x:row>
    <x:row r="1843">
      <x:c r="A1843" t="str">
        <x:v>Payment</x:v>
      </x:c>
      <x:c r="B1843" t="str">
        <x:f>'04_checks'!B265</x:f>
        <x:v>P018</x:v>
      </x:c>
      <x:c r="C1843" t="n">
        <x:v>19</x:v>
      </x:c>
      <x:c r="D1843" t="n">
        <x:f>IF('04_checks'!C265="ERROR",1,0)</x:f>
        <x:v>0</x:v>
      </x:c>
      <x:c r="E1843" t="str">
        <x:v>Payment:19:1</x:v>
      </x:c>
      <x:c r="F1843" t="str">
        <x:v>Дубль</x:v>
      </x:c>
      <x:c r="G1843" t="str">
        <x:v>High</x:v>
      </x:c>
      <x:c r="H1843" t="str">
        <x:v>payment_id</x:v>
      </x:c>
      <x:c r="I1843" t="str">
        <x:v>Проверить уникальность ID в источнике; не удалять записи автоматически</x:v>
      </x:c>
      <x:c r="J1843" t="n">
        <x:f>IF(D1843=1,K1843,0)</x:f>
        <x:v>0</x:v>
      </x:c>
      <x:c r="K1843" t="n">
        <x:f>D1843+K1842</x:f>
        <x:v>21</x:v>
      </x:c>
    </x:row>
    <x:row r="1844">
      <x:c r="A1844" t="str">
        <x:v>Payment</x:v>
      </x:c>
      <x:c r="B1844" t="str">
        <x:f>'04_checks'!B265</x:f>
        <x:v>P018</x:v>
      </x:c>
      <x:c r="C1844" t="n">
        <x:v>19</x:v>
      </x:c>
      <x:c r="D1844" t="n">
        <x:f>IF('04_checks'!D265="ERROR",1,0)</x:f>
        <x:v>0</x:v>
      </x:c>
      <x:c r="E1844" t="str">
        <x:v>Payment:19:2</x:v>
      </x:c>
      <x:c r="F1844" t="str">
        <x:v>Пустое поле</x:v>
      </x:c>
      <x:c r="G1844" t="str">
        <x:v>High</x:v>
      </x:c>
      <x:c r="H1844" t="str">
        <x:v>required_fields</x:v>
      </x:c>
      <x:c r="I1844" t="str">
        <x:v>Дополнить обязательные поля в источнике</x:v>
      </x:c>
      <x:c r="J1844" t="n">
        <x:f>IF(D1844=1,K1844,0)</x:f>
        <x:v>0</x:v>
      </x:c>
      <x:c r="K1844" t="n">
        <x:f>D1844+K1843</x:f>
        <x:v>21</x:v>
      </x:c>
    </x:row>
    <x:row r="1845">
      <x:c r="A1845" t="str">
        <x:v>Payment</x:v>
      </x:c>
      <x:c r="B1845" t="str">
        <x:f>'04_checks'!B265</x:f>
        <x:v>P018</x:v>
      </x:c>
      <x:c r="C1845" t="n">
        <x:v>19</x:v>
      </x:c>
      <x:c r="D1845" t="n">
        <x:f>IF('04_checks'!E265="ERROR",1,0)</x:f>
        <x:v>0</x:v>
      </x:c>
      <x:c r="E1845" t="str">
        <x:v>Payment:19:3</x:v>
      </x:c>
      <x:c r="F1845" t="str">
        <x:f>IF(COUNTIF('01_orders_raw'!$A$2:$A$181,'03_payments_raw'!B19)&gt;1,"Неоднозначная связь","Нет связи")</x:f>
        <x:v>Нет связи</x:v>
      </x:c>
      <x:c r="G1845" t="str">
        <x:v>High</x:v>
      </x:c>
      <x:c r="H1845" t="str">
        <x:v>order_id</x:v>
      </x:c>
      <x:c r="I1845" t="str">
        <x:v>Исправить ссылку или разрешить дубли связанного ID</x:v>
      </x:c>
      <x:c r="J1845" t="n">
        <x:f>IF(D1845=1,K1845,0)</x:f>
        <x:v>0</x:v>
      </x:c>
      <x:c r="K1845" t="n">
        <x:f>D1845+K1844</x:f>
        <x:v>21</x:v>
      </x:c>
    </x:row>
    <x:row r="1846">
      <x:c r="A1846" t="str">
        <x:v>Payment</x:v>
      </x:c>
      <x:c r="B1846" t="str">
        <x:f>'04_checks'!B265</x:f>
        <x:v>P018</x:v>
      </x:c>
      <x:c r="C1846" t="n">
        <x:v>19</x:v>
      </x:c>
      <x:c r="D1846" t="n">
        <x:f>IF('04_checks'!F265="ERROR",1,0)</x:f>
        <x:v>0</x:v>
      </x:c>
      <x:c r="E1846" t="str">
        <x:v>Payment:19:4</x:v>
      </x:c>
      <x:c r="F1846" t="str">
        <x:v>Ошибка расчета</x:v>
      </x:c>
      <x:c r="G1846" t="str">
        <x:v>High</x:v>
      </x:c>
      <x:c r="H1846" t="str">
        <x:v>payment_sum</x:v>
      </x:c>
      <x:c r="I1846" t="str">
        <x:v>Сверить исходные значения и правило расчёта</x:v>
      </x:c>
      <x:c r="J1846" t="n">
        <x:f>IF(D1846=1,K1846,0)</x:f>
        <x:v>0</x:v>
      </x:c>
      <x:c r="K1846" t="n">
        <x:f>D1846+K1845</x:f>
        <x:v>21</x:v>
      </x:c>
    </x:row>
    <x:row r="1847">
      <x:c r="A1847" t="str">
        <x:v>Payment</x:v>
      </x:c>
      <x:c r="B1847" t="str">
        <x:f>'04_checks'!B265</x:f>
        <x:v>P018</x:v>
      </x:c>
      <x:c r="C1847" t="n">
        <x:v>19</x:v>
      </x:c>
      <x:c r="D1847" t="n">
        <x:f>IF('04_checks'!G265="ERROR",1,0)</x:f>
        <x:v>0</x:v>
      </x:c>
      <x:c r="E1847" t="str">
        <x:v>Payment:19:5</x:v>
      </x:c>
      <x:c r="F1847" t="str">
        <x:v>Отрицательная цена</x:v>
      </x:c>
      <x:c r="G1847" t="str">
        <x:v>High</x:v>
      </x:c>
      <x:c r="H1847" t="str">
        <x:v>N/A</x:v>
      </x:c>
      <x:c r="I1847" t="str">
        <x:v>Проверить цену в источнике</x:v>
      </x:c>
      <x:c r="J1847" t="n">
        <x:f>IF(D1847=1,K1847,0)</x:f>
        <x:v>0</x:v>
      </x:c>
      <x:c r="K1847" t="n">
        <x:f>D1847+K1846</x:f>
        <x:v>21</x:v>
      </x:c>
    </x:row>
    <x:row r="1848">
      <x:c r="A1848" t="str">
        <x:v>Payment</x:v>
      </x:c>
      <x:c r="B1848" t="str">
        <x:f>'04_checks'!B265</x:f>
        <x:v>P018</x:v>
      </x:c>
      <x:c r="C1848" t="n">
        <x:v>19</x:v>
      </x:c>
      <x:c r="D1848" t="n">
        <x:f>IF('04_checks'!H265="ERROR",1,0)</x:f>
        <x:v>0</x:v>
      </x:c>
      <x:c r="E1848" t="str">
        <x:v>Payment:19:6</x:v>
      </x:c>
      <x:c r="F1848" t="str">
        <x:v>Дата</x:v>
      </x:c>
      <x:c r="G1848" t="str">
        <x:v>Medium</x:v>
      </x:c>
      <x:c r="H1848" t="str">
        <x:v>payment_date</x:v>
      </x:c>
      <x:c r="I1848" t="str">
        <x:v>Сверить дату со срезом и исходной записью</x:v>
      </x:c>
      <x:c r="J1848" t="n">
        <x:f>IF(D1848=1,K1848,0)</x:f>
        <x:v>0</x:v>
      </x:c>
      <x:c r="K1848" t="n">
        <x:f>D1848+K1847</x:f>
        <x:v>21</x:v>
      </x:c>
    </x:row>
    <x:row r="1849">
      <x:c r="A1849" t="str">
        <x:v>Payment</x:v>
      </x:c>
      <x:c r="B1849" t="str">
        <x:f>'04_checks'!B265</x:f>
        <x:v>P018</x:v>
      </x:c>
      <x:c r="C1849" t="n">
        <x:v>19</x:v>
      </x:c>
      <x:c r="D1849" t="n">
        <x:f>IF('04_checks'!I265="ERROR",1,0)</x:f>
        <x:v>0</x:v>
      </x:c>
      <x:c r="E1849" t="str">
        <x:v>Payment:19:7</x:v>
      </x:c>
      <x:c r="F1849" t="str">
        <x:v>Статус</x:v>
      </x:c>
      <x:c r="G1849" t="str">
        <x:v>Medium</x:v>
      </x:c>
      <x:c r="H1849" t="str">
        <x:v>payment_status</x:v>
      </x:c>
      <x:c r="I1849" t="str">
        <x:v>Выбрать допустимый статус</x:v>
      </x:c>
      <x:c r="J1849" t="n">
        <x:f>IF(D1849=1,K1849,0)</x:f>
        <x:v>0</x:v>
      </x:c>
      <x:c r="K1849" t="n">
        <x:f>D1849+K1848</x:f>
        <x:v>21</x:v>
      </x:c>
    </x:row>
    <x:row r="1850">
      <x:c r="A1850" t="str">
        <x:v>Payment</x:v>
      </x:c>
      <x:c r="B1850" t="str">
        <x:f>'04_checks'!B266</x:f>
        <x:v>P019</x:v>
      </x:c>
      <x:c r="C1850" t="n">
        <x:v>20</x:v>
      </x:c>
      <x:c r="D1850" t="n">
        <x:f>IF('04_checks'!C266="ERROR",1,0)</x:f>
        <x:v>0</x:v>
      </x:c>
      <x:c r="E1850" t="str">
        <x:v>Payment:20:1</x:v>
      </x:c>
      <x:c r="F1850" t="str">
        <x:v>Дубль</x:v>
      </x:c>
      <x:c r="G1850" t="str">
        <x:v>High</x:v>
      </x:c>
      <x:c r="H1850" t="str">
        <x:v>payment_id</x:v>
      </x:c>
      <x:c r="I1850" t="str">
        <x:v>Проверить уникальность ID в источнике; не удалять записи автоматически</x:v>
      </x:c>
      <x:c r="J1850" t="n">
        <x:f>IF(D1850=1,K1850,0)</x:f>
        <x:v>0</x:v>
      </x:c>
      <x:c r="K1850" t="n">
        <x:f>D1850+K1849</x:f>
        <x:v>21</x:v>
      </x:c>
    </x:row>
    <x:row r="1851">
      <x:c r="A1851" t="str">
        <x:v>Payment</x:v>
      </x:c>
      <x:c r="B1851" t="str">
        <x:f>'04_checks'!B266</x:f>
        <x:v>P019</x:v>
      </x:c>
      <x:c r="C1851" t="n">
        <x:v>20</x:v>
      </x:c>
      <x:c r="D1851" t="n">
        <x:f>IF('04_checks'!D266="ERROR",1,0)</x:f>
        <x:v>0</x:v>
      </x:c>
      <x:c r="E1851" t="str">
        <x:v>Payment:20:2</x:v>
      </x:c>
      <x:c r="F1851" t="str">
        <x:v>Пустое поле</x:v>
      </x:c>
      <x:c r="G1851" t="str">
        <x:v>High</x:v>
      </x:c>
      <x:c r="H1851" t="str">
        <x:v>required_fields</x:v>
      </x:c>
      <x:c r="I1851" t="str">
        <x:v>Дополнить обязательные поля в источнике</x:v>
      </x:c>
      <x:c r="J1851" t="n">
        <x:f>IF(D1851=1,K1851,0)</x:f>
        <x:v>0</x:v>
      </x:c>
      <x:c r="K1851" t="n">
        <x:f>D1851+K1850</x:f>
        <x:v>21</x:v>
      </x:c>
    </x:row>
    <x:row r="1852">
      <x:c r="A1852" t="str">
        <x:v>Payment</x:v>
      </x:c>
      <x:c r="B1852" t="str">
        <x:f>'04_checks'!B266</x:f>
        <x:v>P019</x:v>
      </x:c>
      <x:c r="C1852" t="n">
        <x:v>20</x:v>
      </x:c>
      <x:c r="D1852" t="n">
        <x:f>IF('04_checks'!E266="ERROR",1,0)</x:f>
        <x:v>0</x:v>
      </x:c>
      <x:c r="E1852" t="str">
        <x:v>Payment:20:3</x:v>
      </x:c>
      <x:c r="F1852" t="str">
        <x:f>IF(COUNTIF('01_orders_raw'!$A$2:$A$181,'03_payments_raw'!B20)&gt;1,"Неоднозначная связь","Нет связи")</x:f>
        <x:v>Нет связи</x:v>
      </x:c>
      <x:c r="G1852" t="str">
        <x:v>High</x:v>
      </x:c>
      <x:c r="H1852" t="str">
        <x:v>order_id</x:v>
      </x:c>
      <x:c r="I1852" t="str">
        <x:v>Исправить ссылку или разрешить дубли связанного ID</x:v>
      </x:c>
      <x:c r="J1852" t="n">
        <x:f>IF(D1852=1,K1852,0)</x:f>
        <x:v>0</x:v>
      </x:c>
      <x:c r="K1852" t="n">
        <x:f>D1852+K1851</x:f>
        <x:v>21</x:v>
      </x:c>
    </x:row>
    <x:row r="1853">
      <x:c r="A1853" t="str">
        <x:v>Payment</x:v>
      </x:c>
      <x:c r="B1853" t="str">
        <x:f>'04_checks'!B266</x:f>
        <x:v>P019</x:v>
      </x:c>
      <x:c r="C1853" t="n">
        <x:v>20</x:v>
      </x:c>
      <x:c r="D1853" t="n">
        <x:f>IF('04_checks'!F266="ERROR",1,0)</x:f>
        <x:v>1</x:v>
      </x:c>
      <x:c r="E1853" t="str">
        <x:v>Payment:20:4</x:v>
      </x:c>
      <x:c r="F1853" t="str">
        <x:v>Ошибка расчета</x:v>
      </x:c>
      <x:c r="G1853" t="str">
        <x:v>High</x:v>
      </x:c>
      <x:c r="H1853" t="str">
        <x:v>payment_sum</x:v>
      </x:c>
      <x:c r="I1853" t="str">
        <x:v>Сверить исходные значения и правило расчёта</x:v>
      </x:c>
      <x:c r="J1853" t="n">
        <x:f>IF(D1853=1,K1853,0)</x:f>
        <x:v>22</x:v>
      </x:c>
      <x:c r="K1853" t="n">
        <x:f>D1853+K1852</x:f>
        <x:v>22</x:v>
      </x:c>
    </x:row>
    <x:row r="1854">
      <x:c r="A1854" t="str">
        <x:v>Payment</x:v>
      </x:c>
      <x:c r="B1854" t="str">
        <x:f>'04_checks'!B266</x:f>
        <x:v>P019</x:v>
      </x:c>
      <x:c r="C1854" t="n">
        <x:v>20</x:v>
      </x:c>
      <x:c r="D1854" t="n">
        <x:f>IF('04_checks'!G266="ERROR",1,0)</x:f>
        <x:v>0</x:v>
      </x:c>
      <x:c r="E1854" t="str">
        <x:v>Payment:20:5</x:v>
      </x:c>
      <x:c r="F1854" t="str">
        <x:v>Отрицательная цена</x:v>
      </x:c>
      <x:c r="G1854" t="str">
        <x:v>High</x:v>
      </x:c>
      <x:c r="H1854" t="str">
        <x:v>N/A</x:v>
      </x:c>
      <x:c r="I1854" t="str">
        <x:v>Проверить цену в источнике</x:v>
      </x:c>
      <x:c r="J1854" t="n">
        <x:f>IF(D1854=1,K1854,0)</x:f>
        <x:v>0</x:v>
      </x:c>
      <x:c r="K1854" t="n">
        <x:f>D1854+K1853</x:f>
        <x:v>22</x:v>
      </x:c>
    </x:row>
    <x:row r="1855">
      <x:c r="A1855" t="str">
        <x:v>Payment</x:v>
      </x:c>
      <x:c r="B1855" t="str">
        <x:f>'04_checks'!B266</x:f>
        <x:v>P019</x:v>
      </x:c>
      <x:c r="C1855" t="n">
        <x:v>20</x:v>
      </x:c>
      <x:c r="D1855" t="n">
        <x:f>IF('04_checks'!H266="ERROR",1,0)</x:f>
        <x:v>0</x:v>
      </x:c>
      <x:c r="E1855" t="str">
        <x:v>Payment:20:6</x:v>
      </x:c>
      <x:c r="F1855" t="str">
        <x:v>Дата</x:v>
      </x:c>
      <x:c r="G1855" t="str">
        <x:v>Medium</x:v>
      </x:c>
      <x:c r="H1855" t="str">
        <x:v>payment_date</x:v>
      </x:c>
      <x:c r="I1855" t="str">
        <x:v>Сверить дату со срезом и исходной записью</x:v>
      </x:c>
      <x:c r="J1855" t="n">
        <x:f>IF(D1855=1,K1855,0)</x:f>
        <x:v>0</x:v>
      </x:c>
      <x:c r="K1855" t="n">
        <x:f>D1855+K1854</x:f>
        <x:v>22</x:v>
      </x:c>
    </x:row>
    <x:row r="1856">
      <x:c r="A1856" t="str">
        <x:v>Payment</x:v>
      </x:c>
      <x:c r="B1856" t="str">
        <x:f>'04_checks'!B266</x:f>
        <x:v>P019</x:v>
      </x:c>
      <x:c r="C1856" t="n">
        <x:v>20</x:v>
      </x:c>
      <x:c r="D1856" t="n">
        <x:f>IF('04_checks'!I266="ERROR",1,0)</x:f>
        <x:v>0</x:v>
      </x:c>
      <x:c r="E1856" t="str">
        <x:v>Payment:20:7</x:v>
      </x:c>
      <x:c r="F1856" t="str">
        <x:v>Статус</x:v>
      </x:c>
      <x:c r="G1856" t="str">
        <x:v>Medium</x:v>
      </x:c>
      <x:c r="H1856" t="str">
        <x:v>payment_status</x:v>
      </x:c>
      <x:c r="I1856" t="str">
        <x:v>Выбрать допустимый статус</x:v>
      </x:c>
      <x:c r="J1856" t="n">
        <x:f>IF(D1856=1,K1856,0)</x:f>
        <x:v>0</x:v>
      </x:c>
      <x:c r="K1856" t="n">
        <x:f>D1856+K1855</x:f>
        <x:v>22</x:v>
      </x:c>
    </x:row>
    <x:row r="1857">
      <x:c r="A1857" t="str">
        <x:v>Payment</x:v>
      </x:c>
      <x:c r="B1857" t="str">
        <x:f>'04_checks'!B267</x:f>
        <x:v>P020</x:v>
      </x:c>
      <x:c r="C1857" t="n">
        <x:v>21</x:v>
      </x:c>
      <x:c r="D1857" t="n">
        <x:f>IF('04_checks'!C267="ERROR",1,0)</x:f>
        <x:v>0</x:v>
      </x:c>
      <x:c r="E1857" t="str">
        <x:v>Payment:21:1</x:v>
      </x:c>
      <x:c r="F1857" t="str">
        <x:v>Дубль</x:v>
      </x:c>
      <x:c r="G1857" t="str">
        <x:v>High</x:v>
      </x:c>
      <x:c r="H1857" t="str">
        <x:v>payment_id</x:v>
      </x:c>
      <x:c r="I1857" t="str">
        <x:v>Проверить уникальность ID в источнике; не удалять записи автоматически</x:v>
      </x:c>
      <x:c r="J1857" t="n">
        <x:f>IF(D1857=1,K1857,0)</x:f>
        <x:v>0</x:v>
      </x:c>
      <x:c r="K1857" t="n">
        <x:f>D1857+K1856</x:f>
        <x:v>22</x:v>
      </x:c>
    </x:row>
    <x:row r="1858">
      <x:c r="A1858" t="str">
        <x:v>Payment</x:v>
      </x:c>
      <x:c r="B1858" t="str">
        <x:f>'04_checks'!B267</x:f>
        <x:v>P020</x:v>
      </x:c>
      <x:c r="C1858" t="n">
        <x:v>21</x:v>
      </x:c>
      <x:c r="D1858" t="n">
        <x:f>IF('04_checks'!D267="ERROR",1,0)</x:f>
        <x:v>0</x:v>
      </x:c>
      <x:c r="E1858" t="str">
        <x:v>Payment:21:2</x:v>
      </x:c>
      <x:c r="F1858" t="str">
        <x:v>Пустое поле</x:v>
      </x:c>
      <x:c r="G1858" t="str">
        <x:v>High</x:v>
      </x:c>
      <x:c r="H1858" t="str">
        <x:v>required_fields</x:v>
      </x:c>
      <x:c r="I1858" t="str">
        <x:v>Дополнить обязательные поля в источнике</x:v>
      </x:c>
      <x:c r="J1858" t="n">
        <x:f>IF(D1858=1,K1858,0)</x:f>
        <x:v>0</x:v>
      </x:c>
      <x:c r="K1858" t="n">
        <x:f>D1858+K1857</x:f>
        <x:v>22</x:v>
      </x:c>
    </x:row>
    <x:row r="1859">
      <x:c r="A1859" t="str">
        <x:v>Payment</x:v>
      </x:c>
      <x:c r="B1859" t="str">
        <x:f>'04_checks'!B267</x:f>
        <x:v>P020</x:v>
      </x:c>
      <x:c r="C1859" t="n">
        <x:v>21</x:v>
      </x:c>
      <x:c r="D1859" t="n">
        <x:f>IF('04_checks'!E267="ERROR",1,0)</x:f>
        <x:v>0</x:v>
      </x:c>
      <x:c r="E1859" t="str">
        <x:v>Payment:21:3</x:v>
      </x:c>
      <x:c r="F1859" t="str">
        <x:f>IF(COUNTIF('01_orders_raw'!$A$2:$A$181,'03_payments_raw'!B21)&gt;1,"Неоднозначная связь","Нет связи")</x:f>
        <x:v>Нет связи</x:v>
      </x:c>
      <x:c r="G1859" t="str">
        <x:v>High</x:v>
      </x:c>
      <x:c r="H1859" t="str">
        <x:v>order_id</x:v>
      </x:c>
      <x:c r="I1859" t="str">
        <x:v>Исправить ссылку или разрешить дубли связанного ID</x:v>
      </x:c>
      <x:c r="J1859" t="n">
        <x:f>IF(D1859=1,K1859,0)</x:f>
        <x:v>0</x:v>
      </x:c>
      <x:c r="K1859" t="n">
        <x:f>D1859+K1858</x:f>
        <x:v>22</x:v>
      </x:c>
    </x:row>
    <x:row r="1860">
      <x:c r="A1860" t="str">
        <x:v>Payment</x:v>
      </x:c>
      <x:c r="B1860" t="str">
        <x:f>'04_checks'!B267</x:f>
        <x:v>P020</x:v>
      </x:c>
      <x:c r="C1860" t="n">
        <x:v>21</x:v>
      </x:c>
      <x:c r="D1860" t="n">
        <x:f>IF('04_checks'!F267="ERROR",1,0)</x:f>
        <x:v>0</x:v>
      </x:c>
      <x:c r="E1860" t="str">
        <x:v>Payment:21:4</x:v>
      </x:c>
      <x:c r="F1860" t="str">
        <x:v>Ошибка расчета</x:v>
      </x:c>
      <x:c r="G1860" t="str">
        <x:v>High</x:v>
      </x:c>
      <x:c r="H1860" t="str">
        <x:v>payment_sum</x:v>
      </x:c>
      <x:c r="I1860" t="str">
        <x:v>Сверить исходные значения и правило расчёта</x:v>
      </x:c>
      <x:c r="J1860" t="n">
        <x:f>IF(D1860=1,K1860,0)</x:f>
        <x:v>0</x:v>
      </x:c>
      <x:c r="K1860" t="n">
        <x:f>D1860+K1859</x:f>
        <x:v>22</x:v>
      </x:c>
    </x:row>
    <x:row r="1861">
      <x:c r="A1861" t="str">
        <x:v>Payment</x:v>
      </x:c>
      <x:c r="B1861" t="str">
        <x:f>'04_checks'!B267</x:f>
        <x:v>P020</x:v>
      </x:c>
      <x:c r="C1861" t="n">
        <x:v>21</x:v>
      </x:c>
      <x:c r="D1861" t="n">
        <x:f>IF('04_checks'!G267="ERROR",1,0)</x:f>
        <x:v>0</x:v>
      </x:c>
      <x:c r="E1861" t="str">
        <x:v>Payment:21:5</x:v>
      </x:c>
      <x:c r="F1861" t="str">
        <x:v>Отрицательная цена</x:v>
      </x:c>
      <x:c r="G1861" t="str">
        <x:v>High</x:v>
      </x:c>
      <x:c r="H1861" t="str">
        <x:v>N/A</x:v>
      </x:c>
      <x:c r="I1861" t="str">
        <x:v>Проверить цену в источнике</x:v>
      </x:c>
      <x:c r="J1861" t="n">
        <x:f>IF(D1861=1,K1861,0)</x:f>
        <x:v>0</x:v>
      </x:c>
      <x:c r="K1861" t="n">
        <x:f>D1861+K1860</x:f>
        <x:v>22</x:v>
      </x:c>
    </x:row>
    <x:row r="1862">
      <x:c r="A1862" t="str">
        <x:v>Payment</x:v>
      </x:c>
      <x:c r="B1862" t="str">
        <x:f>'04_checks'!B267</x:f>
        <x:v>P020</x:v>
      </x:c>
      <x:c r="C1862" t="n">
        <x:v>21</x:v>
      </x:c>
      <x:c r="D1862" t="n">
        <x:f>IF('04_checks'!H267="ERROR",1,0)</x:f>
        <x:v>0</x:v>
      </x:c>
      <x:c r="E1862" t="str">
        <x:v>Payment:21:6</x:v>
      </x:c>
      <x:c r="F1862" t="str">
        <x:v>Дата</x:v>
      </x:c>
      <x:c r="G1862" t="str">
        <x:v>Medium</x:v>
      </x:c>
      <x:c r="H1862" t="str">
        <x:v>payment_date</x:v>
      </x:c>
      <x:c r="I1862" t="str">
        <x:v>Сверить дату со срезом и исходной записью</x:v>
      </x:c>
      <x:c r="J1862" t="n">
        <x:f>IF(D1862=1,K1862,0)</x:f>
        <x:v>0</x:v>
      </x:c>
      <x:c r="K1862" t="n">
        <x:f>D1862+K1861</x:f>
        <x:v>22</x:v>
      </x:c>
    </x:row>
    <x:row r="1863">
      <x:c r="A1863" t="str">
        <x:v>Payment</x:v>
      </x:c>
      <x:c r="B1863" t="str">
        <x:f>'04_checks'!B267</x:f>
        <x:v>P020</x:v>
      </x:c>
      <x:c r="C1863" t="n">
        <x:v>21</x:v>
      </x:c>
      <x:c r="D1863" t="n">
        <x:f>IF('04_checks'!I267="ERROR",1,0)</x:f>
        <x:v>0</x:v>
      </x:c>
      <x:c r="E1863" t="str">
        <x:v>Payment:21:7</x:v>
      </x:c>
      <x:c r="F1863" t="str">
        <x:v>Статус</x:v>
      </x:c>
      <x:c r="G1863" t="str">
        <x:v>Medium</x:v>
      </x:c>
      <x:c r="H1863" t="str">
        <x:v>payment_status</x:v>
      </x:c>
      <x:c r="I1863" t="str">
        <x:v>Выбрать допустимый статус</x:v>
      </x:c>
      <x:c r="J1863" t="n">
        <x:f>IF(D1863=1,K1863,0)</x:f>
        <x:v>0</x:v>
      </x:c>
      <x:c r="K1863" t="n">
        <x:f>D1863+K1862</x:f>
        <x:v>22</x:v>
      </x:c>
    </x:row>
    <x:row r="1864">
      <x:c r="A1864" t="str">
        <x:v>Payment</x:v>
      </x:c>
      <x:c r="B1864" t="str">
        <x:f>'04_checks'!B268</x:f>
        <x:v>P021</x:v>
      </x:c>
      <x:c r="C1864" t="n">
        <x:v>22</x:v>
      </x:c>
      <x:c r="D1864" t="n">
        <x:f>IF('04_checks'!C268="ERROR",1,0)</x:f>
        <x:v>0</x:v>
      </x:c>
      <x:c r="E1864" t="str">
        <x:v>Payment:22:1</x:v>
      </x:c>
      <x:c r="F1864" t="str">
        <x:v>Дубль</x:v>
      </x:c>
      <x:c r="G1864" t="str">
        <x:v>High</x:v>
      </x:c>
      <x:c r="H1864" t="str">
        <x:v>payment_id</x:v>
      </x:c>
      <x:c r="I1864" t="str">
        <x:v>Проверить уникальность ID в источнике; не удалять записи автоматически</x:v>
      </x:c>
      <x:c r="J1864" t="n">
        <x:f>IF(D1864=1,K1864,0)</x:f>
        <x:v>0</x:v>
      </x:c>
      <x:c r="K1864" t="n">
        <x:f>D1864+K1863</x:f>
        <x:v>22</x:v>
      </x:c>
    </x:row>
    <x:row r="1865">
      <x:c r="A1865" t="str">
        <x:v>Payment</x:v>
      </x:c>
      <x:c r="B1865" t="str">
        <x:f>'04_checks'!B268</x:f>
        <x:v>P021</x:v>
      </x:c>
      <x:c r="C1865" t="n">
        <x:v>22</x:v>
      </x:c>
      <x:c r="D1865" t="n">
        <x:f>IF('04_checks'!D268="ERROR",1,0)</x:f>
        <x:v>0</x:v>
      </x:c>
      <x:c r="E1865" t="str">
        <x:v>Payment:22:2</x:v>
      </x:c>
      <x:c r="F1865" t="str">
        <x:v>Пустое поле</x:v>
      </x:c>
      <x:c r="G1865" t="str">
        <x:v>High</x:v>
      </x:c>
      <x:c r="H1865" t="str">
        <x:v>required_fields</x:v>
      </x:c>
      <x:c r="I1865" t="str">
        <x:v>Дополнить обязательные поля в источнике</x:v>
      </x:c>
      <x:c r="J1865" t="n">
        <x:f>IF(D1865=1,K1865,0)</x:f>
        <x:v>0</x:v>
      </x:c>
      <x:c r="K1865" t="n">
        <x:f>D1865+K1864</x:f>
        <x:v>22</x:v>
      </x:c>
    </x:row>
    <x:row r="1866">
      <x:c r="A1866" t="str">
        <x:v>Payment</x:v>
      </x:c>
      <x:c r="B1866" t="str">
        <x:f>'04_checks'!B268</x:f>
        <x:v>P021</x:v>
      </x:c>
      <x:c r="C1866" t="n">
        <x:v>22</x:v>
      </x:c>
      <x:c r="D1866" t="n">
        <x:f>IF('04_checks'!E268="ERROR",1,0)</x:f>
        <x:v>0</x:v>
      </x:c>
      <x:c r="E1866" t="str">
        <x:v>Payment:22:3</x:v>
      </x:c>
      <x:c r="F1866" t="str">
        <x:f>IF(COUNTIF('01_orders_raw'!$A$2:$A$181,'03_payments_raw'!B22)&gt;1,"Неоднозначная связь","Нет связи")</x:f>
        <x:v>Нет связи</x:v>
      </x:c>
      <x:c r="G1866" t="str">
        <x:v>High</x:v>
      </x:c>
      <x:c r="H1866" t="str">
        <x:v>order_id</x:v>
      </x:c>
      <x:c r="I1866" t="str">
        <x:v>Исправить ссылку или разрешить дубли связанного ID</x:v>
      </x:c>
      <x:c r="J1866" t="n">
        <x:f>IF(D1866=1,K1866,0)</x:f>
        <x:v>0</x:v>
      </x:c>
      <x:c r="K1866" t="n">
        <x:f>D1866+K1865</x:f>
        <x:v>22</x:v>
      </x:c>
    </x:row>
    <x:row r="1867">
      <x:c r="A1867" t="str">
        <x:v>Payment</x:v>
      </x:c>
      <x:c r="B1867" t="str">
        <x:f>'04_checks'!B268</x:f>
        <x:v>P021</x:v>
      </x:c>
      <x:c r="C1867" t="n">
        <x:v>22</x:v>
      </x:c>
      <x:c r="D1867" t="n">
        <x:f>IF('04_checks'!F268="ERROR",1,0)</x:f>
        <x:v>0</x:v>
      </x:c>
      <x:c r="E1867" t="str">
        <x:v>Payment:22:4</x:v>
      </x:c>
      <x:c r="F1867" t="str">
        <x:v>Ошибка расчета</x:v>
      </x:c>
      <x:c r="G1867" t="str">
        <x:v>High</x:v>
      </x:c>
      <x:c r="H1867" t="str">
        <x:v>payment_sum</x:v>
      </x:c>
      <x:c r="I1867" t="str">
        <x:v>Сверить исходные значения и правило расчёта</x:v>
      </x:c>
      <x:c r="J1867" t="n">
        <x:f>IF(D1867=1,K1867,0)</x:f>
        <x:v>0</x:v>
      </x:c>
      <x:c r="K1867" t="n">
        <x:f>D1867+K1866</x:f>
        <x:v>22</x:v>
      </x:c>
    </x:row>
    <x:row r="1868">
      <x:c r="A1868" t="str">
        <x:v>Payment</x:v>
      </x:c>
      <x:c r="B1868" t="str">
        <x:f>'04_checks'!B268</x:f>
        <x:v>P021</x:v>
      </x:c>
      <x:c r="C1868" t="n">
        <x:v>22</x:v>
      </x:c>
      <x:c r="D1868" t="n">
        <x:f>IF('04_checks'!G268="ERROR",1,0)</x:f>
        <x:v>0</x:v>
      </x:c>
      <x:c r="E1868" t="str">
        <x:v>Payment:22:5</x:v>
      </x:c>
      <x:c r="F1868" t="str">
        <x:v>Отрицательная цена</x:v>
      </x:c>
      <x:c r="G1868" t="str">
        <x:v>High</x:v>
      </x:c>
      <x:c r="H1868" t="str">
        <x:v>N/A</x:v>
      </x:c>
      <x:c r="I1868" t="str">
        <x:v>Проверить цену в источнике</x:v>
      </x:c>
      <x:c r="J1868" t="n">
        <x:f>IF(D1868=1,K1868,0)</x:f>
        <x:v>0</x:v>
      </x:c>
      <x:c r="K1868" t="n">
        <x:f>D1868+K1867</x:f>
        <x:v>22</x:v>
      </x:c>
    </x:row>
    <x:row r="1869">
      <x:c r="A1869" t="str">
        <x:v>Payment</x:v>
      </x:c>
      <x:c r="B1869" t="str">
        <x:f>'04_checks'!B268</x:f>
        <x:v>P021</x:v>
      </x:c>
      <x:c r="C1869" t="n">
        <x:v>22</x:v>
      </x:c>
      <x:c r="D1869" t="n">
        <x:f>IF('04_checks'!H268="ERROR",1,0)</x:f>
        <x:v>0</x:v>
      </x:c>
      <x:c r="E1869" t="str">
        <x:v>Payment:22:6</x:v>
      </x:c>
      <x:c r="F1869" t="str">
        <x:v>Дата</x:v>
      </x:c>
      <x:c r="G1869" t="str">
        <x:v>Medium</x:v>
      </x:c>
      <x:c r="H1869" t="str">
        <x:v>payment_date</x:v>
      </x:c>
      <x:c r="I1869" t="str">
        <x:v>Сверить дату со срезом и исходной записью</x:v>
      </x:c>
      <x:c r="J1869" t="n">
        <x:f>IF(D1869=1,K1869,0)</x:f>
        <x:v>0</x:v>
      </x:c>
      <x:c r="K1869" t="n">
        <x:f>D1869+K1868</x:f>
        <x:v>22</x:v>
      </x:c>
    </x:row>
    <x:row r="1870">
      <x:c r="A1870" t="str">
        <x:v>Payment</x:v>
      </x:c>
      <x:c r="B1870" t="str">
        <x:f>'04_checks'!B268</x:f>
        <x:v>P021</x:v>
      </x:c>
      <x:c r="C1870" t="n">
        <x:v>22</x:v>
      </x:c>
      <x:c r="D1870" t="n">
        <x:f>IF('04_checks'!I268="ERROR",1,0)</x:f>
        <x:v>0</x:v>
      </x:c>
      <x:c r="E1870" t="str">
        <x:v>Payment:22:7</x:v>
      </x:c>
      <x:c r="F1870" t="str">
        <x:v>Статус</x:v>
      </x:c>
      <x:c r="G1870" t="str">
        <x:v>Medium</x:v>
      </x:c>
      <x:c r="H1870" t="str">
        <x:v>payment_status</x:v>
      </x:c>
      <x:c r="I1870" t="str">
        <x:v>Выбрать допустимый статус</x:v>
      </x:c>
      <x:c r="J1870" t="n">
        <x:f>IF(D1870=1,K1870,0)</x:f>
        <x:v>0</x:v>
      </x:c>
      <x:c r="K1870" t="n">
        <x:f>D1870+K1869</x:f>
        <x:v>22</x:v>
      </x:c>
    </x:row>
    <x:row r="1871">
      <x:c r="A1871" t="str">
        <x:v>Payment</x:v>
      </x:c>
      <x:c r="B1871" t="str">
        <x:f>'04_checks'!B269</x:f>
        <x:v>P022</x:v>
      </x:c>
      <x:c r="C1871" t="n">
        <x:v>23</x:v>
      </x:c>
      <x:c r="D1871" t="n">
        <x:f>IF('04_checks'!C269="ERROR",1,0)</x:f>
        <x:v>0</x:v>
      </x:c>
      <x:c r="E1871" t="str">
        <x:v>Payment:23:1</x:v>
      </x:c>
      <x:c r="F1871" t="str">
        <x:v>Дубль</x:v>
      </x:c>
      <x:c r="G1871" t="str">
        <x:v>High</x:v>
      </x:c>
      <x:c r="H1871" t="str">
        <x:v>payment_id</x:v>
      </x:c>
      <x:c r="I1871" t="str">
        <x:v>Проверить уникальность ID в источнике; не удалять записи автоматически</x:v>
      </x:c>
      <x:c r="J1871" t="n">
        <x:f>IF(D1871=1,K1871,0)</x:f>
        <x:v>0</x:v>
      </x:c>
      <x:c r="K1871" t="n">
        <x:f>D1871+K1870</x:f>
        <x:v>22</x:v>
      </x:c>
    </x:row>
    <x:row r="1872">
      <x:c r="A1872" t="str">
        <x:v>Payment</x:v>
      </x:c>
      <x:c r="B1872" t="str">
        <x:f>'04_checks'!B269</x:f>
        <x:v>P022</x:v>
      </x:c>
      <x:c r="C1872" t="n">
        <x:v>23</x:v>
      </x:c>
      <x:c r="D1872" t="n">
        <x:f>IF('04_checks'!D269="ERROR",1,0)</x:f>
        <x:v>0</x:v>
      </x:c>
      <x:c r="E1872" t="str">
        <x:v>Payment:23:2</x:v>
      </x:c>
      <x:c r="F1872" t="str">
        <x:v>Пустое поле</x:v>
      </x:c>
      <x:c r="G1872" t="str">
        <x:v>High</x:v>
      </x:c>
      <x:c r="H1872" t="str">
        <x:v>required_fields</x:v>
      </x:c>
      <x:c r="I1872" t="str">
        <x:v>Дополнить обязательные поля в источнике</x:v>
      </x:c>
      <x:c r="J1872" t="n">
        <x:f>IF(D1872=1,K1872,0)</x:f>
        <x:v>0</x:v>
      </x:c>
      <x:c r="K1872" t="n">
        <x:f>D1872+K1871</x:f>
        <x:v>22</x:v>
      </x:c>
    </x:row>
    <x:row r="1873">
      <x:c r="A1873" t="str">
        <x:v>Payment</x:v>
      </x:c>
      <x:c r="B1873" t="str">
        <x:f>'04_checks'!B269</x:f>
        <x:v>P022</x:v>
      </x:c>
      <x:c r="C1873" t="n">
        <x:v>23</x:v>
      </x:c>
      <x:c r="D1873" t="n">
        <x:f>IF('04_checks'!E269="ERROR",1,0)</x:f>
        <x:v>0</x:v>
      </x:c>
      <x:c r="E1873" t="str">
        <x:v>Payment:23:3</x:v>
      </x:c>
      <x:c r="F1873" t="str">
        <x:f>IF(COUNTIF('01_orders_raw'!$A$2:$A$181,'03_payments_raw'!B23)&gt;1,"Неоднозначная связь","Нет связи")</x:f>
        <x:v>Нет связи</x:v>
      </x:c>
      <x:c r="G1873" t="str">
        <x:v>High</x:v>
      </x:c>
      <x:c r="H1873" t="str">
        <x:v>order_id</x:v>
      </x:c>
      <x:c r="I1873" t="str">
        <x:v>Исправить ссылку или разрешить дубли связанного ID</x:v>
      </x:c>
      <x:c r="J1873" t="n">
        <x:f>IF(D1873=1,K1873,0)</x:f>
        <x:v>0</x:v>
      </x:c>
      <x:c r="K1873" t="n">
        <x:f>D1873+K1872</x:f>
        <x:v>22</x:v>
      </x:c>
    </x:row>
    <x:row r="1874">
      <x:c r="A1874" t="str">
        <x:v>Payment</x:v>
      </x:c>
      <x:c r="B1874" t="str">
        <x:f>'04_checks'!B269</x:f>
        <x:v>P022</x:v>
      </x:c>
      <x:c r="C1874" t="n">
        <x:v>23</x:v>
      </x:c>
      <x:c r="D1874" t="n">
        <x:f>IF('04_checks'!F269="ERROR",1,0)</x:f>
        <x:v>0</x:v>
      </x:c>
      <x:c r="E1874" t="str">
        <x:v>Payment:23:4</x:v>
      </x:c>
      <x:c r="F1874" t="str">
        <x:v>Ошибка расчета</x:v>
      </x:c>
      <x:c r="G1874" t="str">
        <x:v>High</x:v>
      </x:c>
      <x:c r="H1874" t="str">
        <x:v>payment_sum</x:v>
      </x:c>
      <x:c r="I1874" t="str">
        <x:v>Сверить исходные значения и правило расчёта</x:v>
      </x:c>
      <x:c r="J1874" t="n">
        <x:f>IF(D1874=1,K1874,0)</x:f>
        <x:v>0</x:v>
      </x:c>
      <x:c r="K1874" t="n">
        <x:f>D1874+K1873</x:f>
        <x:v>22</x:v>
      </x:c>
    </x:row>
    <x:row r="1875">
      <x:c r="A1875" t="str">
        <x:v>Payment</x:v>
      </x:c>
      <x:c r="B1875" t="str">
        <x:f>'04_checks'!B269</x:f>
        <x:v>P022</x:v>
      </x:c>
      <x:c r="C1875" t="n">
        <x:v>23</x:v>
      </x:c>
      <x:c r="D1875" t="n">
        <x:f>IF('04_checks'!G269="ERROR",1,0)</x:f>
        <x:v>0</x:v>
      </x:c>
      <x:c r="E1875" t="str">
        <x:v>Payment:23:5</x:v>
      </x:c>
      <x:c r="F1875" t="str">
        <x:v>Отрицательная цена</x:v>
      </x:c>
      <x:c r="G1875" t="str">
        <x:v>High</x:v>
      </x:c>
      <x:c r="H1875" t="str">
        <x:v>N/A</x:v>
      </x:c>
      <x:c r="I1875" t="str">
        <x:v>Проверить цену в источнике</x:v>
      </x:c>
      <x:c r="J1875" t="n">
        <x:f>IF(D1875=1,K1875,0)</x:f>
        <x:v>0</x:v>
      </x:c>
      <x:c r="K1875" t="n">
        <x:f>D1875+K1874</x:f>
        <x:v>22</x:v>
      </x:c>
    </x:row>
    <x:row r="1876">
      <x:c r="A1876" t="str">
        <x:v>Payment</x:v>
      </x:c>
      <x:c r="B1876" t="str">
        <x:f>'04_checks'!B269</x:f>
        <x:v>P022</x:v>
      </x:c>
      <x:c r="C1876" t="n">
        <x:v>23</x:v>
      </x:c>
      <x:c r="D1876" t="n">
        <x:f>IF('04_checks'!H269="ERROR",1,0)</x:f>
        <x:v>0</x:v>
      </x:c>
      <x:c r="E1876" t="str">
        <x:v>Payment:23:6</x:v>
      </x:c>
      <x:c r="F1876" t="str">
        <x:v>Дата</x:v>
      </x:c>
      <x:c r="G1876" t="str">
        <x:v>Medium</x:v>
      </x:c>
      <x:c r="H1876" t="str">
        <x:v>payment_date</x:v>
      </x:c>
      <x:c r="I1876" t="str">
        <x:v>Сверить дату со срезом и исходной записью</x:v>
      </x:c>
      <x:c r="J1876" t="n">
        <x:f>IF(D1876=1,K1876,0)</x:f>
        <x:v>0</x:v>
      </x:c>
      <x:c r="K1876" t="n">
        <x:f>D1876+K1875</x:f>
        <x:v>22</x:v>
      </x:c>
    </x:row>
    <x:row r="1877">
      <x:c r="A1877" t="str">
        <x:v>Payment</x:v>
      </x:c>
      <x:c r="B1877" t="str">
        <x:f>'04_checks'!B269</x:f>
        <x:v>P022</x:v>
      </x:c>
      <x:c r="C1877" t="n">
        <x:v>23</x:v>
      </x:c>
      <x:c r="D1877" t="n">
        <x:f>IF('04_checks'!I269="ERROR",1,0)</x:f>
        <x:v>0</x:v>
      </x:c>
      <x:c r="E1877" t="str">
        <x:v>Payment:23:7</x:v>
      </x:c>
      <x:c r="F1877" t="str">
        <x:v>Статус</x:v>
      </x:c>
      <x:c r="G1877" t="str">
        <x:v>Medium</x:v>
      </x:c>
      <x:c r="H1877" t="str">
        <x:v>payment_status</x:v>
      </x:c>
      <x:c r="I1877" t="str">
        <x:v>Выбрать допустимый статус</x:v>
      </x:c>
      <x:c r="J1877" t="n">
        <x:f>IF(D1877=1,K1877,0)</x:f>
        <x:v>0</x:v>
      </x:c>
      <x:c r="K1877" t="n">
        <x:f>D1877+K1876</x:f>
        <x:v>22</x:v>
      </x:c>
    </x:row>
    <x:row r="1878">
      <x:c r="A1878" t="str">
        <x:v>Payment</x:v>
      </x:c>
      <x:c r="B1878" t="str">
        <x:f>'04_checks'!B270</x:f>
        <x:v>P023</x:v>
      </x:c>
      <x:c r="C1878" t="n">
        <x:v>24</x:v>
      </x:c>
      <x:c r="D1878" t="n">
        <x:f>IF('04_checks'!C270="ERROR",1,0)</x:f>
        <x:v>0</x:v>
      </x:c>
      <x:c r="E1878" t="str">
        <x:v>Payment:24:1</x:v>
      </x:c>
      <x:c r="F1878" t="str">
        <x:v>Дубль</x:v>
      </x:c>
      <x:c r="G1878" t="str">
        <x:v>High</x:v>
      </x:c>
      <x:c r="H1878" t="str">
        <x:v>payment_id</x:v>
      </x:c>
      <x:c r="I1878" t="str">
        <x:v>Проверить уникальность ID в источнике; не удалять записи автоматически</x:v>
      </x:c>
      <x:c r="J1878" t="n">
        <x:f>IF(D1878=1,K1878,0)</x:f>
        <x:v>0</x:v>
      </x:c>
      <x:c r="K1878" t="n">
        <x:f>D1878+K1877</x:f>
        <x:v>22</x:v>
      </x:c>
    </x:row>
    <x:row r="1879">
      <x:c r="A1879" t="str">
        <x:v>Payment</x:v>
      </x:c>
      <x:c r="B1879" t="str">
        <x:f>'04_checks'!B270</x:f>
        <x:v>P023</x:v>
      </x:c>
      <x:c r="C1879" t="n">
        <x:v>24</x:v>
      </x:c>
      <x:c r="D1879" t="n">
        <x:f>IF('04_checks'!D270="ERROR",1,0)</x:f>
        <x:v>0</x:v>
      </x:c>
      <x:c r="E1879" t="str">
        <x:v>Payment:24:2</x:v>
      </x:c>
      <x:c r="F1879" t="str">
        <x:v>Пустое поле</x:v>
      </x:c>
      <x:c r="G1879" t="str">
        <x:v>High</x:v>
      </x:c>
      <x:c r="H1879" t="str">
        <x:v>required_fields</x:v>
      </x:c>
      <x:c r="I1879" t="str">
        <x:v>Дополнить обязательные поля в источнике</x:v>
      </x:c>
      <x:c r="J1879" t="n">
        <x:f>IF(D1879=1,K1879,0)</x:f>
        <x:v>0</x:v>
      </x:c>
      <x:c r="K1879" t="n">
        <x:f>D1879+K1878</x:f>
        <x:v>22</x:v>
      </x:c>
    </x:row>
    <x:row r="1880">
      <x:c r="A1880" t="str">
        <x:v>Payment</x:v>
      </x:c>
      <x:c r="B1880" t="str">
        <x:f>'04_checks'!B270</x:f>
        <x:v>P023</x:v>
      </x:c>
      <x:c r="C1880" t="n">
        <x:v>24</x:v>
      </x:c>
      <x:c r="D1880" t="n">
        <x:f>IF('04_checks'!E270="ERROR",1,0)</x:f>
        <x:v>0</x:v>
      </x:c>
      <x:c r="E1880" t="str">
        <x:v>Payment:24:3</x:v>
      </x:c>
      <x:c r="F1880" t="str">
        <x:f>IF(COUNTIF('01_orders_raw'!$A$2:$A$181,'03_payments_raw'!B24)&gt;1,"Неоднозначная связь","Нет связи")</x:f>
        <x:v>Нет связи</x:v>
      </x:c>
      <x:c r="G1880" t="str">
        <x:v>High</x:v>
      </x:c>
      <x:c r="H1880" t="str">
        <x:v>order_id</x:v>
      </x:c>
      <x:c r="I1880" t="str">
        <x:v>Исправить ссылку или разрешить дубли связанного ID</x:v>
      </x:c>
      <x:c r="J1880" t="n">
        <x:f>IF(D1880=1,K1880,0)</x:f>
        <x:v>0</x:v>
      </x:c>
      <x:c r="K1880" t="n">
        <x:f>D1880+K1879</x:f>
        <x:v>22</x:v>
      </x:c>
    </x:row>
    <x:row r="1881">
      <x:c r="A1881" t="str">
        <x:v>Payment</x:v>
      </x:c>
      <x:c r="B1881" t="str">
        <x:f>'04_checks'!B270</x:f>
        <x:v>P023</x:v>
      </x:c>
      <x:c r="C1881" t="n">
        <x:v>24</x:v>
      </x:c>
      <x:c r="D1881" t="n">
        <x:f>IF('04_checks'!F270="ERROR",1,0)</x:f>
        <x:v>0</x:v>
      </x:c>
      <x:c r="E1881" t="str">
        <x:v>Payment:24:4</x:v>
      </x:c>
      <x:c r="F1881" t="str">
        <x:v>Ошибка расчета</x:v>
      </x:c>
      <x:c r="G1881" t="str">
        <x:v>High</x:v>
      </x:c>
      <x:c r="H1881" t="str">
        <x:v>payment_sum</x:v>
      </x:c>
      <x:c r="I1881" t="str">
        <x:v>Сверить исходные значения и правило расчёта</x:v>
      </x:c>
      <x:c r="J1881" t="n">
        <x:f>IF(D1881=1,K1881,0)</x:f>
        <x:v>0</x:v>
      </x:c>
      <x:c r="K1881" t="n">
        <x:f>D1881+K1880</x:f>
        <x:v>22</x:v>
      </x:c>
    </x:row>
    <x:row r="1882">
      <x:c r="A1882" t="str">
        <x:v>Payment</x:v>
      </x:c>
      <x:c r="B1882" t="str">
        <x:f>'04_checks'!B270</x:f>
        <x:v>P023</x:v>
      </x:c>
      <x:c r="C1882" t="n">
        <x:v>24</x:v>
      </x:c>
      <x:c r="D1882" t="n">
        <x:f>IF('04_checks'!G270="ERROR",1,0)</x:f>
        <x:v>0</x:v>
      </x:c>
      <x:c r="E1882" t="str">
        <x:v>Payment:24:5</x:v>
      </x:c>
      <x:c r="F1882" t="str">
        <x:v>Отрицательная цена</x:v>
      </x:c>
      <x:c r="G1882" t="str">
        <x:v>High</x:v>
      </x:c>
      <x:c r="H1882" t="str">
        <x:v>N/A</x:v>
      </x:c>
      <x:c r="I1882" t="str">
        <x:v>Проверить цену в источнике</x:v>
      </x:c>
      <x:c r="J1882" t="n">
        <x:f>IF(D1882=1,K1882,0)</x:f>
        <x:v>0</x:v>
      </x:c>
      <x:c r="K1882" t="n">
        <x:f>D1882+K1881</x:f>
        <x:v>22</x:v>
      </x:c>
    </x:row>
    <x:row r="1883">
      <x:c r="A1883" t="str">
        <x:v>Payment</x:v>
      </x:c>
      <x:c r="B1883" t="str">
        <x:f>'04_checks'!B270</x:f>
        <x:v>P023</x:v>
      </x:c>
      <x:c r="C1883" t="n">
        <x:v>24</x:v>
      </x:c>
      <x:c r="D1883" t="n">
        <x:f>IF('04_checks'!H270="ERROR",1,0)</x:f>
        <x:v>0</x:v>
      </x:c>
      <x:c r="E1883" t="str">
        <x:v>Payment:24:6</x:v>
      </x:c>
      <x:c r="F1883" t="str">
        <x:v>Дата</x:v>
      </x:c>
      <x:c r="G1883" t="str">
        <x:v>Medium</x:v>
      </x:c>
      <x:c r="H1883" t="str">
        <x:v>payment_date</x:v>
      </x:c>
      <x:c r="I1883" t="str">
        <x:v>Сверить дату со срезом и исходной записью</x:v>
      </x:c>
      <x:c r="J1883" t="n">
        <x:f>IF(D1883=1,K1883,0)</x:f>
        <x:v>0</x:v>
      </x:c>
      <x:c r="K1883" t="n">
        <x:f>D1883+K1882</x:f>
        <x:v>22</x:v>
      </x:c>
    </x:row>
    <x:row r="1884">
      <x:c r="A1884" t="str">
        <x:v>Payment</x:v>
      </x:c>
      <x:c r="B1884" t="str">
        <x:f>'04_checks'!B270</x:f>
        <x:v>P023</x:v>
      </x:c>
      <x:c r="C1884" t="n">
        <x:v>24</x:v>
      </x:c>
      <x:c r="D1884" t="n">
        <x:f>IF('04_checks'!I270="ERROR",1,0)</x:f>
        <x:v>0</x:v>
      </x:c>
      <x:c r="E1884" t="str">
        <x:v>Payment:24:7</x:v>
      </x:c>
      <x:c r="F1884" t="str">
        <x:v>Статус</x:v>
      </x:c>
      <x:c r="G1884" t="str">
        <x:v>Medium</x:v>
      </x:c>
      <x:c r="H1884" t="str">
        <x:v>payment_status</x:v>
      </x:c>
      <x:c r="I1884" t="str">
        <x:v>Выбрать допустимый статус</x:v>
      </x:c>
      <x:c r="J1884" t="n">
        <x:f>IF(D1884=1,K1884,0)</x:f>
        <x:v>0</x:v>
      </x:c>
      <x:c r="K1884" t="n">
        <x:f>D1884+K1883</x:f>
        <x:v>22</x:v>
      </x:c>
    </x:row>
    <x:row r="1885">
      <x:c r="A1885" t="str">
        <x:v>Payment</x:v>
      </x:c>
      <x:c r="B1885" t="str">
        <x:f>'04_checks'!B271</x:f>
        <x:v>P024</x:v>
      </x:c>
      <x:c r="C1885" t="n">
        <x:v>25</x:v>
      </x:c>
      <x:c r="D1885" t="n">
        <x:f>IF('04_checks'!C271="ERROR",1,0)</x:f>
        <x:v>0</x:v>
      </x:c>
      <x:c r="E1885" t="str">
        <x:v>Payment:25:1</x:v>
      </x:c>
      <x:c r="F1885" t="str">
        <x:v>Дубль</x:v>
      </x:c>
      <x:c r="G1885" t="str">
        <x:v>High</x:v>
      </x:c>
      <x:c r="H1885" t="str">
        <x:v>payment_id</x:v>
      </x:c>
      <x:c r="I1885" t="str">
        <x:v>Проверить уникальность ID в источнике; не удалять записи автоматически</x:v>
      </x:c>
      <x:c r="J1885" t="n">
        <x:f>IF(D1885=1,K1885,0)</x:f>
        <x:v>0</x:v>
      </x:c>
      <x:c r="K1885" t="n">
        <x:f>D1885+K1884</x:f>
        <x:v>22</x:v>
      </x:c>
    </x:row>
    <x:row r="1886">
      <x:c r="A1886" t="str">
        <x:v>Payment</x:v>
      </x:c>
      <x:c r="B1886" t="str">
        <x:f>'04_checks'!B271</x:f>
        <x:v>P024</x:v>
      </x:c>
      <x:c r="C1886" t="n">
        <x:v>25</x:v>
      </x:c>
      <x:c r="D1886" t="n">
        <x:f>IF('04_checks'!D271="ERROR",1,0)</x:f>
        <x:v>0</x:v>
      </x:c>
      <x:c r="E1886" t="str">
        <x:v>Payment:25:2</x:v>
      </x:c>
      <x:c r="F1886" t="str">
        <x:v>Пустое поле</x:v>
      </x:c>
      <x:c r="G1886" t="str">
        <x:v>High</x:v>
      </x:c>
      <x:c r="H1886" t="str">
        <x:v>required_fields</x:v>
      </x:c>
      <x:c r="I1886" t="str">
        <x:v>Дополнить обязательные поля в источнике</x:v>
      </x:c>
      <x:c r="J1886" t="n">
        <x:f>IF(D1886=1,K1886,0)</x:f>
        <x:v>0</x:v>
      </x:c>
      <x:c r="K1886" t="n">
        <x:f>D1886+K1885</x:f>
        <x:v>22</x:v>
      </x:c>
    </x:row>
    <x:row r="1887">
      <x:c r="A1887" t="str">
        <x:v>Payment</x:v>
      </x:c>
      <x:c r="B1887" t="str">
        <x:f>'04_checks'!B271</x:f>
        <x:v>P024</x:v>
      </x:c>
      <x:c r="C1887" t="n">
        <x:v>25</x:v>
      </x:c>
      <x:c r="D1887" t="n">
        <x:f>IF('04_checks'!E271="ERROR",1,0)</x:f>
        <x:v>0</x:v>
      </x:c>
      <x:c r="E1887" t="str">
        <x:v>Payment:25:3</x:v>
      </x:c>
      <x:c r="F1887" t="str">
        <x:f>IF(COUNTIF('01_orders_raw'!$A$2:$A$181,'03_payments_raw'!B25)&gt;1,"Неоднозначная связь","Нет связи")</x:f>
        <x:v>Нет связи</x:v>
      </x:c>
      <x:c r="G1887" t="str">
        <x:v>High</x:v>
      </x:c>
      <x:c r="H1887" t="str">
        <x:v>order_id</x:v>
      </x:c>
      <x:c r="I1887" t="str">
        <x:v>Исправить ссылку или разрешить дубли связанного ID</x:v>
      </x:c>
      <x:c r="J1887" t="n">
        <x:f>IF(D1887=1,K1887,0)</x:f>
        <x:v>0</x:v>
      </x:c>
      <x:c r="K1887" t="n">
        <x:f>D1887+K1886</x:f>
        <x:v>22</x:v>
      </x:c>
    </x:row>
    <x:row r="1888">
      <x:c r="A1888" t="str">
        <x:v>Payment</x:v>
      </x:c>
      <x:c r="B1888" t="str">
        <x:f>'04_checks'!B271</x:f>
        <x:v>P024</x:v>
      </x:c>
      <x:c r="C1888" t="n">
        <x:v>25</x:v>
      </x:c>
      <x:c r="D1888" t="n">
        <x:f>IF('04_checks'!F271="ERROR",1,0)</x:f>
        <x:v>0</x:v>
      </x:c>
      <x:c r="E1888" t="str">
        <x:v>Payment:25:4</x:v>
      </x:c>
      <x:c r="F1888" t="str">
        <x:v>Ошибка расчета</x:v>
      </x:c>
      <x:c r="G1888" t="str">
        <x:v>High</x:v>
      </x:c>
      <x:c r="H1888" t="str">
        <x:v>payment_sum</x:v>
      </x:c>
      <x:c r="I1888" t="str">
        <x:v>Сверить исходные значения и правило расчёта</x:v>
      </x:c>
      <x:c r="J1888" t="n">
        <x:f>IF(D1888=1,K1888,0)</x:f>
        <x:v>0</x:v>
      </x:c>
      <x:c r="K1888" t="n">
        <x:f>D1888+K1887</x:f>
        <x:v>22</x:v>
      </x:c>
    </x:row>
    <x:row r="1889">
      <x:c r="A1889" t="str">
        <x:v>Payment</x:v>
      </x:c>
      <x:c r="B1889" t="str">
        <x:f>'04_checks'!B271</x:f>
        <x:v>P024</x:v>
      </x:c>
      <x:c r="C1889" t="n">
        <x:v>25</x:v>
      </x:c>
      <x:c r="D1889" t="n">
        <x:f>IF('04_checks'!G271="ERROR",1,0)</x:f>
        <x:v>0</x:v>
      </x:c>
      <x:c r="E1889" t="str">
        <x:v>Payment:25:5</x:v>
      </x:c>
      <x:c r="F1889" t="str">
        <x:v>Отрицательная цена</x:v>
      </x:c>
      <x:c r="G1889" t="str">
        <x:v>High</x:v>
      </x:c>
      <x:c r="H1889" t="str">
        <x:v>N/A</x:v>
      </x:c>
      <x:c r="I1889" t="str">
        <x:v>Проверить цену в источнике</x:v>
      </x:c>
      <x:c r="J1889" t="n">
        <x:f>IF(D1889=1,K1889,0)</x:f>
        <x:v>0</x:v>
      </x:c>
      <x:c r="K1889" t="n">
        <x:f>D1889+K1888</x:f>
        <x:v>22</x:v>
      </x:c>
    </x:row>
    <x:row r="1890">
      <x:c r="A1890" t="str">
        <x:v>Payment</x:v>
      </x:c>
      <x:c r="B1890" t="str">
        <x:f>'04_checks'!B271</x:f>
        <x:v>P024</x:v>
      </x:c>
      <x:c r="C1890" t="n">
        <x:v>25</x:v>
      </x:c>
      <x:c r="D1890" t="n">
        <x:f>IF('04_checks'!H271="ERROR",1,0)</x:f>
        <x:v>0</x:v>
      </x:c>
      <x:c r="E1890" t="str">
        <x:v>Payment:25:6</x:v>
      </x:c>
      <x:c r="F1890" t="str">
        <x:v>Дата</x:v>
      </x:c>
      <x:c r="G1890" t="str">
        <x:v>Medium</x:v>
      </x:c>
      <x:c r="H1890" t="str">
        <x:v>payment_date</x:v>
      </x:c>
      <x:c r="I1890" t="str">
        <x:v>Сверить дату со срезом и исходной записью</x:v>
      </x:c>
      <x:c r="J1890" t="n">
        <x:f>IF(D1890=1,K1890,0)</x:f>
        <x:v>0</x:v>
      </x:c>
      <x:c r="K1890" t="n">
        <x:f>D1890+K1889</x:f>
        <x:v>22</x:v>
      </x:c>
    </x:row>
    <x:row r="1891">
      <x:c r="A1891" t="str">
        <x:v>Payment</x:v>
      </x:c>
      <x:c r="B1891" t="str">
        <x:f>'04_checks'!B271</x:f>
        <x:v>P024</x:v>
      </x:c>
      <x:c r="C1891" t="n">
        <x:v>25</x:v>
      </x:c>
      <x:c r="D1891" t="n">
        <x:f>IF('04_checks'!I271="ERROR",1,0)</x:f>
        <x:v>0</x:v>
      </x:c>
      <x:c r="E1891" t="str">
        <x:v>Payment:25:7</x:v>
      </x:c>
      <x:c r="F1891" t="str">
        <x:v>Статус</x:v>
      </x:c>
      <x:c r="G1891" t="str">
        <x:v>Medium</x:v>
      </x:c>
      <x:c r="H1891" t="str">
        <x:v>payment_status</x:v>
      </x:c>
      <x:c r="I1891" t="str">
        <x:v>Выбрать допустимый статус</x:v>
      </x:c>
      <x:c r="J1891" t="n">
        <x:f>IF(D1891=1,K1891,0)</x:f>
        <x:v>0</x:v>
      </x:c>
      <x:c r="K1891" t="n">
        <x:f>D1891+K1890</x:f>
        <x:v>22</x:v>
      </x:c>
    </x:row>
    <x:row r="1892">
      <x:c r="A1892" t="str">
        <x:v>Payment</x:v>
      </x:c>
      <x:c r="B1892" t="str">
        <x:f>'04_checks'!B272</x:f>
        <x:v>P025</x:v>
      </x:c>
      <x:c r="C1892" t="n">
        <x:v>26</x:v>
      </x:c>
      <x:c r="D1892" t="n">
        <x:f>IF('04_checks'!C272="ERROR",1,0)</x:f>
        <x:v>0</x:v>
      </x:c>
      <x:c r="E1892" t="str">
        <x:v>Payment:26:1</x:v>
      </x:c>
      <x:c r="F1892" t="str">
        <x:v>Дубль</x:v>
      </x:c>
      <x:c r="G1892" t="str">
        <x:v>High</x:v>
      </x:c>
      <x:c r="H1892" t="str">
        <x:v>payment_id</x:v>
      </x:c>
      <x:c r="I1892" t="str">
        <x:v>Проверить уникальность ID в источнике; не удалять записи автоматически</x:v>
      </x:c>
      <x:c r="J1892" t="n">
        <x:f>IF(D1892=1,K1892,0)</x:f>
        <x:v>0</x:v>
      </x:c>
      <x:c r="K1892" t="n">
        <x:f>D1892+K1891</x:f>
        <x:v>22</x:v>
      </x:c>
    </x:row>
    <x:row r="1893">
      <x:c r="A1893" t="str">
        <x:v>Payment</x:v>
      </x:c>
      <x:c r="B1893" t="str">
        <x:f>'04_checks'!B272</x:f>
        <x:v>P025</x:v>
      </x:c>
      <x:c r="C1893" t="n">
        <x:v>26</x:v>
      </x:c>
      <x:c r="D1893" t="n">
        <x:f>IF('04_checks'!D272="ERROR",1,0)</x:f>
        <x:v>0</x:v>
      </x:c>
      <x:c r="E1893" t="str">
        <x:v>Payment:26:2</x:v>
      </x:c>
      <x:c r="F1893" t="str">
        <x:v>Пустое поле</x:v>
      </x:c>
      <x:c r="G1893" t="str">
        <x:v>High</x:v>
      </x:c>
      <x:c r="H1893" t="str">
        <x:v>required_fields</x:v>
      </x:c>
      <x:c r="I1893" t="str">
        <x:v>Дополнить обязательные поля в источнике</x:v>
      </x:c>
      <x:c r="J1893" t="n">
        <x:f>IF(D1893=1,K1893,0)</x:f>
        <x:v>0</x:v>
      </x:c>
      <x:c r="K1893" t="n">
        <x:f>D1893+K1892</x:f>
        <x:v>22</x:v>
      </x:c>
    </x:row>
    <x:row r="1894">
      <x:c r="A1894" t="str">
        <x:v>Payment</x:v>
      </x:c>
      <x:c r="B1894" t="str">
        <x:f>'04_checks'!B272</x:f>
        <x:v>P025</x:v>
      </x:c>
      <x:c r="C1894" t="n">
        <x:v>26</x:v>
      </x:c>
      <x:c r="D1894" t="n">
        <x:f>IF('04_checks'!E272="ERROR",1,0)</x:f>
        <x:v>0</x:v>
      </x:c>
      <x:c r="E1894" t="str">
        <x:v>Payment:26:3</x:v>
      </x:c>
      <x:c r="F1894" t="str">
        <x:f>IF(COUNTIF('01_orders_raw'!$A$2:$A$181,'03_payments_raw'!B26)&gt;1,"Неоднозначная связь","Нет связи")</x:f>
        <x:v>Нет связи</x:v>
      </x:c>
      <x:c r="G1894" t="str">
        <x:v>High</x:v>
      </x:c>
      <x:c r="H1894" t="str">
        <x:v>order_id</x:v>
      </x:c>
      <x:c r="I1894" t="str">
        <x:v>Исправить ссылку или разрешить дубли связанного ID</x:v>
      </x:c>
      <x:c r="J1894" t="n">
        <x:f>IF(D1894=1,K1894,0)</x:f>
        <x:v>0</x:v>
      </x:c>
      <x:c r="K1894" t="n">
        <x:f>D1894+K1893</x:f>
        <x:v>22</x:v>
      </x:c>
    </x:row>
    <x:row r="1895">
      <x:c r="A1895" t="str">
        <x:v>Payment</x:v>
      </x:c>
      <x:c r="B1895" t="str">
        <x:f>'04_checks'!B272</x:f>
        <x:v>P025</x:v>
      </x:c>
      <x:c r="C1895" t="n">
        <x:v>26</x:v>
      </x:c>
      <x:c r="D1895" t="n">
        <x:f>IF('04_checks'!F272="ERROR",1,0)</x:f>
        <x:v>0</x:v>
      </x:c>
      <x:c r="E1895" t="str">
        <x:v>Payment:26:4</x:v>
      </x:c>
      <x:c r="F1895" t="str">
        <x:v>Ошибка расчета</x:v>
      </x:c>
      <x:c r="G1895" t="str">
        <x:v>High</x:v>
      </x:c>
      <x:c r="H1895" t="str">
        <x:v>payment_sum</x:v>
      </x:c>
      <x:c r="I1895" t="str">
        <x:v>Сверить исходные значения и правило расчёта</x:v>
      </x:c>
      <x:c r="J1895" t="n">
        <x:f>IF(D1895=1,K1895,0)</x:f>
        <x:v>0</x:v>
      </x:c>
      <x:c r="K1895" t="n">
        <x:f>D1895+K1894</x:f>
        <x:v>22</x:v>
      </x:c>
    </x:row>
    <x:row r="1896">
      <x:c r="A1896" t="str">
        <x:v>Payment</x:v>
      </x:c>
      <x:c r="B1896" t="str">
        <x:f>'04_checks'!B272</x:f>
        <x:v>P025</x:v>
      </x:c>
      <x:c r="C1896" t="n">
        <x:v>26</x:v>
      </x:c>
      <x:c r="D1896" t="n">
        <x:f>IF('04_checks'!G272="ERROR",1,0)</x:f>
        <x:v>0</x:v>
      </x:c>
      <x:c r="E1896" t="str">
        <x:v>Payment:26:5</x:v>
      </x:c>
      <x:c r="F1896" t="str">
        <x:v>Отрицательная цена</x:v>
      </x:c>
      <x:c r="G1896" t="str">
        <x:v>High</x:v>
      </x:c>
      <x:c r="H1896" t="str">
        <x:v>N/A</x:v>
      </x:c>
      <x:c r="I1896" t="str">
        <x:v>Проверить цену в источнике</x:v>
      </x:c>
      <x:c r="J1896" t="n">
        <x:f>IF(D1896=1,K1896,0)</x:f>
        <x:v>0</x:v>
      </x:c>
      <x:c r="K1896" t="n">
        <x:f>D1896+K1895</x:f>
        <x:v>22</x:v>
      </x:c>
    </x:row>
    <x:row r="1897">
      <x:c r="A1897" t="str">
        <x:v>Payment</x:v>
      </x:c>
      <x:c r="B1897" t="str">
        <x:f>'04_checks'!B272</x:f>
        <x:v>P025</x:v>
      </x:c>
      <x:c r="C1897" t="n">
        <x:v>26</x:v>
      </x:c>
      <x:c r="D1897" t="n">
        <x:f>IF('04_checks'!H272="ERROR",1,0)</x:f>
        <x:v>0</x:v>
      </x:c>
      <x:c r="E1897" t="str">
        <x:v>Payment:26:6</x:v>
      </x:c>
      <x:c r="F1897" t="str">
        <x:v>Дата</x:v>
      </x:c>
      <x:c r="G1897" t="str">
        <x:v>Medium</x:v>
      </x:c>
      <x:c r="H1897" t="str">
        <x:v>payment_date</x:v>
      </x:c>
      <x:c r="I1897" t="str">
        <x:v>Сверить дату со срезом и исходной записью</x:v>
      </x:c>
      <x:c r="J1897" t="n">
        <x:f>IF(D1897=1,K1897,0)</x:f>
        <x:v>0</x:v>
      </x:c>
      <x:c r="K1897" t="n">
        <x:f>D1897+K1896</x:f>
        <x:v>22</x:v>
      </x:c>
    </x:row>
    <x:row r="1898">
      <x:c r="A1898" t="str">
        <x:v>Payment</x:v>
      </x:c>
      <x:c r="B1898" t="str">
        <x:f>'04_checks'!B272</x:f>
        <x:v>P025</x:v>
      </x:c>
      <x:c r="C1898" t="n">
        <x:v>26</x:v>
      </x:c>
      <x:c r="D1898" t="n">
        <x:f>IF('04_checks'!I272="ERROR",1,0)</x:f>
        <x:v>0</x:v>
      </x:c>
      <x:c r="E1898" t="str">
        <x:v>Payment:26:7</x:v>
      </x:c>
      <x:c r="F1898" t="str">
        <x:v>Статус</x:v>
      </x:c>
      <x:c r="G1898" t="str">
        <x:v>Medium</x:v>
      </x:c>
      <x:c r="H1898" t="str">
        <x:v>payment_status</x:v>
      </x:c>
      <x:c r="I1898" t="str">
        <x:v>Выбрать допустимый статус</x:v>
      </x:c>
      <x:c r="J1898" t="n">
        <x:f>IF(D1898=1,K1898,0)</x:f>
        <x:v>0</x:v>
      </x:c>
      <x:c r="K1898" t="n">
        <x:f>D1898+K1897</x:f>
        <x:v>22</x:v>
      </x:c>
    </x:row>
    <x:row r="1899">
      <x:c r="A1899" t="str">
        <x:v>Payment</x:v>
      </x:c>
      <x:c r="B1899" t="str">
        <x:f>'04_checks'!B273</x:f>
        <x:v>P026</x:v>
      </x:c>
      <x:c r="C1899" t="n">
        <x:v>27</x:v>
      </x:c>
      <x:c r="D1899" t="n">
        <x:f>IF('04_checks'!C273="ERROR",1,0)</x:f>
        <x:v>0</x:v>
      </x:c>
      <x:c r="E1899" t="str">
        <x:v>Payment:27:1</x:v>
      </x:c>
      <x:c r="F1899" t="str">
        <x:v>Дубль</x:v>
      </x:c>
      <x:c r="G1899" t="str">
        <x:v>High</x:v>
      </x:c>
      <x:c r="H1899" t="str">
        <x:v>payment_id</x:v>
      </x:c>
      <x:c r="I1899" t="str">
        <x:v>Проверить уникальность ID в источнике; не удалять записи автоматически</x:v>
      </x:c>
      <x:c r="J1899" t="n">
        <x:f>IF(D1899=1,K1899,0)</x:f>
        <x:v>0</x:v>
      </x:c>
      <x:c r="K1899" t="n">
        <x:f>D1899+K1898</x:f>
        <x:v>22</x:v>
      </x:c>
    </x:row>
    <x:row r="1900">
      <x:c r="A1900" t="str">
        <x:v>Payment</x:v>
      </x:c>
      <x:c r="B1900" t="str">
        <x:f>'04_checks'!B273</x:f>
        <x:v>P026</x:v>
      </x:c>
      <x:c r="C1900" t="n">
        <x:v>27</x:v>
      </x:c>
      <x:c r="D1900" t="n">
        <x:f>IF('04_checks'!D273="ERROR",1,0)</x:f>
        <x:v>0</x:v>
      </x:c>
      <x:c r="E1900" t="str">
        <x:v>Payment:27:2</x:v>
      </x:c>
      <x:c r="F1900" t="str">
        <x:v>Пустое поле</x:v>
      </x:c>
      <x:c r="G1900" t="str">
        <x:v>High</x:v>
      </x:c>
      <x:c r="H1900" t="str">
        <x:v>required_fields</x:v>
      </x:c>
      <x:c r="I1900" t="str">
        <x:v>Дополнить обязательные поля в источнике</x:v>
      </x:c>
      <x:c r="J1900" t="n">
        <x:f>IF(D1900=1,K1900,0)</x:f>
        <x:v>0</x:v>
      </x:c>
      <x:c r="K1900" t="n">
        <x:f>D1900+K1899</x:f>
        <x:v>22</x:v>
      </x:c>
    </x:row>
    <x:row r="1901">
      <x:c r="A1901" t="str">
        <x:v>Payment</x:v>
      </x:c>
      <x:c r="B1901" t="str">
        <x:f>'04_checks'!B273</x:f>
        <x:v>P026</x:v>
      </x:c>
      <x:c r="C1901" t="n">
        <x:v>27</x:v>
      </x:c>
      <x:c r="D1901" t="n">
        <x:f>IF('04_checks'!E273="ERROR",1,0)</x:f>
        <x:v>0</x:v>
      </x:c>
      <x:c r="E1901" t="str">
        <x:v>Payment:27:3</x:v>
      </x:c>
      <x:c r="F1901" t="str">
        <x:f>IF(COUNTIF('01_orders_raw'!$A$2:$A$181,'03_payments_raw'!B27)&gt;1,"Неоднозначная связь","Нет связи")</x:f>
        <x:v>Нет связи</x:v>
      </x:c>
      <x:c r="G1901" t="str">
        <x:v>High</x:v>
      </x:c>
      <x:c r="H1901" t="str">
        <x:v>order_id</x:v>
      </x:c>
      <x:c r="I1901" t="str">
        <x:v>Исправить ссылку или разрешить дубли связанного ID</x:v>
      </x:c>
      <x:c r="J1901" t="n">
        <x:f>IF(D1901=1,K1901,0)</x:f>
        <x:v>0</x:v>
      </x:c>
      <x:c r="K1901" t="n">
        <x:f>D1901+K1900</x:f>
        <x:v>22</x:v>
      </x:c>
    </x:row>
    <x:row r="1902">
      <x:c r="A1902" t="str">
        <x:v>Payment</x:v>
      </x:c>
      <x:c r="B1902" t="str">
        <x:f>'04_checks'!B273</x:f>
        <x:v>P026</x:v>
      </x:c>
      <x:c r="C1902" t="n">
        <x:v>27</x:v>
      </x:c>
      <x:c r="D1902" t="n">
        <x:f>IF('04_checks'!F273="ERROR",1,0)</x:f>
        <x:v>0</x:v>
      </x:c>
      <x:c r="E1902" t="str">
        <x:v>Payment:27:4</x:v>
      </x:c>
      <x:c r="F1902" t="str">
        <x:v>Ошибка расчета</x:v>
      </x:c>
      <x:c r="G1902" t="str">
        <x:v>High</x:v>
      </x:c>
      <x:c r="H1902" t="str">
        <x:v>payment_sum</x:v>
      </x:c>
      <x:c r="I1902" t="str">
        <x:v>Сверить исходные значения и правило расчёта</x:v>
      </x:c>
      <x:c r="J1902" t="n">
        <x:f>IF(D1902=1,K1902,0)</x:f>
        <x:v>0</x:v>
      </x:c>
      <x:c r="K1902" t="n">
        <x:f>D1902+K1901</x:f>
        <x:v>22</x:v>
      </x:c>
    </x:row>
    <x:row r="1903">
      <x:c r="A1903" t="str">
        <x:v>Payment</x:v>
      </x:c>
      <x:c r="B1903" t="str">
        <x:f>'04_checks'!B273</x:f>
        <x:v>P026</x:v>
      </x:c>
      <x:c r="C1903" t="n">
        <x:v>27</x:v>
      </x:c>
      <x:c r="D1903" t="n">
        <x:f>IF('04_checks'!G273="ERROR",1,0)</x:f>
        <x:v>0</x:v>
      </x:c>
      <x:c r="E1903" t="str">
        <x:v>Payment:27:5</x:v>
      </x:c>
      <x:c r="F1903" t="str">
        <x:v>Отрицательная цена</x:v>
      </x:c>
      <x:c r="G1903" t="str">
        <x:v>High</x:v>
      </x:c>
      <x:c r="H1903" t="str">
        <x:v>N/A</x:v>
      </x:c>
      <x:c r="I1903" t="str">
        <x:v>Проверить цену в источнике</x:v>
      </x:c>
      <x:c r="J1903" t="n">
        <x:f>IF(D1903=1,K1903,0)</x:f>
        <x:v>0</x:v>
      </x:c>
      <x:c r="K1903" t="n">
        <x:f>D1903+K1902</x:f>
        <x:v>22</x:v>
      </x:c>
    </x:row>
    <x:row r="1904">
      <x:c r="A1904" t="str">
        <x:v>Payment</x:v>
      </x:c>
      <x:c r="B1904" t="str">
        <x:f>'04_checks'!B273</x:f>
        <x:v>P026</x:v>
      </x:c>
      <x:c r="C1904" t="n">
        <x:v>27</x:v>
      </x:c>
      <x:c r="D1904" t="n">
        <x:f>IF('04_checks'!H273="ERROR",1,0)</x:f>
        <x:v>0</x:v>
      </x:c>
      <x:c r="E1904" t="str">
        <x:v>Payment:27:6</x:v>
      </x:c>
      <x:c r="F1904" t="str">
        <x:v>Дата</x:v>
      </x:c>
      <x:c r="G1904" t="str">
        <x:v>Medium</x:v>
      </x:c>
      <x:c r="H1904" t="str">
        <x:v>payment_date</x:v>
      </x:c>
      <x:c r="I1904" t="str">
        <x:v>Сверить дату со срезом и исходной записью</x:v>
      </x:c>
      <x:c r="J1904" t="n">
        <x:f>IF(D1904=1,K1904,0)</x:f>
        <x:v>0</x:v>
      </x:c>
      <x:c r="K1904" t="n">
        <x:f>D1904+K1903</x:f>
        <x:v>22</x:v>
      </x:c>
    </x:row>
    <x:row r="1905">
      <x:c r="A1905" t="str">
        <x:v>Payment</x:v>
      </x:c>
      <x:c r="B1905" t="str">
        <x:f>'04_checks'!B273</x:f>
        <x:v>P026</x:v>
      </x:c>
      <x:c r="C1905" t="n">
        <x:v>27</x:v>
      </x:c>
      <x:c r="D1905" t="n">
        <x:f>IF('04_checks'!I273="ERROR",1,0)</x:f>
        <x:v>0</x:v>
      </x:c>
      <x:c r="E1905" t="str">
        <x:v>Payment:27:7</x:v>
      </x:c>
      <x:c r="F1905" t="str">
        <x:v>Статус</x:v>
      </x:c>
      <x:c r="G1905" t="str">
        <x:v>Medium</x:v>
      </x:c>
      <x:c r="H1905" t="str">
        <x:v>payment_status</x:v>
      </x:c>
      <x:c r="I1905" t="str">
        <x:v>Выбрать допустимый статус</x:v>
      </x:c>
      <x:c r="J1905" t="n">
        <x:f>IF(D1905=1,K1905,0)</x:f>
        <x:v>0</x:v>
      </x:c>
      <x:c r="K1905" t="n">
        <x:f>D1905+K1904</x:f>
        <x:v>22</x:v>
      </x:c>
    </x:row>
    <x:row r="1906">
      <x:c r="A1906" t="str">
        <x:v>Payment</x:v>
      </x:c>
      <x:c r="B1906" t="str">
        <x:f>'04_checks'!B274</x:f>
        <x:v>P027</x:v>
      </x:c>
      <x:c r="C1906" t="n">
        <x:v>28</x:v>
      </x:c>
      <x:c r="D1906" t="n">
        <x:f>IF('04_checks'!C274="ERROR",1,0)</x:f>
        <x:v>0</x:v>
      </x:c>
      <x:c r="E1906" t="str">
        <x:v>Payment:28:1</x:v>
      </x:c>
      <x:c r="F1906" t="str">
        <x:v>Дубль</x:v>
      </x:c>
      <x:c r="G1906" t="str">
        <x:v>High</x:v>
      </x:c>
      <x:c r="H1906" t="str">
        <x:v>payment_id</x:v>
      </x:c>
      <x:c r="I1906" t="str">
        <x:v>Проверить уникальность ID в источнике; не удалять записи автоматически</x:v>
      </x:c>
      <x:c r="J1906" t="n">
        <x:f>IF(D1906=1,K1906,0)</x:f>
        <x:v>0</x:v>
      </x:c>
      <x:c r="K1906" t="n">
        <x:f>D1906+K1905</x:f>
        <x:v>22</x:v>
      </x:c>
    </x:row>
    <x:row r="1907">
      <x:c r="A1907" t="str">
        <x:v>Payment</x:v>
      </x:c>
      <x:c r="B1907" t="str">
        <x:f>'04_checks'!B274</x:f>
        <x:v>P027</x:v>
      </x:c>
      <x:c r="C1907" t="n">
        <x:v>28</x:v>
      </x:c>
      <x:c r="D1907" t="n">
        <x:f>IF('04_checks'!D274="ERROR",1,0)</x:f>
        <x:v>1</x:v>
      </x:c>
      <x:c r="E1907" t="str">
        <x:v>Payment:28:2</x:v>
      </x:c>
      <x:c r="F1907" t="str">
        <x:v>Пустое поле</x:v>
      </x:c>
      <x:c r="G1907" t="str">
        <x:v>High</x:v>
      </x:c>
      <x:c r="H1907" t="str">
        <x:v>required_fields</x:v>
      </x:c>
      <x:c r="I1907" t="str">
        <x:v>Дополнить обязательные поля в источнике</x:v>
      </x:c>
      <x:c r="J1907" t="n">
        <x:f>IF(D1907=1,K1907,0)</x:f>
        <x:v>23</x:v>
      </x:c>
      <x:c r="K1907" t="n">
        <x:f>D1907+K1906</x:f>
        <x:v>23</x:v>
      </x:c>
    </x:row>
    <x:row r="1908">
      <x:c r="A1908" t="str">
        <x:v>Payment</x:v>
      </x:c>
      <x:c r="B1908" t="str">
        <x:f>'04_checks'!B274</x:f>
        <x:v>P027</x:v>
      </x:c>
      <x:c r="C1908" t="n">
        <x:v>28</x:v>
      </x:c>
      <x:c r="D1908" t="n">
        <x:f>IF('04_checks'!E274="ERROR",1,0)</x:f>
        <x:v>0</x:v>
      </x:c>
      <x:c r="E1908" t="str">
        <x:v>Payment:28:3</x:v>
      </x:c>
      <x:c r="F1908" t="str">
        <x:f>IF(COUNTIF('01_orders_raw'!$A$2:$A$181,'03_payments_raw'!B28)&gt;1,"Неоднозначная связь","Нет связи")</x:f>
        <x:v>Нет связи</x:v>
      </x:c>
      <x:c r="G1908" t="str">
        <x:v>High</x:v>
      </x:c>
      <x:c r="H1908" t="str">
        <x:v>order_id</x:v>
      </x:c>
      <x:c r="I1908" t="str">
        <x:v>Исправить ссылку или разрешить дубли связанного ID</x:v>
      </x:c>
      <x:c r="J1908" t="n">
        <x:f>IF(D1908=1,K1908,0)</x:f>
        <x:v>0</x:v>
      </x:c>
      <x:c r="K1908" t="n">
        <x:f>D1908+K1907</x:f>
        <x:v>23</x:v>
      </x:c>
    </x:row>
    <x:row r="1909">
      <x:c r="A1909" t="str">
        <x:v>Payment</x:v>
      </x:c>
      <x:c r="B1909" t="str">
        <x:f>'04_checks'!B274</x:f>
        <x:v>P027</x:v>
      </x:c>
      <x:c r="C1909" t="n">
        <x:v>28</x:v>
      </x:c>
      <x:c r="D1909" t="n">
        <x:f>IF('04_checks'!F274="ERROR",1,0)</x:f>
        <x:v>0</x:v>
      </x:c>
      <x:c r="E1909" t="str">
        <x:v>Payment:28:4</x:v>
      </x:c>
      <x:c r="F1909" t="str">
        <x:v>Ошибка расчета</x:v>
      </x:c>
      <x:c r="G1909" t="str">
        <x:v>High</x:v>
      </x:c>
      <x:c r="H1909" t="str">
        <x:v>payment_sum</x:v>
      </x:c>
      <x:c r="I1909" t="str">
        <x:v>Сверить исходные значения и правило расчёта</x:v>
      </x:c>
      <x:c r="J1909" t="n">
        <x:f>IF(D1909=1,K1909,0)</x:f>
        <x:v>0</x:v>
      </x:c>
      <x:c r="K1909" t="n">
        <x:f>D1909+K1908</x:f>
        <x:v>23</x:v>
      </x:c>
    </x:row>
    <x:row r="1910">
      <x:c r="A1910" t="str">
        <x:v>Payment</x:v>
      </x:c>
      <x:c r="B1910" t="str">
        <x:f>'04_checks'!B274</x:f>
        <x:v>P027</x:v>
      </x:c>
      <x:c r="C1910" t="n">
        <x:v>28</x:v>
      </x:c>
      <x:c r="D1910" t="n">
        <x:f>IF('04_checks'!G274="ERROR",1,0)</x:f>
        <x:v>0</x:v>
      </x:c>
      <x:c r="E1910" t="str">
        <x:v>Payment:28:5</x:v>
      </x:c>
      <x:c r="F1910" t="str">
        <x:v>Отрицательная цена</x:v>
      </x:c>
      <x:c r="G1910" t="str">
        <x:v>High</x:v>
      </x:c>
      <x:c r="H1910" t="str">
        <x:v>N/A</x:v>
      </x:c>
      <x:c r="I1910" t="str">
        <x:v>Проверить цену в источнике</x:v>
      </x:c>
      <x:c r="J1910" t="n">
        <x:f>IF(D1910=1,K1910,0)</x:f>
        <x:v>0</x:v>
      </x:c>
      <x:c r="K1910" t="n">
        <x:f>D1910+K1909</x:f>
        <x:v>23</x:v>
      </x:c>
    </x:row>
    <x:row r="1911">
      <x:c r="A1911" t="str">
        <x:v>Payment</x:v>
      </x:c>
      <x:c r="B1911" t="str">
        <x:f>'04_checks'!B274</x:f>
        <x:v>P027</x:v>
      </x:c>
      <x:c r="C1911" t="n">
        <x:v>28</x:v>
      </x:c>
      <x:c r="D1911" t="n">
        <x:f>IF('04_checks'!H274="ERROR",1,0)</x:f>
        <x:v>0</x:v>
      </x:c>
      <x:c r="E1911" t="str">
        <x:v>Payment:28:6</x:v>
      </x:c>
      <x:c r="F1911" t="str">
        <x:v>Дата</x:v>
      </x:c>
      <x:c r="G1911" t="str">
        <x:v>Medium</x:v>
      </x:c>
      <x:c r="H1911" t="str">
        <x:v>payment_date</x:v>
      </x:c>
      <x:c r="I1911" t="str">
        <x:v>Сверить дату со срезом и исходной записью</x:v>
      </x:c>
      <x:c r="J1911" t="n">
        <x:f>IF(D1911=1,K1911,0)</x:f>
        <x:v>0</x:v>
      </x:c>
      <x:c r="K1911" t="n">
        <x:f>D1911+K1910</x:f>
        <x:v>23</x:v>
      </x:c>
    </x:row>
    <x:row r="1912">
      <x:c r="A1912" t="str">
        <x:v>Payment</x:v>
      </x:c>
      <x:c r="B1912" t="str">
        <x:f>'04_checks'!B274</x:f>
        <x:v>P027</x:v>
      </x:c>
      <x:c r="C1912" t="n">
        <x:v>28</x:v>
      </x:c>
      <x:c r="D1912" t="n">
        <x:f>IF('04_checks'!I274="ERROR",1,0)</x:f>
        <x:v>0</x:v>
      </x:c>
      <x:c r="E1912" t="str">
        <x:v>Payment:28:7</x:v>
      </x:c>
      <x:c r="F1912" t="str">
        <x:v>Статус</x:v>
      </x:c>
      <x:c r="G1912" t="str">
        <x:v>Medium</x:v>
      </x:c>
      <x:c r="H1912" t="str">
        <x:v>payment_status</x:v>
      </x:c>
      <x:c r="I1912" t="str">
        <x:v>Выбрать допустимый статус</x:v>
      </x:c>
      <x:c r="J1912" t="n">
        <x:f>IF(D1912=1,K1912,0)</x:f>
        <x:v>0</x:v>
      </x:c>
      <x:c r="K1912" t="n">
        <x:f>D1912+K1911</x:f>
        <x:v>23</x:v>
      </x:c>
    </x:row>
    <x:row r="1913">
      <x:c r="A1913" t="str">
        <x:v>Payment</x:v>
      </x:c>
      <x:c r="B1913" t="str">
        <x:f>'04_checks'!B275</x:f>
        <x:v>P028</x:v>
      </x:c>
      <x:c r="C1913" t="n">
        <x:v>29</x:v>
      </x:c>
      <x:c r="D1913" t="n">
        <x:f>IF('04_checks'!C275="ERROR",1,0)</x:f>
        <x:v>0</x:v>
      </x:c>
      <x:c r="E1913" t="str">
        <x:v>Payment:29:1</x:v>
      </x:c>
      <x:c r="F1913" t="str">
        <x:v>Дубль</x:v>
      </x:c>
      <x:c r="G1913" t="str">
        <x:v>High</x:v>
      </x:c>
      <x:c r="H1913" t="str">
        <x:v>payment_id</x:v>
      </x:c>
      <x:c r="I1913" t="str">
        <x:v>Проверить уникальность ID в источнике; не удалять записи автоматически</x:v>
      </x:c>
      <x:c r="J1913" t="n">
        <x:f>IF(D1913=1,K1913,0)</x:f>
        <x:v>0</x:v>
      </x:c>
      <x:c r="K1913" t="n">
        <x:f>D1913+K1912</x:f>
        <x:v>23</x:v>
      </x:c>
    </x:row>
    <x:row r="1914">
      <x:c r="A1914" t="str">
        <x:v>Payment</x:v>
      </x:c>
      <x:c r="B1914" t="str">
        <x:f>'04_checks'!B275</x:f>
        <x:v>P028</x:v>
      </x:c>
      <x:c r="C1914" t="n">
        <x:v>29</x:v>
      </x:c>
      <x:c r="D1914" t="n">
        <x:f>IF('04_checks'!D275="ERROR",1,0)</x:f>
        <x:v>0</x:v>
      </x:c>
      <x:c r="E1914" t="str">
        <x:v>Payment:29:2</x:v>
      </x:c>
      <x:c r="F1914" t="str">
        <x:v>Пустое поле</x:v>
      </x:c>
      <x:c r="G1914" t="str">
        <x:v>High</x:v>
      </x:c>
      <x:c r="H1914" t="str">
        <x:v>required_fields</x:v>
      </x:c>
      <x:c r="I1914" t="str">
        <x:v>Дополнить обязательные поля в источнике</x:v>
      </x:c>
      <x:c r="J1914" t="n">
        <x:f>IF(D1914=1,K1914,0)</x:f>
        <x:v>0</x:v>
      </x:c>
      <x:c r="K1914" t="n">
        <x:f>D1914+K1913</x:f>
        <x:v>23</x:v>
      </x:c>
    </x:row>
    <x:row r="1915">
      <x:c r="A1915" t="str">
        <x:v>Payment</x:v>
      </x:c>
      <x:c r="B1915" t="str">
        <x:f>'04_checks'!B275</x:f>
        <x:v>P028</x:v>
      </x:c>
      <x:c r="C1915" t="n">
        <x:v>29</x:v>
      </x:c>
      <x:c r="D1915" t="n">
        <x:f>IF('04_checks'!E275="ERROR",1,0)</x:f>
        <x:v>0</x:v>
      </x:c>
      <x:c r="E1915" t="str">
        <x:v>Payment:29:3</x:v>
      </x:c>
      <x:c r="F1915" t="str">
        <x:f>IF(COUNTIF('01_orders_raw'!$A$2:$A$181,'03_payments_raw'!B29)&gt;1,"Неоднозначная связь","Нет связи")</x:f>
        <x:v>Нет связи</x:v>
      </x:c>
      <x:c r="G1915" t="str">
        <x:v>High</x:v>
      </x:c>
      <x:c r="H1915" t="str">
        <x:v>order_id</x:v>
      </x:c>
      <x:c r="I1915" t="str">
        <x:v>Исправить ссылку или разрешить дубли связанного ID</x:v>
      </x:c>
      <x:c r="J1915" t="n">
        <x:f>IF(D1915=1,K1915,0)</x:f>
        <x:v>0</x:v>
      </x:c>
      <x:c r="K1915" t="n">
        <x:f>D1915+K1914</x:f>
        <x:v>23</x:v>
      </x:c>
    </x:row>
    <x:row r="1916">
      <x:c r="A1916" t="str">
        <x:v>Payment</x:v>
      </x:c>
      <x:c r="B1916" t="str">
        <x:f>'04_checks'!B275</x:f>
        <x:v>P028</x:v>
      </x:c>
      <x:c r="C1916" t="n">
        <x:v>29</x:v>
      </x:c>
      <x:c r="D1916" t="n">
        <x:f>IF('04_checks'!F275="ERROR",1,0)</x:f>
        <x:v>0</x:v>
      </x:c>
      <x:c r="E1916" t="str">
        <x:v>Payment:29:4</x:v>
      </x:c>
      <x:c r="F1916" t="str">
        <x:v>Ошибка расчета</x:v>
      </x:c>
      <x:c r="G1916" t="str">
        <x:v>High</x:v>
      </x:c>
      <x:c r="H1916" t="str">
        <x:v>payment_sum</x:v>
      </x:c>
      <x:c r="I1916" t="str">
        <x:v>Сверить исходные значения и правило расчёта</x:v>
      </x:c>
      <x:c r="J1916" t="n">
        <x:f>IF(D1916=1,K1916,0)</x:f>
        <x:v>0</x:v>
      </x:c>
      <x:c r="K1916" t="n">
        <x:f>D1916+K1915</x:f>
        <x:v>23</x:v>
      </x:c>
    </x:row>
    <x:row r="1917">
      <x:c r="A1917" t="str">
        <x:v>Payment</x:v>
      </x:c>
      <x:c r="B1917" t="str">
        <x:f>'04_checks'!B275</x:f>
        <x:v>P028</x:v>
      </x:c>
      <x:c r="C1917" t="n">
        <x:v>29</x:v>
      </x:c>
      <x:c r="D1917" t="n">
        <x:f>IF('04_checks'!G275="ERROR",1,0)</x:f>
        <x:v>0</x:v>
      </x:c>
      <x:c r="E1917" t="str">
        <x:v>Payment:29:5</x:v>
      </x:c>
      <x:c r="F1917" t="str">
        <x:v>Отрицательная цена</x:v>
      </x:c>
      <x:c r="G1917" t="str">
        <x:v>High</x:v>
      </x:c>
      <x:c r="H1917" t="str">
        <x:v>N/A</x:v>
      </x:c>
      <x:c r="I1917" t="str">
        <x:v>Проверить цену в источнике</x:v>
      </x:c>
      <x:c r="J1917" t="n">
        <x:f>IF(D1917=1,K1917,0)</x:f>
        <x:v>0</x:v>
      </x:c>
      <x:c r="K1917" t="n">
        <x:f>D1917+K1916</x:f>
        <x:v>23</x:v>
      </x:c>
    </x:row>
    <x:row r="1918">
      <x:c r="A1918" t="str">
        <x:v>Payment</x:v>
      </x:c>
      <x:c r="B1918" t="str">
        <x:f>'04_checks'!B275</x:f>
        <x:v>P028</x:v>
      </x:c>
      <x:c r="C1918" t="n">
        <x:v>29</x:v>
      </x:c>
      <x:c r="D1918" t="n">
        <x:f>IF('04_checks'!H275="ERROR",1,0)</x:f>
        <x:v>0</x:v>
      </x:c>
      <x:c r="E1918" t="str">
        <x:v>Payment:29:6</x:v>
      </x:c>
      <x:c r="F1918" t="str">
        <x:v>Дата</x:v>
      </x:c>
      <x:c r="G1918" t="str">
        <x:v>Medium</x:v>
      </x:c>
      <x:c r="H1918" t="str">
        <x:v>payment_date</x:v>
      </x:c>
      <x:c r="I1918" t="str">
        <x:v>Сверить дату со срезом и исходной записью</x:v>
      </x:c>
      <x:c r="J1918" t="n">
        <x:f>IF(D1918=1,K1918,0)</x:f>
        <x:v>0</x:v>
      </x:c>
      <x:c r="K1918" t="n">
        <x:f>D1918+K1917</x:f>
        <x:v>23</x:v>
      </x:c>
    </x:row>
    <x:row r="1919">
      <x:c r="A1919" t="str">
        <x:v>Payment</x:v>
      </x:c>
      <x:c r="B1919" t="str">
        <x:f>'04_checks'!B275</x:f>
        <x:v>P028</x:v>
      </x:c>
      <x:c r="C1919" t="n">
        <x:v>29</x:v>
      </x:c>
      <x:c r="D1919" t="n">
        <x:f>IF('04_checks'!I275="ERROR",1,0)</x:f>
        <x:v>0</x:v>
      </x:c>
      <x:c r="E1919" t="str">
        <x:v>Payment:29:7</x:v>
      </x:c>
      <x:c r="F1919" t="str">
        <x:v>Статус</x:v>
      </x:c>
      <x:c r="G1919" t="str">
        <x:v>Medium</x:v>
      </x:c>
      <x:c r="H1919" t="str">
        <x:v>payment_status</x:v>
      </x:c>
      <x:c r="I1919" t="str">
        <x:v>Выбрать допустимый статус</x:v>
      </x:c>
      <x:c r="J1919" t="n">
        <x:f>IF(D1919=1,K1919,0)</x:f>
        <x:v>0</x:v>
      </x:c>
      <x:c r="K1919" t="n">
        <x:f>D1919+K1918</x:f>
        <x:v>23</x:v>
      </x:c>
    </x:row>
    <x:row r="1920">
      <x:c r="A1920" t="str">
        <x:v>Payment</x:v>
      </x:c>
      <x:c r="B1920" t="str">
        <x:f>'04_checks'!B276</x:f>
        <x:v>P029</x:v>
      </x:c>
      <x:c r="C1920" t="n">
        <x:v>30</x:v>
      </x:c>
      <x:c r="D1920" t="n">
        <x:f>IF('04_checks'!C276="ERROR",1,0)</x:f>
        <x:v>0</x:v>
      </x:c>
      <x:c r="E1920" t="str">
        <x:v>Payment:30:1</x:v>
      </x:c>
      <x:c r="F1920" t="str">
        <x:v>Дубль</x:v>
      </x:c>
      <x:c r="G1920" t="str">
        <x:v>High</x:v>
      </x:c>
      <x:c r="H1920" t="str">
        <x:v>payment_id</x:v>
      </x:c>
      <x:c r="I1920" t="str">
        <x:v>Проверить уникальность ID в источнике; не удалять записи автоматически</x:v>
      </x:c>
      <x:c r="J1920" t="n">
        <x:f>IF(D1920=1,K1920,0)</x:f>
        <x:v>0</x:v>
      </x:c>
      <x:c r="K1920" t="n">
        <x:f>D1920+K1919</x:f>
        <x:v>23</x:v>
      </x:c>
    </x:row>
    <x:row r="1921">
      <x:c r="A1921" t="str">
        <x:v>Payment</x:v>
      </x:c>
      <x:c r="B1921" t="str">
        <x:f>'04_checks'!B276</x:f>
        <x:v>P029</x:v>
      </x:c>
      <x:c r="C1921" t="n">
        <x:v>30</x:v>
      </x:c>
      <x:c r="D1921" t="n">
        <x:f>IF('04_checks'!D276="ERROR",1,0)</x:f>
        <x:v>0</x:v>
      </x:c>
      <x:c r="E1921" t="str">
        <x:v>Payment:30:2</x:v>
      </x:c>
      <x:c r="F1921" t="str">
        <x:v>Пустое поле</x:v>
      </x:c>
      <x:c r="G1921" t="str">
        <x:v>High</x:v>
      </x:c>
      <x:c r="H1921" t="str">
        <x:v>required_fields</x:v>
      </x:c>
      <x:c r="I1921" t="str">
        <x:v>Дополнить обязательные поля в источнике</x:v>
      </x:c>
      <x:c r="J1921" t="n">
        <x:f>IF(D1921=1,K1921,0)</x:f>
        <x:v>0</x:v>
      </x:c>
      <x:c r="K1921" t="n">
        <x:f>D1921+K1920</x:f>
        <x:v>23</x:v>
      </x:c>
    </x:row>
    <x:row r="1922">
      <x:c r="A1922" t="str">
        <x:v>Payment</x:v>
      </x:c>
      <x:c r="B1922" t="str">
        <x:f>'04_checks'!B276</x:f>
        <x:v>P029</x:v>
      </x:c>
      <x:c r="C1922" t="n">
        <x:v>30</x:v>
      </x:c>
      <x:c r="D1922" t="n">
        <x:f>IF('04_checks'!E276="ERROR",1,0)</x:f>
        <x:v>0</x:v>
      </x:c>
      <x:c r="E1922" t="str">
        <x:v>Payment:30:3</x:v>
      </x:c>
      <x:c r="F1922" t="str">
        <x:f>IF(COUNTIF('01_orders_raw'!$A$2:$A$181,'03_payments_raw'!B30)&gt;1,"Неоднозначная связь","Нет связи")</x:f>
        <x:v>Нет связи</x:v>
      </x:c>
      <x:c r="G1922" t="str">
        <x:v>High</x:v>
      </x:c>
      <x:c r="H1922" t="str">
        <x:v>order_id</x:v>
      </x:c>
      <x:c r="I1922" t="str">
        <x:v>Исправить ссылку или разрешить дубли связанного ID</x:v>
      </x:c>
      <x:c r="J1922" t="n">
        <x:f>IF(D1922=1,K1922,0)</x:f>
        <x:v>0</x:v>
      </x:c>
      <x:c r="K1922" t="n">
        <x:f>D1922+K1921</x:f>
        <x:v>23</x:v>
      </x:c>
    </x:row>
    <x:row r="1923">
      <x:c r="A1923" t="str">
        <x:v>Payment</x:v>
      </x:c>
      <x:c r="B1923" t="str">
        <x:f>'04_checks'!B276</x:f>
        <x:v>P029</x:v>
      </x:c>
      <x:c r="C1923" t="n">
        <x:v>30</x:v>
      </x:c>
      <x:c r="D1923" t="n">
        <x:f>IF('04_checks'!F276="ERROR",1,0)</x:f>
        <x:v>0</x:v>
      </x:c>
      <x:c r="E1923" t="str">
        <x:v>Payment:30:4</x:v>
      </x:c>
      <x:c r="F1923" t="str">
        <x:v>Ошибка расчета</x:v>
      </x:c>
      <x:c r="G1923" t="str">
        <x:v>High</x:v>
      </x:c>
      <x:c r="H1923" t="str">
        <x:v>payment_sum</x:v>
      </x:c>
      <x:c r="I1923" t="str">
        <x:v>Сверить исходные значения и правило расчёта</x:v>
      </x:c>
      <x:c r="J1923" t="n">
        <x:f>IF(D1923=1,K1923,0)</x:f>
        <x:v>0</x:v>
      </x:c>
      <x:c r="K1923" t="n">
        <x:f>D1923+K1922</x:f>
        <x:v>23</x:v>
      </x:c>
    </x:row>
    <x:row r="1924">
      <x:c r="A1924" t="str">
        <x:v>Payment</x:v>
      </x:c>
      <x:c r="B1924" t="str">
        <x:f>'04_checks'!B276</x:f>
        <x:v>P029</x:v>
      </x:c>
      <x:c r="C1924" t="n">
        <x:v>30</x:v>
      </x:c>
      <x:c r="D1924" t="n">
        <x:f>IF('04_checks'!G276="ERROR",1,0)</x:f>
        <x:v>0</x:v>
      </x:c>
      <x:c r="E1924" t="str">
        <x:v>Payment:30:5</x:v>
      </x:c>
      <x:c r="F1924" t="str">
        <x:v>Отрицательная цена</x:v>
      </x:c>
      <x:c r="G1924" t="str">
        <x:v>High</x:v>
      </x:c>
      <x:c r="H1924" t="str">
        <x:v>N/A</x:v>
      </x:c>
      <x:c r="I1924" t="str">
        <x:v>Проверить цену в источнике</x:v>
      </x:c>
      <x:c r="J1924" t="n">
        <x:f>IF(D1924=1,K1924,0)</x:f>
        <x:v>0</x:v>
      </x:c>
      <x:c r="K1924" t="n">
        <x:f>D1924+K1923</x:f>
        <x:v>23</x:v>
      </x:c>
    </x:row>
    <x:row r="1925">
      <x:c r="A1925" t="str">
        <x:v>Payment</x:v>
      </x:c>
      <x:c r="B1925" t="str">
        <x:f>'04_checks'!B276</x:f>
        <x:v>P029</x:v>
      </x:c>
      <x:c r="C1925" t="n">
        <x:v>30</x:v>
      </x:c>
      <x:c r="D1925" t="n">
        <x:f>IF('04_checks'!H276="ERROR",1,0)</x:f>
        <x:v>0</x:v>
      </x:c>
      <x:c r="E1925" t="str">
        <x:v>Payment:30:6</x:v>
      </x:c>
      <x:c r="F1925" t="str">
        <x:v>Дата</x:v>
      </x:c>
      <x:c r="G1925" t="str">
        <x:v>Medium</x:v>
      </x:c>
      <x:c r="H1925" t="str">
        <x:v>payment_date</x:v>
      </x:c>
      <x:c r="I1925" t="str">
        <x:v>Сверить дату со срезом и исходной записью</x:v>
      </x:c>
      <x:c r="J1925" t="n">
        <x:f>IF(D1925=1,K1925,0)</x:f>
        <x:v>0</x:v>
      </x:c>
      <x:c r="K1925" t="n">
        <x:f>D1925+K1924</x:f>
        <x:v>23</x:v>
      </x:c>
    </x:row>
    <x:row r="1926">
      <x:c r="A1926" t="str">
        <x:v>Payment</x:v>
      </x:c>
      <x:c r="B1926" t="str">
        <x:f>'04_checks'!B276</x:f>
        <x:v>P029</x:v>
      </x:c>
      <x:c r="C1926" t="n">
        <x:v>30</x:v>
      </x:c>
      <x:c r="D1926" t="n">
        <x:f>IF('04_checks'!I276="ERROR",1,0)</x:f>
        <x:v>0</x:v>
      </x:c>
      <x:c r="E1926" t="str">
        <x:v>Payment:30:7</x:v>
      </x:c>
      <x:c r="F1926" t="str">
        <x:v>Статус</x:v>
      </x:c>
      <x:c r="G1926" t="str">
        <x:v>Medium</x:v>
      </x:c>
      <x:c r="H1926" t="str">
        <x:v>payment_status</x:v>
      </x:c>
      <x:c r="I1926" t="str">
        <x:v>Выбрать допустимый статус</x:v>
      </x:c>
      <x:c r="J1926" t="n">
        <x:f>IF(D1926=1,K1926,0)</x:f>
        <x:v>0</x:v>
      </x:c>
      <x:c r="K1926" t="n">
        <x:f>D1926+K1925</x:f>
        <x:v>23</x:v>
      </x:c>
    </x:row>
    <x:row r="1927">
      <x:c r="A1927" t="str">
        <x:v>Payment</x:v>
      </x:c>
      <x:c r="B1927" t="str">
        <x:f>'04_checks'!B277</x:f>
        <x:v>P030</x:v>
      </x:c>
      <x:c r="C1927" t="n">
        <x:v>31</x:v>
      </x:c>
      <x:c r="D1927" t="n">
        <x:f>IF('04_checks'!C277="ERROR",1,0)</x:f>
        <x:v>0</x:v>
      </x:c>
      <x:c r="E1927" t="str">
        <x:v>Payment:31:1</x:v>
      </x:c>
      <x:c r="F1927" t="str">
        <x:v>Дубль</x:v>
      </x:c>
      <x:c r="G1927" t="str">
        <x:v>High</x:v>
      </x:c>
      <x:c r="H1927" t="str">
        <x:v>payment_id</x:v>
      </x:c>
      <x:c r="I1927" t="str">
        <x:v>Проверить уникальность ID в источнике; не удалять записи автоматически</x:v>
      </x:c>
      <x:c r="J1927" t="n">
        <x:f>IF(D1927=1,K1927,0)</x:f>
        <x:v>0</x:v>
      </x:c>
      <x:c r="K1927" t="n">
        <x:f>D1927+K1926</x:f>
        <x:v>23</x:v>
      </x:c>
    </x:row>
    <x:row r="1928">
      <x:c r="A1928" t="str">
        <x:v>Payment</x:v>
      </x:c>
      <x:c r="B1928" t="str">
        <x:f>'04_checks'!B277</x:f>
        <x:v>P030</x:v>
      </x:c>
      <x:c r="C1928" t="n">
        <x:v>31</x:v>
      </x:c>
      <x:c r="D1928" t="n">
        <x:f>IF('04_checks'!D277="ERROR",1,0)</x:f>
        <x:v>0</x:v>
      </x:c>
      <x:c r="E1928" t="str">
        <x:v>Payment:31:2</x:v>
      </x:c>
      <x:c r="F1928" t="str">
        <x:v>Пустое поле</x:v>
      </x:c>
      <x:c r="G1928" t="str">
        <x:v>High</x:v>
      </x:c>
      <x:c r="H1928" t="str">
        <x:v>required_fields</x:v>
      </x:c>
      <x:c r="I1928" t="str">
        <x:v>Дополнить обязательные поля в источнике</x:v>
      </x:c>
      <x:c r="J1928" t="n">
        <x:f>IF(D1928=1,K1928,0)</x:f>
        <x:v>0</x:v>
      </x:c>
      <x:c r="K1928" t="n">
        <x:f>D1928+K1927</x:f>
        <x:v>23</x:v>
      </x:c>
    </x:row>
    <x:row r="1929">
      <x:c r="A1929" t="str">
        <x:v>Payment</x:v>
      </x:c>
      <x:c r="B1929" t="str">
        <x:f>'04_checks'!B277</x:f>
        <x:v>P030</x:v>
      </x:c>
      <x:c r="C1929" t="n">
        <x:v>31</x:v>
      </x:c>
      <x:c r="D1929" t="n">
        <x:f>IF('04_checks'!E277="ERROR",1,0)</x:f>
        <x:v>0</x:v>
      </x:c>
      <x:c r="E1929" t="str">
        <x:v>Payment:31:3</x:v>
      </x:c>
      <x:c r="F1929" t="str">
        <x:f>IF(COUNTIF('01_orders_raw'!$A$2:$A$181,'03_payments_raw'!B31)&gt;1,"Неоднозначная связь","Нет связи")</x:f>
        <x:v>Нет связи</x:v>
      </x:c>
      <x:c r="G1929" t="str">
        <x:v>High</x:v>
      </x:c>
      <x:c r="H1929" t="str">
        <x:v>order_id</x:v>
      </x:c>
      <x:c r="I1929" t="str">
        <x:v>Исправить ссылку или разрешить дубли связанного ID</x:v>
      </x:c>
      <x:c r="J1929" t="n">
        <x:f>IF(D1929=1,K1929,0)</x:f>
        <x:v>0</x:v>
      </x:c>
      <x:c r="K1929" t="n">
        <x:f>D1929+K1928</x:f>
        <x:v>23</x:v>
      </x:c>
    </x:row>
    <x:row r="1930">
      <x:c r="A1930" t="str">
        <x:v>Payment</x:v>
      </x:c>
      <x:c r="B1930" t="str">
        <x:f>'04_checks'!B277</x:f>
        <x:v>P030</x:v>
      </x:c>
      <x:c r="C1930" t="n">
        <x:v>31</x:v>
      </x:c>
      <x:c r="D1930" t="n">
        <x:f>IF('04_checks'!F277="ERROR",1,0)</x:f>
        <x:v>0</x:v>
      </x:c>
      <x:c r="E1930" t="str">
        <x:v>Payment:31:4</x:v>
      </x:c>
      <x:c r="F1930" t="str">
        <x:v>Ошибка расчета</x:v>
      </x:c>
      <x:c r="G1930" t="str">
        <x:v>High</x:v>
      </x:c>
      <x:c r="H1930" t="str">
        <x:v>payment_sum</x:v>
      </x:c>
      <x:c r="I1930" t="str">
        <x:v>Сверить исходные значения и правило расчёта</x:v>
      </x:c>
      <x:c r="J1930" t="n">
        <x:f>IF(D1930=1,K1930,0)</x:f>
        <x:v>0</x:v>
      </x:c>
      <x:c r="K1930" t="n">
        <x:f>D1930+K1929</x:f>
        <x:v>23</x:v>
      </x:c>
    </x:row>
    <x:row r="1931">
      <x:c r="A1931" t="str">
        <x:v>Payment</x:v>
      </x:c>
      <x:c r="B1931" t="str">
        <x:f>'04_checks'!B277</x:f>
        <x:v>P030</x:v>
      </x:c>
      <x:c r="C1931" t="n">
        <x:v>31</x:v>
      </x:c>
      <x:c r="D1931" t="n">
        <x:f>IF('04_checks'!G277="ERROR",1,0)</x:f>
        <x:v>0</x:v>
      </x:c>
      <x:c r="E1931" t="str">
        <x:v>Payment:31:5</x:v>
      </x:c>
      <x:c r="F1931" t="str">
        <x:v>Отрицательная цена</x:v>
      </x:c>
      <x:c r="G1931" t="str">
        <x:v>High</x:v>
      </x:c>
      <x:c r="H1931" t="str">
        <x:v>N/A</x:v>
      </x:c>
      <x:c r="I1931" t="str">
        <x:v>Проверить цену в источнике</x:v>
      </x:c>
      <x:c r="J1931" t="n">
        <x:f>IF(D1931=1,K1931,0)</x:f>
        <x:v>0</x:v>
      </x:c>
      <x:c r="K1931" t="n">
        <x:f>D1931+K1930</x:f>
        <x:v>23</x:v>
      </x:c>
    </x:row>
    <x:row r="1932">
      <x:c r="A1932" t="str">
        <x:v>Payment</x:v>
      </x:c>
      <x:c r="B1932" t="str">
        <x:f>'04_checks'!B277</x:f>
        <x:v>P030</x:v>
      </x:c>
      <x:c r="C1932" t="n">
        <x:v>31</x:v>
      </x:c>
      <x:c r="D1932" t="n">
        <x:f>IF('04_checks'!H277="ERROR",1,0)</x:f>
        <x:v>0</x:v>
      </x:c>
      <x:c r="E1932" t="str">
        <x:v>Payment:31:6</x:v>
      </x:c>
      <x:c r="F1932" t="str">
        <x:v>Дата</x:v>
      </x:c>
      <x:c r="G1932" t="str">
        <x:v>Medium</x:v>
      </x:c>
      <x:c r="H1932" t="str">
        <x:v>payment_date</x:v>
      </x:c>
      <x:c r="I1932" t="str">
        <x:v>Сверить дату со срезом и исходной записью</x:v>
      </x:c>
      <x:c r="J1932" t="n">
        <x:f>IF(D1932=1,K1932,0)</x:f>
        <x:v>0</x:v>
      </x:c>
      <x:c r="K1932" t="n">
        <x:f>D1932+K1931</x:f>
        <x:v>23</x:v>
      </x:c>
    </x:row>
    <x:row r="1933">
      <x:c r="A1933" t="str">
        <x:v>Payment</x:v>
      </x:c>
      <x:c r="B1933" t="str">
        <x:f>'04_checks'!B277</x:f>
        <x:v>P030</x:v>
      </x:c>
      <x:c r="C1933" t="n">
        <x:v>31</x:v>
      </x:c>
      <x:c r="D1933" t="n">
        <x:f>IF('04_checks'!I277="ERROR",1,0)</x:f>
        <x:v>0</x:v>
      </x:c>
      <x:c r="E1933" t="str">
        <x:v>Payment:31:7</x:v>
      </x:c>
      <x:c r="F1933" t="str">
        <x:v>Статус</x:v>
      </x:c>
      <x:c r="G1933" t="str">
        <x:v>Medium</x:v>
      </x:c>
      <x:c r="H1933" t="str">
        <x:v>payment_status</x:v>
      </x:c>
      <x:c r="I1933" t="str">
        <x:v>Выбрать допустимый статус</x:v>
      </x:c>
      <x:c r="J1933" t="n">
        <x:f>IF(D1933=1,K1933,0)</x:f>
        <x:v>0</x:v>
      </x:c>
      <x:c r="K1933" t="n">
        <x:f>D1933+K1932</x:f>
        <x:v>23</x:v>
      </x:c>
    </x:row>
    <x:row r="1934">
      <x:c r="A1934" t="str">
        <x:v>Payment</x:v>
      </x:c>
      <x:c r="B1934" t="str">
        <x:f>'04_checks'!B278</x:f>
        <x:v>P031</x:v>
      </x:c>
      <x:c r="C1934" t="n">
        <x:v>32</x:v>
      </x:c>
      <x:c r="D1934" t="n">
        <x:f>IF('04_checks'!C278="ERROR",1,0)</x:f>
        <x:v>0</x:v>
      </x:c>
      <x:c r="E1934" t="str">
        <x:v>Payment:32:1</x:v>
      </x:c>
      <x:c r="F1934" t="str">
        <x:v>Дубль</x:v>
      </x:c>
      <x:c r="G1934" t="str">
        <x:v>High</x:v>
      </x:c>
      <x:c r="H1934" t="str">
        <x:v>payment_id</x:v>
      </x:c>
      <x:c r="I1934" t="str">
        <x:v>Проверить уникальность ID в источнике; не удалять записи автоматически</x:v>
      </x:c>
      <x:c r="J1934" t="n">
        <x:f>IF(D1934=1,K1934,0)</x:f>
        <x:v>0</x:v>
      </x:c>
      <x:c r="K1934" t="n">
        <x:f>D1934+K1933</x:f>
        <x:v>23</x:v>
      </x:c>
    </x:row>
    <x:row r="1935">
      <x:c r="A1935" t="str">
        <x:v>Payment</x:v>
      </x:c>
      <x:c r="B1935" t="str">
        <x:f>'04_checks'!B278</x:f>
        <x:v>P031</x:v>
      </x:c>
      <x:c r="C1935" t="n">
        <x:v>32</x:v>
      </x:c>
      <x:c r="D1935" t="n">
        <x:f>IF('04_checks'!D278="ERROR",1,0)</x:f>
        <x:v>0</x:v>
      </x:c>
      <x:c r="E1935" t="str">
        <x:v>Payment:32:2</x:v>
      </x:c>
      <x:c r="F1935" t="str">
        <x:v>Пустое поле</x:v>
      </x:c>
      <x:c r="G1935" t="str">
        <x:v>High</x:v>
      </x:c>
      <x:c r="H1935" t="str">
        <x:v>required_fields</x:v>
      </x:c>
      <x:c r="I1935" t="str">
        <x:v>Дополнить обязательные поля в источнике</x:v>
      </x:c>
      <x:c r="J1935" t="n">
        <x:f>IF(D1935=1,K1935,0)</x:f>
        <x:v>0</x:v>
      </x:c>
      <x:c r="K1935" t="n">
        <x:f>D1935+K1934</x:f>
        <x:v>23</x:v>
      </x:c>
    </x:row>
    <x:row r="1936">
      <x:c r="A1936" t="str">
        <x:v>Payment</x:v>
      </x:c>
      <x:c r="B1936" t="str">
        <x:f>'04_checks'!B278</x:f>
        <x:v>P031</x:v>
      </x:c>
      <x:c r="C1936" t="n">
        <x:v>32</x:v>
      </x:c>
      <x:c r="D1936" t="n">
        <x:f>IF('04_checks'!E278="ERROR",1,0)</x:f>
        <x:v>0</x:v>
      </x:c>
      <x:c r="E1936" t="str">
        <x:v>Payment:32:3</x:v>
      </x:c>
      <x:c r="F1936" t="str">
        <x:f>IF(COUNTIF('01_orders_raw'!$A$2:$A$181,'03_payments_raw'!B32)&gt;1,"Неоднозначная связь","Нет связи")</x:f>
        <x:v>Нет связи</x:v>
      </x:c>
      <x:c r="G1936" t="str">
        <x:v>High</x:v>
      </x:c>
      <x:c r="H1936" t="str">
        <x:v>order_id</x:v>
      </x:c>
      <x:c r="I1936" t="str">
        <x:v>Исправить ссылку или разрешить дубли связанного ID</x:v>
      </x:c>
      <x:c r="J1936" t="n">
        <x:f>IF(D1936=1,K1936,0)</x:f>
        <x:v>0</x:v>
      </x:c>
      <x:c r="K1936" t="n">
        <x:f>D1936+K1935</x:f>
        <x:v>23</x:v>
      </x:c>
    </x:row>
    <x:row r="1937">
      <x:c r="A1937" t="str">
        <x:v>Payment</x:v>
      </x:c>
      <x:c r="B1937" t="str">
        <x:f>'04_checks'!B278</x:f>
        <x:v>P031</x:v>
      </x:c>
      <x:c r="C1937" t="n">
        <x:v>32</x:v>
      </x:c>
      <x:c r="D1937" t="n">
        <x:f>IF('04_checks'!F278="ERROR",1,0)</x:f>
        <x:v>0</x:v>
      </x:c>
      <x:c r="E1937" t="str">
        <x:v>Payment:32:4</x:v>
      </x:c>
      <x:c r="F1937" t="str">
        <x:v>Ошибка расчета</x:v>
      </x:c>
      <x:c r="G1937" t="str">
        <x:v>High</x:v>
      </x:c>
      <x:c r="H1937" t="str">
        <x:v>payment_sum</x:v>
      </x:c>
      <x:c r="I1937" t="str">
        <x:v>Сверить исходные значения и правило расчёта</x:v>
      </x:c>
      <x:c r="J1937" t="n">
        <x:f>IF(D1937=1,K1937,0)</x:f>
        <x:v>0</x:v>
      </x:c>
      <x:c r="K1937" t="n">
        <x:f>D1937+K1936</x:f>
        <x:v>23</x:v>
      </x:c>
    </x:row>
    <x:row r="1938">
      <x:c r="A1938" t="str">
        <x:v>Payment</x:v>
      </x:c>
      <x:c r="B1938" t="str">
        <x:f>'04_checks'!B278</x:f>
        <x:v>P031</x:v>
      </x:c>
      <x:c r="C1938" t="n">
        <x:v>32</x:v>
      </x:c>
      <x:c r="D1938" t="n">
        <x:f>IF('04_checks'!G278="ERROR",1,0)</x:f>
        <x:v>0</x:v>
      </x:c>
      <x:c r="E1938" t="str">
        <x:v>Payment:32:5</x:v>
      </x:c>
      <x:c r="F1938" t="str">
        <x:v>Отрицательная цена</x:v>
      </x:c>
      <x:c r="G1938" t="str">
        <x:v>High</x:v>
      </x:c>
      <x:c r="H1938" t="str">
        <x:v>N/A</x:v>
      </x:c>
      <x:c r="I1938" t="str">
        <x:v>Проверить цену в источнике</x:v>
      </x:c>
      <x:c r="J1938" t="n">
        <x:f>IF(D1938=1,K1938,0)</x:f>
        <x:v>0</x:v>
      </x:c>
      <x:c r="K1938" t="n">
        <x:f>D1938+K1937</x:f>
        <x:v>23</x:v>
      </x:c>
    </x:row>
    <x:row r="1939">
      <x:c r="A1939" t="str">
        <x:v>Payment</x:v>
      </x:c>
      <x:c r="B1939" t="str">
        <x:f>'04_checks'!B278</x:f>
        <x:v>P031</x:v>
      </x:c>
      <x:c r="C1939" t="n">
        <x:v>32</x:v>
      </x:c>
      <x:c r="D1939" t="n">
        <x:f>IF('04_checks'!H278="ERROR",1,0)</x:f>
        <x:v>0</x:v>
      </x:c>
      <x:c r="E1939" t="str">
        <x:v>Payment:32:6</x:v>
      </x:c>
      <x:c r="F1939" t="str">
        <x:v>Дата</x:v>
      </x:c>
      <x:c r="G1939" t="str">
        <x:v>Medium</x:v>
      </x:c>
      <x:c r="H1939" t="str">
        <x:v>payment_date</x:v>
      </x:c>
      <x:c r="I1939" t="str">
        <x:v>Сверить дату со срезом и исходной записью</x:v>
      </x:c>
      <x:c r="J1939" t="n">
        <x:f>IF(D1939=1,K1939,0)</x:f>
        <x:v>0</x:v>
      </x:c>
      <x:c r="K1939" t="n">
        <x:f>D1939+K1938</x:f>
        <x:v>23</x:v>
      </x:c>
    </x:row>
    <x:row r="1940">
      <x:c r="A1940" t="str">
        <x:v>Payment</x:v>
      </x:c>
      <x:c r="B1940" t="str">
        <x:f>'04_checks'!B278</x:f>
        <x:v>P031</x:v>
      </x:c>
      <x:c r="C1940" t="n">
        <x:v>32</x:v>
      </x:c>
      <x:c r="D1940" t="n">
        <x:f>IF('04_checks'!I278="ERROR",1,0)</x:f>
        <x:v>0</x:v>
      </x:c>
      <x:c r="E1940" t="str">
        <x:v>Payment:32:7</x:v>
      </x:c>
      <x:c r="F1940" t="str">
        <x:v>Статус</x:v>
      </x:c>
      <x:c r="G1940" t="str">
        <x:v>Medium</x:v>
      </x:c>
      <x:c r="H1940" t="str">
        <x:v>payment_status</x:v>
      </x:c>
      <x:c r="I1940" t="str">
        <x:v>Выбрать допустимый статус</x:v>
      </x:c>
      <x:c r="J1940" t="n">
        <x:f>IF(D1940=1,K1940,0)</x:f>
        <x:v>0</x:v>
      </x:c>
      <x:c r="K1940" t="n">
        <x:f>D1940+K1939</x:f>
        <x:v>23</x:v>
      </x:c>
    </x:row>
    <x:row r="1941">
      <x:c r="A1941" t="str">
        <x:v>Payment</x:v>
      </x:c>
      <x:c r="B1941" t="str">
        <x:f>'04_checks'!B279</x:f>
        <x:v>P032</x:v>
      </x:c>
      <x:c r="C1941" t="n">
        <x:v>33</x:v>
      </x:c>
      <x:c r="D1941" t="n">
        <x:f>IF('04_checks'!C279="ERROR",1,0)</x:f>
        <x:v>0</x:v>
      </x:c>
      <x:c r="E1941" t="str">
        <x:v>Payment:33:1</x:v>
      </x:c>
      <x:c r="F1941" t="str">
        <x:v>Дубль</x:v>
      </x:c>
      <x:c r="G1941" t="str">
        <x:v>High</x:v>
      </x:c>
      <x:c r="H1941" t="str">
        <x:v>payment_id</x:v>
      </x:c>
      <x:c r="I1941" t="str">
        <x:v>Проверить уникальность ID в источнике; не удалять записи автоматически</x:v>
      </x:c>
      <x:c r="J1941" t="n">
        <x:f>IF(D1941=1,K1941,0)</x:f>
        <x:v>0</x:v>
      </x:c>
      <x:c r="K1941" t="n">
        <x:f>D1941+K1940</x:f>
        <x:v>23</x:v>
      </x:c>
    </x:row>
    <x:row r="1942">
      <x:c r="A1942" t="str">
        <x:v>Payment</x:v>
      </x:c>
      <x:c r="B1942" t="str">
        <x:f>'04_checks'!B279</x:f>
        <x:v>P032</x:v>
      </x:c>
      <x:c r="C1942" t="n">
        <x:v>33</x:v>
      </x:c>
      <x:c r="D1942" t="n">
        <x:f>IF('04_checks'!D279="ERROR",1,0)</x:f>
        <x:v>0</x:v>
      </x:c>
      <x:c r="E1942" t="str">
        <x:v>Payment:33:2</x:v>
      </x:c>
      <x:c r="F1942" t="str">
        <x:v>Пустое поле</x:v>
      </x:c>
      <x:c r="G1942" t="str">
        <x:v>High</x:v>
      </x:c>
      <x:c r="H1942" t="str">
        <x:v>required_fields</x:v>
      </x:c>
      <x:c r="I1942" t="str">
        <x:v>Дополнить обязательные поля в источнике</x:v>
      </x:c>
      <x:c r="J1942" t="n">
        <x:f>IF(D1942=1,K1942,0)</x:f>
        <x:v>0</x:v>
      </x:c>
      <x:c r="K1942" t="n">
        <x:f>D1942+K1941</x:f>
        <x:v>23</x:v>
      </x:c>
    </x:row>
    <x:row r="1943">
      <x:c r="A1943" t="str">
        <x:v>Payment</x:v>
      </x:c>
      <x:c r="B1943" t="str">
        <x:f>'04_checks'!B279</x:f>
        <x:v>P032</x:v>
      </x:c>
      <x:c r="C1943" t="n">
        <x:v>33</x:v>
      </x:c>
      <x:c r="D1943" t="n">
        <x:f>IF('04_checks'!E279="ERROR",1,0)</x:f>
        <x:v>0</x:v>
      </x:c>
      <x:c r="E1943" t="str">
        <x:v>Payment:33:3</x:v>
      </x:c>
      <x:c r="F1943" t="str">
        <x:f>IF(COUNTIF('01_orders_raw'!$A$2:$A$181,'03_payments_raw'!B33)&gt;1,"Неоднозначная связь","Нет связи")</x:f>
        <x:v>Нет связи</x:v>
      </x:c>
      <x:c r="G1943" t="str">
        <x:v>High</x:v>
      </x:c>
      <x:c r="H1943" t="str">
        <x:v>order_id</x:v>
      </x:c>
      <x:c r="I1943" t="str">
        <x:v>Исправить ссылку или разрешить дубли связанного ID</x:v>
      </x:c>
      <x:c r="J1943" t="n">
        <x:f>IF(D1943=1,K1943,0)</x:f>
        <x:v>0</x:v>
      </x:c>
      <x:c r="K1943" t="n">
        <x:f>D1943+K1942</x:f>
        <x:v>23</x:v>
      </x:c>
    </x:row>
    <x:row r="1944">
      <x:c r="A1944" t="str">
        <x:v>Payment</x:v>
      </x:c>
      <x:c r="B1944" t="str">
        <x:f>'04_checks'!B279</x:f>
        <x:v>P032</x:v>
      </x:c>
      <x:c r="C1944" t="n">
        <x:v>33</x:v>
      </x:c>
      <x:c r="D1944" t="n">
        <x:f>IF('04_checks'!F279="ERROR",1,0)</x:f>
        <x:v>0</x:v>
      </x:c>
      <x:c r="E1944" t="str">
        <x:v>Payment:33:4</x:v>
      </x:c>
      <x:c r="F1944" t="str">
        <x:v>Ошибка расчета</x:v>
      </x:c>
      <x:c r="G1944" t="str">
        <x:v>High</x:v>
      </x:c>
      <x:c r="H1944" t="str">
        <x:v>payment_sum</x:v>
      </x:c>
      <x:c r="I1944" t="str">
        <x:v>Сверить исходные значения и правило расчёта</x:v>
      </x:c>
      <x:c r="J1944" t="n">
        <x:f>IF(D1944=1,K1944,0)</x:f>
        <x:v>0</x:v>
      </x:c>
      <x:c r="K1944" t="n">
        <x:f>D1944+K1943</x:f>
        <x:v>23</x:v>
      </x:c>
    </x:row>
    <x:row r="1945">
      <x:c r="A1945" t="str">
        <x:v>Payment</x:v>
      </x:c>
      <x:c r="B1945" t="str">
        <x:f>'04_checks'!B279</x:f>
        <x:v>P032</x:v>
      </x:c>
      <x:c r="C1945" t="n">
        <x:v>33</x:v>
      </x:c>
      <x:c r="D1945" t="n">
        <x:f>IF('04_checks'!G279="ERROR",1,0)</x:f>
        <x:v>0</x:v>
      </x:c>
      <x:c r="E1945" t="str">
        <x:v>Payment:33:5</x:v>
      </x:c>
      <x:c r="F1945" t="str">
        <x:v>Отрицательная цена</x:v>
      </x:c>
      <x:c r="G1945" t="str">
        <x:v>High</x:v>
      </x:c>
      <x:c r="H1945" t="str">
        <x:v>N/A</x:v>
      </x:c>
      <x:c r="I1945" t="str">
        <x:v>Проверить цену в источнике</x:v>
      </x:c>
      <x:c r="J1945" t="n">
        <x:f>IF(D1945=1,K1945,0)</x:f>
        <x:v>0</x:v>
      </x:c>
      <x:c r="K1945" t="n">
        <x:f>D1945+K1944</x:f>
        <x:v>23</x:v>
      </x:c>
    </x:row>
    <x:row r="1946">
      <x:c r="A1946" t="str">
        <x:v>Payment</x:v>
      </x:c>
      <x:c r="B1946" t="str">
        <x:f>'04_checks'!B279</x:f>
        <x:v>P032</x:v>
      </x:c>
      <x:c r="C1946" t="n">
        <x:v>33</x:v>
      </x:c>
      <x:c r="D1946" t="n">
        <x:f>IF('04_checks'!H279="ERROR",1,0)</x:f>
        <x:v>0</x:v>
      </x:c>
      <x:c r="E1946" t="str">
        <x:v>Payment:33:6</x:v>
      </x:c>
      <x:c r="F1946" t="str">
        <x:v>Дата</x:v>
      </x:c>
      <x:c r="G1946" t="str">
        <x:v>Medium</x:v>
      </x:c>
      <x:c r="H1946" t="str">
        <x:v>payment_date</x:v>
      </x:c>
      <x:c r="I1946" t="str">
        <x:v>Сверить дату со срезом и исходной записью</x:v>
      </x:c>
      <x:c r="J1946" t="n">
        <x:f>IF(D1946=1,K1946,0)</x:f>
        <x:v>0</x:v>
      </x:c>
      <x:c r="K1946" t="n">
        <x:f>D1946+K1945</x:f>
        <x:v>23</x:v>
      </x:c>
    </x:row>
    <x:row r="1947">
      <x:c r="A1947" t="str">
        <x:v>Payment</x:v>
      </x:c>
      <x:c r="B1947" t="str">
        <x:f>'04_checks'!B279</x:f>
        <x:v>P032</x:v>
      </x:c>
      <x:c r="C1947" t="n">
        <x:v>33</x:v>
      </x:c>
      <x:c r="D1947" t="n">
        <x:f>IF('04_checks'!I279="ERROR",1,0)</x:f>
        <x:v>0</x:v>
      </x:c>
      <x:c r="E1947" t="str">
        <x:v>Payment:33:7</x:v>
      </x:c>
      <x:c r="F1947" t="str">
        <x:v>Статус</x:v>
      </x:c>
      <x:c r="G1947" t="str">
        <x:v>Medium</x:v>
      </x:c>
      <x:c r="H1947" t="str">
        <x:v>payment_status</x:v>
      </x:c>
      <x:c r="I1947" t="str">
        <x:v>Выбрать допустимый статус</x:v>
      </x:c>
      <x:c r="J1947" t="n">
        <x:f>IF(D1947=1,K1947,0)</x:f>
        <x:v>0</x:v>
      </x:c>
      <x:c r="K1947" t="n">
        <x:f>D1947+K1946</x:f>
        <x:v>23</x:v>
      </x:c>
    </x:row>
    <x:row r="1948">
      <x:c r="A1948" t="str">
        <x:v>Payment</x:v>
      </x:c>
      <x:c r="B1948" t="str">
        <x:f>'04_checks'!B280</x:f>
        <x:v>P033</x:v>
      </x:c>
      <x:c r="C1948" t="n">
        <x:v>34</x:v>
      </x:c>
      <x:c r="D1948" t="n">
        <x:f>IF('04_checks'!C280="ERROR",1,0)</x:f>
        <x:v>0</x:v>
      </x:c>
      <x:c r="E1948" t="str">
        <x:v>Payment:34:1</x:v>
      </x:c>
      <x:c r="F1948" t="str">
        <x:v>Дубль</x:v>
      </x:c>
      <x:c r="G1948" t="str">
        <x:v>High</x:v>
      </x:c>
      <x:c r="H1948" t="str">
        <x:v>payment_id</x:v>
      </x:c>
      <x:c r="I1948" t="str">
        <x:v>Проверить уникальность ID в источнике; не удалять записи автоматически</x:v>
      </x:c>
      <x:c r="J1948" t="n">
        <x:f>IF(D1948=1,K1948,0)</x:f>
        <x:v>0</x:v>
      </x:c>
      <x:c r="K1948" t="n">
        <x:f>D1948+K1947</x:f>
        <x:v>23</x:v>
      </x:c>
    </x:row>
    <x:row r="1949">
      <x:c r="A1949" t="str">
        <x:v>Payment</x:v>
      </x:c>
      <x:c r="B1949" t="str">
        <x:f>'04_checks'!B280</x:f>
        <x:v>P033</x:v>
      </x:c>
      <x:c r="C1949" t="n">
        <x:v>34</x:v>
      </x:c>
      <x:c r="D1949" t="n">
        <x:f>IF('04_checks'!D280="ERROR",1,0)</x:f>
        <x:v>0</x:v>
      </x:c>
      <x:c r="E1949" t="str">
        <x:v>Payment:34:2</x:v>
      </x:c>
      <x:c r="F1949" t="str">
        <x:v>Пустое поле</x:v>
      </x:c>
      <x:c r="G1949" t="str">
        <x:v>High</x:v>
      </x:c>
      <x:c r="H1949" t="str">
        <x:v>required_fields</x:v>
      </x:c>
      <x:c r="I1949" t="str">
        <x:v>Дополнить обязательные поля в источнике</x:v>
      </x:c>
      <x:c r="J1949" t="n">
        <x:f>IF(D1949=1,K1949,0)</x:f>
        <x:v>0</x:v>
      </x:c>
      <x:c r="K1949" t="n">
        <x:f>D1949+K1948</x:f>
        <x:v>23</x:v>
      </x:c>
    </x:row>
    <x:row r="1950">
      <x:c r="A1950" t="str">
        <x:v>Payment</x:v>
      </x:c>
      <x:c r="B1950" t="str">
        <x:f>'04_checks'!B280</x:f>
        <x:v>P033</x:v>
      </x:c>
      <x:c r="C1950" t="n">
        <x:v>34</x:v>
      </x:c>
      <x:c r="D1950" t="n">
        <x:f>IF('04_checks'!E280="ERROR",1,0)</x:f>
        <x:v>0</x:v>
      </x:c>
      <x:c r="E1950" t="str">
        <x:v>Payment:34:3</x:v>
      </x:c>
      <x:c r="F1950" t="str">
        <x:f>IF(COUNTIF('01_orders_raw'!$A$2:$A$181,'03_payments_raw'!B34)&gt;1,"Неоднозначная связь","Нет связи")</x:f>
        <x:v>Нет связи</x:v>
      </x:c>
      <x:c r="G1950" t="str">
        <x:v>High</x:v>
      </x:c>
      <x:c r="H1950" t="str">
        <x:v>order_id</x:v>
      </x:c>
      <x:c r="I1950" t="str">
        <x:v>Исправить ссылку или разрешить дубли связанного ID</x:v>
      </x:c>
      <x:c r="J1950" t="n">
        <x:f>IF(D1950=1,K1950,0)</x:f>
        <x:v>0</x:v>
      </x:c>
      <x:c r="K1950" t="n">
        <x:f>D1950+K1949</x:f>
        <x:v>23</x:v>
      </x:c>
    </x:row>
    <x:row r="1951">
      <x:c r="A1951" t="str">
        <x:v>Payment</x:v>
      </x:c>
      <x:c r="B1951" t="str">
        <x:f>'04_checks'!B280</x:f>
        <x:v>P033</x:v>
      </x:c>
      <x:c r="C1951" t="n">
        <x:v>34</x:v>
      </x:c>
      <x:c r="D1951" t="n">
        <x:f>IF('04_checks'!F280="ERROR",1,0)</x:f>
        <x:v>0</x:v>
      </x:c>
      <x:c r="E1951" t="str">
        <x:v>Payment:34:4</x:v>
      </x:c>
      <x:c r="F1951" t="str">
        <x:v>Ошибка расчета</x:v>
      </x:c>
      <x:c r="G1951" t="str">
        <x:v>High</x:v>
      </x:c>
      <x:c r="H1951" t="str">
        <x:v>payment_sum</x:v>
      </x:c>
      <x:c r="I1951" t="str">
        <x:v>Сверить исходные значения и правило расчёта</x:v>
      </x:c>
      <x:c r="J1951" t="n">
        <x:f>IF(D1951=1,K1951,0)</x:f>
        <x:v>0</x:v>
      </x:c>
      <x:c r="K1951" t="n">
        <x:f>D1951+K1950</x:f>
        <x:v>23</x:v>
      </x:c>
    </x:row>
    <x:row r="1952">
      <x:c r="A1952" t="str">
        <x:v>Payment</x:v>
      </x:c>
      <x:c r="B1952" t="str">
        <x:f>'04_checks'!B280</x:f>
        <x:v>P033</x:v>
      </x:c>
      <x:c r="C1952" t="n">
        <x:v>34</x:v>
      </x:c>
      <x:c r="D1952" t="n">
        <x:f>IF('04_checks'!G280="ERROR",1,0)</x:f>
        <x:v>0</x:v>
      </x:c>
      <x:c r="E1952" t="str">
        <x:v>Payment:34:5</x:v>
      </x:c>
      <x:c r="F1952" t="str">
        <x:v>Отрицательная цена</x:v>
      </x:c>
      <x:c r="G1952" t="str">
        <x:v>High</x:v>
      </x:c>
      <x:c r="H1952" t="str">
        <x:v>N/A</x:v>
      </x:c>
      <x:c r="I1952" t="str">
        <x:v>Проверить цену в источнике</x:v>
      </x:c>
      <x:c r="J1952" t="n">
        <x:f>IF(D1952=1,K1952,0)</x:f>
        <x:v>0</x:v>
      </x:c>
      <x:c r="K1952" t="n">
        <x:f>D1952+K1951</x:f>
        <x:v>23</x:v>
      </x:c>
    </x:row>
    <x:row r="1953">
      <x:c r="A1953" t="str">
        <x:v>Payment</x:v>
      </x:c>
      <x:c r="B1953" t="str">
        <x:f>'04_checks'!B280</x:f>
        <x:v>P033</x:v>
      </x:c>
      <x:c r="C1953" t="n">
        <x:v>34</x:v>
      </x:c>
      <x:c r="D1953" t="n">
        <x:f>IF('04_checks'!H280="ERROR",1,0)</x:f>
        <x:v>0</x:v>
      </x:c>
      <x:c r="E1953" t="str">
        <x:v>Payment:34:6</x:v>
      </x:c>
      <x:c r="F1953" t="str">
        <x:v>Дата</x:v>
      </x:c>
      <x:c r="G1953" t="str">
        <x:v>Medium</x:v>
      </x:c>
      <x:c r="H1953" t="str">
        <x:v>payment_date</x:v>
      </x:c>
      <x:c r="I1953" t="str">
        <x:v>Сверить дату со срезом и исходной записью</x:v>
      </x:c>
      <x:c r="J1953" t="n">
        <x:f>IF(D1953=1,K1953,0)</x:f>
        <x:v>0</x:v>
      </x:c>
      <x:c r="K1953" t="n">
        <x:f>D1953+K1952</x:f>
        <x:v>23</x:v>
      </x:c>
    </x:row>
    <x:row r="1954">
      <x:c r="A1954" t="str">
        <x:v>Payment</x:v>
      </x:c>
      <x:c r="B1954" t="str">
        <x:f>'04_checks'!B280</x:f>
        <x:v>P033</x:v>
      </x:c>
      <x:c r="C1954" t="n">
        <x:v>34</x:v>
      </x:c>
      <x:c r="D1954" t="n">
        <x:f>IF('04_checks'!I280="ERROR",1,0)</x:f>
        <x:v>0</x:v>
      </x:c>
      <x:c r="E1954" t="str">
        <x:v>Payment:34:7</x:v>
      </x:c>
      <x:c r="F1954" t="str">
        <x:v>Статус</x:v>
      </x:c>
      <x:c r="G1954" t="str">
        <x:v>Medium</x:v>
      </x:c>
      <x:c r="H1954" t="str">
        <x:v>payment_status</x:v>
      </x:c>
      <x:c r="I1954" t="str">
        <x:v>Выбрать допустимый статус</x:v>
      </x:c>
      <x:c r="J1954" t="n">
        <x:f>IF(D1954=1,K1954,0)</x:f>
        <x:v>0</x:v>
      </x:c>
      <x:c r="K1954" t="n">
        <x:f>D1954+K1953</x:f>
        <x:v>23</x:v>
      </x:c>
    </x:row>
    <x:row r="1955">
      <x:c r="A1955" t="str">
        <x:v>Payment</x:v>
      </x:c>
      <x:c r="B1955" t="str">
        <x:f>'04_checks'!B281</x:f>
        <x:v>P034</x:v>
      </x:c>
      <x:c r="C1955" t="n">
        <x:v>35</x:v>
      </x:c>
      <x:c r="D1955" t="n">
        <x:f>IF('04_checks'!C281="ERROR",1,0)</x:f>
        <x:v>0</x:v>
      </x:c>
      <x:c r="E1955" t="str">
        <x:v>Payment:35:1</x:v>
      </x:c>
      <x:c r="F1955" t="str">
        <x:v>Дубль</x:v>
      </x:c>
      <x:c r="G1955" t="str">
        <x:v>High</x:v>
      </x:c>
      <x:c r="H1955" t="str">
        <x:v>payment_id</x:v>
      </x:c>
      <x:c r="I1955" t="str">
        <x:v>Проверить уникальность ID в источнике; не удалять записи автоматически</x:v>
      </x:c>
      <x:c r="J1955" t="n">
        <x:f>IF(D1955=1,K1955,0)</x:f>
        <x:v>0</x:v>
      </x:c>
      <x:c r="K1955" t="n">
        <x:f>D1955+K1954</x:f>
        <x:v>23</x:v>
      </x:c>
    </x:row>
    <x:row r="1956">
      <x:c r="A1956" t="str">
        <x:v>Payment</x:v>
      </x:c>
      <x:c r="B1956" t="str">
        <x:f>'04_checks'!B281</x:f>
        <x:v>P034</x:v>
      </x:c>
      <x:c r="C1956" t="n">
        <x:v>35</x:v>
      </x:c>
      <x:c r="D1956" t="n">
        <x:f>IF('04_checks'!D281="ERROR",1,0)</x:f>
        <x:v>0</x:v>
      </x:c>
      <x:c r="E1956" t="str">
        <x:v>Payment:35:2</x:v>
      </x:c>
      <x:c r="F1956" t="str">
        <x:v>Пустое поле</x:v>
      </x:c>
      <x:c r="G1956" t="str">
        <x:v>High</x:v>
      </x:c>
      <x:c r="H1956" t="str">
        <x:v>required_fields</x:v>
      </x:c>
      <x:c r="I1956" t="str">
        <x:v>Дополнить обязательные поля в источнике</x:v>
      </x:c>
      <x:c r="J1956" t="n">
        <x:f>IF(D1956=1,K1956,0)</x:f>
        <x:v>0</x:v>
      </x:c>
      <x:c r="K1956" t="n">
        <x:f>D1956+K1955</x:f>
        <x:v>23</x:v>
      </x:c>
    </x:row>
    <x:row r="1957">
      <x:c r="A1957" t="str">
        <x:v>Payment</x:v>
      </x:c>
      <x:c r="B1957" t="str">
        <x:f>'04_checks'!B281</x:f>
        <x:v>P034</x:v>
      </x:c>
      <x:c r="C1957" t="n">
        <x:v>35</x:v>
      </x:c>
      <x:c r="D1957" t="n">
        <x:f>IF('04_checks'!E281="ERROR",1,0)</x:f>
        <x:v>0</x:v>
      </x:c>
      <x:c r="E1957" t="str">
        <x:v>Payment:35:3</x:v>
      </x:c>
      <x:c r="F1957" t="str">
        <x:f>IF(COUNTIF('01_orders_raw'!$A$2:$A$181,'03_payments_raw'!B35)&gt;1,"Неоднозначная связь","Нет связи")</x:f>
        <x:v>Нет связи</x:v>
      </x:c>
      <x:c r="G1957" t="str">
        <x:v>High</x:v>
      </x:c>
      <x:c r="H1957" t="str">
        <x:v>order_id</x:v>
      </x:c>
      <x:c r="I1957" t="str">
        <x:v>Исправить ссылку или разрешить дубли связанного ID</x:v>
      </x:c>
      <x:c r="J1957" t="n">
        <x:f>IF(D1957=1,K1957,0)</x:f>
        <x:v>0</x:v>
      </x:c>
      <x:c r="K1957" t="n">
        <x:f>D1957+K1956</x:f>
        <x:v>23</x:v>
      </x:c>
    </x:row>
    <x:row r="1958">
      <x:c r="A1958" t="str">
        <x:v>Payment</x:v>
      </x:c>
      <x:c r="B1958" t="str">
        <x:f>'04_checks'!B281</x:f>
        <x:v>P034</x:v>
      </x:c>
      <x:c r="C1958" t="n">
        <x:v>35</x:v>
      </x:c>
      <x:c r="D1958" t="n">
        <x:f>IF('04_checks'!F281="ERROR",1,0)</x:f>
        <x:v>0</x:v>
      </x:c>
      <x:c r="E1958" t="str">
        <x:v>Payment:35:4</x:v>
      </x:c>
      <x:c r="F1958" t="str">
        <x:v>Ошибка расчета</x:v>
      </x:c>
      <x:c r="G1958" t="str">
        <x:v>High</x:v>
      </x:c>
      <x:c r="H1958" t="str">
        <x:v>payment_sum</x:v>
      </x:c>
      <x:c r="I1958" t="str">
        <x:v>Сверить исходные значения и правило расчёта</x:v>
      </x:c>
      <x:c r="J1958" t="n">
        <x:f>IF(D1958=1,K1958,0)</x:f>
        <x:v>0</x:v>
      </x:c>
      <x:c r="K1958" t="n">
        <x:f>D1958+K1957</x:f>
        <x:v>23</x:v>
      </x:c>
    </x:row>
    <x:row r="1959">
      <x:c r="A1959" t="str">
        <x:v>Payment</x:v>
      </x:c>
      <x:c r="B1959" t="str">
        <x:f>'04_checks'!B281</x:f>
        <x:v>P034</x:v>
      </x:c>
      <x:c r="C1959" t="n">
        <x:v>35</x:v>
      </x:c>
      <x:c r="D1959" t="n">
        <x:f>IF('04_checks'!G281="ERROR",1,0)</x:f>
        <x:v>0</x:v>
      </x:c>
      <x:c r="E1959" t="str">
        <x:v>Payment:35:5</x:v>
      </x:c>
      <x:c r="F1959" t="str">
        <x:v>Отрицательная цена</x:v>
      </x:c>
      <x:c r="G1959" t="str">
        <x:v>High</x:v>
      </x:c>
      <x:c r="H1959" t="str">
        <x:v>N/A</x:v>
      </x:c>
      <x:c r="I1959" t="str">
        <x:v>Проверить цену в источнике</x:v>
      </x:c>
      <x:c r="J1959" t="n">
        <x:f>IF(D1959=1,K1959,0)</x:f>
        <x:v>0</x:v>
      </x:c>
      <x:c r="K1959" t="n">
        <x:f>D1959+K1958</x:f>
        <x:v>23</x:v>
      </x:c>
    </x:row>
    <x:row r="1960">
      <x:c r="A1960" t="str">
        <x:v>Payment</x:v>
      </x:c>
      <x:c r="B1960" t="str">
        <x:f>'04_checks'!B281</x:f>
        <x:v>P034</x:v>
      </x:c>
      <x:c r="C1960" t="n">
        <x:v>35</x:v>
      </x:c>
      <x:c r="D1960" t="n">
        <x:f>IF('04_checks'!H281="ERROR",1,0)</x:f>
        <x:v>0</x:v>
      </x:c>
      <x:c r="E1960" t="str">
        <x:v>Payment:35:6</x:v>
      </x:c>
      <x:c r="F1960" t="str">
        <x:v>Дата</x:v>
      </x:c>
      <x:c r="G1960" t="str">
        <x:v>Medium</x:v>
      </x:c>
      <x:c r="H1960" t="str">
        <x:v>payment_date</x:v>
      </x:c>
      <x:c r="I1960" t="str">
        <x:v>Сверить дату со срезом и исходной записью</x:v>
      </x:c>
      <x:c r="J1960" t="n">
        <x:f>IF(D1960=1,K1960,0)</x:f>
        <x:v>0</x:v>
      </x:c>
      <x:c r="K1960" t="n">
        <x:f>D1960+K1959</x:f>
        <x:v>23</x:v>
      </x:c>
    </x:row>
    <x:row r="1961">
      <x:c r="A1961" t="str">
        <x:v>Payment</x:v>
      </x:c>
      <x:c r="B1961" t="str">
        <x:f>'04_checks'!B281</x:f>
        <x:v>P034</x:v>
      </x:c>
      <x:c r="C1961" t="n">
        <x:v>35</x:v>
      </x:c>
      <x:c r="D1961" t="n">
        <x:f>IF('04_checks'!I281="ERROR",1,0)</x:f>
        <x:v>0</x:v>
      </x:c>
      <x:c r="E1961" t="str">
        <x:v>Payment:35:7</x:v>
      </x:c>
      <x:c r="F1961" t="str">
        <x:v>Статус</x:v>
      </x:c>
      <x:c r="G1961" t="str">
        <x:v>Medium</x:v>
      </x:c>
      <x:c r="H1961" t="str">
        <x:v>payment_status</x:v>
      </x:c>
      <x:c r="I1961" t="str">
        <x:v>Выбрать допустимый статус</x:v>
      </x:c>
      <x:c r="J1961" t="n">
        <x:f>IF(D1961=1,K1961,0)</x:f>
        <x:v>0</x:v>
      </x:c>
      <x:c r="K1961" t="n">
        <x:f>D1961+K1960</x:f>
        <x:v>23</x:v>
      </x:c>
    </x:row>
    <x:row r="1962">
      <x:c r="A1962" t="str">
        <x:v>Payment</x:v>
      </x:c>
      <x:c r="B1962" t="str">
        <x:f>'04_checks'!B282</x:f>
        <x:v>P035</x:v>
      </x:c>
      <x:c r="C1962" t="n">
        <x:v>36</x:v>
      </x:c>
      <x:c r="D1962" t="n">
        <x:f>IF('04_checks'!C282="ERROR",1,0)</x:f>
        <x:v>0</x:v>
      </x:c>
      <x:c r="E1962" t="str">
        <x:v>Payment:36:1</x:v>
      </x:c>
      <x:c r="F1962" t="str">
        <x:v>Дубль</x:v>
      </x:c>
      <x:c r="G1962" t="str">
        <x:v>High</x:v>
      </x:c>
      <x:c r="H1962" t="str">
        <x:v>payment_id</x:v>
      </x:c>
      <x:c r="I1962" t="str">
        <x:v>Проверить уникальность ID в источнике; не удалять записи автоматически</x:v>
      </x:c>
      <x:c r="J1962" t="n">
        <x:f>IF(D1962=1,K1962,0)</x:f>
        <x:v>0</x:v>
      </x:c>
      <x:c r="K1962" t="n">
        <x:f>D1962+K1961</x:f>
        <x:v>23</x:v>
      </x:c>
    </x:row>
    <x:row r="1963">
      <x:c r="A1963" t="str">
        <x:v>Payment</x:v>
      </x:c>
      <x:c r="B1963" t="str">
        <x:f>'04_checks'!B282</x:f>
        <x:v>P035</x:v>
      </x:c>
      <x:c r="C1963" t="n">
        <x:v>36</x:v>
      </x:c>
      <x:c r="D1963" t="n">
        <x:f>IF('04_checks'!D282="ERROR",1,0)</x:f>
        <x:v>0</x:v>
      </x:c>
      <x:c r="E1963" t="str">
        <x:v>Payment:36:2</x:v>
      </x:c>
      <x:c r="F1963" t="str">
        <x:v>Пустое поле</x:v>
      </x:c>
      <x:c r="G1963" t="str">
        <x:v>High</x:v>
      </x:c>
      <x:c r="H1963" t="str">
        <x:v>required_fields</x:v>
      </x:c>
      <x:c r="I1963" t="str">
        <x:v>Дополнить обязательные поля в источнике</x:v>
      </x:c>
      <x:c r="J1963" t="n">
        <x:f>IF(D1963=1,K1963,0)</x:f>
        <x:v>0</x:v>
      </x:c>
      <x:c r="K1963" t="n">
        <x:f>D1963+K1962</x:f>
        <x:v>23</x:v>
      </x:c>
    </x:row>
    <x:row r="1964">
      <x:c r="A1964" t="str">
        <x:v>Payment</x:v>
      </x:c>
      <x:c r="B1964" t="str">
        <x:f>'04_checks'!B282</x:f>
        <x:v>P035</x:v>
      </x:c>
      <x:c r="C1964" t="n">
        <x:v>36</x:v>
      </x:c>
      <x:c r="D1964" t="n">
        <x:f>IF('04_checks'!E282="ERROR",1,0)</x:f>
        <x:v>0</x:v>
      </x:c>
      <x:c r="E1964" t="str">
        <x:v>Payment:36:3</x:v>
      </x:c>
      <x:c r="F1964" t="str">
        <x:f>IF(COUNTIF('01_orders_raw'!$A$2:$A$181,'03_payments_raw'!B36)&gt;1,"Неоднозначная связь","Нет связи")</x:f>
        <x:v>Нет связи</x:v>
      </x:c>
      <x:c r="G1964" t="str">
        <x:v>High</x:v>
      </x:c>
      <x:c r="H1964" t="str">
        <x:v>order_id</x:v>
      </x:c>
      <x:c r="I1964" t="str">
        <x:v>Исправить ссылку или разрешить дубли связанного ID</x:v>
      </x:c>
      <x:c r="J1964" t="n">
        <x:f>IF(D1964=1,K1964,0)</x:f>
        <x:v>0</x:v>
      </x:c>
      <x:c r="K1964" t="n">
        <x:f>D1964+K1963</x:f>
        <x:v>23</x:v>
      </x:c>
    </x:row>
    <x:row r="1965">
      <x:c r="A1965" t="str">
        <x:v>Payment</x:v>
      </x:c>
      <x:c r="B1965" t="str">
        <x:f>'04_checks'!B282</x:f>
        <x:v>P035</x:v>
      </x:c>
      <x:c r="C1965" t="n">
        <x:v>36</x:v>
      </x:c>
      <x:c r="D1965" t="n">
        <x:f>IF('04_checks'!F282="ERROR",1,0)</x:f>
        <x:v>0</x:v>
      </x:c>
      <x:c r="E1965" t="str">
        <x:v>Payment:36:4</x:v>
      </x:c>
      <x:c r="F1965" t="str">
        <x:v>Ошибка расчета</x:v>
      </x:c>
      <x:c r="G1965" t="str">
        <x:v>High</x:v>
      </x:c>
      <x:c r="H1965" t="str">
        <x:v>payment_sum</x:v>
      </x:c>
      <x:c r="I1965" t="str">
        <x:v>Сверить исходные значения и правило расчёта</x:v>
      </x:c>
      <x:c r="J1965" t="n">
        <x:f>IF(D1965=1,K1965,0)</x:f>
        <x:v>0</x:v>
      </x:c>
      <x:c r="K1965" t="n">
        <x:f>D1965+K1964</x:f>
        <x:v>23</x:v>
      </x:c>
    </x:row>
    <x:row r="1966">
      <x:c r="A1966" t="str">
        <x:v>Payment</x:v>
      </x:c>
      <x:c r="B1966" t="str">
        <x:f>'04_checks'!B282</x:f>
        <x:v>P035</x:v>
      </x:c>
      <x:c r="C1966" t="n">
        <x:v>36</x:v>
      </x:c>
      <x:c r="D1966" t="n">
        <x:f>IF('04_checks'!G282="ERROR",1,0)</x:f>
        <x:v>0</x:v>
      </x:c>
      <x:c r="E1966" t="str">
        <x:v>Payment:36:5</x:v>
      </x:c>
      <x:c r="F1966" t="str">
        <x:v>Отрицательная цена</x:v>
      </x:c>
      <x:c r="G1966" t="str">
        <x:v>High</x:v>
      </x:c>
      <x:c r="H1966" t="str">
        <x:v>N/A</x:v>
      </x:c>
      <x:c r="I1966" t="str">
        <x:v>Проверить цену в источнике</x:v>
      </x:c>
      <x:c r="J1966" t="n">
        <x:f>IF(D1966=1,K1966,0)</x:f>
        <x:v>0</x:v>
      </x:c>
      <x:c r="K1966" t="n">
        <x:f>D1966+K1965</x:f>
        <x:v>23</x:v>
      </x:c>
    </x:row>
    <x:row r="1967">
      <x:c r="A1967" t="str">
        <x:v>Payment</x:v>
      </x:c>
      <x:c r="B1967" t="str">
        <x:f>'04_checks'!B282</x:f>
        <x:v>P035</x:v>
      </x:c>
      <x:c r="C1967" t="n">
        <x:v>36</x:v>
      </x:c>
      <x:c r="D1967" t="n">
        <x:f>IF('04_checks'!H282="ERROR",1,0)</x:f>
        <x:v>0</x:v>
      </x:c>
      <x:c r="E1967" t="str">
        <x:v>Payment:36:6</x:v>
      </x:c>
      <x:c r="F1967" t="str">
        <x:v>Дата</x:v>
      </x:c>
      <x:c r="G1967" t="str">
        <x:v>Medium</x:v>
      </x:c>
      <x:c r="H1967" t="str">
        <x:v>payment_date</x:v>
      </x:c>
      <x:c r="I1967" t="str">
        <x:v>Сверить дату со срезом и исходной записью</x:v>
      </x:c>
      <x:c r="J1967" t="n">
        <x:f>IF(D1967=1,K1967,0)</x:f>
        <x:v>0</x:v>
      </x:c>
      <x:c r="K1967" t="n">
        <x:f>D1967+K1966</x:f>
        <x:v>23</x:v>
      </x:c>
    </x:row>
    <x:row r="1968">
      <x:c r="A1968" t="str">
        <x:v>Payment</x:v>
      </x:c>
      <x:c r="B1968" t="str">
        <x:f>'04_checks'!B282</x:f>
        <x:v>P035</x:v>
      </x:c>
      <x:c r="C1968" t="n">
        <x:v>36</x:v>
      </x:c>
      <x:c r="D1968" t="n">
        <x:f>IF('04_checks'!I282="ERROR",1,0)</x:f>
        <x:v>0</x:v>
      </x:c>
      <x:c r="E1968" t="str">
        <x:v>Payment:36:7</x:v>
      </x:c>
      <x:c r="F1968" t="str">
        <x:v>Статус</x:v>
      </x:c>
      <x:c r="G1968" t="str">
        <x:v>Medium</x:v>
      </x:c>
      <x:c r="H1968" t="str">
        <x:v>payment_status</x:v>
      </x:c>
      <x:c r="I1968" t="str">
        <x:v>Выбрать допустимый статус</x:v>
      </x:c>
      <x:c r="J1968" t="n">
        <x:f>IF(D1968=1,K1968,0)</x:f>
        <x:v>0</x:v>
      </x:c>
      <x:c r="K1968" t="n">
        <x:f>D1968+K1967</x:f>
        <x:v>23</x:v>
      </x:c>
    </x:row>
    <x:row r="1969">
      <x:c r="A1969" t="str">
        <x:v>Payment</x:v>
      </x:c>
      <x:c r="B1969" t="str">
        <x:f>'04_checks'!B283</x:f>
        <x:v>P036</x:v>
      </x:c>
      <x:c r="C1969" t="n">
        <x:v>37</x:v>
      </x:c>
      <x:c r="D1969" t="n">
        <x:f>IF('04_checks'!C283="ERROR",1,0)</x:f>
        <x:v>0</x:v>
      </x:c>
      <x:c r="E1969" t="str">
        <x:v>Payment:37:1</x:v>
      </x:c>
      <x:c r="F1969" t="str">
        <x:v>Дубль</x:v>
      </x:c>
      <x:c r="G1969" t="str">
        <x:v>High</x:v>
      </x:c>
      <x:c r="H1969" t="str">
        <x:v>payment_id</x:v>
      </x:c>
      <x:c r="I1969" t="str">
        <x:v>Проверить уникальность ID в источнике; не удалять записи автоматически</x:v>
      </x:c>
      <x:c r="J1969" t="n">
        <x:f>IF(D1969=1,K1969,0)</x:f>
        <x:v>0</x:v>
      </x:c>
      <x:c r="K1969" t="n">
        <x:f>D1969+K1968</x:f>
        <x:v>23</x:v>
      </x:c>
    </x:row>
    <x:row r="1970">
      <x:c r="A1970" t="str">
        <x:v>Payment</x:v>
      </x:c>
      <x:c r="B1970" t="str">
        <x:f>'04_checks'!B283</x:f>
        <x:v>P036</x:v>
      </x:c>
      <x:c r="C1970" t="n">
        <x:v>37</x:v>
      </x:c>
      <x:c r="D1970" t="n">
        <x:f>IF('04_checks'!D283="ERROR",1,0)</x:f>
        <x:v>0</x:v>
      </x:c>
      <x:c r="E1970" t="str">
        <x:v>Payment:37:2</x:v>
      </x:c>
      <x:c r="F1970" t="str">
        <x:v>Пустое поле</x:v>
      </x:c>
      <x:c r="G1970" t="str">
        <x:v>High</x:v>
      </x:c>
      <x:c r="H1970" t="str">
        <x:v>required_fields</x:v>
      </x:c>
      <x:c r="I1970" t="str">
        <x:v>Дополнить обязательные поля в источнике</x:v>
      </x:c>
      <x:c r="J1970" t="n">
        <x:f>IF(D1970=1,K1970,0)</x:f>
        <x:v>0</x:v>
      </x:c>
      <x:c r="K1970" t="n">
        <x:f>D1970+K1969</x:f>
        <x:v>23</x:v>
      </x:c>
    </x:row>
    <x:row r="1971">
      <x:c r="A1971" t="str">
        <x:v>Payment</x:v>
      </x:c>
      <x:c r="B1971" t="str">
        <x:f>'04_checks'!B283</x:f>
        <x:v>P036</x:v>
      </x:c>
      <x:c r="C1971" t="n">
        <x:v>37</x:v>
      </x:c>
      <x:c r="D1971" t="n">
        <x:f>IF('04_checks'!E283="ERROR",1,0)</x:f>
        <x:v>0</x:v>
      </x:c>
      <x:c r="E1971" t="str">
        <x:v>Payment:37:3</x:v>
      </x:c>
      <x:c r="F1971" t="str">
        <x:f>IF(COUNTIF('01_orders_raw'!$A$2:$A$181,'03_payments_raw'!B37)&gt;1,"Неоднозначная связь","Нет связи")</x:f>
        <x:v>Нет связи</x:v>
      </x:c>
      <x:c r="G1971" t="str">
        <x:v>High</x:v>
      </x:c>
      <x:c r="H1971" t="str">
        <x:v>order_id</x:v>
      </x:c>
      <x:c r="I1971" t="str">
        <x:v>Исправить ссылку или разрешить дубли связанного ID</x:v>
      </x:c>
      <x:c r="J1971" t="n">
        <x:f>IF(D1971=1,K1971,0)</x:f>
        <x:v>0</x:v>
      </x:c>
      <x:c r="K1971" t="n">
        <x:f>D1971+K1970</x:f>
        <x:v>23</x:v>
      </x:c>
    </x:row>
    <x:row r="1972">
      <x:c r="A1972" t="str">
        <x:v>Payment</x:v>
      </x:c>
      <x:c r="B1972" t="str">
        <x:f>'04_checks'!B283</x:f>
        <x:v>P036</x:v>
      </x:c>
      <x:c r="C1972" t="n">
        <x:v>37</x:v>
      </x:c>
      <x:c r="D1972" t="n">
        <x:f>IF('04_checks'!F283="ERROR",1,0)</x:f>
        <x:v>0</x:v>
      </x:c>
      <x:c r="E1972" t="str">
        <x:v>Payment:37:4</x:v>
      </x:c>
      <x:c r="F1972" t="str">
        <x:v>Ошибка расчета</x:v>
      </x:c>
      <x:c r="G1972" t="str">
        <x:v>High</x:v>
      </x:c>
      <x:c r="H1972" t="str">
        <x:v>payment_sum</x:v>
      </x:c>
      <x:c r="I1972" t="str">
        <x:v>Сверить исходные значения и правило расчёта</x:v>
      </x:c>
      <x:c r="J1972" t="n">
        <x:f>IF(D1972=1,K1972,0)</x:f>
        <x:v>0</x:v>
      </x:c>
      <x:c r="K1972" t="n">
        <x:f>D1972+K1971</x:f>
        <x:v>23</x:v>
      </x:c>
    </x:row>
    <x:row r="1973">
      <x:c r="A1973" t="str">
        <x:v>Payment</x:v>
      </x:c>
      <x:c r="B1973" t="str">
        <x:f>'04_checks'!B283</x:f>
        <x:v>P036</x:v>
      </x:c>
      <x:c r="C1973" t="n">
        <x:v>37</x:v>
      </x:c>
      <x:c r="D1973" t="n">
        <x:f>IF('04_checks'!G283="ERROR",1,0)</x:f>
        <x:v>0</x:v>
      </x:c>
      <x:c r="E1973" t="str">
        <x:v>Payment:37:5</x:v>
      </x:c>
      <x:c r="F1973" t="str">
        <x:v>Отрицательная цена</x:v>
      </x:c>
      <x:c r="G1973" t="str">
        <x:v>High</x:v>
      </x:c>
      <x:c r="H1973" t="str">
        <x:v>N/A</x:v>
      </x:c>
      <x:c r="I1973" t="str">
        <x:v>Проверить цену в источнике</x:v>
      </x:c>
      <x:c r="J1973" t="n">
        <x:f>IF(D1973=1,K1973,0)</x:f>
        <x:v>0</x:v>
      </x:c>
      <x:c r="K1973" t="n">
        <x:f>D1973+K1972</x:f>
        <x:v>23</x:v>
      </x:c>
    </x:row>
    <x:row r="1974">
      <x:c r="A1974" t="str">
        <x:v>Payment</x:v>
      </x:c>
      <x:c r="B1974" t="str">
        <x:f>'04_checks'!B283</x:f>
        <x:v>P036</x:v>
      </x:c>
      <x:c r="C1974" t="n">
        <x:v>37</x:v>
      </x:c>
      <x:c r="D1974" t="n">
        <x:f>IF('04_checks'!H283="ERROR",1,0)</x:f>
        <x:v>0</x:v>
      </x:c>
      <x:c r="E1974" t="str">
        <x:v>Payment:37:6</x:v>
      </x:c>
      <x:c r="F1974" t="str">
        <x:v>Дата</x:v>
      </x:c>
      <x:c r="G1974" t="str">
        <x:v>Medium</x:v>
      </x:c>
      <x:c r="H1974" t="str">
        <x:v>payment_date</x:v>
      </x:c>
      <x:c r="I1974" t="str">
        <x:v>Сверить дату со срезом и исходной записью</x:v>
      </x:c>
      <x:c r="J1974" t="n">
        <x:f>IF(D1974=1,K1974,0)</x:f>
        <x:v>0</x:v>
      </x:c>
      <x:c r="K1974" t="n">
        <x:f>D1974+K1973</x:f>
        <x:v>23</x:v>
      </x:c>
    </x:row>
    <x:row r="1975">
      <x:c r="A1975" t="str">
        <x:v>Payment</x:v>
      </x:c>
      <x:c r="B1975" t="str">
        <x:f>'04_checks'!B283</x:f>
        <x:v>P036</x:v>
      </x:c>
      <x:c r="C1975" t="n">
        <x:v>37</x:v>
      </x:c>
      <x:c r="D1975" t="n">
        <x:f>IF('04_checks'!I283="ERROR",1,0)</x:f>
        <x:v>0</x:v>
      </x:c>
      <x:c r="E1975" t="str">
        <x:v>Payment:37:7</x:v>
      </x:c>
      <x:c r="F1975" t="str">
        <x:v>Статус</x:v>
      </x:c>
      <x:c r="G1975" t="str">
        <x:v>Medium</x:v>
      </x:c>
      <x:c r="H1975" t="str">
        <x:v>payment_status</x:v>
      </x:c>
      <x:c r="I1975" t="str">
        <x:v>Выбрать допустимый статус</x:v>
      </x:c>
      <x:c r="J1975" t="n">
        <x:f>IF(D1975=1,K1975,0)</x:f>
        <x:v>0</x:v>
      </x:c>
      <x:c r="K1975" t="n">
        <x:f>D1975+K1974</x:f>
        <x:v>23</x:v>
      </x:c>
    </x:row>
    <x:row r="1976">
      <x:c r="A1976" t="str">
        <x:v>Payment</x:v>
      </x:c>
      <x:c r="B1976" t="str">
        <x:f>'04_checks'!B284</x:f>
        <x:v>P037</x:v>
      </x:c>
      <x:c r="C1976" t="n">
        <x:v>38</x:v>
      </x:c>
      <x:c r="D1976" t="n">
        <x:f>IF('04_checks'!C284="ERROR",1,0)</x:f>
        <x:v>0</x:v>
      </x:c>
      <x:c r="E1976" t="str">
        <x:v>Payment:38:1</x:v>
      </x:c>
      <x:c r="F1976" t="str">
        <x:v>Дубль</x:v>
      </x:c>
      <x:c r="G1976" t="str">
        <x:v>High</x:v>
      </x:c>
      <x:c r="H1976" t="str">
        <x:v>payment_id</x:v>
      </x:c>
      <x:c r="I1976" t="str">
        <x:v>Проверить уникальность ID в источнике; не удалять записи автоматически</x:v>
      </x:c>
      <x:c r="J1976" t="n">
        <x:f>IF(D1976=1,K1976,0)</x:f>
        <x:v>0</x:v>
      </x:c>
      <x:c r="K1976" t="n">
        <x:f>D1976+K1975</x:f>
        <x:v>23</x:v>
      </x:c>
    </x:row>
    <x:row r="1977">
      <x:c r="A1977" t="str">
        <x:v>Payment</x:v>
      </x:c>
      <x:c r="B1977" t="str">
        <x:f>'04_checks'!B284</x:f>
        <x:v>P037</x:v>
      </x:c>
      <x:c r="C1977" t="n">
        <x:v>38</x:v>
      </x:c>
      <x:c r="D1977" t="n">
        <x:f>IF('04_checks'!D284="ERROR",1,0)</x:f>
        <x:v>0</x:v>
      </x:c>
      <x:c r="E1977" t="str">
        <x:v>Payment:38:2</x:v>
      </x:c>
      <x:c r="F1977" t="str">
        <x:v>Пустое поле</x:v>
      </x:c>
      <x:c r="G1977" t="str">
        <x:v>High</x:v>
      </x:c>
      <x:c r="H1977" t="str">
        <x:v>required_fields</x:v>
      </x:c>
      <x:c r="I1977" t="str">
        <x:v>Дополнить обязательные поля в источнике</x:v>
      </x:c>
      <x:c r="J1977" t="n">
        <x:f>IF(D1977=1,K1977,0)</x:f>
        <x:v>0</x:v>
      </x:c>
      <x:c r="K1977" t="n">
        <x:f>D1977+K1976</x:f>
        <x:v>23</x:v>
      </x:c>
    </x:row>
    <x:row r="1978">
      <x:c r="A1978" t="str">
        <x:v>Payment</x:v>
      </x:c>
      <x:c r="B1978" t="str">
        <x:f>'04_checks'!B284</x:f>
        <x:v>P037</x:v>
      </x:c>
      <x:c r="C1978" t="n">
        <x:v>38</x:v>
      </x:c>
      <x:c r="D1978" t="n">
        <x:f>IF('04_checks'!E284="ERROR",1,0)</x:f>
        <x:v>0</x:v>
      </x:c>
      <x:c r="E1978" t="str">
        <x:v>Payment:38:3</x:v>
      </x:c>
      <x:c r="F1978" t="str">
        <x:f>IF(COUNTIF('01_orders_raw'!$A$2:$A$181,'03_payments_raw'!B38)&gt;1,"Неоднозначная связь","Нет связи")</x:f>
        <x:v>Нет связи</x:v>
      </x:c>
      <x:c r="G1978" t="str">
        <x:v>High</x:v>
      </x:c>
      <x:c r="H1978" t="str">
        <x:v>order_id</x:v>
      </x:c>
      <x:c r="I1978" t="str">
        <x:v>Исправить ссылку или разрешить дубли связанного ID</x:v>
      </x:c>
      <x:c r="J1978" t="n">
        <x:f>IF(D1978=1,K1978,0)</x:f>
        <x:v>0</x:v>
      </x:c>
      <x:c r="K1978" t="n">
        <x:f>D1978+K1977</x:f>
        <x:v>23</x:v>
      </x:c>
    </x:row>
    <x:row r="1979">
      <x:c r="A1979" t="str">
        <x:v>Payment</x:v>
      </x:c>
      <x:c r="B1979" t="str">
        <x:f>'04_checks'!B284</x:f>
        <x:v>P037</x:v>
      </x:c>
      <x:c r="C1979" t="n">
        <x:v>38</x:v>
      </x:c>
      <x:c r="D1979" t="n">
        <x:f>IF('04_checks'!F284="ERROR",1,0)</x:f>
        <x:v>0</x:v>
      </x:c>
      <x:c r="E1979" t="str">
        <x:v>Payment:38:4</x:v>
      </x:c>
      <x:c r="F1979" t="str">
        <x:v>Ошибка расчета</x:v>
      </x:c>
      <x:c r="G1979" t="str">
        <x:v>High</x:v>
      </x:c>
      <x:c r="H1979" t="str">
        <x:v>payment_sum</x:v>
      </x:c>
      <x:c r="I1979" t="str">
        <x:v>Сверить исходные значения и правило расчёта</x:v>
      </x:c>
      <x:c r="J1979" t="n">
        <x:f>IF(D1979=1,K1979,0)</x:f>
        <x:v>0</x:v>
      </x:c>
      <x:c r="K1979" t="n">
        <x:f>D1979+K1978</x:f>
        <x:v>23</x:v>
      </x:c>
    </x:row>
    <x:row r="1980">
      <x:c r="A1980" t="str">
        <x:v>Payment</x:v>
      </x:c>
      <x:c r="B1980" t="str">
        <x:f>'04_checks'!B284</x:f>
        <x:v>P037</x:v>
      </x:c>
      <x:c r="C1980" t="n">
        <x:v>38</x:v>
      </x:c>
      <x:c r="D1980" t="n">
        <x:f>IF('04_checks'!G284="ERROR",1,0)</x:f>
        <x:v>0</x:v>
      </x:c>
      <x:c r="E1980" t="str">
        <x:v>Payment:38:5</x:v>
      </x:c>
      <x:c r="F1980" t="str">
        <x:v>Отрицательная цена</x:v>
      </x:c>
      <x:c r="G1980" t="str">
        <x:v>High</x:v>
      </x:c>
      <x:c r="H1980" t="str">
        <x:v>N/A</x:v>
      </x:c>
      <x:c r="I1980" t="str">
        <x:v>Проверить цену в источнике</x:v>
      </x:c>
      <x:c r="J1980" t="n">
        <x:f>IF(D1980=1,K1980,0)</x:f>
        <x:v>0</x:v>
      </x:c>
      <x:c r="K1980" t="n">
        <x:f>D1980+K1979</x:f>
        <x:v>23</x:v>
      </x:c>
    </x:row>
    <x:row r="1981">
      <x:c r="A1981" t="str">
        <x:v>Payment</x:v>
      </x:c>
      <x:c r="B1981" t="str">
        <x:f>'04_checks'!B284</x:f>
        <x:v>P037</x:v>
      </x:c>
      <x:c r="C1981" t="n">
        <x:v>38</x:v>
      </x:c>
      <x:c r="D1981" t="n">
        <x:f>IF('04_checks'!H284="ERROR",1,0)</x:f>
        <x:v>0</x:v>
      </x:c>
      <x:c r="E1981" t="str">
        <x:v>Payment:38:6</x:v>
      </x:c>
      <x:c r="F1981" t="str">
        <x:v>Дата</x:v>
      </x:c>
      <x:c r="G1981" t="str">
        <x:v>Medium</x:v>
      </x:c>
      <x:c r="H1981" t="str">
        <x:v>payment_date</x:v>
      </x:c>
      <x:c r="I1981" t="str">
        <x:v>Сверить дату со срезом и исходной записью</x:v>
      </x:c>
      <x:c r="J1981" t="n">
        <x:f>IF(D1981=1,K1981,0)</x:f>
        <x:v>0</x:v>
      </x:c>
      <x:c r="K1981" t="n">
        <x:f>D1981+K1980</x:f>
        <x:v>23</x:v>
      </x:c>
    </x:row>
    <x:row r="1982">
      <x:c r="A1982" t="str">
        <x:v>Payment</x:v>
      </x:c>
      <x:c r="B1982" t="str">
        <x:f>'04_checks'!B284</x:f>
        <x:v>P037</x:v>
      </x:c>
      <x:c r="C1982" t="n">
        <x:v>38</x:v>
      </x:c>
      <x:c r="D1982" t="n">
        <x:f>IF('04_checks'!I284="ERROR",1,0)</x:f>
        <x:v>0</x:v>
      </x:c>
      <x:c r="E1982" t="str">
        <x:v>Payment:38:7</x:v>
      </x:c>
      <x:c r="F1982" t="str">
        <x:v>Статус</x:v>
      </x:c>
      <x:c r="G1982" t="str">
        <x:v>Medium</x:v>
      </x:c>
      <x:c r="H1982" t="str">
        <x:v>payment_status</x:v>
      </x:c>
      <x:c r="I1982" t="str">
        <x:v>Выбрать допустимый статус</x:v>
      </x:c>
      <x:c r="J1982" t="n">
        <x:f>IF(D1982=1,K1982,0)</x:f>
        <x:v>0</x:v>
      </x:c>
      <x:c r="K1982" t="n">
        <x:f>D1982+K1981</x:f>
        <x:v>23</x:v>
      </x:c>
    </x:row>
    <x:row r="1983">
      <x:c r="A1983" t="str">
        <x:v>Payment</x:v>
      </x:c>
      <x:c r="B1983" t="str">
        <x:f>'04_checks'!B285</x:f>
        <x:v>P038</x:v>
      </x:c>
      <x:c r="C1983" t="n">
        <x:v>39</x:v>
      </x:c>
      <x:c r="D1983" t="n">
        <x:f>IF('04_checks'!C285="ERROR",1,0)</x:f>
        <x:v>0</x:v>
      </x:c>
      <x:c r="E1983" t="str">
        <x:v>Payment:39:1</x:v>
      </x:c>
      <x:c r="F1983" t="str">
        <x:v>Дубль</x:v>
      </x:c>
      <x:c r="G1983" t="str">
        <x:v>High</x:v>
      </x:c>
      <x:c r="H1983" t="str">
        <x:v>payment_id</x:v>
      </x:c>
      <x:c r="I1983" t="str">
        <x:v>Проверить уникальность ID в источнике; не удалять записи автоматически</x:v>
      </x:c>
      <x:c r="J1983" t="n">
        <x:f>IF(D1983=1,K1983,0)</x:f>
        <x:v>0</x:v>
      </x:c>
      <x:c r="K1983" t="n">
        <x:f>D1983+K1982</x:f>
        <x:v>23</x:v>
      </x:c>
    </x:row>
    <x:row r="1984">
      <x:c r="A1984" t="str">
        <x:v>Payment</x:v>
      </x:c>
      <x:c r="B1984" t="str">
        <x:f>'04_checks'!B285</x:f>
        <x:v>P038</x:v>
      </x:c>
      <x:c r="C1984" t="n">
        <x:v>39</x:v>
      </x:c>
      <x:c r="D1984" t="n">
        <x:f>IF('04_checks'!D285="ERROR",1,0)</x:f>
        <x:v>0</x:v>
      </x:c>
      <x:c r="E1984" t="str">
        <x:v>Payment:39:2</x:v>
      </x:c>
      <x:c r="F1984" t="str">
        <x:v>Пустое поле</x:v>
      </x:c>
      <x:c r="G1984" t="str">
        <x:v>High</x:v>
      </x:c>
      <x:c r="H1984" t="str">
        <x:v>required_fields</x:v>
      </x:c>
      <x:c r="I1984" t="str">
        <x:v>Дополнить обязательные поля в источнике</x:v>
      </x:c>
      <x:c r="J1984" t="n">
        <x:f>IF(D1984=1,K1984,0)</x:f>
        <x:v>0</x:v>
      </x:c>
      <x:c r="K1984" t="n">
        <x:f>D1984+K1983</x:f>
        <x:v>23</x:v>
      </x:c>
    </x:row>
    <x:row r="1985">
      <x:c r="A1985" t="str">
        <x:v>Payment</x:v>
      </x:c>
      <x:c r="B1985" t="str">
        <x:f>'04_checks'!B285</x:f>
        <x:v>P038</x:v>
      </x:c>
      <x:c r="C1985" t="n">
        <x:v>39</x:v>
      </x:c>
      <x:c r="D1985" t="n">
        <x:f>IF('04_checks'!E285="ERROR",1,0)</x:f>
        <x:v>0</x:v>
      </x:c>
      <x:c r="E1985" t="str">
        <x:v>Payment:39:3</x:v>
      </x:c>
      <x:c r="F1985" t="str">
        <x:f>IF(COUNTIF('01_orders_raw'!$A$2:$A$181,'03_payments_raw'!B39)&gt;1,"Неоднозначная связь","Нет связи")</x:f>
        <x:v>Нет связи</x:v>
      </x:c>
      <x:c r="G1985" t="str">
        <x:v>High</x:v>
      </x:c>
      <x:c r="H1985" t="str">
        <x:v>order_id</x:v>
      </x:c>
      <x:c r="I1985" t="str">
        <x:v>Исправить ссылку или разрешить дубли связанного ID</x:v>
      </x:c>
      <x:c r="J1985" t="n">
        <x:f>IF(D1985=1,K1985,0)</x:f>
        <x:v>0</x:v>
      </x:c>
      <x:c r="K1985" t="n">
        <x:f>D1985+K1984</x:f>
        <x:v>23</x:v>
      </x:c>
    </x:row>
    <x:row r="1986">
      <x:c r="A1986" t="str">
        <x:v>Payment</x:v>
      </x:c>
      <x:c r="B1986" t="str">
        <x:f>'04_checks'!B285</x:f>
        <x:v>P038</x:v>
      </x:c>
      <x:c r="C1986" t="n">
        <x:v>39</x:v>
      </x:c>
      <x:c r="D1986" t="n">
        <x:f>IF('04_checks'!F285="ERROR",1,0)</x:f>
        <x:v>0</x:v>
      </x:c>
      <x:c r="E1986" t="str">
        <x:v>Payment:39:4</x:v>
      </x:c>
      <x:c r="F1986" t="str">
        <x:v>Ошибка расчета</x:v>
      </x:c>
      <x:c r="G1986" t="str">
        <x:v>High</x:v>
      </x:c>
      <x:c r="H1986" t="str">
        <x:v>payment_sum</x:v>
      </x:c>
      <x:c r="I1986" t="str">
        <x:v>Сверить исходные значения и правило расчёта</x:v>
      </x:c>
      <x:c r="J1986" t="n">
        <x:f>IF(D1986=1,K1986,0)</x:f>
        <x:v>0</x:v>
      </x:c>
      <x:c r="K1986" t="n">
        <x:f>D1986+K1985</x:f>
        <x:v>23</x:v>
      </x:c>
    </x:row>
    <x:row r="1987">
      <x:c r="A1987" t="str">
        <x:v>Payment</x:v>
      </x:c>
      <x:c r="B1987" t="str">
        <x:f>'04_checks'!B285</x:f>
        <x:v>P038</x:v>
      </x:c>
      <x:c r="C1987" t="n">
        <x:v>39</x:v>
      </x:c>
      <x:c r="D1987" t="n">
        <x:f>IF('04_checks'!G285="ERROR",1,0)</x:f>
        <x:v>0</x:v>
      </x:c>
      <x:c r="E1987" t="str">
        <x:v>Payment:39:5</x:v>
      </x:c>
      <x:c r="F1987" t="str">
        <x:v>Отрицательная цена</x:v>
      </x:c>
      <x:c r="G1987" t="str">
        <x:v>High</x:v>
      </x:c>
      <x:c r="H1987" t="str">
        <x:v>N/A</x:v>
      </x:c>
      <x:c r="I1987" t="str">
        <x:v>Проверить цену в источнике</x:v>
      </x:c>
      <x:c r="J1987" t="n">
        <x:f>IF(D1987=1,K1987,0)</x:f>
        <x:v>0</x:v>
      </x:c>
      <x:c r="K1987" t="n">
        <x:f>D1987+K1986</x:f>
        <x:v>23</x:v>
      </x:c>
    </x:row>
    <x:row r="1988">
      <x:c r="A1988" t="str">
        <x:v>Payment</x:v>
      </x:c>
      <x:c r="B1988" t="str">
        <x:f>'04_checks'!B285</x:f>
        <x:v>P038</x:v>
      </x:c>
      <x:c r="C1988" t="n">
        <x:v>39</x:v>
      </x:c>
      <x:c r="D1988" t="n">
        <x:f>IF('04_checks'!H285="ERROR",1,0)</x:f>
        <x:v>1</x:v>
      </x:c>
      <x:c r="E1988" t="str">
        <x:v>Payment:39:6</x:v>
      </x:c>
      <x:c r="F1988" t="str">
        <x:v>Дата</x:v>
      </x:c>
      <x:c r="G1988" t="str">
        <x:v>Medium</x:v>
      </x:c>
      <x:c r="H1988" t="str">
        <x:v>payment_date</x:v>
      </x:c>
      <x:c r="I1988" t="str">
        <x:v>Сверить дату со срезом и исходной записью</x:v>
      </x:c>
      <x:c r="J1988" t="n">
        <x:f>IF(D1988=1,K1988,0)</x:f>
        <x:v>24</x:v>
      </x:c>
      <x:c r="K1988" t="n">
        <x:f>D1988+K1987</x:f>
        <x:v>24</x:v>
      </x:c>
    </x:row>
    <x:row r="1989">
      <x:c r="A1989" t="str">
        <x:v>Payment</x:v>
      </x:c>
      <x:c r="B1989" t="str">
        <x:f>'04_checks'!B285</x:f>
        <x:v>P038</x:v>
      </x:c>
      <x:c r="C1989" t="n">
        <x:v>39</x:v>
      </x:c>
      <x:c r="D1989" t="n">
        <x:f>IF('04_checks'!I285="ERROR",1,0)</x:f>
        <x:v>0</x:v>
      </x:c>
      <x:c r="E1989" t="str">
        <x:v>Payment:39:7</x:v>
      </x:c>
      <x:c r="F1989" t="str">
        <x:v>Статус</x:v>
      </x:c>
      <x:c r="G1989" t="str">
        <x:v>Medium</x:v>
      </x:c>
      <x:c r="H1989" t="str">
        <x:v>payment_status</x:v>
      </x:c>
      <x:c r="I1989" t="str">
        <x:v>Выбрать допустимый статус</x:v>
      </x:c>
      <x:c r="J1989" t="n">
        <x:f>IF(D1989=1,K1989,0)</x:f>
        <x:v>0</x:v>
      </x:c>
      <x:c r="K1989" t="n">
        <x:f>D1989+K1988</x:f>
        <x:v>24</x:v>
      </x:c>
    </x:row>
    <x:row r="1990">
      <x:c r="A1990" t="str">
        <x:v>Payment</x:v>
      </x:c>
      <x:c r="B1990" t="str">
        <x:f>'04_checks'!B286</x:f>
        <x:v>P039</x:v>
      </x:c>
      <x:c r="C1990" t="n">
        <x:v>40</x:v>
      </x:c>
      <x:c r="D1990" t="n">
        <x:f>IF('04_checks'!C286="ERROR",1,0)</x:f>
        <x:v>0</x:v>
      </x:c>
      <x:c r="E1990" t="str">
        <x:v>Payment:40:1</x:v>
      </x:c>
      <x:c r="F1990" t="str">
        <x:v>Дубль</x:v>
      </x:c>
      <x:c r="G1990" t="str">
        <x:v>High</x:v>
      </x:c>
      <x:c r="H1990" t="str">
        <x:v>payment_id</x:v>
      </x:c>
      <x:c r="I1990" t="str">
        <x:v>Проверить уникальность ID в источнике; не удалять записи автоматически</x:v>
      </x:c>
      <x:c r="J1990" t="n">
        <x:f>IF(D1990=1,K1990,0)</x:f>
        <x:v>0</x:v>
      </x:c>
      <x:c r="K1990" t="n">
        <x:f>D1990+K1989</x:f>
        <x:v>24</x:v>
      </x:c>
    </x:row>
    <x:row r="1991">
      <x:c r="A1991" t="str">
        <x:v>Payment</x:v>
      </x:c>
      <x:c r="B1991" t="str">
        <x:f>'04_checks'!B286</x:f>
        <x:v>P039</x:v>
      </x:c>
      <x:c r="C1991" t="n">
        <x:v>40</x:v>
      </x:c>
      <x:c r="D1991" t="n">
        <x:f>IF('04_checks'!D286="ERROR",1,0)</x:f>
        <x:v>0</x:v>
      </x:c>
      <x:c r="E1991" t="str">
        <x:v>Payment:40:2</x:v>
      </x:c>
      <x:c r="F1991" t="str">
        <x:v>Пустое поле</x:v>
      </x:c>
      <x:c r="G1991" t="str">
        <x:v>High</x:v>
      </x:c>
      <x:c r="H1991" t="str">
        <x:v>required_fields</x:v>
      </x:c>
      <x:c r="I1991" t="str">
        <x:v>Дополнить обязательные поля в источнике</x:v>
      </x:c>
      <x:c r="J1991" t="n">
        <x:f>IF(D1991=1,K1991,0)</x:f>
        <x:v>0</x:v>
      </x:c>
      <x:c r="K1991" t="n">
        <x:f>D1991+K1990</x:f>
        <x:v>24</x:v>
      </x:c>
    </x:row>
    <x:row r="1992">
      <x:c r="A1992" t="str">
        <x:v>Payment</x:v>
      </x:c>
      <x:c r="B1992" t="str">
        <x:f>'04_checks'!B286</x:f>
        <x:v>P039</x:v>
      </x:c>
      <x:c r="C1992" t="n">
        <x:v>40</x:v>
      </x:c>
      <x:c r="D1992" t="n">
        <x:f>IF('04_checks'!E286="ERROR",1,0)</x:f>
        <x:v>0</x:v>
      </x:c>
      <x:c r="E1992" t="str">
        <x:v>Payment:40:3</x:v>
      </x:c>
      <x:c r="F1992" t="str">
        <x:f>IF(COUNTIF('01_orders_raw'!$A$2:$A$181,'03_payments_raw'!B40)&gt;1,"Неоднозначная связь","Нет связи")</x:f>
        <x:v>Нет связи</x:v>
      </x:c>
      <x:c r="G1992" t="str">
        <x:v>High</x:v>
      </x:c>
      <x:c r="H1992" t="str">
        <x:v>order_id</x:v>
      </x:c>
      <x:c r="I1992" t="str">
        <x:v>Исправить ссылку или разрешить дубли связанного ID</x:v>
      </x:c>
      <x:c r="J1992" t="n">
        <x:f>IF(D1992=1,K1992,0)</x:f>
        <x:v>0</x:v>
      </x:c>
      <x:c r="K1992" t="n">
        <x:f>D1992+K1991</x:f>
        <x:v>24</x:v>
      </x:c>
    </x:row>
    <x:row r="1993">
      <x:c r="A1993" t="str">
        <x:v>Payment</x:v>
      </x:c>
      <x:c r="B1993" t="str">
        <x:f>'04_checks'!B286</x:f>
        <x:v>P039</x:v>
      </x:c>
      <x:c r="C1993" t="n">
        <x:v>40</x:v>
      </x:c>
      <x:c r="D1993" t="n">
        <x:f>IF('04_checks'!F286="ERROR",1,0)</x:f>
        <x:v>0</x:v>
      </x:c>
      <x:c r="E1993" t="str">
        <x:v>Payment:40:4</x:v>
      </x:c>
      <x:c r="F1993" t="str">
        <x:v>Ошибка расчета</x:v>
      </x:c>
      <x:c r="G1993" t="str">
        <x:v>High</x:v>
      </x:c>
      <x:c r="H1993" t="str">
        <x:v>payment_sum</x:v>
      </x:c>
      <x:c r="I1993" t="str">
        <x:v>Сверить исходные значения и правило расчёта</x:v>
      </x:c>
      <x:c r="J1993" t="n">
        <x:f>IF(D1993=1,K1993,0)</x:f>
        <x:v>0</x:v>
      </x:c>
      <x:c r="K1993" t="n">
        <x:f>D1993+K1992</x:f>
        <x:v>24</x:v>
      </x:c>
    </x:row>
    <x:row r="1994">
      <x:c r="A1994" t="str">
        <x:v>Payment</x:v>
      </x:c>
      <x:c r="B1994" t="str">
        <x:f>'04_checks'!B286</x:f>
        <x:v>P039</x:v>
      </x:c>
      <x:c r="C1994" t="n">
        <x:v>40</x:v>
      </x:c>
      <x:c r="D1994" t="n">
        <x:f>IF('04_checks'!G286="ERROR",1,0)</x:f>
        <x:v>0</x:v>
      </x:c>
      <x:c r="E1994" t="str">
        <x:v>Payment:40:5</x:v>
      </x:c>
      <x:c r="F1994" t="str">
        <x:v>Отрицательная цена</x:v>
      </x:c>
      <x:c r="G1994" t="str">
        <x:v>High</x:v>
      </x:c>
      <x:c r="H1994" t="str">
        <x:v>N/A</x:v>
      </x:c>
      <x:c r="I1994" t="str">
        <x:v>Проверить цену в источнике</x:v>
      </x:c>
      <x:c r="J1994" t="n">
        <x:f>IF(D1994=1,K1994,0)</x:f>
        <x:v>0</x:v>
      </x:c>
      <x:c r="K1994" t="n">
        <x:f>D1994+K1993</x:f>
        <x:v>24</x:v>
      </x:c>
    </x:row>
    <x:row r="1995">
      <x:c r="A1995" t="str">
        <x:v>Payment</x:v>
      </x:c>
      <x:c r="B1995" t="str">
        <x:f>'04_checks'!B286</x:f>
        <x:v>P039</x:v>
      </x:c>
      <x:c r="C1995" t="n">
        <x:v>40</x:v>
      </x:c>
      <x:c r="D1995" t="n">
        <x:f>IF('04_checks'!H286="ERROR",1,0)</x:f>
        <x:v>0</x:v>
      </x:c>
      <x:c r="E1995" t="str">
        <x:v>Payment:40:6</x:v>
      </x:c>
      <x:c r="F1995" t="str">
        <x:v>Дата</x:v>
      </x:c>
      <x:c r="G1995" t="str">
        <x:v>Medium</x:v>
      </x:c>
      <x:c r="H1995" t="str">
        <x:v>payment_date</x:v>
      </x:c>
      <x:c r="I1995" t="str">
        <x:v>Сверить дату со срезом и исходной записью</x:v>
      </x:c>
      <x:c r="J1995" t="n">
        <x:f>IF(D1995=1,K1995,0)</x:f>
        <x:v>0</x:v>
      </x:c>
      <x:c r="K1995" t="n">
        <x:f>D1995+K1994</x:f>
        <x:v>24</x:v>
      </x:c>
    </x:row>
    <x:row r="1996">
      <x:c r="A1996" t="str">
        <x:v>Payment</x:v>
      </x:c>
      <x:c r="B1996" t="str">
        <x:f>'04_checks'!B286</x:f>
        <x:v>P039</x:v>
      </x:c>
      <x:c r="C1996" t="n">
        <x:v>40</x:v>
      </x:c>
      <x:c r="D1996" t="n">
        <x:f>IF('04_checks'!I286="ERROR",1,0)</x:f>
        <x:v>0</x:v>
      </x:c>
      <x:c r="E1996" t="str">
        <x:v>Payment:40:7</x:v>
      </x:c>
      <x:c r="F1996" t="str">
        <x:v>Статус</x:v>
      </x:c>
      <x:c r="G1996" t="str">
        <x:v>Medium</x:v>
      </x:c>
      <x:c r="H1996" t="str">
        <x:v>payment_status</x:v>
      </x:c>
      <x:c r="I1996" t="str">
        <x:v>Выбрать допустимый статус</x:v>
      </x:c>
      <x:c r="J1996" t="n">
        <x:f>IF(D1996=1,K1996,0)</x:f>
        <x:v>0</x:v>
      </x:c>
      <x:c r="K1996" t="n">
        <x:f>D1996+K1995</x:f>
        <x:v>24</x:v>
      </x:c>
    </x:row>
    <x:row r="1997">
      <x:c r="A1997" t="str">
        <x:v>Payment</x:v>
      </x:c>
      <x:c r="B1997" t="str">
        <x:f>'04_checks'!B287</x:f>
        <x:v>P040</x:v>
      </x:c>
      <x:c r="C1997" t="n">
        <x:v>41</x:v>
      </x:c>
      <x:c r="D1997" t="n">
        <x:f>IF('04_checks'!C287="ERROR",1,0)</x:f>
        <x:v>0</x:v>
      </x:c>
      <x:c r="E1997" t="str">
        <x:v>Payment:41:1</x:v>
      </x:c>
      <x:c r="F1997" t="str">
        <x:v>Дубль</x:v>
      </x:c>
      <x:c r="G1997" t="str">
        <x:v>High</x:v>
      </x:c>
      <x:c r="H1997" t="str">
        <x:v>payment_id</x:v>
      </x:c>
      <x:c r="I1997" t="str">
        <x:v>Проверить уникальность ID в источнике; не удалять записи автоматически</x:v>
      </x:c>
      <x:c r="J1997" t="n">
        <x:f>IF(D1997=1,K1997,0)</x:f>
        <x:v>0</x:v>
      </x:c>
      <x:c r="K1997" t="n">
        <x:f>D1997+K1996</x:f>
        <x:v>24</x:v>
      </x:c>
    </x:row>
    <x:row r="1998">
      <x:c r="A1998" t="str">
        <x:v>Payment</x:v>
      </x:c>
      <x:c r="B1998" t="str">
        <x:f>'04_checks'!B287</x:f>
        <x:v>P040</x:v>
      </x:c>
      <x:c r="C1998" t="n">
        <x:v>41</x:v>
      </x:c>
      <x:c r="D1998" t="n">
        <x:f>IF('04_checks'!D287="ERROR",1,0)</x:f>
        <x:v>0</x:v>
      </x:c>
      <x:c r="E1998" t="str">
        <x:v>Payment:41:2</x:v>
      </x:c>
      <x:c r="F1998" t="str">
        <x:v>Пустое поле</x:v>
      </x:c>
      <x:c r="G1998" t="str">
        <x:v>High</x:v>
      </x:c>
      <x:c r="H1998" t="str">
        <x:v>required_fields</x:v>
      </x:c>
      <x:c r="I1998" t="str">
        <x:v>Дополнить обязательные поля в источнике</x:v>
      </x:c>
      <x:c r="J1998" t="n">
        <x:f>IF(D1998=1,K1998,0)</x:f>
        <x:v>0</x:v>
      </x:c>
      <x:c r="K1998" t="n">
        <x:f>D1998+K1997</x:f>
        <x:v>24</x:v>
      </x:c>
    </x:row>
    <x:row r="1999">
      <x:c r="A1999" t="str">
        <x:v>Payment</x:v>
      </x:c>
      <x:c r="B1999" t="str">
        <x:f>'04_checks'!B287</x:f>
        <x:v>P040</x:v>
      </x:c>
      <x:c r="C1999" t="n">
        <x:v>41</x:v>
      </x:c>
      <x:c r="D1999" t="n">
        <x:f>IF('04_checks'!E287="ERROR",1,0)</x:f>
        <x:v>0</x:v>
      </x:c>
      <x:c r="E1999" t="str">
        <x:v>Payment:41:3</x:v>
      </x:c>
      <x:c r="F1999" t="str">
        <x:f>IF(COUNTIF('01_orders_raw'!$A$2:$A$181,'03_payments_raw'!B41)&gt;1,"Неоднозначная связь","Нет связи")</x:f>
        <x:v>Нет связи</x:v>
      </x:c>
      <x:c r="G1999" t="str">
        <x:v>High</x:v>
      </x:c>
      <x:c r="H1999" t="str">
        <x:v>order_id</x:v>
      </x:c>
      <x:c r="I1999" t="str">
        <x:v>Исправить ссылку или разрешить дубли связанного ID</x:v>
      </x:c>
      <x:c r="J1999" t="n">
        <x:f>IF(D1999=1,K1999,0)</x:f>
        <x:v>0</x:v>
      </x:c>
      <x:c r="K1999" t="n">
        <x:f>D1999+K1998</x:f>
        <x:v>24</x:v>
      </x:c>
    </x:row>
    <x:row r="2000">
      <x:c r="A2000" t="str">
        <x:v>Payment</x:v>
      </x:c>
      <x:c r="B2000" t="str">
        <x:f>'04_checks'!B287</x:f>
        <x:v>P040</x:v>
      </x:c>
      <x:c r="C2000" t="n">
        <x:v>41</x:v>
      </x:c>
      <x:c r="D2000" t="n">
        <x:f>IF('04_checks'!F287="ERROR",1,0)</x:f>
        <x:v>0</x:v>
      </x:c>
      <x:c r="E2000" t="str">
        <x:v>Payment:41:4</x:v>
      </x:c>
      <x:c r="F2000" t="str">
        <x:v>Ошибка расчета</x:v>
      </x:c>
      <x:c r="G2000" t="str">
        <x:v>High</x:v>
      </x:c>
      <x:c r="H2000" t="str">
        <x:v>payment_sum</x:v>
      </x:c>
      <x:c r="I2000" t="str">
        <x:v>Сверить исходные значения и правило расчёта</x:v>
      </x:c>
      <x:c r="J2000" t="n">
        <x:f>IF(D2000=1,K2000,0)</x:f>
        <x:v>0</x:v>
      </x:c>
      <x:c r="K2000" t="n">
        <x:f>D2000+K1999</x:f>
        <x:v>24</x:v>
      </x:c>
    </x:row>
    <x:row r="2001">
      <x:c r="A2001" t="str">
        <x:v>Payment</x:v>
      </x:c>
      <x:c r="B2001" t="str">
        <x:f>'04_checks'!B287</x:f>
        <x:v>P040</x:v>
      </x:c>
      <x:c r="C2001" t="n">
        <x:v>41</x:v>
      </x:c>
      <x:c r="D2001" t="n">
        <x:f>IF('04_checks'!G287="ERROR",1,0)</x:f>
        <x:v>0</x:v>
      </x:c>
      <x:c r="E2001" t="str">
        <x:v>Payment:41:5</x:v>
      </x:c>
      <x:c r="F2001" t="str">
        <x:v>Отрицательная цена</x:v>
      </x:c>
      <x:c r="G2001" t="str">
        <x:v>High</x:v>
      </x:c>
      <x:c r="H2001" t="str">
        <x:v>N/A</x:v>
      </x:c>
      <x:c r="I2001" t="str">
        <x:v>Проверить цену в источнике</x:v>
      </x:c>
      <x:c r="J2001" t="n">
        <x:f>IF(D2001=1,K2001,0)</x:f>
        <x:v>0</x:v>
      </x:c>
      <x:c r="K2001" t="n">
        <x:f>D2001+K2000</x:f>
        <x:v>24</x:v>
      </x:c>
    </x:row>
    <x:row r="2002">
      <x:c r="A2002" t="str">
        <x:v>Payment</x:v>
      </x:c>
      <x:c r="B2002" t="str">
        <x:f>'04_checks'!B287</x:f>
        <x:v>P040</x:v>
      </x:c>
      <x:c r="C2002" t="n">
        <x:v>41</x:v>
      </x:c>
      <x:c r="D2002" t="n">
        <x:f>IF('04_checks'!H287="ERROR",1,0)</x:f>
        <x:v>0</x:v>
      </x:c>
      <x:c r="E2002" t="str">
        <x:v>Payment:41:6</x:v>
      </x:c>
      <x:c r="F2002" t="str">
        <x:v>Дата</x:v>
      </x:c>
      <x:c r="G2002" t="str">
        <x:v>Medium</x:v>
      </x:c>
      <x:c r="H2002" t="str">
        <x:v>payment_date</x:v>
      </x:c>
      <x:c r="I2002" t="str">
        <x:v>Сверить дату со срезом и исходной записью</x:v>
      </x:c>
      <x:c r="J2002" t="n">
        <x:f>IF(D2002=1,K2002,0)</x:f>
        <x:v>0</x:v>
      </x:c>
      <x:c r="K2002" t="n">
        <x:f>D2002+K2001</x:f>
        <x:v>24</x:v>
      </x:c>
    </x:row>
    <x:row r="2003">
      <x:c r="A2003" t="str">
        <x:v>Payment</x:v>
      </x:c>
      <x:c r="B2003" t="str">
        <x:f>'04_checks'!B287</x:f>
        <x:v>P040</x:v>
      </x:c>
      <x:c r="C2003" t="n">
        <x:v>41</x:v>
      </x:c>
      <x:c r="D2003" t="n">
        <x:f>IF('04_checks'!I287="ERROR",1,0)</x:f>
        <x:v>0</x:v>
      </x:c>
      <x:c r="E2003" t="str">
        <x:v>Payment:41:7</x:v>
      </x:c>
      <x:c r="F2003" t="str">
        <x:v>Статус</x:v>
      </x:c>
      <x:c r="G2003" t="str">
        <x:v>Medium</x:v>
      </x:c>
      <x:c r="H2003" t="str">
        <x:v>payment_status</x:v>
      </x:c>
      <x:c r="I2003" t="str">
        <x:v>Выбрать допустимый статус</x:v>
      </x:c>
      <x:c r="J2003" t="n">
        <x:f>IF(D2003=1,K2003,0)</x:f>
        <x:v>0</x:v>
      </x:c>
      <x:c r="K2003" t="n">
        <x:f>D2003+K2002</x:f>
        <x:v>24</x:v>
      </x:c>
    </x:row>
    <x:row r="2004">
      <x:c r="A2004" t="str">
        <x:v>Payment</x:v>
      </x:c>
      <x:c r="B2004" t="str">
        <x:f>'04_checks'!B288</x:f>
        <x:v>P041</x:v>
      </x:c>
      <x:c r="C2004" t="n">
        <x:v>42</x:v>
      </x:c>
      <x:c r="D2004" t="n">
        <x:f>IF('04_checks'!C288="ERROR",1,0)</x:f>
        <x:v>0</x:v>
      </x:c>
      <x:c r="E2004" t="str">
        <x:v>Payment:42:1</x:v>
      </x:c>
      <x:c r="F2004" t="str">
        <x:v>Дубль</x:v>
      </x:c>
      <x:c r="G2004" t="str">
        <x:v>High</x:v>
      </x:c>
      <x:c r="H2004" t="str">
        <x:v>payment_id</x:v>
      </x:c>
      <x:c r="I2004" t="str">
        <x:v>Проверить уникальность ID в источнике; не удалять записи автоматически</x:v>
      </x:c>
      <x:c r="J2004" t="n">
        <x:f>IF(D2004=1,K2004,0)</x:f>
        <x:v>0</x:v>
      </x:c>
      <x:c r="K2004" t="n">
        <x:f>D2004+K2003</x:f>
        <x:v>24</x:v>
      </x:c>
    </x:row>
    <x:row r="2005">
      <x:c r="A2005" t="str">
        <x:v>Payment</x:v>
      </x:c>
      <x:c r="B2005" t="str">
        <x:f>'04_checks'!B288</x:f>
        <x:v>P041</x:v>
      </x:c>
      <x:c r="C2005" t="n">
        <x:v>42</x:v>
      </x:c>
      <x:c r="D2005" t="n">
        <x:f>IF('04_checks'!D288="ERROR",1,0)</x:f>
        <x:v>0</x:v>
      </x:c>
      <x:c r="E2005" t="str">
        <x:v>Payment:42:2</x:v>
      </x:c>
      <x:c r="F2005" t="str">
        <x:v>Пустое поле</x:v>
      </x:c>
      <x:c r="G2005" t="str">
        <x:v>High</x:v>
      </x:c>
      <x:c r="H2005" t="str">
        <x:v>required_fields</x:v>
      </x:c>
      <x:c r="I2005" t="str">
        <x:v>Дополнить обязательные поля в источнике</x:v>
      </x:c>
      <x:c r="J2005" t="n">
        <x:f>IF(D2005=1,K2005,0)</x:f>
        <x:v>0</x:v>
      </x:c>
      <x:c r="K2005" t="n">
        <x:f>D2005+K2004</x:f>
        <x:v>24</x:v>
      </x:c>
    </x:row>
    <x:row r="2006">
      <x:c r="A2006" t="str">
        <x:v>Payment</x:v>
      </x:c>
      <x:c r="B2006" t="str">
        <x:f>'04_checks'!B288</x:f>
        <x:v>P041</x:v>
      </x:c>
      <x:c r="C2006" t="n">
        <x:v>42</x:v>
      </x:c>
      <x:c r="D2006" t="n">
        <x:f>IF('04_checks'!E288="ERROR",1,0)</x:f>
        <x:v>0</x:v>
      </x:c>
      <x:c r="E2006" t="str">
        <x:v>Payment:42:3</x:v>
      </x:c>
      <x:c r="F2006" t="str">
        <x:f>IF(COUNTIF('01_orders_raw'!$A$2:$A$181,'03_payments_raw'!B42)&gt;1,"Неоднозначная связь","Нет связи")</x:f>
        <x:v>Нет связи</x:v>
      </x:c>
      <x:c r="G2006" t="str">
        <x:v>High</x:v>
      </x:c>
      <x:c r="H2006" t="str">
        <x:v>order_id</x:v>
      </x:c>
      <x:c r="I2006" t="str">
        <x:v>Исправить ссылку или разрешить дубли связанного ID</x:v>
      </x:c>
      <x:c r="J2006" t="n">
        <x:f>IF(D2006=1,K2006,0)</x:f>
        <x:v>0</x:v>
      </x:c>
      <x:c r="K2006" t="n">
        <x:f>D2006+K2005</x:f>
        <x:v>24</x:v>
      </x:c>
    </x:row>
    <x:row r="2007">
      <x:c r="A2007" t="str">
        <x:v>Payment</x:v>
      </x:c>
      <x:c r="B2007" t="str">
        <x:f>'04_checks'!B288</x:f>
        <x:v>P041</x:v>
      </x:c>
      <x:c r="C2007" t="n">
        <x:v>42</x:v>
      </x:c>
      <x:c r="D2007" t="n">
        <x:f>IF('04_checks'!F288="ERROR",1,0)</x:f>
        <x:v>0</x:v>
      </x:c>
      <x:c r="E2007" t="str">
        <x:v>Payment:42:4</x:v>
      </x:c>
      <x:c r="F2007" t="str">
        <x:v>Ошибка расчета</x:v>
      </x:c>
      <x:c r="G2007" t="str">
        <x:v>High</x:v>
      </x:c>
      <x:c r="H2007" t="str">
        <x:v>payment_sum</x:v>
      </x:c>
      <x:c r="I2007" t="str">
        <x:v>Сверить исходные значения и правило расчёта</x:v>
      </x:c>
      <x:c r="J2007" t="n">
        <x:f>IF(D2007=1,K2007,0)</x:f>
        <x:v>0</x:v>
      </x:c>
      <x:c r="K2007" t="n">
        <x:f>D2007+K2006</x:f>
        <x:v>24</x:v>
      </x:c>
    </x:row>
    <x:row r="2008">
      <x:c r="A2008" t="str">
        <x:v>Payment</x:v>
      </x:c>
      <x:c r="B2008" t="str">
        <x:f>'04_checks'!B288</x:f>
        <x:v>P041</x:v>
      </x:c>
      <x:c r="C2008" t="n">
        <x:v>42</x:v>
      </x:c>
      <x:c r="D2008" t="n">
        <x:f>IF('04_checks'!G288="ERROR",1,0)</x:f>
        <x:v>0</x:v>
      </x:c>
      <x:c r="E2008" t="str">
        <x:v>Payment:42:5</x:v>
      </x:c>
      <x:c r="F2008" t="str">
        <x:v>Отрицательная цена</x:v>
      </x:c>
      <x:c r="G2008" t="str">
        <x:v>High</x:v>
      </x:c>
      <x:c r="H2008" t="str">
        <x:v>N/A</x:v>
      </x:c>
      <x:c r="I2008" t="str">
        <x:v>Проверить цену в источнике</x:v>
      </x:c>
      <x:c r="J2008" t="n">
        <x:f>IF(D2008=1,K2008,0)</x:f>
        <x:v>0</x:v>
      </x:c>
      <x:c r="K2008" t="n">
        <x:f>D2008+K2007</x:f>
        <x:v>24</x:v>
      </x:c>
    </x:row>
    <x:row r="2009">
      <x:c r="A2009" t="str">
        <x:v>Payment</x:v>
      </x:c>
      <x:c r="B2009" t="str">
        <x:f>'04_checks'!B288</x:f>
        <x:v>P041</x:v>
      </x:c>
      <x:c r="C2009" t="n">
        <x:v>42</x:v>
      </x:c>
      <x:c r="D2009" t="n">
        <x:f>IF('04_checks'!H288="ERROR",1,0)</x:f>
        <x:v>0</x:v>
      </x:c>
      <x:c r="E2009" t="str">
        <x:v>Payment:42:6</x:v>
      </x:c>
      <x:c r="F2009" t="str">
        <x:v>Дата</x:v>
      </x:c>
      <x:c r="G2009" t="str">
        <x:v>Medium</x:v>
      </x:c>
      <x:c r="H2009" t="str">
        <x:v>payment_date</x:v>
      </x:c>
      <x:c r="I2009" t="str">
        <x:v>Сверить дату со срезом и исходной записью</x:v>
      </x:c>
      <x:c r="J2009" t="n">
        <x:f>IF(D2009=1,K2009,0)</x:f>
        <x:v>0</x:v>
      </x:c>
      <x:c r="K2009" t="n">
        <x:f>D2009+K2008</x:f>
        <x:v>24</x:v>
      </x:c>
    </x:row>
    <x:row r="2010">
      <x:c r="A2010" t="str">
        <x:v>Payment</x:v>
      </x:c>
      <x:c r="B2010" t="str">
        <x:f>'04_checks'!B288</x:f>
        <x:v>P041</x:v>
      </x:c>
      <x:c r="C2010" t="n">
        <x:v>42</x:v>
      </x:c>
      <x:c r="D2010" t="n">
        <x:f>IF('04_checks'!I288="ERROR",1,0)</x:f>
        <x:v>0</x:v>
      </x:c>
      <x:c r="E2010" t="str">
        <x:v>Payment:42:7</x:v>
      </x:c>
      <x:c r="F2010" t="str">
        <x:v>Статус</x:v>
      </x:c>
      <x:c r="G2010" t="str">
        <x:v>Medium</x:v>
      </x:c>
      <x:c r="H2010" t="str">
        <x:v>payment_status</x:v>
      </x:c>
      <x:c r="I2010" t="str">
        <x:v>Выбрать допустимый статус</x:v>
      </x:c>
      <x:c r="J2010" t="n">
        <x:f>IF(D2010=1,K2010,0)</x:f>
        <x:v>0</x:v>
      </x:c>
      <x:c r="K2010" t="n">
        <x:f>D2010+K2009</x:f>
        <x:v>24</x:v>
      </x:c>
    </x:row>
    <x:row r="2011">
      <x:c r="A2011" t="str">
        <x:v>Payment</x:v>
      </x:c>
      <x:c r="B2011" t="str">
        <x:f>'04_checks'!B289</x:f>
        <x:v>P042</x:v>
      </x:c>
      <x:c r="C2011" t="n">
        <x:v>43</x:v>
      </x:c>
      <x:c r="D2011" t="n">
        <x:f>IF('04_checks'!C289="ERROR",1,0)</x:f>
        <x:v>0</x:v>
      </x:c>
      <x:c r="E2011" t="str">
        <x:v>Payment:43:1</x:v>
      </x:c>
      <x:c r="F2011" t="str">
        <x:v>Дубль</x:v>
      </x:c>
      <x:c r="G2011" t="str">
        <x:v>High</x:v>
      </x:c>
      <x:c r="H2011" t="str">
        <x:v>payment_id</x:v>
      </x:c>
      <x:c r="I2011" t="str">
        <x:v>Проверить уникальность ID в источнике; не удалять записи автоматически</x:v>
      </x:c>
      <x:c r="J2011" t="n">
        <x:f>IF(D2011=1,K2011,0)</x:f>
        <x:v>0</x:v>
      </x:c>
      <x:c r="K2011" t="n">
        <x:f>D2011+K2010</x:f>
        <x:v>24</x:v>
      </x:c>
    </x:row>
    <x:row r="2012">
      <x:c r="A2012" t="str">
        <x:v>Payment</x:v>
      </x:c>
      <x:c r="B2012" t="str">
        <x:f>'04_checks'!B289</x:f>
        <x:v>P042</x:v>
      </x:c>
      <x:c r="C2012" t="n">
        <x:v>43</x:v>
      </x:c>
      <x:c r="D2012" t="n">
        <x:f>IF('04_checks'!D289="ERROR",1,0)</x:f>
        <x:v>0</x:v>
      </x:c>
      <x:c r="E2012" t="str">
        <x:v>Payment:43:2</x:v>
      </x:c>
      <x:c r="F2012" t="str">
        <x:v>Пустое поле</x:v>
      </x:c>
      <x:c r="G2012" t="str">
        <x:v>High</x:v>
      </x:c>
      <x:c r="H2012" t="str">
        <x:v>required_fields</x:v>
      </x:c>
      <x:c r="I2012" t="str">
        <x:v>Дополнить обязательные поля в источнике</x:v>
      </x:c>
      <x:c r="J2012" t="n">
        <x:f>IF(D2012=1,K2012,0)</x:f>
        <x:v>0</x:v>
      </x:c>
      <x:c r="K2012" t="n">
        <x:f>D2012+K2011</x:f>
        <x:v>24</x:v>
      </x:c>
    </x:row>
    <x:row r="2013">
      <x:c r="A2013" t="str">
        <x:v>Payment</x:v>
      </x:c>
      <x:c r="B2013" t="str">
        <x:f>'04_checks'!B289</x:f>
        <x:v>P042</x:v>
      </x:c>
      <x:c r="C2013" t="n">
        <x:v>43</x:v>
      </x:c>
      <x:c r="D2013" t="n">
        <x:f>IF('04_checks'!E289="ERROR",1,0)</x:f>
        <x:v>0</x:v>
      </x:c>
      <x:c r="E2013" t="str">
        <x:v>Payment:43:3</x:v>
      </x:c>
      <x:c r="F2013" t="str">
        <x:f>IF(COUNTIF('01_orders_raw'!$A$2:$A$181,'03_payments_raw'!B43)&gt;1,"Неоднозначная связь","Нет связи")</x:f>
        <x:v>Нет связи</x:v>
      </x:c>
      <x:c r="G2013" t="str">
        <x:v>High</x:v>
      </x:c>
      <x:c r="H2013" t="str">
        <x:v>order_id</x:v>
      </x:c>
      <x:c r="I2013" t="str">
        <x:v>Исправить ссылку или разрешить дубли связанного ID</x:v>
      </x:c>
      <x:c r="J2013" t="n">
        <x:f>IF(D2013=1,K2013,0)</x:f>
        <x:v>0</x:v>
      </x:c>
      <x:c r="K2013" t="n">
        <x:f>D2013+K2012</x:f>
        <x:v>24</x:v>
      </x:c>
    </x:row>
    <x:row r="2014">
      <x:c r="A2014" t="str">
        <x:v>Payment</x:v>
      </x:c>
      <x:c r="B2014" t="str">
        <x:f>'04_checks'!B289</x:f>
        <x:v>P042</x:v>
      </x:c>
      <x:c r="C2014" t="n">
        <x:v>43</x:v>
      </x:c>
      <x:c r="D2014" t="n">
        <x:f>IF('04_checks'!F289="ERROR",1,0)</x:f>
        <x:v>0</x:v>
      </x:c>
      <x:c r="E2014" t="str">
        <x:v>Payment:43:4</x:v>
      </x:c>
      <x:c r="F2014" t="str">
        <x:v>Ошибка расчета</x:v>
      </x:c>
      <x:c r="G2014" t="str">
        <x:v>High</x:v>
      </x:c>
      <x:c r="H2014" t="str">
        <x:v>payment_sum</x:v>
      </x:c>
      <x:c r="I2014" t="str">
        <x:v>Сверить исходные значения и правило расчёта</x:v>
      </x:c>
      <x:c r="J2014" t="n">
        <x:f>IF(D2014=1,K2014,0)</x:f>
        <x:v>0</x:v>
      </x:c>
      <x:c r="K2014" t="n">
        <x:f>D2014+K2013</x:f>
        <x:v>24</x:v>
      </x:c>
    </x:row>
    <x:row r="2015">
      <x:c r="A2015" t="str">
        <x:v>Payment</x:v>
      </x:c>
      <x:c r="B2015" t="str">
        <x:f>'04_checks'!B289</x:f>
        <x:v>P042</x:v>
      </x:c>
      <x:c r="C2015" t="n">
        <x:v>43</x:v>
      </x:c>
      <x:c r="D2015" t="n">
        <x:f>IF('04_checks'!G289="ERROR",1,0)</x:f>
        <x:v>0</x:v>
      </x:c>
      <x:c r="E2015" t="str">
        <x:v>Payment:43:5</x:v>
      </x:c>
      <x:c r="F2015" t="str">
        <x:v>Отрицательная цена</x:v>
      </x:c>
      <x:c r="G2015" t="str">
        <x:v>High</x:v>
      </x:c>
      <x:c r="H2015" t="str">
        <x:v>N/A</x:v>
      </x:c>
      <x:c r="I2015" t="str">
        <x:v>Проверить цену в источнике</x:v>
      </x:c>
      <x:c r="J2015" t="n">
        <x:f>IF(D2015=1,K2015,0)</x:f>
        <x:v>0</x:v>
      </x:c>
      <x:c r="K2015" t="n">
        <x:f>D2015+K2014</x:f>
        <x:v>24</x:v>
      </x:c>
    </x:row>
    <x:row r="2016">
      <x:c r="A2016" t="str">
        <x:v>Payment</x:v>
      </x:c>
      <x:c r="B2016" t="str">
        <x:f>'04_checks'!B289</x:f>
        <x:v>P042</x:v>
      </x:c>
      <x:c r="C2016" t="n">
        <x:v>43</x:v>
      </x:c>
      <x:c r="D2016" t="n">
        <x:f>IF('04_checks'!H289="ERROR",1,0)</x:f>
        <x:v>0</x:v>
      </x:c>
      <x:c r="E2016" t="str">
        <x:v>Payment:43:6</x:v>
      </x:c>
      <x:c r="F2016" t="str">
        <x:v>Дата</x:v>
      </x:c>
      <x:c r="G2016" t="str">
        <x:v>Medium</x:v>
      </x:c>
      <x:c r="H2016" t="str">
        <x:v>payment_date</x:v>
      </x:c>
      <x:c r="I2016" t="str">
        <x:v>Сверить дату со срезом и исходной записью</x:v>
      </x:c>
      <x:c r="J2016" t="n">
        <x:f>IF(D2016=1,K2016,0)</x:f>
        <x:v>0</x:v>
      </x:c>
      <x:c r="K2016" t="n">
        <x:f>D2016+K2015</x:f>
        <x:v>24</x:v>
      </x:c>
    </x:row>
    <x:row r="2017">
      <x:c r="A2017" t="str">
        <x:v>Payment</x:v>
      </x:c>
      <x:c r="B2017" t="str">
        <x:f>'04_checks'!B289</x:f>
        <x:v>P042</x:v>
      </x:c>
      <x:c r="C2017" t="n">
        <x:v>43</x:v>
      </x:c>
      <x:c r="D2017" t="n">
        <x:f>IF('04_checks'!I289="ERROR",1,0)</x:f>
        <x:v>0</x:v>
      </x:c>
      <x:c r="E2017" t="str">
        <x:v>Payment:43:7</x:v>
      </x:c>
      <x:c r="F2017" t="str">
        <x:v>Статус</x:v>
      </x:c>
      <x:c r="G2017" t="str">
        <x:v>Medium</x:v>
      </x:c>
      <x:c r="H2017" t="str">
        <x:v>payment_status</x:v>
      </x:c>
      <x:c r="I2017" t="str">
        <x:v>Выбрать допустимый статус</x:v>
      </x:c>
      <x:c r="J2017" t="n">
        <x:f>IF(D2017=1,K2017,0)</x:f>
        <x:v>0</x:v>
      </x:c>
      <x:c r="K2017" t="n">
        <x:f>D2017+K2016</x:f>
        <x:v>24</x:v>
      </x:c>
    </x:row>
    <x:row r="2018">
      <x:c r="A2018" t="str">
        <x:v>Payment</x:v>
      </x:c>
      <x:c r="B2018" t="str">
        <x:f>'04_checks'!B290</x:f>
        <x:v>P043</x:v>
      </x:c>
      <x:c r="C2018" t="n">
        <x:v>44</x:v>
      </x:c>
      <x:c r="D2018" t="n">
        <x:f>IF('04_checks'!C290="ERROR",1,0)</x:f>
        <x:v>0</x:v>
      </x:c>
      <x:c r="E2018" t="str">
        <x:v>Payment:44:1</x:v>
      </x:c>
      <x:c r="F2018" t="str">
        <x:v>Дубль</x:v>
      </x:c>
      <x:c r="G2018" t="str">
        <x:v>High</x:v>
      </x:c>
      <x:c r="H2018" t="str">
        <x:v>payment_id</x:v>
      </x:c>
      <x:c r="I2018" t="str">
        <x:v>Проверить уникальность ID в источнике; не удалять записи автоматически</x:v>
      </x:c>
      <x:c r="J2018" t="n">
        <x:f>IF(D2018=1,K2018,0)</x:f>
        <x:v>0</x:v>
      </x:c>
      <x:c r="K2018" t="n">
        <x:f>D2018+K2017</x:f>
        <x:v>24</x:v>
      </x:c>
    </x:row>
    <x:row r="2019">
      <x:c r="A2019" t="str">
        <x:v>Payment</x:v>
      </x:c>
      <x:c r="B2019" t="str">
        <x:f>'04_checks'!B290</x:f>
        <x:v>P043</x:v>
      </x:c>
      <x:c r="C2019" t="n">
        <x:v>44</x:v>
      </x:c>
      <x:c r="D2019" t="n">
        <x:f>IF('04_checks'!D290="ERROR",1,0)</x:f>
        <x:v>0</x:v>
      </x:c>
      <x:c r="E2019" t="str">
        <x:v>Payment:44:2</x:v>
      </x:c>
      <x:c r="F2019" t="str">
        <x:v>Пустое поле</x:v>
      </x:c>
      <x:c r="G2019" t="str">
        <x:v>High</x:v>
      </x:c>
      <x:c r="H2019" t="str">
        <x:v>required_fields</x:v>
      </x:c>
      <x:c r="I2019" t="str">
        <x:v>Дополнить обязательные поля в источнике</x:v>
      </x:c>
      <x:c r="J2019" t="n">
        <x:f>IF(D2019=1,K2019,0)</x:f>
        <x:v>0</x:v>
      </x:c>
      <x:c r="K2019" t="n">
        <x:f>D2019+K2018</x:f>
        <x:v>24</x:v>
      </x:c>
    </x:row>
    <x:row r="2020">
      <x:c r="A2020" t="str">
        <x:v>Payment</x:v>
      </x:c>
      <x:c r="B2020" t="str">
        <x:f>'04_checks'!B290</x:f>
        <x:v>P043</x:v>
      </x:c>
      <x:c r="C2020" t="n">
        <x:v>44</x:v>
      </x:c>
      <x:c r="D2020" t="n">
        <x:f>IF('04_checks'!E290="ERROR",1,0)</x:f>
        <x:v>0</x:v>
      </x:c>
      <x:c r="E2020" t="str">
        <x:v>Payment:44:3</x:v>
      </x:c>
      <x:c r="F2020" t="str">
        <x:f>IF(COUNTIF('01_orders_raw'!$A$2:$A$181,'03_payments_raw'!B44)&gt;1,"Неоднозначная связь","Нет связи")</x:f>
        <x:v>Нет связи</x:v>
      </x:c>
      <x:c r="G2020" t="str">
        <x:v>High</x:v>
      </x:c>
      <x:c r="H2020" t="str">
        <x:v>order_id</x:v>
      </x:c>
      <x:c r="I2020" t="str">
        <x:v>Исправить ссылку или разрешить дубли связанного ID</x:v>
      </x:c>
      <x:c r="J2020" t="n">
        <x:f>IF(D2020=1,K2020,0)</x:f>
        <x:v>0</x:v>
      </x:c>
      <x:c r="K2020" t="n">
        <x:f>D2020+K2019</x:f>
        <x:v>24</x:v>
      </x:c>
    </x:row>
    <x:row r="2021">
      <x:c r="A2021" t="str">
        <x:v>Payment</x:v>
      </x:c>
      <x:c r="B2021" t="str">
        <x:f>'04_checks'!B290</x:f>
        <x:v>P043</x:v>
      </x:c>
      <x:c r="C2021" t="n">
        <x:v>44</x:v>
      </x:c>
      <x:c r="D2021" t="n">
        <x:f>IF('04_checks'!F290="ERROR",1,0)</x:f>
        <x:v>0</x:v>
      </x:c>
      <x:c r="E2021" t="str">
        <x:v>Payment:44:4</x:v>
      </x:c>
      <x:c r="F2021" t="str">
        <x:v>Ошибка расчета</x:v>
      </x:c>
      <x:c r="G2021" t="str">
        <x:v>High</x:v>
      </x:c>
      <x:c r="H2021" t="str">
        <x:v>payment_sum</x:v>
      </x:c>
      <x:c r="I2021" t="str">
        <x:v>Сверить исходные значения и правило расчёта</x:v>
      </x:c>
      <x:c r="J2021" t="n">
        <x:f>IF(D2021=1,K2021,0)</x:f>
        <x:v>0</x:v>
      </x:c>
      <x:c r="K2021" t="n">
        <x:f>D2021+K2020</x:f>
        <x:v>24</x:v>
      </x:c>
    </x:row>
    <x:row r="2022">
      <x:c r="A2022" t="str">
        <x:v>Payment</x:v>
      </x:c>
      <x:c r="B2022" t="str">
        <x:f>'04_checks'!B290</x:f>
        <x:v>P043</x:v>
      </x:c>
      <x:c r="C2022" t="n">
        <x:v>44</x:v>
      </x:c>
      <x:c r="D2022" t="n">
        <x:f>IF('04_checks'!G290="ERROR",1,0)</x:f>
        <x:v>0</x:v>
      </x:c>
      <x:c r="E2022" t="str">
        <x:v>Payment:44:5</x:v>
      </x:c>
      <x:c r="F2022" t="str">
        <x:v>Отрицательная цена</x:v>
      </x:c>
      <x:c r="G2022" t="str">
        <x:v>High</x:v>
      </x:c>
      <x:c r="H2022" t="str">
        <x:v>N/A</x:v>
      </x:c>
      <x:c r="I2022" t="str">
        <x:v>Проверить цену в источнике</x:v>
      </x:c>
      <x:c r="J2022" t="n">
        <x:f>IF(D2022=1,K2022,0)</x:f>
        <x:v>0</x:v>
      </x:c>
      <x:c r="K2022" t="n">
        <x:f>D2022+K2021</x:f>
        <x:v>24</x:v>
      </x:c>
    </x:row>
    <x:row r="2023">
      <x:c r="A2023" t="str">
        <x:v>Payment</x:v>
      </x:c>
      <x:c r="B2023" t="str">
        <x:f>'04_checks'!B290</x:f>
        <x:v>P043</x:v>
      </x:c>
      <x:c r="C2023" t="n">
        <x:v>44</x:v>
      </x:c>
      <x:c r="D2023" t="n">
        <x:f>IF('04_checks'!H290="ERROR",1,0)</x:f>
        <x:v>0</x:v>
      </x:c>
      <x:c r="E2023" t="str">
        <x:v>Payment:44:6</x:v>
      </x:c>
      <x:c r="F2023" t="str">
        <x:v>Дата</x:v>
      </x:c>
      <x:c r="G2023" t="str">
        <x:v>Medium</x:v>
      </x:c>
      <x:c r="H2023" t="str">
        <x:v>payment_date</x:v>
      </x:c>
      <x:c r="I2023" t="str">
        <x:v>Сверить дату со срезом и исходной записью</x:v>
      </x:c>
      <x:c r="J2023" t="n">
        <x:f>IF(D2023=1,K2023,0)</x:f>
        <x:v>0</x:v>
      </x:c>
      <x:c r="K2023" t="n">
        <x:f>D2023+K2022</x:f>
        <x:v>24</x:v>
      </x:c>
    </x:row>
    <x:row r="2024">
      <x:c r="A2024" t="str">
        <x:v>Payment</x:v>
      </x:c>
      <x:c r="B2024" t="str">
        <x:f>'04_checks'!B290</x:f>
        <x:v>P043</x:v>
      </x:c>
      <x:c r="C2024" t="n">
        <x:v>44</x:v>
      </x:c>
      <x:c r="D2024" t="n">
        <x:f>IF('04_checks'!I290="ERROR",1,0)</x:f>
        <x:v>0</x:v>
      </x:c>
      <x:c r="E2024" t="str">
        <x:v>Payment:44:7</x:v>
      </x:c>
      <x:c r="F2024" t="str">
        <x:v>Статус</x:v>
      </x:c>
      <x:c r="G2024" t="str">
        <x:v>Medium</x:v>
      </x:c>
      <x:c r="H2024" t="str">
        <x:v>payment_status</x:v>
      </x:c>
      <x:c r="I2024" t="str">
        <x:v>Выбрать допустимый статус</x:v>
      </x:c>
      <x:c r="J2024" t="n">
        <x:f>IF(D2024=1,K2024,0)</x:f>
        <x:v>0</x:v>
      </x:c>
      <x:c r="K2024" t="n">
        <x:f>D2024+K2023</x:f>
        <x:v>24</x:v>
      </x:c>
    </x:row>
    <x:row r="2025">
      <x:c r="A2025" t="str">
        <x:v>Payment</x:v>
      </x:c>
      <x:c r="B2025" t="str">
        <x:f>'04_checks'!B291</x:f>
        <x:v>P044</x:v>
      </x:c>
      <x:c r="C2025" t="n">
        <x:v>45</x:v>
      </x:c>
      <x:c r="D2025" t="n">
        <x:f>IF('04_checks'!C291="ERROR",1,0)</x:f>
        <x:v>0</x:v>
      </x:c>
      <x:c r="E2025" t="str">
        <x:v>Payment:45:1</x:v>
      </x:c>
      <x:c r="F2025" t="str">
        <x:v>Дубль</x:v>
      </x:c>
      <x:c r="G2025" t="str">
        <x:v>High</x:v>
      </x:c>
      <x:c r="H2025" t="str">
        <x:v>payment_id</x:v>
      </x:c>
      <x:c r="I2025" t="str">
        <x:v>Проверить уникальность ID в источнике; не удалять записи автоматически</x:v>
      </x:c>
      <x:c r="J2025" t="n">
        <x:f>IF(D2025=1,K2025,0)</x:f>
        <x:v>0</x:v>
      </x:c>
      <x:c r="K2025" t="n">
        <x:f>D2025+K2024</x:f>
        <x:v>24</x:v>
      </x:c>
    </x:row>
    <x:row r="2026">
      <x:c r="A2026" t="str">
        <x:v>Payment</x:v>
      </x:c>
      <x:c r="B2026" t="str">
        <x:f>'04_checks'!B291</x:f>
        <x:v>P044</x:v>
      </x:c>
      <x:c r="C2026" t="n">
        <x:v>45</x:v>
      </x:c>
      <x:c r="D2026" t="n">
        <x:f>IF('04_checks'!D291="ERROR",1,0)</x:f>
        <x:v>0</x:v>
      </x:c>
      <x:c r="E2026" t="str">
        <x:v>Payment:45:2</x:v>
      </x:c>
      <x:c r="F2026" t="str">
        <x:v>Пустое поле</x:v>
      </x:c>
      <x:c r="G2026" t="str">
        <x:v>High</x:v>
      </x:c>
      <x:c r="H2026" t="str">
        <x:v>required_fields</x:v>
      </x:c>
      <x:c r="I2026" t="str">
        <x:v>Дополнить обязательные поля в источнике</x:v>
      </x:c>
      <x:c r="J2026" t="n">
        <x:f>IF(D2026=1,K2026,0)</x:f>
        <x:v>0</x:v>
      </x:c>
      <x:c r="K2026" t="n">
        <x:f>D2026+K2025</x:f>
        <x:v>24</x:v>
      </x:c>
    </x:row>
    <x:row r="2027">
      <x:c r="A2027" t="str">
        <x:v>Payment</x:v>
      </x:c>
      <x:c r="B2027" t="str">
        <x:f>'04_checks'!B291</x:f>
        <x:v>P044</x:v>
      </x:c>
      <x:c r="C2027" t="n">
        <x:v>45</x:v>
      </x:c>
      <x:c r="D2027" t="n">
        <x:f>IF('04_checks'!E291="ERROR",1,0)</x:f>
        <x:v>0</x:v>
      </x:c>
      <x:c r="E2027" t="str">
        <x:v>Payment:45:3</x:v>
      </x:c>
      <x:c r="F2027" t="str">
        <x:f>IF(COUNTIF('01_orders_raw'!$A$2:$A$181,'03_payments_raw'!B45)&gt;1,"Неоднозначная связь","Нет связи")</x:f>
        <x:v>Нет связи</x:v>
      </x:c>
      <x:c r="G2027" t="str">
        <x:v>High</x:v>
      </x:c>
      <x:c r="H2027" t="str">
        <x:v>order_id</x:v>
      </x:c>
      <x:c r="I2027" t="str">
        <x:v>Исправить ссылку или разрешить дубли связанного ID</x:v>
      </x:c>
      <x:c r="J2027" t="n">
        <x:f>IF(D2027=1,K2027,0)</x:f>
        <x:v>0</x:v>
      </x:c>
      <x:c r="K2027" t="n">
        <x:f>D2027+K2026</x:f>
        <x:v>24</x:v>
      </x:c>
    </x:row>
    <x:row r="2028">
      <x:c r="A2028" t="str">
        <x:v>Payment</x:v>
      </x:c>
      <x:c r="B2028" t="str">
        <x:f>'04_checks'!B291</x:f>
        <x:v>P044</x:v>
      </x:c>
      <x:c r="C2028" t="n">
        <x:v>45</x:v>
      </x:c>
      <x:c r="D2028" t="n">
        <x:f>IF('04_checks'!F291="ERROR",1,0)</x:f>
        <x:v>0</x:v>
      </x:c>
      <x:c r="E2028" t="str">
        <x:v>Payment:45:4</x:v>
      </x:c>
      <x:c r="F2028" t="str">
        <x:v>Ошибка расчета</x:v>
      </x:c>
      <x:c r="G2028" t="str">
        <x:v>High</x:v>
      </x:c>
      <x:c r="H2028" t="str">
        <x:v>payment_sum</x:v>
      </x:c>
      <x:c r="I2028" t="str">
        <x:v>Сверить исходные значения и правило расчёта</x:v>
      </x:c>
      <x:c r="J2028" t="n">
        <x:f>IF(D2028=1,K2028,0)</x:f>
        <x:v>0</x:v>
      </x:c>
      <x:c r="K2028" t="n">
        <x:f>D2028+K2027</x:f>
        <x:v>24</x:v>
      </x:c>
    </x:row>
    <x:row r="2029">
      <x:c r="A2029" t="str">
        <x:v>Payment</x:v>
      </x:c>
      <x:c r="B2029" t="str">
        <x:f>'04_checks'!B291</x:f>
        <x:v>P044</x:v>
      </x:c>
      <x:c r="C2029" t="n">
        <x:v>45</x:v>
      </x:c>
      <x:c r="D2029" t="n">
        <x:f>IF('04_checks'!G291="ERROR",1,0)</x:f>
        <x:v>0</x:v>
      </x:c>
      <x:c r="E2029" t="str">
        <x:v>Payment:45:5</x:v>
      </x:c>
      <x:c r="F2029" t="str">
        <x:v>Отрицательная цена</x:v>
      </x:c>
      <x:c r="G2029" t="str">
        <x:v>High</x:v>
      </x:c>
      <x:c r="H2029" t="str">
        <x:v>N/A</x:v>
      </x:c>
      <x:c r="I2029" t="str">
        <x:v>Проверить цену в источнике</x:v>
      </x:c>
      <x:c r="J2029" t="n">
        <x:f>IF(D2029=1,K2029,0)</x:f>
        <x:v>0</x:v>
      </x:c>
      <x:c r="K2029" t="n">
        <x:f>D2029+K2028</x:f>
        <x:v>24</x:v>
      </x:c>
    </x:row>
    <x:row r="2030">
      <x:c r="A2030" t="str">
        <x:v>Payment</x:v>
      </x:c>
      <x:c r="B2030" t="str">
        <x:f>'04_checks'!B291</x:f>
        <x:v>P044</x:v>
      </x:c>
      <x:c r="C2030" t="n">
        <x:v>45</x:v>
      </x:c>
      <x:c r="D2030" t="n">
        <x:f>IF('04_checks'!H291="ERROR",1,0)</x:f>
        <x:v>0</x:v>
      </x:c>
      <x:c r="E2030" t="str">
        <x:v>Payment:45:6</x:v>
      </x:c>
      <x:c r="F2030" t="str">
        <x:v>Дата</x:v>
      </x:c>
      <x:c r="G2030" t="str">
        <x:v>Medium</x:v>
      </x:c>
      <x:c r="H2030" t="str">
        <x:v>payment_date</x:v>
      </x:c>
      <x:c r="I2030" t="str">
        <x:v>Сверить дату со срезом и исходной записью</x:v>
      </x:c>
      <x:c r="J2030" t="n">
        <x:f>IF(D2030=1,K2030,0)</x:f>
        <x:v>0</x:v>
      </x:c>
      <x:c r="K2030" t="n">
        <x:f>D2030+K2029</x:f>
        <x:v>24</x:v>
      </x:c>
    </x:row>
    <x:row r="2031">
      <x:c r="A2031" t="str">
        <x:v>Payment</x:v>
      </x:c>
      <x:c r="B2031" t="str">
        <x:f>'04_checks'!B291</x:f>
        <x:v>P044</x:v>
      </x:c>
      <x:c r="C2031" t="n">
        <x:v>45</x:v>
      </x:c>
      <x:c r="D2031" t="n">
        <x:f>IF('04_checks'!I291="ERROR",1,0)</x:f>
        <x:v>0</x:v>
      </x:c>
      <x:c r="E2031" t="str">
        <x:v>Payment:45:7</x:v>
      </x:c>
      <x:c r="F2031" t="str">
        <x:v>Статус</x:v>
      </x:c>
      <x:c r="G2031" t="str">
        <x:v>Medium</x:v>
      </x:c>
      <x:c r="H2031" t="str">
        <x:v>payment_status</x:v>
      </x:c>
      <x:c r="I2031" t="str">
        <x:v>Выбрать допустимый статус</x:v>
      </x:c>
      <x:c r="J2031" t="n">
        <x:f>IF(D2031=1,K2031,0)</x:f>
        <x:v>0</x:v>
      </x:c>
      <x:c r="K2031" t="n">
        <x:f>D2031+K2030</x:f>
        <x:v>24</x:v>
      </x:c>
    </x:row>
    <x:row r="2032">
      <x:c r="A2032" t="str">
        <x:v>Payment</x:v>
      </x:c>
      <x:c r="B2032" t="str">
        <x:f>'04_checks'!B292</x:f>
        <x:v>P045</x:v>
      </x:c>
      <x:c r="C2032" t="n">
        <x:v>46</x:v>
      </x:c>
      <x:c r="D2032" t="n">
        <x:f>IF('04_checks'!C292="ERROR",1,0)</x:f>
        <x:v>0</x:v>
      </x:c>
      <x:c r="E2032" t="str">
        <x:v>Payment:46:1</x:v>
      </x:c>
      <x:c r="F2032" t="str">
        <x:v>Дубль</x:v>
      </x:c>
      <x:c r="G2032" t="str">
        <x:v>High</x:v>
      </x:c>
      <x:c r="H2032" t="str">
        <x:v>payment_id</x:v>
      </x:c>
      <x:c r="I2032" t="str">
        <x:v>Проверить уникальность ID в источнике; не удалять записи автоматически</x:v>
      </x:c>
      <x:c r="J2032" t="n">
        <x:f>IF(D2032=1,K2032,0)</x:f>
        <x:v>0</x:v>
      </x:c>
      <x:c r="K2032" t="n">
        <x:f>D2032+K2031</x:f>
        <x:v>24</x:v>
      </x:c>
    </x:row>
    <x:row r="2033">
      <x:c r="A2033" t="str">
        <x:v>Payment</x:v>
      </x:c>
      <x:c r="B2033" t="str">
        <x:f>'04_checks'!B292</x:f>
        <x:v>P045</x:v>
      </x:c>
      <x:c r="C2033" t="n">
        <x:v>46</x:v>
      </x:c>
      <x:c r="D2033" t="n">
        <x:f>IF('04_checks'!D292="ERROR",1,0)</x:f>
        <x:v>0</x:v>
      </x:c>
      <x:c r="E2033" t="str">
        <x:v>Payment:46:2</x:v>
      </x:c>
      <x:c r="F2033" t="str">
        <x:v>Пустое поле</x:v>
      </x:c>
      <x:c r="G2033" t="str">
        <x:v>High</x:v>
      </x:c>
      <x:c r="H2033" t="str">
        <x:v>required_fields</x:v>
      </x:c>
      <x:c r="I2033" t="str">
        <x:v>Дополнить обязательные поля в источнике</x:v>
      </x:c>
      <x:c r="J2033" t="n">
        <x:f>IF(D2033=1,K2033,0)</x:f>
        <x:v>0</x:v>
      </x:c>
      <x:c r="K2033" t="n">
        <x:f>D2033+K2032</x:f>
        <x:v>24</x:v>
      </x:c>
    </x:row>
    <x:row r="2034">
      <x:c r="A2034" t="str">
        <x:v>Payment</x:v>
      </x:c>
      <x:c r="B2034" t="str">
        <x:f>'04_checks'!B292</x:f>
        <x:v>P045</x:v>
      </x:c>
      <x:c r="C2034" t="n">
        <x:v>46</x:v>
      </x:c>
      <x:c r="D2034" t="n">
        <x:f>IF('04_checks'!E292="ERROR",1,0)</x:f>
        <x:v>0</x:v>
      </x:c>
      <x:c r="E2034" t="str">
        <x:v>Payment:46:3</x:v>
      </x:c>
      <x:c r="F2034" t="str">
        <x:f>IF(COUNTIF('01_orders_raw'!$A$2:$A$181,'03_payments_raw'!B46)&gt;1,"Неоднозначная связь","Нет связи")</x:f>
        <x:v>Нет связи</x:v>
      </x:c>
      <x:c r="G2034" t="str">
        <x:v>High</x:v>
      </x:c>
      <x:c r="H2034" t="str">
        <x:v>order_id</x:v>
      </x:c>
      <x:c r="I2034" t="str">
        <x:v>Исправить ссылку или разрешить дубли связанного ID</x:v>
      </x:c>
      <x:c r="J2034" t="n">
        <x:f>IF(D2034=1,K2034,0)</x:f>
        <x:v>0</x:v>
      </x:c>
      <x:c r="K2034" t="n">
        <x:f>D2034+K2033</x:f>
        <x:v>24</x:v>
      </x:c>
    </x:row>
    <x:row r="2035">
      <x:c r="A2035" t="str">
        <x:v>Payment</x:v>
      </x:c>
      <x:c r="B2035" t="str">
        <x:f>'04_checks'!B292</x:f>
        <x:v>P045</x:v>
      </x:c>
      <x:c r="C2035" t="n">
        <x:v>46</x:v>
      </x:c>
      <x:c r="D2035" t="n">
        <x:f>IF('04_checks'!F292="ERROR",1,0)</x:f>
        <x:v>0</x:v>
      </x:c>
      <x:c r="E2035" t="str">
        <x:v>Payment:46:4</x:v>
      </x:c>
      <x:c r="F2035" t="str">
        <x:v>Ошибка расчета</x:v>
      </x:c>
      <x:c r="G2035" t="str">
        <x:v>High</x:v>
      </x:c>
      <x:c r="H2035" t="str">
        <x:v>payment_sum</x:v>
      </x:c>
      <x:c r="I2035" t="str">
        <x:v>Сверить исходные значения и правило расчёта</x:v>
      </x:c>
      <x:c r="J2035" t="n">
        <x:f>IF(D2035=1,K2035,0)</x:f>
        <x:v>0</x:v>
      </x:c>
      <x:c r="K2035" t="n">
        <x:f>D2035+K2034</x:f>
        <x:v>24</x:v>
      </x:c>
    </x:row>
    <x:row r="2036">
      <x:c r="A2036" t="str">
        <x:v>Payment</x:v>
      </x:c>
      <x:c r="B2036" t="str">
        <x:f>'04_checks'!B292</x:f>
        <x:v>P045</x:v>
      </x:c>
      <x:c r="C2036" t="n">
        <x:v>46</x:v>
      </x:c>
      <x:c r="D2036" t="n">
        <x:f>IF('04_checks'!G292="ERROR",1,0)</x:f>
        <x:v>0</x:v>
      </x:c>
      <x:c r="E2036" t="str">
        <x:v>Payment:46:5</x:v>
      </x:c>
      <x:c r="F2036" t="str">
        <x:v>Отрицательная цена</x:v>
      </x:c>
      <x:c r="G2036" t="str">
        <x:v>High</x:v>
      </x:c>
      <x:c r="H2036" t="str">
        <x:v>N/A</x:v>
      </x:c>
      <x:c r="I2036" t="str">
        <x:v>Проверить цену в источнике</x:v>
      </x:c>
      <x:c r="J2036" t="n">
        <x:f>IF(D2036=1,K2036,0)</x:f>
        <x:v>0</x:v>
      </x:c>
      <x:c r="K2036" t="n">
        <x:f>D2036+K2035</x:f>
        <x:v>24</x:v>
      </x:c>
    </x:row>
    <x:row r="2037">
      <x:c r="A2037" t="str">
        <x:v>Payment</x:v>
      </x:c>
      <x:c r="B2037" t="str">
        <x:f>'04_checks'!B292</x:f>
        <x:v>P045</x:v>
      </x:c>
      <x:c r="C2037" t="n">
        <x:v>46</x:v>
      </x:c>
      <x:c r="D2037" t="n">
        <x:f>IF('04_checks'!H292="ERROR",1,0)</x:f>
        <x:v>0</x:v>
      </x:c>
      <x:c r="E2037" t="str">
        <x:v>Payment:46:6</x:v>
      </x:c>
      <x:c r="F2037" t="str">
        <x:v>Дата</x:v>
      </x:c>
      <x:c r="G2037" t="str">
        <x:v>Medium</x:v>
      </x:c>
      <x:c r="H2037" t="str">
        <x:v>payment_date</x:v>
      </x:c>
      <x:c r="I2037" t="str">
        <x:v>Сверить дату со срезом и исходной записью</x:v>
      </x:c>
      <x:c r="J2037" t="n">
        <x:f>IF(D2037=1,K2037,0)</x:f>
        <x:v>0</x:v>
      </x:c>
      <x:c r="K2037" t="n">
        <x:f>D2037+K2036</x:f>
        <x:v>24</x:v>
      </x:c>
    </x:row>
    <x:row r="2038">
      <x:c r="A2038" t="str">
        <x:v>Payment</x:v>
      </x:c>
      <x:c r="B2038" t="str">
        <x:f>'04_checks'!B292</x:f>
        <x:v>P045</x:v>
      </x:c>
      <x:c r="C2038" t="n">
        <x:v>46</x:v>
      </x:c>
      <x:c r="D2038" t="n">
        <x:f>IF('04_checks'!I292="ERROR",1,0)</x:f>
        <x:v>0</x:v>
      </x:c>
      <x:c r="E2038" t="str">
        <x:v>Payment:46:7</x:v>
      </x:c>
      <x:c r="F2038" t="str">
        <x:v>Статус</x:v>
      </x:c>
      <x:c r="G2038" t="str">
        <x:v>Medium</x:v>
      </x:c>
      <x:c r="H2038" t="str">
        <x:v>payment_status</x:v>
      </x:c>
      <x:c r="I2038" t="str">
        <x:v>Выбрать допустимый статус</x:v>
      </x:c>
      <x:c r="J2038" t="n">
        <x:f>IF(D2038=1,K2038,0)</x:f>
        <x:v>0</x:v>
      </x:c>
      <x:c r="K2038" t="n">
        <x:f>D2038+K2037</x:f>
        <x:v>24</x:v>
      </x:c>
    </x:row>
    <x:row r="2039">
      <x:c r="A2039" t="str">
        <x:v>Payment</x:v>
      </x:c>
      <x:c r="B2039" t="str">
        <x:f>'04_checks'!B293</x:f>
        <x:v>P046</x:v>
      </x:c>
      <x:c r="C2039" t="n">
        <x:v>47</x:v>
      </x:c>
      <x:c r="D2039" t="n">
        <x:f>IF('04_checks'!C293="ERROR",1,0)</x:f>
        <x:v>0</x:v>
      </x:c>
      <x:c r="E2039" t="str">
        <x:v>Payment:47:1</x:v>
      </x:c>
      <x:c r="F2039" t="str">
        <x:v>Дубль</x:v>
      </x:c>
      <x:c r="G2039" t="str">
        <x:v>High</x:v>
      </x:c>
      <x:c r="H2039" t="str">
        <x:v>payment_id</x:v>
      </x:c>
      <x:c r="I2039" t="str">
        <x:v>Проверить уникальность ID в источнике; не удалять записи автоматически</x:v>
      </x:c>
      <x:c r="J2039" t="n">
        <x:f>IF(D2039=1,K2039,0)</x:f>
        <x:v>0</x:v>
      </x:c>
      <x:c r="K2039" t="n">
        <x:f>D2039+K2038</x:f>
        <x:v>24</x:v>
      </x:c>
    </x:row>
    <x:row r="2040">
      <x:c r="A2040" t="str">
        <x:v>Payment</x:v>
      </x:c>
      <x:c r="B2040" t="str">
        <x:f>'04_checks'!B293</x:f>
        <x:v>P046</x:v>
      </x:c>
      <x:c r="C2040" t="n">
        <x:v>47</x:v>
      </x:c>
      <x:c r="D2040" t="n">
        <x:f>IF('04_checks'!D293="ERROR",1,0)</x:f>
        <x:v>0</x:v>
      </x:c>
      <x:c r="E2040" t="str">
        <x:v>Payment:47:2</x:v>
      </x:c>
      <x:c r="F2040" t="str">
        <x:v>Пустое поле</x:v>
      </x:c>
      <x:c r="G2040" t="str">
        <x:v>High</x:v>
      </x:c>
      <x:c r="H2040" t="str">
        <x:v>required_fields</x:v>
      </x:c>
      <x:c r="I2040" t="str">
        <x:v>Дополнить обязательные поля в источнике</x:v>
      </x:c>
      <x:c r="J2040" t="n">
        <x:f>IF(D2040=1,K2040,0)</x:f>
        <x:v>0</x:v>
      </x:c>
      <x:c r="K2040" t="n">
        <x:f>D2040+K2039</x:f>
        <x:v>24</x:v>
      </x:c>
    </x:row>
    <x:row r="2041">
      <x:c r="A2041" t="str">
        <x:v>Payment</x:v>
      </x:c>
      <x:c r="B2041" t="str">
        <x:f>'04_checks'!B293</x:f>
        <x:v>P046</x:v>
      </x:c>
      <x:c r="C2041" t="n">
        <x:v>47</x:v>
      </x:c>
      <x:c r="D2041" t="n">
        <x:f>IF('04_checks'!E293="ERROR",1,0)</x:f>
        <x:v>0</x:v>
      </x:c>
      <x:c r="E2041" t="str">
        <x:v>Payment:47:3</x:v>
      </x:c>
      <x:c r="F2041" t="str">
        <x:f>IF(COUNTIF('01_orders_raw'!$A$2:$A$181,'03_payments_raw'!B47)&gt;1,"Неоднозначная связь","Нет связи")</x:f>
        <x:v>Нет связи</x:v>
      </x:c>
      <x:c r="G2041" t="str">
        <x:v>High</x:v>
      </x:c>
      <x:c r="H2041" t="str">
        <x:v>order_id</x:v>
      </x:c>
      <x:c r="I2041" t="str">
        <x:v>Исправить ссылку или разрешить дубли связанного ID</x:v>
      </x:c>
      <x:c r="J2041" t="n">
        <x:f>IF(D2041=1,K2041,0)</x:f>
        <x:v>0</x:v>
      </x:c>
      <x:c r="K2041" t="n">
        <x:f>D2041+K2040</x:f>
        <x:v>24</x:v>
      </x:c>
    </x:row>
    <x:row r="2042">
      <x:c r="A2042" t="str">
        <x:v>Payment</x:v>
      </x:c>
      <x:c r="B2042" t="str">
        <x:f>'04_checks'!B293</x:f>
        <x:v>P046</x:v>
      </x:c>
      <x:c r="C2042" t="n">
        <x:v>47</x:v>
      </x:c>
      <x:c r="D2042" t="n">
        <x:f>IF('04_checks'!F293="ERROR",1,0)</x:f>
        <x:v>0</x:v>
      </x:c>
      <x:c r="E2042" t="str">
        <x:v>Payment:47:4</x:v>
      </x:c>
      <x:c r="F2042" t="str">
        <x:v>Ошибка расчета</x:v>
      </x:c>
      <x:c r="G2042" t="str">
        <x:v>High</x:v>
      </x:c>
      <x:c r="H2042" t="str">
        <x:v>payment_sum</x:v>
      </x:c>
      <x:c r="I2042" t="str">
        <x:v>Сверить исходные значения и правило расчёта</x:v>
      </x:c>
      <x:c r="J2042" t="n">
        <x:f>IF(D2042=1,K2042,0)</x:f>
        <x:v>0</x:v>
      </x:c>
      <x:c r="K2042" t="n">
        <x:f>D2042+K2041</x:f>
        <x:v>24</x:v>
      </x:c>
    </x:row>
    <x:row r="2043">
      <x:c r="A2043" t="str">
        <x:v>Payment</x:v>
      </x:c>
      <x:c r="B2043" t="str">
        <x:f>'04_checks'!B293</x:f>
        <x:v>P046</x:v>
      </x:c>
      <x:c r="C2043" t="n">
        <x:v>47</x:v>
      </x:c>
      <x:c r="D2043" t="n">
        <x:f>IF('04_checks'!G293="ERROR",1,0)</x:f>
        <x:v>0</x:v>
      </x:c>
      <x:c r="E2043" t="str">
        <x:v>Payment:47:5</x:v>
      </x:c>
      <x:c r="F2043" t="str">
        <x:v>Отрицательная цена</x:v>
      </x:c>
      <x:c r="G2043" t="str">
        <x:v>High</x:v>
      </x:c>
      <x:c r="H2043" t="str">
        <x:v>N/A</x:v>
      </x:c>
      <x:c r="I2043" t="str">
        <x:v>Проверить цену в источнике</x:v>
      </x:c>
      <x:c r="J2043" t="n">
        <x:f>IF(D2043=1,K2043,0)</x:f>
        <x:v>0</x:v>
      </x:c>
      <x:c r="K2043" t="n">
        <x:f>D2043+K2042</x:f>
        <x:v>24</x:v>
      </x:c>
    </x:row>
    <x:row r="2044">
      <x:c r="A2044" t="str">
        <x:v>Payment</x:v>
      </x:c>
      <x:c r="B2044" t="str">
        <x:f>'04_checks'!B293</x:f>
        <x:v>P046</x:v>
      </x:c>
      <x:c r="C2044" t="n">
        <x:v>47</x:v>
      </x:c>
      <x:c r="D2044" t="n">
        <x:f>IF('04_checks'!H293="ERROR",1,0)</x:f>
        <x:v>0</x:v>
      </x:c>
      <x:c r="E2044" t="str">
        <x:v>Payment:47:6</x:v>
      </x:c>
      <x:c r="F2044" t="str">
        <x:v>Дата</x:v>
      </x:c>
      <x:c r="G2044" t="str">
        <x:v>Medium</x:v>
      </x:c>
      <x:c r="H2044" t="str">
        <x:v>payment_date</x:v>
      </x:c>
      <x:c r="I2044" t="str">
        <x:v>Сверить дату со срезом и исходной записью</x:v>
      </x:c>
      <x:c r="J2044" t="n">
        <x:f>IF(D2044=1,K2044,0)</x:f>
        <x:v>0</x:v>
      </x:c>
      <x:c r="K2044" t="n">
        <x:f>D2044+K2043</x:f>
        <x:v>24</x:v>
      </x:c>
    </x:row>
    <x:row r="2045">
      <x:c r="A2045" t="str">
        <x:v>Payment</x:v>
      </x:c>
      <x:c r="B2045" t="str">
        <x:f>'04_checks'!B293</x:f>
        <x:v>P046</x:v>
      </x:c>
      <x:c r="C2045" t="n">
        <x:v>47</x:v>
      </x:c>
      <x:c r="D2045" t="n">
        <x:f>IF('04_checks'!I293="ERROR",1,0)</x:f>
        <x:v>0</x:v>
      </x:c>
      <x:c r="E2045" t="str">
        <x:v>Payment:47:7</x:v>
      </x:c>
      <x:c r="F2045" t="str">
        <x:v>Статус</x:v>
      </x:c>
      <x:c r="G2045" t="str">
        <x:v>Medium</x:v>
      </x:c>
      <x:c r="H2045" t="str">
        <x:v>payment_status</x:v>
      </x:c>
      <x:c r="I2045" t="str">
        <x:v>Выбрать допустимый статус</x:v>
      </x:c>
      <x:c r="J2045" t="n">
        <x:f>IF(D2045=1,K2045,0)</x:f>
        <x:v>0</x:v>
      </x:c>
      <x:c r="K2045" t="n">
        <x:f>D2045+K2044</x:f>
        <x:v>24</x:v>
      </x:c>
    </x:row>
    <x:row r="2046">
      <x:c r="A2046" t="str">
        <x:v>Payment</x:v>
      </x:c>
      <x:c r="B2046" t="str">
        <x:f>'04_checks'!B294</x:f>
        <x:v>P047</x:v>
      </x:c>
      <x:c r="C2046" t="n">
        <x:v>48</x:v>
      </x:c>
      <x:c r="D2046" t="n">
        <x:f>IF('04_checks'!C294="ERROR",1,0)</x:f>
        <x:v>0</x:v>
      </x:c>
      <x:c r="E2046" t="str">
        <x:v>Payment:48:1</x:v>
      </x:c>
      <x:c r="F2046" t="str">
        <x:v>Дубль</x:v>
      </x:c>
      <x:c r="G2046" t="str">
        <x:v>High</x:v>
      </x:c>
      <x:c r="H2046" t="str">
        <x:v>payment_id</x:v>
      </x:c>
      <x:c r="I2046" t="str">
        <x:v>Проверить уникальность ID в источнике; не удалять записи автоматически</x:v>
      </x:c>
      <x:c r="J2046" t="n">
        <x:f>IF(D2046=1,K2046,0)</x:f>
        <x:v>0</x:v>
      </x:c>
      <x:c r="K2046" t="n">
        <x:f>D2046+K2045</x:f>
        <x:v>24</x:v>
      </x:c>
    </x:row>
    <x:row r="2047">
      <x:c r="A2047" t="str">
        <x:v>Payment</x:v>
      </x:c>
      <x:c r="B2047" t="str">
        <x:f>'04_checks'!B294</x:f>
        <x:v>P047</x:v>
      </x:c>
      <x:c r="C2047" t="n">
        <x:v>48</x:v>
      </x:c>
      <x:c r="D2047" t="n">
        <x:f>IF('04_checks'!D294="ERROR",1,0)</x:f>
        <x:v>0</x:v>
      </x:c>
      <x:c r="E2047" t="str">
        <x:v>Payment:48:2</x:v>
      </x:c>
      <x:c r="F2047" t="str">
        <x:v>Пустое поле</x:v>
      </x:c>
      <x:c r="G2047" t="str">
        <x:v>High</x:v>
      </x:c>
      <x:c r="H2047" t="str">
        <x:v>required_fields</x:v>
      </x:c>
      <x:c r="I2047" t="str">
        <x:v>Дополнить обязательные поля в источнике</x:v>
      </x:c>
      <x:c r="J2047" t="n">
        <x:f>IF(D2047=1,K2047,0)</x:f>
        <x:v>0</x:v>
      </x:c>
      <x:c r="K2047" t="n">
        <x:f>D2047+K2046</x:f>
        <x:v>24</x:v>
      </x:c>
    </x:row>
    <x:row r="2048">
      <x:c r="A2048" t="str">
        <x:v>Payment</x:v>
      </x:c>
      <x:c r="B2048" t="str">
        <x:f>'04_checks'!B294</x:f>
        <x:v>P047</x:v>
      </x:c>
      <x:c r="C2048" t="n">
        <x:v>48</x:v>
      </x:c>
      <x:c r="D2048" t="n">
        <x:f>IF('04_checks'!E294="ERROR",1,0)</x:f>
        <x:v>0</x:v>
      </x:c>
      <x:c r="E2048" t="str">
        <x:v>Payment:48:3</x:v>
      </x:c>
      <x:c r="F2048" t="str">
        <x:f>IF(COUNTIF('01_orders_raw'!$A$2:$A$181,'03_payments_raw'!B48)&gt;1,"Неоднозначная связь","Нет связи")</x:f>
        <x:v>Нет связи</x:v>
      </x:c>
      <x:c r="G2048" t="str">
        <x:v>High</x:v>
      </x:c>
      <x:c r="H2048" t="str">
        <x:v>order_id</x:v>
      </x:c>
      <x:c r="I2048" t="str">
        <x:v>Исправить ссылку или разрешить дубли связанного ID</x:v>
      </x:c>
      <x:c r="J2048" t="n">
        <x:f>IF(D2048=1,K2048,0)</x:f>
        <x:v>0</x:v>
      </x:c>
      <x:c r="K2048" t="n">
        <x:f>D2048+K2047</x:f>
        <x:v>24</x:v>
      </x:c>
    </x:row>
    <x:row r="2049">
      <x:c r="A2049" t="str">
        <x:v>Payment</x:v>
      </x:c>
      <x:c r="B2049" t="str">
        <x:f>'04_checks'!B294</x:f>
        <x:v>P047</x:v>
      </x:c>
      <x:c r="C2049" t="n">
        <x:v>48</x:v>
      </x:c>
      <x:c r="D2049" t="n">
        <x:f>IF('04_checks'!F294="ERROR",1,0)</x:f>
        <x:v>0</x:v>
      </x:c>
      <x:c r="E2049" t="str">
        <x:v>Payment:48:4</x:v>
      </x:c>
      <x:c r="F2049" t="str">
        <x:v>Ошибка расчета</x:v>
      </x:c>
      <x:c r="G2049" t="str">
        <x:v>High</x:v>
      </x:c>
      <x:c r="H2049" t="str">
        <x:v>payment_sum</x:v>
      </x:c>
      <x:c r="I2049" t="str">
        <x:v>Сверить исходные значения и правило расчёта</x:v>
      </x:c>
      <x:c r="J2049" t="n">
        <x:f>IF(D2049=1,K2049,0)</x:f>
        <x:v>0</x:v>
      </x:c>
      <x:c r="K2049" t="n">
        <x:f>D2049+K2048</x:f>
        <x:v>24</x:v>
      </x:c>
    </x:row>
    <x:row r="2050">
      <x:c r="A2050" t="str">
        <x:v>Payment</x:v>
      </x:c>
      <x:c r="B2050" t="str">
        <x:f>'04_checks'!B294</x:f>
        <x:v>P047</x:v>
      </x:c>
      <x:c r="C2050" t="n">
        <x:v>48</x:v>
      </x:c>
      <x:c r="D2050" t="n">
        <x:f>IF('04_checks'!G294="ERROR",1,0)</x:f>
        <x:v>0</x:v>
      </x:c>
      <x:c r="E2050" t="str">
        <x:v>Payment:48:5</x:v>
      </x:c>
      <x:c r="F2050" t="str">
        <x:v>Отрицательная цена</x:v>
      </x:c>
      <x:c r="G2050" t="str">
        <x:v>High</x:v>
      </x:c>
      <x:c r="H2050" t="str">
        <x:v>N/A</x:v>
      </x:c>
      <x:c r="I2050" t="str">
        <x:v>Проверить цену в источнике</x:v>
      </x:c>
      <x:c r="J2050" t="n">
        <x:f>IF(D2050=1,K2050,0)</x:f>
        <x:v>0</x:v>
      </x:c>
      <x:c r="K2050" t="n">
        <x:f>D2050+K2049</x:f>
        <x:v>24</x:v>
      </x:c>
    </x:row>
    <x:row r="2051">
      <x:c r="A2051" t="str">
        <x:v>Payment</x:v>
      </x:c>
      <x:c r="B2051" t="str">
        <x:f>'04_checks'!B294</x:f>
        <x:v>P047</x:v>
      </x:c>
      <x:c r="C2051" t="n">
        <x:v>48</x:v>
      </x:c>
      <x:c r="D2051" t="n">
        <x:f>IF('04_checks'!H294="ERROR",1,0)</x:f>
        <x:v>0</x:v>
      </x:c>
      <x:c r="E2051" t="str">
        <x:v>Payment:48:6</x:v>
      </x:c>
      <x:c r="F2051" t="str">
        <x:v>Дата</x:v>
      </x:c>
      <x:c r="G2051" t="str">
        <x:v>Medium</x:v>
      </x:c>
      <x:c r="H2051" t="str">
        <x:v>payment_date</x:v>
      </x:c>
      <x:c r="I2051" t="str">
        <x:v>Сверить дату со срезом и исходной записью</x:v>
      </x:c>
      <x:c r="J2051" t="n">
        <x:f>IF(D2051=1,K2051,0)</x:f>
        <x:v>0</x:v>
      </x:c>
      <x:c r="K2051" t="n">
        <x:f>D2051+K2050</x:f>
        <x:v>24</x:v>
      </x:c>
    </x:row>
    <x:row r="2052">
      <x:c r="A2052" t="str">
        <x:v>Payment</x:v>
      </x:c>
      <x:c r="B2052" t="str">
        <x:f>'04_checks'!B294</x:f>
        <x:v>P047</x:v>
      </x:c>
      <x:c r="C2052" t="n">
        <x:v>48</x:v>
      </x:c>
      <x:c r="D2052" t="n">
        <x:f>IF('04_checks'!I294="ERROR",1,0)</x:f>
        <x:v>0</x:v>
      </x:c>
      <x:c r="E2052" t="str">
        <x:v>Payment:48:7</x:v>
      </x:c>
      <x:c r="F2052" t="str">
        <x:v>Статус</x:v>
      </x:c>
      <x:c r="G2052" t="str">
        <x:v>Medium</x:v>
      </x:c>
      <x:c r="H2052" t="str">
        <x:v>payment_status</x:v>
      </x:c>
      <x:c r="I2052" t="str">
        <x:v>Выбрать допустимый статус</x:v>
      </x:c>
      <x:c r="J2052" t="n">
        <x:f>IF(D2052=1,K2052,0)</x:f>
        <x:v>0</x:v>
      </x:c>
      <x:c r="K2052" t="n">
        <x:f>D2052+K2051</x:f>
        <x:v>24</x:v>
      </x:c>
    </x:row>
    <x:row r="2053">
      <x:c r="A2053" t="str">
        <x:v>Payment</x:v>
      </x:c>
      <x:c r="B2053" t="str">
        <x:f>'04_checks'!B295</x:f>
        <x:v>P048</x:v>
      </x:c>
      <x:c r="C2053" t="n">
        <x:v>49</x:v>
      </x:c>
      <x:c r="D2053" t="n">
        <x:f>IF('04_checks'!C295="ERROR",1,0)</x:f>
        <x:v>0</x:v>
      </x:c>
      <x:c r="E2053" t="str">
        <x:v>Payment:49:1</x:v>
      </x:c>
      <x:c r="F2053" t="str">
        <x:v>Дубль</x:v>
      </x:c>
      <x:c r="G2053" t="str">
        <x:v>High</x:v>
      </x:c>
      <x:c r="H2053" t="str">
        <x:v>payment_id</x:v>
      </x:c>
      <x:c r="I2053" t="str">
        <x:v>Проверить уникальность ID в источнике; не удалять записи автоматически</x:v>
      </x:c>
      <x:c r="J2053" t="n">
        <x:f>IF(D2053=1,K2053,0)</x:f>
        <x:v>0</x:v>
      </x:c>
      <x:c r="K2053" t="n">
        <x:f>D2053+K2052</x:f>
        <x:v>24</x:v>
      </x:c>
    </x:row>
    <x:row r="2054">
      <x:c r="A2054" t="str">
        <x:v>Payment</x:v>
      </x:c>
      <x:c r="B2054" t="str">
        <x:f>'04_checks'!B295</x:f>
        <x:v>P048</x:v>
      </x:c>
      <x:c r="C2054" t="n">
        <x:v>49</x:v>
      </x:c>
      <x:c r="D2054" t="n">
        <x:f>IF('04_checks'!D295="ERROR",1,0)</x:f>
        <x:v>0</x:v>
      </x:c>
      <x:c r="E2054" t="str">
        <x:v>Payment:49:2</x:v>
      </x:c>
      <x:c r="F2054" t="str">
        <x:v>Пустое поле</x:v>
      </x:c>
      <x:c r="G2054" t="str">
        <x:v>High</x:v>
      </x:c>
      <x:c r="H2054" t="str">
        <x:v>required_fields</x:v>
      </x:c>
      <x:c r="I2054" t="str">
        <x:v>Дополнить обязательные поля в источнике</x:v>
      </x:c>
      <x:c r="J2054" t="n">
        <x:f>IF(D2054=1,K2054,0)</x:f>
        <x:v>0</x:v>
      </x:c>
      <x:c r="K2054" t="n">
        <x:f>D2054+K2053</x:f>
        <x:v>24</x:v>
      </x:c>
    </x:row>
    <x:row r="2055">
      <x:c r="A2055" t="str">
        <x:v>Payment</x:v>
      </x:c>
      <x:c r="B2055" t="str">
        <x:f>'04_checks'!B295</x:f>
        <x:v>P048</x:v>
      </x:c>
      <x:c r="C2055" t="n">
        <x:v>49</x:v>
      </x:c>
      <x:c r="D2055" t="n">
        <x:f>IF('04_checks'!E295="ERROR",1,0)</x:f>
        <x:v>0</x:v>
      </x:c>
      <x:c r="E2055" t="str">
        <x:v>Payment:49:3</x:v>
      </x:c>
      <x:c r="F2055" t="str">
        <x:f>IF(COUNTIF('01_orders_raw'!$A$2:$A$181,'03_payments_raw'!B49)&gt;1,"Неоднозначная связь","Нет связи")</x:f>
        <x:v>Нет связи</x:v>
      </x:c>
      <x:c r="G2055" t="str">
        <x:v>High</x:v>
      </x:c>
      <x:c r="H2055" t="str">
        <x:v>order_id</x:v>
      </x:c>
      <x:c r="I2055" t="str">
        <x:v>Исправить ссылку или разрешить дубли связанного ID</x:v>
      </x:c>
      <x:c r="J2055" t="n">
        <x:f>IF(D2055=1,K2055,0)</x:f>
        <x:v>0</x:v>
      </x:c>
      <x:c r="K2055" t="n">
        <x:f>D2055+K2054</x:f>
        <x:v>24</x:v>
      </x:c>
    </x:row>
    <x:row r="2056">
      <x:c r="A2056" t="str">
        <x:v>Payment</x:v>
      </x:c>
      <x:c r="B2056" t="str">
        <x:f>'04_checks'!B295</x:f>
        <x:v>P048</x:v>
      </x:c>
      <x:c r="C2056" t="n">
        <x:v>49</x:v>
      </x:c>
      <x:c r="D2056" t="n">
        <x:f>IF('04_checks'!F295="ERROR",1,0)</x:f>
        <x:v>0</x:v>
      </x:c>
      <x:c r="E2056" t="str">
        <x:v>Payment:49:4</x:v>
      </x:c>
      <x:c r="F2056" t="str">
        <x:v>Ошибка расчета</x:v>
      </x:c>
      <x:c r="G2056" t="str">
        <x:v>High</x:v>
      </x:c>
      <x:c r="H2056" t="str">
        <x:v>payment_sum</x:v>
      </x:c>
      <x:c r="I2056" t="str">
        <x:v>Сверить исходные значения и правило расчёта</x:v>
      </x:c>
      <x:c r="J2056" t="n">
        <x:f>IF(D2056=1,K2056,0)</x:f>
        <x:v>0</x:v>
      </x:c>
      <x:c r="K2056" t="n">
        <x:f>D2056+K2055</x:f>
        <x:v>24</x:v>
      </x:c>
    </x:row>
    <x:row r="2057">
      <x:c r="A2057" t="str">
        <x:v>Payment</x:v>
      </x:c>
      <x:c r="B2057" t="str">
        <x:f>'04_checks'!B295</x:f>
        <x:v>P048</x:v>
      </x:c>
      <x:c r="C2057" t="n">
        <x:v>49</x:v>
      </x:c>
      <x:c r="D2057" t="n">
        <x:f>IF('04_checks'!G295="ERROR",1,0)</x:f>
        <x:v>0</x:v>
      </x:c>
      <x:c r="E2057" t="str">
        <x:v>Payment:49:5</x:v>
      </x:c>
      <x:c r="F2057" t="str">
        <x:v>Отрицательная цена</x:v>
      </x:c>
      <x:c r="G2057" t="str">
        <x:v>High</x:v>
      </x:c>
      <x:c r="H2057" t="str">
        <x:v>N/A</x:v>
      </x:c>
      <x:c r="I2057" t="str">
        <x:v>Проверить цену в источнике</x:v>
      </x:c>
      <x:c r="J2057" t="n">
        <x:f>IF(D2057=1,K2057,0)</x:f>
        <x:v>0</x:v>
      </x:c>
      <x:c r="K2057" t="n">
        <x:f>D2057+K2056</x:f>
        <x:v>24</x:v>
      </x:c>
    </x:row>
    <x:row r="2058">
      <x:c r="A2058" t="str">
        <x:v>Payment</x:v>
      </x:c>
      <x:c r="B2058" t="str">
        <x:f>'04_checks'!B295</x:f>
        <x:v>P048</x:v>
      </x:c>
      <x:c r="C2058" t="n">
        <x:v>49</x:v>
      </x:c>
      <x:c r="D2058" t="n">
        <x:f>IF('04_checks'!H295="ERROR",1,0)</x:f>
        <x:v>0</x:v>
      </x:c>
      <x:c r="E2058" t="str">
        <x:v>Payment:49:6</x:v>
      </x:c>
      <x:c r="F2058" t="str">
        <x:v>Дата</x:v>
      </x:c>
      <x:c r="G2058" t="str">
        <x:v>Medium</x:v>
      </x:c>
      <x:c r="H2058" t="str">
        <x:v>payment_date</x:v>
      </x:c>
      <x:c r="I2058" t="str">
        <x:v>Сверить дату со срезом и исходной записью</x:v>
      </x:c>
      <x:c r="J2058" t="n">
        <x:f>IF(D2058=1,K2058,0)</x:f>
        <x:v>0</x:v>
      </x:c>
      <x:c r="K2058" t="n">
        <x:f>D2058+K2057</x:f>
        <x:v>24</x:v>
      </x:c>
    </x:row>
    <x:row r="2059">
      <x:c r="A2059" t="str">
        <x:v>Payment</x:v>
      </x:c>
      <x:c r="B2059" t="str">
        <x:f>'04_checks'!B295</x:f>
        <x:v>P048</x:v>
      </x:c>
      <x:c r="C2059" t="n">
        <x:v>49</x:v>
      </x:c>
      <x:c r="D2059" t="n">
        <x:f>IF('04_checks'!I295="ERROR",1,0)</x:f>
        <x:v>0</x:v>
      </x:c>
      <x:c r="E2059" t="str">
        <x:v>Payment:49:7</x:v>
      </x:c>
      <x:c r="F2059" t="str">
        <x:v>Статус</x:v>
      </x:c>
      <x:c r="G2059" t="str">
        <x:v>Medium</x:v>
      </x:c>
      <x:c r="H2059" t="str">
        <x:v>payment_status</x:v>
      </x:c>
      <x:c r="I2059" t="str">
        <x:v>Выбрать допустимый статус</x:v>
      </x:c>
      <x:c r="J2059" t="n">
        <x:f>IF(D2059=1,K2059,0)</x:f>
        <x:v>0</x:v>
      </x:c>
      <x:c r="K2059" t="n">
        <x:f>D2059+K2058</x:f>
        <x:v>24</x:v>
      </x:c>
    </x:row>
    <x:row r="2060">
      <x:c r="A2060" t="str">
        <x:v>Payment</x:v>
      </x:c>
      <x:c r="B2060" t="str">
        <x:f>'04_checks'!B296</x:f>
        <x:v>P049</x:v>
      </x:c>
      <x:c r="C2060" t="n">
        <x:v>50</x:v>
      </x:c>
      <x:c r="D2060" t="n">
        <x:f>IF('04_checks'!C296="ERROR",1,0)</x:f>
        <x:v>0</x:v>
      </x:c>
      <x:c r="E2060" t="str">
        <x:v>Payment:50:1</x:v>
      </x:c>
      <x:c r="F2060" t="str">
        <x:v>Дубль</x:v>
      </x:c>
      <x:c r="G2060" t="str">
        <x:v>High</x:v>
      </x:c>
      <x:c r="H2060" t="str">
        <x:v>payment_id</x:v>
      </x:c>
      <x:c r="I2060" t="str">
        <x:v>Проверить уникальность ID в источнике; не удалять записи автоматически</x:v>
      </x:c>
      <x:c r="J2060" t="n">
        <x:f>IF(D2060=1,K2060,0)</x:f>
        <x:v>0</x:v>
      </x:c>
      <x:c r="K2060" t="n">
        <x:f>D2060+K2059</x:f>
        <x:v>24</x:v>
      </x:c>
    </x:row>
    <x:row r="2061">
      <x:c r="A2061" t="str">
        <x:v>Payment</x:v>
      </x:c>
      <x:c r="B2061" t="str">
        <x:f>'04_checks'!B296</x:f>
        <x:v>P049</x:v>
      </x:c>
      <x:c r="C2061" t="n">
        <x:v>50</x:v>
      </x:c>
      <x:c r="D2061" t="n">
        <x:f>IF('04_checks'!D296="ERROR",1,0)</x:f>
        <x:v>0</x:v>
      </x:c>
      <x:c r="E2061" t="str">
        <x:v>Payment:50:2</x:v>
      </x:c>
      <x:c r="F2061" t="str">
        <x:v>Пустое поле</x:v>
      </x:c>
      <x:c r="G2061" t="str">
        <x:v>High</x:v>
      </x:c>
      <x:c r="H2061" t="str">
        <x:v>required_fields</x:v>
      </x:c>
      <x:c r="I2061" t="str">
        <x:v>Дополнить обязательные поля в источнике</x:v>
      </x:c>
      <x:c r="J2061" t="n">
        <x:f>IF(D2061=1,K2061,0)</x:f>
        <x:v>0</x:v>
      </x:c>
      <x:c r="K2061" t="n">
        <x:f>D2061+K2060</x:f>
        <x:v>24</x:v>
      </x:c>
    </x:row>
    <x:row r="2062">
      <x:c r="A2062" t="str">
        <x:v>Payment</x:v>
      </x:c>
      <x:c r="B2062" t="str">
        <x:f>'04_checks'!B296</x:f>
        <x:v>P049</x:v>
      </x:c>
      <x:c r="C2062" t="n">
        <x:v>50</x:v>
      </x:c>
      <x:c r="D2062" t="n">
        <x:f>IF('04_checks'!E296="ERROR",1,0)</x:f>
        <x:v>0</x:v>
      </x:c>
      <x:c r="E2062" t="str">
        <x:v>Payment:50:3</x:v>
      </x:c>
      <x:c r="F2062" t="str">
        <x:f>IF(COUNTIF('01_orders_raw'!$A$2:$A$181,'03_payments_raw'!B50)&gt;1,"Неоднозначная связь","Нет связи")</x:f>
        <x:v>Нет связи</x:v>
      </x:c>
      <x:c r="G2062" t="str">
        <x:v>High</x:v>
      </x:c>
      <x:c r="H2062" t="str">
        <x:v>order_id</x:v>
      </x:c>
      <x:c r="I2062" t="str">
        <x:v>Исправить ссылку или разрешить дубли связанного ID</x:v>
      </x:c>
      <x:c r="J2062" t="n">
        <x:f>IF(D2062=1,K2062,0)</x:f>
        <x:v>0</x:v>
      </x:c>
      <x:c r="K2062" t="n">
        <x:f>D2062+K2061</x:f>
        <x:v>24</x:v>
      </x:c>
    </x:row>
    <x:row r="2063">
      <x:c r="A2063" t="str">
        <x:v>Payment</x:v>
      </x:c>
      <x:c r="B2063" t="str">
        <x:f>'04_checks'!B296</x:f>
        <x:v>P049</x:v>
      </x:c>
      <x:c r="C2063" t="n">
        <x:v>50</x:v>
      </x:c>
      <x:c r="D2063" t="n">
        <x:f>IF('04_checks'!F296="ERROR",1,0)</x:f>
        <x:v>0</x:v>
      </x:c>
      <x:c r="E2063" t="str">
        <x:v>Payment:50:4</x:v>
      </x:c>
      <x:c r="F2063" t="str">
        <x:v>Ошибка расчета</x:v>
      </x:c>
      <x:c r="G2063" t="str">
        <x:v>High</x:v>
      </x:c>
      <x:c r="H2063" t="str">
        <x:v>payment_sum</x:v>
      </x:c>
      <x:c r="I2063" t="str">
        <x:v>Сверить исходные значения и правило расчёта</x:v>
      </x:c>
      <x:c r="J2063" t="n">
        <x:f>IF(D2063=1,K2063,0)</x:f>
        <x:v>0</x:v>
      </x:c>
      <x:c r="K2063" t="n">
        <x:f>D2063+K2062</x:f>
        <x:v>24</x:v>
      </x:c>
    </x:row>
    <x:row r="2064">
      <x:c r="A2064" t="str">
        <x:v>Payment</x:v>
      </x:c>
      <x:c r="B2064" t="str">
        <x:f>'04_checks'!B296</x:f>
        <x:v>P049</x:v>
      </x:c>
      <x:c r="C2064" t="n">
        <x:v>50</x:v>
      </x:c>
      <x:c r="D2064" t="n">
        <x:f>IF('04_checks'!G296="ERROR",1,0)</x:f>
        <x:v>0</x:v>
      </x:c>
      <x:c r="E2064" t="str">
        <x:v>Payment:50:5</x:v>
      </x:c>
      <x:c r="F2064" t="str">
        <x:v>Отрицательная цена</x:v>
      </x:c>
      <x:c r="G2064" t="str">
        <x:v>High</x:v>
      </x:c>
      <x:c r="H2064" t="str">
        <x:v>N/A</x:v>
      </x:c>
      <x:c r="I2064" t="str">
        <x:v>Проверить цену в источнике</x:v>
      </x:c>
      <x:c r="J2064" t="n">
        <x:f>IF(D2064=1,K2064,0)</x:f>
        <x:v>0</x:v>
      </x:c>
      <x:c r="K2064" t="n">
        <x:f>D2064+K2063</x:f>
        <x:v>24</x:v>
      </x:c>
    </x:row>
    <x:row r="2065">
      <x:c r="A2065" t="str">
        <x:v>Payment</x:v>
      </x:c>
      <x:c r="B2065" t="str">
        <x:f>'04_checks'!B296</x:f>
        <x:v>P049</x:v>
      </x:c>
      <x:c r="C2065" t="n">
        <x:v>50</x:v>
      </x:c>
      <x:c r="D2065" t="n">
        <x:f>IF('04_checks'!H296="ERROR",1,0)</x:f>
        <x:v>0</x:v>
      </x:c>
      <x:c r="E2065" t="str">
        <x:v>Payment:50:6</x:v>
      </x:c>
      <x:c r="F2065" t="str">
        <x:v>Дата</x:v>
      </x:c>
      <x:c r="G2065" t="str">
        <x:v>Medium</x:v>
      </x:c>
      <x:c r="H2065" t="str">
        <x:v>payment_date</x:v>
      </x:c>
      <x:c r="I2065" t="str">
        <x:v>Сверить дату со срезом и исходной записью</x:v>
      </x:c>
      <x:c r="J2065" t="n">
        <x:f>IF(D2065=1,K2065,0)</x:f>
        <x:v>0</x:v>
      </x:c>
      <x:c r="K2065" t="n">
        <x:f>D2065+K2064</x:f>
        <x:v>24</x:v>
      </x:c>
    </x:row>
    <x:row r="2066">
      <x:c r="A2066" t="str">
        <x:v>Payment</x:v>
      </x:c>
      <x:c r="B2066" t="str">
        <x:f>'04_checks'!B296</x:f>
        <x:v>P049</x:v>
      </x:c>
      <x:c r="C2066" t="n">
        <x:v>50</x:v>
      </x:c>
      <x:c r="D2066" t="n">
        <x:f>IF('04_checks'!I296="ERROR",1,0)</x:f>
        <x:v>0</x:v>
      </x:c>
      <x:c r="E2066" t="str">
        <x:v>Payment:50:7</x:v>
      </x:c>
      <x:c r="F2066" t="str">
        <x:v>Статус</x:v>
      </x:c>
      <x:c r="G2066" t="str">
        <x:v>Medium</x:v>
      </x:c>
      <x:c r="H2066" t="str">
        <x:v>payment_status</x:v>
      </x:c>
      <x:c r="I2066" t="str">
        <x:v>Выбрать допустимый статус</x:v>
      </x:c>
      <x:c r="J2066" t="n">
        <x:f>IF(D2066=1,K2066,0)</x:f>
        <x:v>0</x:v>
      </x:c>
      <x:c r="K2066" t="n">
        <x:f>D2066+K2065</x:f>
        <x:v>24</x:v>
      </x:c>
    </x:row>
    <x:row r="2067">
      <x:c r="A2067" t="str">
        <x:v>Payment</x:v>
      </x:c>
      <x:c r="B2067" t="str">
        <x:f>'04_checks'!B297</x:f>
        <x:v>P050</x:v>
      </x:c>
      <x:c r="C2067" t="n">
        <x:v>51</x:v>
      </x:c>
      <x:c r="D2067" t="n">
        <x:f>IF('04_checks'!C297="ERROR",1,0)</x:f>
        <x:v>0</x:v>
      </x:c>
      <x:c r="E2067" t="str">
        <x:v>Payment:51:1</x:v>
      </x:c>
      <x:c r="F2067" t="str">
        <x:v>Дубль</x:v>
      </x:c>
      <x:c r="G2067" t="str">
        <x:v>High</x:v>
      </x:c>
      <x:c r="H2067" t="str">
        <x:v>payment_id</x:v>
      </x:c>
      <x:c r="I2067" t="str">
        <x:v>Проверить уникальность ID в источнике; не удалять записи автоматически</x:v>
      </x:c>
      <x:c r="J2067" t="n">
        <x:f>IF(D2067=1,K2067,0)</x:f>
        <x:v>0</x:v>
      </x:c>
      <x:c r="K2067" t="n">
        <x:f>D2067+K2066</x:f>
        <x:v>24</x:v>
      </x:c>
    </x:row>
    <x:row r="2068">
      <x:c r="A2068" t="str">
        <x:v>Payment</x:v>
      </x:c>
      <x:c r="B2068" t="str">
        <x:f>'04_checks'!B297</x:f>
        <x:v>P050</x:v>
      </x:c>
      <x:c r="C2068" t="n">
        <x:v>51</x:v>
      </x:c>
      <x:c r="D2068" t="n">
        <x:f>IF('04_checks'!D297="ERROR",1,0)</x:f>
        <x:v>0</x:v>
      </x:c>
      <x:c r="E2068" t="str">
        <x:v>Payment:51:2</x:v>
      </x:c>
      <x:c r="F2068" t="str">
        <x:v>Пустое поле</x:v>
      </x:c>
      <x:c r="G2068" t="str">
        <x:v>High</x:v>
      </x:c>
      <x:c r="H2068" t="str">
        <x:v>required_fields</x:v>
      </x:c>
      <x:c r="I2068" t="str">
        <x:v>Дополнить обязательные поля в источнике</x:v>
      </x:c>
      <x:c r="J2068" t="n">
        <x:f>IF(D2068=1,K2068,0)</x:f>
        <x:v>0</x:v>
      </x:c>
      <x:c r="K2068" t="n">
        <x:f>D2068+K2067</x:f>
        <x:v>24</x:v>
      </x:c>
    </x:row>
    <x:row r="2069">
      <x:c r="A2069" t="str">
        <x:v>Payment</x:v>
      </x:c>
      <x:c r="B2069" t="str">
        <x:f>'04_checks'!B297</x:f>
        <x:v>P050</x:v>
      </x:c>
      <x:c r="C2069" t="n">
        <x:v>51</x:v>
      </x:c>
      <x:c r="D2069" t="n">
        <x:f>IF('04_checks'!E297="ERROR",1,0)</x:f>
        <x:v>1</x:v>
      </x:c>
      <x:c r="E2069" t="str">
        <x:v>Payment:51:3</x:v>
      </x:c>
      <x:c r="F2069" t="str">
        <x:f>IF(COUNTIF('01_orders_raw'!$A$2:$A$181,'03_payments_raw'!B51)&gt;1,"Неоднозначная связь","Нет связи")</x:f>
        <x:v>Неоднозначная связь</x:v>
      </x:c>
      <x:c r="G2069" t="str">
        <x:v>High</x:v>
      </x:c>
      <x:c r="H2069" t="str">
        <x:v>order_id</x:v>
      </x:c>
      <x:c r="I2069" t="str">
        <x:v>Исправить ссылку или разрешить дубли связанного ID</x:v>
      </x:c>
      <x:c r="J2069" t="n">
        <x:f>IF(D2069=1,K2069,0)</x:f>
        <x:v>25</x:v>
      </x:c>
      <x:c r="K2069" t="n">
        <x:f>D2069+K2068</x:f>
        <x:v>25</x:v>
      </x:c>
    </x:row>
    <x:row r="2070">
      <x:c r="A2070" t="str">
        <x:v>Payment</x:v>
      </x:c>
      <x:c r="B2070" t="str">
        <x:f>'04_checks'!B297</x:f>
        <x:v>P050</x:v>
      </x:c>
      <x:c r="C2070" t="n">
        <x:v>51</x:v>
      </x:c>
      <x:c r="D2070" t="n">
        <x:f>IF('04_checks'!F297="ERROR",1,0)</x:f>
        <x:v>0</x:v>
      </x:c>
      <x:c r="E2070" t="str">
        <x:v>Payment:51:4</x:v>
      </x:c>
      <x:c r="F2070" t="str">
        <x:v>Ошибка расчета</x:v>
      </x:c>
      <x:c r="G2070" t="str">
        <x:v>High</x:v>
      </x:c>
      <x:c r="H2070" t="str">
        <x:v>payment_sum</x:v>
      </x:c>
      <x:c r="I2070" t="str">
        <x:v>Сверить исходные значения и правило расчёта</x:v>
      </x:c>
      <x:c r="J2070" t="n">
        <x:f>IF(D2070=1,K2070,0)</x:f>
        <x:v>0</x:v>
      </x:c>
      <x:c r="K2070" t="n">
        <x:f>D2070+K2069</x:f>
        <x:v>25</x:v>
      </x:c>
    </x:row>
    <x:row r="2071">
      <x:c r="A2071" t="str">
        <x:v>Payment</x:v>
      </x:c>
      <x:c r="B2071" t="str">
        <x:f>'04_checks'!B297</x:f>
        <x:v>P050</x:v>
      </x:c>
      <x:c r="C2071" t="n">
        <x:v>51</x:v>
      </x:c>
      <x:c r="D2071" t="n">
        <x:f>IF('04_checks'!G297="ERROR",1,0)</x:f>
        <x:v>0</x:v>
      </x:c>
      <x:c r="E2071" t="str">
        <x:v>Payment:51:5</x:v>
      </x:c>
      <x:c r="F2071" t="str">
        <x:v>Отрицательная цена</x:v>
      </x:c>
      <x:c r="G2071" t="str">
        <x:v>High</x:v>
      </x:c>
      <x:c r="H2071" t="str">
        <x:v>N/A</x:v>
      </x:c>
      <x:c r="I2071" t="str">
        <x:v>Проверить цену в источнике</x:v>
      </x:c>
      <x:c r="J2071" t="n">
        <x:f>IF(D2071=1,K2071,0)</x:f>
        <x:v>0</x:v>
      </x:c>
      <x:c r="K2071" t="n">
        <x:f>D2071+K2070</x:f>
        <x:v>25</x:v>
      </x:c>
    </x:row>
    <x:row r="2072">
      <x:c r="A2072" t="str">
        <x:v>Payment</x:v>
      </x:c>
      <x:c r="B2072" t="str">
        <x:f>'04_checks'!B297</x:f>
        <x:v>P050</x:v>
      </x:c>
      <x:c r="C2072" t="n">
        <x:v>51</x:v>
      </x:c>
      <x:c r="D2072" t="n">
        <x:f>IF('04_checks'!H297="ERROR",1,0)</x:f>
        <x:v>0</x:v>
      </x:c>
      <x:c r="E2072" t="str">
        <x:v>Payment:51:6</x:v>
      </x:c>
      <x:c r="F2072" t="str">
        <x:v>Дата</x:v>
      </x:c>
      <x:c r="G2072" t="str">
        <x:v>Medium</x:v>
      </x:c>
      <x:c r="H2072" t="str">
        <x:v>payment_date</x:v>
      </x:c>
      <x:c r="I2072" t="str">
        <x:v>Сверить дату со срезом и исходной записью</x:v>
      </x:c>
      <x:c r="J2072" t="n">
        <x:f>IF(D2072=1,K2072,0)</x:f>
        <x:v>0</x:v>
      </x:c>
      <x:c r="K2072" t="n">
        <x:f>D2072+K2071</x:f>
        <x:v>25</x:v>
      </x:c>
    </x:row>
    <x:row r="2073">
      <x:c r="A2073" t="str">
        <x:v>Payment</x:v>
      </x:c>
      <x:c r="B2073" t="str">
        <x:f>'04_checks'!B297</x:f>
        <x:v>P050</x:v>
      </x:c>
      <x:c r="C2073" t="n">
        <x:v>51</x:v>
      </x:c>
      <x:c r="D2073" t="n">
        <x:f>IF('04_checks'!I297="ERROR",1,0)</x:f>
        <x:v>0</x:v>
      </x:c>
      <x:c r="E2073" t="str">
        <x:v>Payment:51:7</x:v>
      </x:c>
      <x:c r="F2073" t="str">
        <x:v>Статус</x:v>
      </x:c>
      <x:c r="G2073" t="str">
        <x:v>Medium</x:v>
      </x:c>
      <x:c r="H2073" t="str">
        <x:v>payment_status</x:v>
      </x:c>
      <x:c r="I2073" t="str">
        <x:v>Выбрать допустимый статус</x:v>
      </x:c>
      <x:c r="J2073" t="n">
        <x:f>IF(D2073=1,K2073,0)</x:f>
        <x:v>0</x:v>
      </x:c>
      <x:c r="K2073" t="n">
        <x:f>D2073+K2072</x:f>
        <x:v>25</x:v>
      </x:c>
    </x:row>
    <x:row r="2074">
      <x:c r="A2074" t="str">
        <x:v>Payment</x:v>
      </x:c>
      <x:c r="B2074" t="str">
        <x:f>'04_checks'!B298</x:f>
        <x:v>P051</x:v>
      </x:c>
      <x:c r="C2074" t="n">
        <x:v>52</x:v>
      </x:c>
      <x:c r="D2074" t="n">
        <x:f>IF('04_checks'!C298="ERROR",1,0)</x:f>
        <x:v>0</x:v>
      </x:c>
      <x:c r="E2074" t="str">
        <x:v>Payment:52:1</x:v>
      </x:c>
      <x:c r="F2074" t="str">
        <x:v>Дубль</x:v>
      </x:c>
      <x:c r="G2074" t="str">
        <x:v>High</x:v>
      </x:c>
      <x:c r="H2074" t="str">
        <x:v>payment_id</x:v>
      </x:c>
      <x:c r="I2074" t="str">
        <x:v>Проверить уникальность ID в источнике; не удалять записи автоматически</x:v>
      </x:c>
      <x:c r="J2074" t="n">
        <x:f>IF(D2074=1,K2074,0)</x:f>
        <x:v>0</x:v>
      </x:c>
      <x:c r="K2074" t="n">
        <x:f>D2074+K2073</x:f>
        <x:v>25</x:v>
      </x:c>
    </x:row>
    <x:row r="2075">
      <x:c r="A2075" t="str">
        <x:v>Payment</x:v>
      </x:c>
      <x:c r="B2075" t="str">
        <x:f>'04_checks'!B298</x:f>
        <x:v>P051</x:v>
      </x:c>
      <x:c r="C2075" t="n">
        <x:v>52</x:v>
      </x:c>
      <x:c r="D2075" t="n">
        <x:f>IF('04_checks'!D298="ERROR",1,0)</x:f>
        <x:v>0</x:v>
      </x:c>
      <x:c r="E2075" t="str">
        <x:v>Payment:52:2</x:v>
      </x:c>
      <x:c r="F2075" t="str">
        <x:v>Пустое поле</x:v>
      </x:c>
      <x:c r="G2075" t="str">
        <x:v>High</x:v>
      </x:c>
      <x:c r="H2075" t="str">
        <x:v>required_fields</x:v>
      </x:c>
      <x:c r="I2075" t="str">
        <x:v>Дополнить обязательные поля в источнике</x:v>
      </x:c>
      <x:c r="J2075" t="n">
        <x:f>IF(D2075=1,K2075,0)</x:f>
        <x:v>0</x:v>
      </x:c>
      <x:c r="K2075" t="n">
        <x:f>D2075+K2074</x:f>
        <x:v>25</x:v>
      </x:c>
    </x:row>
    <x:row r="2076">
      <x:c r="A2076" t="str">
        <x:v>Payment</x:v>
      </x:c>
      <x:c r="B2076" t="str">
        <x:f>'04_checks'!B298</x:f>
        <x:v>P051</x:v>
      </x:c>
      <x:c r="C2076" t="n">
        <x:v>52</x:v>
      </x:c>
      <x:c r="D2076" t="n">
        <x:f>IF('04_checks'!E298="ERROR",1,0)</x:f>
        <x:v>0</x:v>
      </x:c>
      <x:c r="E2076" t="str">
        <x:v>Payment:52:3</x:v>
      </x:c>
      <x:c r="F2076" t="str">
        <x:f>IF(COUNTIF('01_orders_raw'!$A$2:$A$181,'03_payments_raw'!B52)&gt;1,"Неоднозначная связь","Нет связи")</x:f>
        <x:v>Нет связи</x:v>
      </x:c>
      <x:c r="G2076" t="str">
        <x:v>High</x:v>
      </x:c>
      <x:c r="H2076" t="str">
        <x:v>order_id</x:v>
      </x:c>
      <x:c r="I2076" t="str">
        <x:v>Исправить ссылку или разрешить дубли связанного ID</x:v>
      </x:c>
      <x:c r="J2076" t="n">
        <x:f>IF(D2076=1,K2076,0)</x:f>
        <x:v>0</x:v>
      </x:c>
      <x:c r="K2076" t="n">
        <x:f>D2076+K2075</x:f>
        <x:v>25</x:v>
      </x:c>
    </x:row>
    <x:row r="2077">
      <x:c r="A2077" t="str">
        <x:v>Payment</x:v>
      </x:c>
      <x:c r="B2077" t="str">
        <x:f>'04_checks'!B298</x:f>
        <x:v>P051</x:v>
      </x:c>
      <x:c r="C2077" t="n">
        <x:v>52</x:v>
      </x:c>
      <x:c r="D2077" t="n">
        <x:f>IF('04_checks'!F298="ERROR",1,0)</x:f>
        <x:v>0</x:v>
      </x:c>
      <x:c r="E2077" t="str">
        <x:v>Payment:52:4</x:v>
      </x:c>
      <x:c r="F2077" t="str">
        <x:v>Ошибка расчета</x:v>
      </x:c>
      <x:c r="G2077" t="str">
        <x:v>High</x:v>
      </x:c>
      <x:c r="H2077" t="str">
        <x:v>payment_sum</x:v>
      </x:c>
      <x:c r="I2077" t="str">
        <x:v>Сверить исходные значения и правило расчёта</x:v>
      </x:c>
      <x:c r="J2077" t="n">
        <x:f>IF(D2077=1,K2077,0)</x:f>
        <x:v>0</x:v>
      </x:c>
      <x:c r="K2077" t="n">
        <x:f>D2077+K2076</x:f>
        <x:v>25</x:v>
      </x:c>
    </x:row>
    <x:row r="2078">
      <x:c r="A2078" t="str">
        <x:v>Payment</x:v>
      </x:c>
      <x:c r="B2078" t="str">
        <x:f>'04_checks'!B298</x:f>
        <x:v>P051</x:v>
      </x:c>
      <x:c r="C2078" t="n">
        <x:v>52</x:v>
      </x:c>
      <x:c r="D2078" t="n">
        <x:f>IF('04_checks'!G298="ERROR",1,0)</x:f>
        <x:v>0</x:v>
      </x:c>
      <x:c r="E2078" t="str">
        <x:v>Payment:52:5</x:v>
      </x:c>
      <x:c r="F2078" t="str">
        <x:v>Отрицательная цена</x:v>
      </x:c>
      <x:c r="G2078" t="str">
        <x:v>High</x:v>
      </x:c>
      <x:c r="H2078" t="str">
        <x:v>N/A</x:v>
      </x:c>
      <x:c r="I2078" t="str">
        <x:v>Проверить цену в источнике</x:v>
      </x:c>
      <x:c r="J2078" t="n">
        <x:f>IF(D2078=1,K2078,0)</x:f>
        <x:v>0</x:v>
      </x:c>
      <x:c r="K2078" t="n">
        <x:f>D2078+K2077</x:f>
        <x:v>25</x:v>
      </x:c>
    </x:row>
    <x:row r="2079">
      <x:c r="A2079" t="str">
        <x:v>Payment</x:v>
      </x:c>
      <x:c r="B2079" t="str">
        <x:f>'04_checks'!B298</x:f>
        <x:v>P051</x:v>
      </x:c>
      <x:c r="C2079" t="n">
        <x:v>52</x:v>
      </x:c>
      <x:c r="D2079" t="n">
        <x:f>IF('04_checks'!H298="ERROR",1,0)</x:f>
        <x:v>0</x:v>
      </x:c>
      <x:c r="E2079" t="str">
        <x:v>Payment:52:6</x:v>
      </x:c>
      <x:c r="F2079" t="str">
        <x:v>Дата</x:v>
      </x:c>
      <x:c r="G2079" t="str">
        <x:v>Medium</x:v>
      </x:c>
      <x:c r="H2079" t="str">
        <x:v>payment_date</x:v>
      </x:c>
      <x:c r="I2079" t="str">
        <x:v>Сверить дату со срезом и исходной записью</x:v>
      </x:c>
      <x:c r="J2079" t="n">
        <x:f>IF(D2079=1,K2079,0)</x:f>
        <x:v>0</x:v>
      </x:c>
      <x:c r="K2079" t="n">
        <x:f>D2079+K2078</x:f>
        <x:v>25</x:v>
      </x:c>
    </x:row>
    <x:row r="2080">
      <x:c r="A2080" t="str">
        <x:v>Payment</x:v>
      </x:c>
      <x:c r="B2080" t="str">
        <x:f>'04_checks'!B298</x:f>
        <x:v>P051</x:v>
      </x:c>
      <x:c r="C2080" t="n">
        <x:v>52</x:v>
      </x:c>
      <x:c r="D2080" t="n">
        <x:f>IF('04_checks'!I298="ERROR",1,0)</x:f>
        <x:v>0</x:v>
      </x:c>
      <x:c r="E2080" t="str">
        <x:v>Payment:52:7</x:v>
      </x:c>
      <x:c r="F2080" t="str">
        <x:v>Статус</x:v>
      </x:c>
      <x:c r="G2080" t="str">
        <x:v>Medium</x:v>
      </x:c>
      <x:c r="H2080" t="str">
        <x:v>payment_status</x:v>
      </x:c>
      <x:c r="I2080" t="str">
        <x:v>Выбрать допустимый статус</x:v>
      </x:c>
      <x:c r="J2080" t="n">
        <x:f>IF(D2080=1,K2080,0)</x:f>
        <x:v>0</x:v>
      </x:c>
      <x:c r="K2080" t="n">
        <x:f>D2080+K2079</x:f>
        <x:v>25</x:v>
      </x:c>
    </x:row>
    <x:row r="2081">
      <x:c r="A2081" t="str">
        <x:v>Payment</x:v>
      </x:c>
      <x:c r="B2081" t="str">
        <x:f>'04_checks'!B299</x:f>
        <x:v>P052</x:v>
      </x:c>
      <x:c r="C2081" t="n">
        <x:v>53</x:v>
      </x:c>
      <x:c r="D2081" t="n">
        <x:f>IF('04_checks'!C299="ERROR",1,0)</x:f>
        <x:v>0</x:v>
      </x:c>
      <x:c r="E2081" t="str">
        <x:v>Payment:53:1</x:v>
      </x:c>
      <x:c r="F2081" t="str">
        <x:v>Дубль</x:v>
      </x:c>
      <x:c r="G2081" t="str">
        <x:v>High</x:v>
      </x:c>
      <x:c r="H2081" t="str">
        <x:v>payment_id</x:v>
      </x:c>
      <x:c r="I2081" t="str">
        <x:v>Проверить уникальность ID в источнике; не удалять записи автоматически</x:v>
      </x:c>
      <x:c r="J2081" t="n">
        <x:f>IF(D2081=1,K2081,0)</x:f>
        <x:v>0</x:v>
      </x:c>
      <x:c r="K2081" t="n">
        <x:f>D2081+K2080</x:f>
        <x:v>25</x:v>
      </x:c>
    </x:row>
    <x:row r="2082">
      <x:c r="A2082" t="str">
        <x:v>Payment</x:v>
      </x:c>
      <x:c r="B2082" t="str">
        <x:f>'04_checks'!B299</x:f>
        <x:v>P052</x:v>
      </x:c>
      <x:c r="C2082" t="n">
        <x:v>53</x:v>
      </x:c>
      <x:c r="D2082" t="n">
        <x:f>IF('04_checks'!D299="ERROR",1,0)</x:f>
        <x:v>0</x:v>
      </x:c>
      <x:c r="E2082" t="str">
        <x:v>Payment:53:2</x:v>
      </x:c>
      <x:c r="F2082" t="str">
        <x:v>Пустое поле</x:v>
      </x:c>
      <x:c r="G2082" t="str">
        <x:v>High</x:v>
      </x:c>
      <x:c r="H2082" t="str">
        <x:v>required_fields</x:v>
      </x:c>
      <x:c r="I2082" t="str">
        <x:v>Дополнить обязательные поля в источнике</x:v>
      </x:c>
      <x:c r="J2082" t="n">
        <x:f>IF(D2082=1,K2082,0)</x:f>
        <x:v>0</x:v>
      </x:c>
      <x:c r="K2082" t="n">
        <x:f>D2082+K2081</x:f>
        <x:v>25</x:v>
      </x:c>
    </x:row>
    <x:row r="2083">
      <x:c r="A2083" t="str">
        <x:v>Payment</x:v>
      </x:c>
      <x:c r="B2083" t="str">
        <x:f>'04_checks'!B299</x:f>
        <x:v>P052</x:v>
      </x:c>
      <x:c r="C2083" t="n">
        <x:v>53</x:v>
      </x:c>
      <x:c r="D2083" t="n">
        <x:f>IF('04_checks'!E299="ERROR",1,0)</x:f>
        <x:v>0</x:v>
      </x:c>
      <x:c r="E2083" t="str">
        <x:v>Payment:53:3</x:v>
      </x:c>
      <x:c r="F2083" t="str">
        <x:f>IF(COUNTIF('01_orders_raw'!$A$2:$A$181,'03_payments_raw'!B53)&gt;1,"Неоднозначная связь","Нет связи")</x:f>
        <x:v>Нет связи</x:v>
      </x:c>
      <x:c r="G2083" t="str">
        <x:v>High</x:v>
      </x:c>
      <x:c r="H2083" t="str">
        <x:v>order_id</x:v>
      </x:c>
      <x:c r="I2083" t="str">
        <x:v>Исправить ссылку или разрешить дубли связанного ID</x:v>
      </x:c>
      <x:c r="J2083" t="n">
        <x:f>IF(D2083=1,K2083,0)</x:f>
        <x:v>0</x:v>
      </x:c>
      <x:c r="K2083" t="n">
        <x:f>D2083+K2082</x:f>
        <x:v>25</x:v>
      </x:c>
    </x:row>
    <x:row r="2084">
      <x:c r="A2084" t="str">
        <x:v>Payment</x:v>
      </x:c>
      <x:c r="B2084" t="str">
        <x:f>'04_checks'!B299</x:f>
        <x:v>P052</x:v>
      </x:c>
      <x:c r="C2084" t="n">
        <x:v>53</x:v>
      </x:c>
      <x:c r="D2084" t="n">
        <x:f>IF('04_checks'!F299="ERROR",1,0)</x:f>
        <x:v>0</x:v>
      </x:c>
      <x:c r="E2084" t="str">
        <x:v>Payment:53:4</x:v>
      </x:c>
      <x:c r="F2084" t="str">
        <x:v>Ошибка расчета</x:v>
      </x:c>
      <x:c r="G2084" t="str">
        <x:v>High</x:v>
      </x:c>
      <x:c r="H2084" t="str">
        <x:v>payment_sum</x:v>
      </x:c>
      <x:c r="I2084" t="str">
        <x:v>Сверить исходные значения и правило расчёта</x:v>
      </x:c>
      <x:c r="J2084" t="n">
        <x:f>IF(D2084=1,K2084,0)</x:f>
        <x:v>0</x:v>
      </x:c>
      <x:c r="K2084" t="n">
        <x:f>D2084+K2083</x:f>
        <x:v>25</x:v>
      </x:c>
    </x:row>
    <x:row r="2085">
      <x:c r="A2085" t="str">
        <x:v>Payment</x:v>
      </x:c>
      <x:c r="B2085" t="str">
        <x:f>'04_checks'!B299</x:f>
        <x:v>P052</x:v>
      </x:c>
      <x:c r="C2085" t="n">
        <x:v>53</x:v>
      </x:c>
      <x:c r="D2085" t="n">
        <x:f>IF('04_checks'!G299="ERROR",1,0)</x:f>
        <x:v>0</x:v>
      </x:c>
      <x:c r="E2085" t="str">
        <x:v>Payment:53:5</x:v>
      </x:c>
      <x:c r="F2085" t="str">
        <x:v>Отрицательная цена</x:v>
      </x:c>
      <x:c r="G2085" t="str">
        <x:v>High</x:v>
      </x:c>
      <x:c r="H2085" t="str">
        <x:v>N/A</x:v>
      </x:c>
      <x:c r="I2085" t="str">
        <x:v>Проверить цену в источнике</x:v>
      </x:c>
      <x:c r="J2085" t="n">
        <x:f>IF(D2085=1,K2085,0)</x:f>
        <x:v>0</x:v>
      </x:c>
      <x:c r="K2085" t="n">
        <x:f>D2085+K2084</x:f>
        <x:v>25</x:v>
      </x:c>
    </x:row>
    <x:row r="2086">
      <x:c r="A2086" t="str">
        <x:v>Payment</x:v>
      </x:c>
      <x:c r="B2086" t="str">
        <x:f>'04_checks'!B299</x:f>
        <x:v>P052</x:v>
      </x:c>
      <x:c r="C2086" t="n">
        <x:v>53</x:v>
      </x:c>
      <x:c r="D2086" t="n">
        <x:f>IF('04_checks'!H299="ERROR",1,0)</x:f>
        <x:v>0</x:v>
      </x:c>
      <x:c r="E2086" t="str">
        <x:v>Payment:53:6</x:v>
      </x:c>
      <x:c r="F2086" t="str">
        <x:v>Дата</x:v>
      </x:c>
      <x:c r="G2086" t="str">
        <x:v>Medium</x:v>
      </x:c>
      <x:c r="H2086" t="str">
        <x:v>payment_date</x:v>
      </x:c>
      <x:c r="I2086" t="str">
        <x:v>Сверить дату со срезом и исходной записью</x:v>
      </x:c>
      <x:c r="J2086" t="n">
        <x:f>IF(D2086=1,K2086,0)</x:f>
        <x:v>0</x:v>
      </x:c>
      <x:c r="K2086" t="n">
        <x:f>D2086+K2085</x:f>
        <x:v>25</x:v>
      </x:c>
    </x:row>
    <x:row r="2087">
      <x:c r="A2087" t="str">
        <x:v>Payment</x:v>
      </x:c>
      <x:c r="B2087" t="str">
        <x:f>'04_checks'!B299</x:f>
        <x:v>P052</x:v>
      </x:c>
      <x:c r="C2087" t="n">
        <x:v>53</x:v>
      </x:c>
      <x:c r="D2087" t="n">
        <x:f>IF('04_checks'!I299="ERROR",1,0)</x:f>
        <x:v>0</x:v>
      </x:c>
      <x:c r="E2087" t="str">
        <x:v>Payment:53:7</x:v>
      </x:c>
      <x:c r="F2087" t="str">
        <x:v>Статус</x:v>
      </x:c>
      <x:c r="G2087" t="str">
        <x:v>Medium</x:v>
      </x:c>
      <x:c r="H2087" t="str">
        <x:v>payment_status</x:v>
      </x:c>
      <x:c r="I2087" t="str">
        <x:v>Выбрать допустимый статус</x:v>
      </x:c>
      <x:c r="J2087" t="n">
        <x:f>IF(D2087=1,K2087,0)</x:f>
        <x:v>0</x:v>
      </x:c>
      <x:c r="K2087" t="n">
        <x:f>D2087+K2086</x:f>
        <x:v>25</x:v>
      </x:c>
    </x:row>
    <x:row r="2088">
      <x:c r="A2088" t="str">
        <x:v>Payment</x:v>
      </x:c>
      <x:c r="B2088" t="str">
        <x:f>'04_checks'!B300</x:f>
        <x:v>P053</x:v>
      </x:c>
      <x:c r="C2088" t="n">
        <x:v>54</x:v>
      </x:c>
      <x:c r="D2088" t="n">
        <x:f>IF('04_checks'!C300="ERROR",1,0)</x:f>
        <x:v>0</x:v>
      </x:c>
      <x:c r="E2088" t="str">
        <x:v>Payment:54:1</x:v>
      </x:c>
      <x:c r="F2088" t="str">
        <x:v>Дубль</x:v>
      </x:c>
      <x:c r="G2088" t="str">
        <x:v>High</x:v>
      </x:c>
      <x:c r="H2088" t="str">
        <x:v>payment_id</x:v>
      </x:c>
      <x:c r="I2088" t="str">
        <x:v>Проверить уникальность ID в источнике; не удалять записи автоматически</x:v>
      </x:c>
      <x:c r="J2088" t="n">
        <x:f>IF(D2088=1,K2088,0)</x:f>
        <x:v>0</x:v>
      </x:c>
      <x:c r="K2088" t="n">
        <x:f>D2088+K2087</x:f>
        <x:v>25</x:v>
      </x:c>
    </x:row>
    <x:row r="2089">
      <x:c r="A2089" t="str">
        <x:v>Payment</x:v>
      </x:c>
      <x:c r="B2089" t="str">
        <x:f>'04_checks'!B300</x:f>
        <x:v>P053</x:v>
      </x:c>
      <x:c r="C2089" t="n">
        <x:v>54</x:v>
      </x:c>
      <x:c r="D2089" t="n">
        <x:f>IF('04_checks'!D300="ERROR",1,0)</x:f>
        <x:v>0</x:v>
      </x:c>
      <x:c r="E2089" t="str">
        <x:v>Payment:54:2</x:v>
      </x:c>
      <x:c r="F2089" t="str">
        <x:v>Пустое поле</x:v>
      </x:c>
      <x:c r="G2089" t="str">
        <x:v>High</x:v>
      </x:c>
      <x:c r="H2089" t="str">
        <x:v>required_fields</x:v>
      </x:c>
      <x:c r="I2089" t="str">
        <x:v>Дополнить обязательные поля в источнике</x:v>
      </x:c>
      <x:c r="J2089" t="n">
        <x:f>IF(D2089=1,K2089,0)</x:f>
        <x:v>0</x:v>
      </x:c>
      <x:c r="K2089" t="n">
        <x:f>D2089+K2088</x:f>
        <x:v>25</x:v>
      </x:c>
    </x:row>
    <x:row r="2090">
      <x:c r="A2090" t="str">
        <x:v>Payment</x:v>
      </x:c>
      <x:c r="B2090" t="str">
        <x:f>'04_checks'!B300</x:f>
        <x:v>P053</x:v>
      </x:c>
      <x:c r="C2090" t="n">
        <x:v>54</x:v>
      </x:c>
      <x:c r="D2090" t="n">
        <x:f>IF('04_checks'!E300="ERROR",1,0)</x:f>
        <x:v>0</x:v>
      </x:c>
      <x:c r="E2090" t="str">
        <x:v>Payment:54:3</x:v>
      </x:c>
      <x:c r="F2090" t="str">
        <x:f>IF(COUNTIF('01_orders_raw'!$A$2:$A$181,'03_payments_raw'!B54)&gt;1,"Неоднозначная связь","Нет связи")</x:f>
        <x:v>Нет связи</x:v>
      </x:c>
      <x:c r="G2090" t="str">
        <x:v>High</x:v>
      </x:c>
      <x:c r="H2090" t="str">
        <x:v>order_id</x:v>
      </x:c>
      <x:c r="I2090" t="str">
        <x:v>Исправить ссылку или разрешить дубли связанного ID</x:v>
      </x:c>
      <x:c r="J2090" t="n">
        <x:f>IF(D2090=1,K2090,0)</x:f>
        <x:v>0</x:v>
      </x:c>
      <x:c r="K2090" t="n">
        <x:f>D2090+K2089</x:f>
        <x:v>25</x:v>
      </x:c>
    </x:row>
    <x:row r="2091">
      <x:c r="A2091" t="str">
        <x:v>Payment</x:v>
      </x:c>
      <x:c r="B2091" t="str">
        <x:f>'04_checks'!B300</x:f>
        <x:v>P053</x:v>
      </x:c>
      <x:c r="C2091" t="n">
        <x:v>54</x:v>
      </x:c>
      <x:c r="D2091" t="n">
        <x:f>IF('04_checks'!F300="ERROR",1,0)</x:f>
        <x:v>0</x:v>
      </x:c>
      <x:c r="E2091" t="str">
        <x:v>Payment:54:4</x:v>
      </x:c>
      <x:c r="F2091" t="str">
        <x:v>Ошибка расчета</x:v>
      </x:c>
      <x:c r="G2091" t="str">
        <x:v>High</x:v>
      </x:c>
      <x:c r="H2091" t="str">
        <x:v>payment_sum</x:v>
      </x:c>
      <x:c r="I2091" t="str">
        <x:v>Сверить исходные значения и правило расчёта</x:v>
      </x:c>
      <x:c r="J2091" t="n">
        <x:f>IF(D2091=1,K2091,0)</x:f>
        <x:v>0</x:v>
      </x:c>
      <x:c r="K2091" t="n">
        <x:f>D2091+K2090</x:f>
        <x:v>25</x:v>
      </x:c>
    </x:row>
    <x:row r="2092">
      <x:c r="A2092" t="str">
        <x:v>Payment</x:v>
      </x:c>
      <x:c r="B2092" t="str">
        <x:f>'04_checks'!B300</x:f>
        <x:v>P053</x:v>
      </x:c>
      <x:c r="C2092" t="n">
        <x:v>54</x:v>
      </x:c>
      <x:c r="D2092" t="n">
        <x:f>IF('04_checks'!G300="ERROR",1,0)</x:f>
        <x:v>0</x:v>
      </x:c>
      <x:c r="E2092" t="str">
        <x:v>Payment:54:5</x:v>
      </x:c>
      <x:c r="F2092" t="str">
        <x:v>Отрицательная цена</x:v>
      </x:c>
      <x:c r="G2092" t="str">
        <x:v>High</x:v>
      </x:c>
      <x:c r="H2092" t="str">
        <x:v>N/A</x:v>
      </x:c>
      <x:c r="I2092" t="str">
        <x:v>Проверить цену в источнике</x:v>
      </x:c>
      <x:c r="J2092" t="n">
        <x:f>IF(D2092=1,K2092,0)</x:f>
        <x:v>0</x:v>
      </x:c>
      <x:c r="K2092" t="n">
        <x:f>D2092+K2091</x:f>
        <x:v>25</x:v>
      </x:c>
    </x:row>
    <x:row r="2093">
      <x:c r="A2093" t="str">
        <x:v>Payment</x:v>
      </x:c>
      <x:c r="B2093" t="str">
        <x:f>'04_checks'!B300</x:f>
        <x:v>P053</x:v>
      </x:c>
      <x:c r="C2093" t="n">
        <x:v>54</x:v>
      </x:c>
      <x:c r="D2093" t="n">
        <x:f>IF('04_checks'!H300="ERROR",1,0)</x:f>
        <x:v>0</x:v>
      </x:c>
      <x:c r="E2093" t="str">
        <x:v>Payment:54:6</x:v>
      </x:c>
      <x:c r="F2093" t="str">
        <x:v>Дата</x:v>
      </x:c>
      <x:c r="G2093" t="str">
        <x:v>Medium</x:v>
      </x:c>
      <x:c r="H2093" t="str">
        <x:v>payment_date</x:v>
      </x:c>
      <x:c r="I2093" t="str">
        <x:v>Сверить дату со срезом и исходной записью</x:v>
      </x:c>
      <x:c r="J2093" t="n">
        <x:f>IF(D2093=1,K2093,0)</x:f>
        <x:v>0</x:v>
      </x:c>
      <x:c r="K2093" t="n">
        <x:f>D2093+K2092</x:f>
        <x:v>25</x:v>
      </x:c>
    </x:row>
    <x:row r="2094">
      <x:c r="A2094" t="str">
        <x:v>Payment</x:v>
      </x:c>
      <x:c r="B2094" t="str">
        <x:f>'04_checks'!B300</x:f>
        <x:v>P053</x:v>
      </x:c>
      <x:c r="C2094" t="n">
        <x:v>54</x:v>
      </x:c>
      <x:c r="D2094" t="n">
        <x:f>IF('04_checks'!I300="ERROR",1,0)</x:f>
        <x:v>0</x:v>
      </x:c>
      <x:c r="E2094" t="str">
        <x:v>Payment:54:7</x:v>
      </x:c>
      <x:c r="F2094" t="str">
        <x:v>Статус</x:v>
      </x:c>
      <x:c r="G2094" t="str">
        <x:v>Medium</x:v>
      </x:c>
      <x:c r="H2094" t="str">
        <x:v>payment_status</x:v>
      </x:c>
      <x:c r="I2094" t="str">
        <x:v>Выбрать допустимый статус</x:v>
      </x:c>
      <x:c r="J2094" t="n">
        <x:f>IF(D2094=1,K2094,0)</x:f>
        <x:v>0</x:v>
      </x:c>
      <x:c r="K2094" t="n">
        <x:f>D2094+K2093</x:f>
        <x:v>25</x:v>
      </x:c>
    </x:row>
    <x:row r="2095">
      <x:c r="A2095" t="str">
        <x:v>Payment</x:v>
      </x:c>
      <x:c r="B2095" t="str">
        <x:f>'04_checks'!B301</x:f>
        <x:v>P054</x:v>
      </x:c>
      <x:c r="C2095" t="n">
        <x:v>55</x:v>
      </x:c>
      <x:c r="D2095" t="n">
        <x:f>IF('04_checks'!C301="ERROR",1,0)</x:f>
        <x:v>0</x:v>
      </x:c>
      <x:c r="E2095" t="str">
        <x:v>Payment:55:1</x:v>
      </x:c>
      <x:c r="F2095" t="str">
        <x:v>Дубль</x:v>
      </x:c>
      <x:c r="G2095" t="str">
        <x:v>High</x:v>
      </x:c>
      <x:c r="H2095" t="str">
        <x:v>payment_id</x:v>
      </x:c>
      <x:c r="I2095" t="str">
        <x:v>Проверить уникальность ID в источнике; не удалять записи автоматически</x:v>
      </x:c>
      <x:c r="J2095" t="n">
        <x:f>IF(D2095=1,K2095,0)</x:f>
        <x:v>0</x:v>
      </x:c>
      <x:c r="K2095" t="n">
        <x:f>D2095+K2094</x:f>
        <x:v>25</x:v>
      </x:c>
    </x:row>
    <x:row r="2096">
      <x:c r="A2096" t="str">
        <x:v>Payment</x:v>
      </x:c>
      <x:c r="B2096" t="str">
        <x:f>'04_checks'!B301</x:f>
        <x:v>P054</x:v>
      </x:c>
      <x:c r="C2096" t="n">
        <x:v>55</x:v>
      </x:c>
      <x:c r="D2096" t="n">
        <x:f>IF('04_checks'!D301="ERROR",1,0)</x:f>
        <x:v>0</x:v>
      </x:c>
      <x:c r="E2096" t="str">
        <x:v>Payment:55:2</x:v>
      </x:c>
      <x:c r="F2096" t="str">
        <x:v>Пустое поле</x:v>
      </x:c>
      <x:c r="G2096" t="str">
        <x:v>High</x:v>
      </x:c>
      <x:c r="H2096" t="str">
        <x:v>required_fields</x:v>
      </x:c>
      <x:c r="I2096" t="str">
        <x:v>Дополнить обязательные поля в источнике</x:v>
      </x:c>
      <x:c r="J2096" t="n">
        <x:f>IF(D2096=1,K2096,0)</x:f>
        <x:v>0</x:v>
      </x:c>
      <x:c r="K2096" t="n">
        <x:f>D2096+K2095</x:f>
        <x:v>25</x:v>
      </x:c>
    </x:row>
    <x:row r="2097">
      <x:c r="A2097" t="str">
        <x:v>Payment</x:v>
      </x:c>
      <x:c r="B2097" t="str">
        <x:f>'04_checks'!B301</x:f>
        <x:v>P054</x:v>
      </x:c>
      <x:c r="C2097" t="n">
        <x:v>55</x:v>
      </x:c>
      <x:c r="D2097" t="n">
        <x:f>IF('04_checks'!E301="ERROR",1,0)</x:f>
        <x:v>0</x:v>
      </x:c>
      <x:c r="E2097" t="str">
        <x:v>Payment:55:3</x:v>
      </x:c>
      <x:c r="F2097" t="str">
        <x:f>IF(COUNTIF('01_orders_raw'!$A$2:$A$181,'03_payments_raw'!B55)&gt;1,"Неоднозначная связь","Нет связи")</x:f>
        <x:v>Нет связи</x:v>
      </x:c>
      <x:c r="G2097" t="str">
        <x:v>High</x:v>
      </x:c>
      <x:c r="H2097" t="str">
        <x:v>order_id</x:v>
      </x:c>
      <x:c r="I2097" t="str">
        <x:v>Исправить ссылку или разрешить дубли связанного ID</x:v>
      </x:c>
      <x:c r="J2097" t="n">
        <x:f>IF(D2097=1,K2097,0)</x:f>
        <x:v>0</x:v>
      </x:c>
      <x:c r="K2097" t="n">
        <x:f>D2097+K2096</x:f>
        <x:v>25</x:v>
      </x:c>
    </x:row>
    <x:row r="2098">
      <x:c r="A2098" t="str">
        <x:v>Payment</x:v>
      </x:c>
      <x:c r="B2098" t="str">
        <x:f>'04_checks'!B301</x:f>
        <x:v>P054</x:v>
      </x:c>
      <x:c r="C2098" t="n">
        <x:v>55</x:v>
      </x:c>
      <x:c r="D2098" t="n">
        <x:f>IF('04_checks'!F301="ERROR",1,0)</x:f>
        <x:v>0</x:v>
      </x:c>
      <x:c r="E2098" t="str">
        <x:v>Payment:55:4</x:v>
      </x:c>
      <x:c r="F2098" t="str">
        <x:v>Ошибка расчета</x:v>
      </x:c>
      <x:c r="G2098" t="str">
        <x:v>High</x:v>
      </x:c>
      <x:c r="H2098" t="str">
        <x:v>payment_sum</x:v>
      </x:c>
      <x:c r="I2098" t="str">
        <x:v>Сверить исходные значения и правило расчёта</x:v>
      </x:c>
      <x:c r="J2098" t="n">
        <x:f>IF(D2098=1,K2098,0)</x:f>
        <x:v>0</x:v>
      </x:c>
      <x:c r="K2098" t="n">
        <x:f>D2098+K2097</x:f>
        <x:v>25</x:v>
      </x:c>
    </x:row>
    <x:row r="2099">
      <x:c r="A2099" t="str">
        <x:v>Payment</x:v>
      </x:c>
      <x:c r="B2099" t="str">
        <x:f>'04_checks'!B301</x:f>
        <x:v>P054</x:v>
      </x:c>
      <x:c r="C2099" t="n">
        <x:v>55</x:v>
      </x:c>
      <x:c r="D2099" t="n">
        <x:f>IF('04_checks'!G301="ERROR",1,0)</x:f>
        <x:v>0</x:v>
      </x:c>
      <x:c r="E2099" t="str">
        <x:v>Payment:55:5</x:v>
      </x:c>
      <x:c r="F2099" t="str">
        <x:v>Отрицательная цена</x:v>
      </x:c>
      <x:c r="G2099" t="str">
        <x:v>High</x:v>
      </x:c>
      <x:c r="H2099" t="str">
        <x:v>N/A</x:v>
      </x:c>
      <x:c r="I2099" t="str">
        <x:v>Проверить цену в источнике</x:v>
      </x:c>
      <x:c r="J2099" t="n">
        <x:f>IF(D2099=1,K2099,0)</x:f>
        <x:v>0</x:v>
      </x:c>
      <x:c r="K2099" t="n">
        <x:f>D2099+K2098</x:f>
        <x:v>25</x:v>
      </x:c>
    </x:row>
    <x:row r="2100">
      <x:c r="A2100" t="str">
        <x:v>Payment</x:v>
      </x:c>
      <x:c r="B2100" t="str">
        <x:f>'04_checks'!B301</x:f>
        <x:v>P054</x:v>
      </x:c>
      <x:c r="C2100" t="n">
        <x:v>55</x:v>
      </x:c>
      <x:c r="D2100" t="n">
        <x:f>IF('04_checks'!H301="ERROR",1,0)</x:f>
        <x:v>0</x:v>
      </x:c>
      <x:c r="E2100" t="str">
        <x:v>Payment:55:6</x:v>
      </x:c>
      <x:c r="F2100" t="str">
        <x:v>Дата</x:v>
      </x:c>
      <x:c r="G2100" t="str">
        <x:v>Medium</x:v>
      </x:c>
      <x:c r="H2100" t="str">
        <x:v>payment_date</x:v>
      </x:c>
      <x:c r="I2100" t="str">
        <x:v>Сверить дату со срезом и исходной записью</x:v>
      </x:c>
      <x:c r="J2100" t="n">
        <x:f>IF(D2100=1,K2100,0)</x:f>
        <x:v>0</x:v>
      </x:c>
      <x:c r="K2100" t="n">
        <x:f>D2100+K2099</x:f>
        <x:v>25</x:v>
      </x:c>
    </x:row>
    <x:row r="2101">
      <x:c r="A2101" t="str">
        <x:v>Payment</x:v>
      </x:c>
      <x:c r="B2101" t="str">
        <x:f>'04_checks'!B301</x:f>
        <x:v>P054</x:v>
      </x:c>
      <x:c r="C2101" t="n">
        <x:v>55</x:v>
      </x:c>
      <x:c r="D2101" t="n">
        <x:f>IF('04_checks'!I301="ERROR",1,0)</x:f>
        <x:v>0</x:v>
      </x:c>
      <x:c r="E2101" t="str">
        <x:v>Payment:55:7</x:v>
      </x:c>
      <x:c r="F2101" t="str">
        <x:v>Статус</x:v>
      </x:c>
      <x:c r="G2101" t="str">
        <x:v>Medium</x:v>
      </x:c>
      <x:c r="H2101" t="str">
        <x:v>payment_status</x:v>
      </x:c>
      <x:c r="I2101" t="str">
        <x:v>Выбрать допустимый статус</x:v>
      </x:c>
      <x:c r="J2101" t="n">
        <x:f>IF(D2101=1,K2101,0)</x:f>
        <x:v>0</x:v>
      </x:c>
      <x:c r="K2101" t="n">
        <x:f>D2101+K2100</x:f>
        <x:v>25</x:v>
      </x:c>
    </x:row>
    <x:row r="2102">
      <x:c r="A2102" t="str">
        <x:v>Payment</x:v>
      </x:c>
      <x:c r="B2102" t="str">
        <x:f>'04_checks'!B302</x:f>
        <x:v>P055</x:v>
      </x:c>
      <x:c r="C2102" t="n">
        <x:v>56</x:v>
      </x:c>
      <x:c r="D2102" t="n">
        <x:f>IF('04_checks'!C302="ERROR",1,0)</x:f>
        <x:v>0</x:v>
      </x:c>
      <x:c r="E2102" t="str">
        <x:v>Payment:56:1</x:v>
      </x:c>
      <x:c r="F2102" t="str">
        <x:v>Дубль</x:v>
      </x:c>
      <x:c r="G2102" t="str">
        <x:v>High</x:v>
      </x:c>
      <x:c r="H2102" t="str">
        <x:v>payment_id</x:v>
      </x:c>
      <x:c r="I2102" t="str">
        <x:v>Проверить уникальность ID в источнике; не удалять записи автоматически</x:v>
      </x:c>
      <x:c r="J2102" t="n">
        <x:f>IF(D2102=1,K2102,0)</x:f>
        <x:v>0</x:v>
      </x:c>
      <x:c r="K2102" t="n">
        <x:f>D2102+K2101</x:f>
        <x:v>25</x:v>
      </x:c>
    </x:row>
    <x:row r="2103">
      <x:c r="A2103" t="str">
        <x:v>Payment</x:v>
      </x:c>
      <x:c r="B2103" t="str">
        <x:f>'04_checks'!B302</x:f>
        <x:v>P055</x:v>
      </x:c>
      <x:c r="C2103" t="n">
        <x:v>56</x:v>
      </x:c>
      <x:c r="D2103" t="n">
        <x:f>IF('04_checks'!D302="ERROR",1,0)</x:f>
        <x:v>0</x:v>
      </x:c>
      <x:c r="E2103" t="str">
        <x:v>Payment:56:2</x:v>
      </x:c>
      <x:c r="F2103" t="str">
        <x:v>Пустое поле</x:v>
      </x:c>
      <x:c r="G2103" t="str">
        <x:v>High</x:v>
      </x:c>
      <x:c r="H2103" t="str">
        <x:v>required_fields</x:v>
      </x:c>
      <x:c r="I2103" t="str">
        <x:v>Дополнить обязательные поля в источнике</x:v>
      </x:c>
      <x:c r="J2103" t="n">
        <x:f>IF(D2103=1,K2103,0)</x:f>
        <x:v>0</x:v>
      </x:c>
      <x:c r="K2103" t="n">
        <x:f>D2103+K2102</x:f>
        <x:v>25</x:v>
      </x:c>
    </x:row>
    <x:row r="2104">
      <x:c r="A2104" t="str">
        <x:v>Payment</x:v>
      </x:c>
      <x:c r="B2104" t="str">
        <x:f>'04_checks'!B302</x:f>
        <x:v>P055</x:v>
      </x:c>
      <x:c r="C2104" t="n">
        <x:v>56</x:v>
      </x:c>
      <x:c r="D2104" t="n">
        <x:f>IF('04_checks'!E302="ERROR",1,0)</x:f>
        <x:v>0</x:v>
      </x:c>
      <x:c r="E2104" t="str">
        <x:v>Payment:56:3</x:v>
      </x:c>
      <x:c r="F2104" t="str">
        <x:f>IF(COUNTIF('01_orders_raw'!$A$2:$A$181,'03_payments_raw'!B56)&gt;1,"Неоднозначная связь","Нет связи")</x:f>
        <x:v>Нет связи</x:v>
      </x:c>
      <x:c r="G2104" t="str">
        <x:v>High</x:v>
      </x:c>
      <x:c r="H2104" t="str">
        <x:v>order_id</x:v>
      </x:c>
      <x:c r="I2104" t="str">
        <x:v>Исправить ссылку или разрешить дубли связанного ID</x:v>
      </x:c>
      <x:c r="J2104" t="n">
        <x:f>IF(D2104=1,K2104,0)</x:f>
        <x:v>0</x:v>
      </x:c>
      <x:c r="K2104" t="n">
        <x:f>D2104+K2103</x:f>
        <x:v>25</x:v>
      </x:c>
    </x:row>
    <x:row r="2105">
      <x:c r="A2105" t="str">
        <x:v>Payment</x:v>
      </x:c>
      <x:c r="B2105" t="str">
        <x:f>'04_checks'!B302</x:f>
        <x:v>P055</x:v>
      </x:c>
      <x:c r="C2105" t="n">
        <x:v>56</x:v>
      </x:c>
      <x:c r="D2105" t="n">
        <x:f>IF('04_checks'!F302="ERROR",1,0)</x:f>
        <x:v>0</x:v>
      </x:c>
      <x:c r="E2105" t="str">
        <x:v>Payment:56:4</x:v>
      </x:c>
      <x:c r="F2105" t="str">
        <x:v>Ошибка расчета</x:v>
      </x:c>
      <x:c r="G2105" t="str">
        <x:v>High</x:v>
      </x:c>
      <x:c r="H2105" t="str">
        <x:v>payment_sum</x:v>
      </x:c>
      <x:c r="I2105" t="str">
        <x:v>Сверить исходные значения и правило расчёта</x:v>
      </x:c>
      <x:c r="J2105" t="n">
        <x:f>IF(D2105=1,K2105,0)</x:f>
        <x:v>0</x:v>
      </x:c>
      <x:c r="K2105" t="n">
        <x:f>D2105+K2104</x:f>
        <x:v>25</x:v>
      </x:c>
    </x:row>
    <x:row r="2106">
      <x:c r="A2106" t="str">
        <x:v>Payment</x:v>
      </x:c>
      <x:c r="B2106" t="str">
        <x:f>'04_checks'!B302</x:f>
        <x:v>P055</x:v>
      </x:c>
      <x:c r="C2106" t="n">
        <x:v>56</x:v>
      </x:c>
      <x:c r="D2106" t="n">
        <x:f>IF('04_checks'!G302="ERROR",1,0)</x:f>
        <x:v>0</x:v>
      </x:c>
      <x:c r="E2106" t="str">
        <x:v>Payment:56:5</x:v>
      </x:c>
      <x:c r="F2106" t="str">
        <x:v>Отрицательная цена</x:v>
      </x:c>
      <x:c r="G2106" t="str">
        <x:v>High</x:v>
      </x:c>
      <x:c r="H2106" t="str">
        <x:v>N/A</x:v>
      </x:c>
      <x:c r="I2106" t="str">
        <x:v>Проверить цену в источнике</x:v>
      </x:c>
      <x:c r="J2106" t="n">
        <x:f>IF(D2106=1,K2106,0)</x:f>
        <x:v>0</x:v>
      </x:c>
      <x:c r="K2106" t="n">
        <x:f>D2106+K2105</x:f>
        <x:v>25</x:v>
      </x:c>
    </x:row>
    <x:row r="2107">
      <x:c r="A2107" t="str">
        <x:v>Payment</x:v>
      </x:c>
      <x:c r="B2107" t="str">
        <x:f>'04_checks'!B302</x:f>
        <x:v>P055</x:v>
      </x:c>
      <x:c r="C2107" t="n">
        <x:v>56</x:v>
      </x:c>
      <x:c r="D2107" t="n">
        <x:f>IF('04_checks'!H302="ERROR",1,0)</x:f>
        <x:v>0</x:v>
      </x:c>
      <x:c r="E2107" t="str">
        <x:v>Payment:56:6</x:v>
      </x:c>
      <x:c r="F2107" t="str">
        <x:v>Дата</x:v>
      </x:c>
      <x:c r="G2107" t="str">
        <x:v>Medium</x:v>
      </x:c>
      <x:c r="H2107" t="str">
        <x:v>payment_date</x:v>
      </x:c>
      <x:c r="I2107" t="str">
        <x:v>Сверить дату со срезом и исходной записью</x:v>
      </x:c>
      <x:c r="J2107" t="n">
        <x:f>IF(D2107=1,K2107,0)</x:f>
        <x:v>0</x:v>
      </x:c>
      <x:c r="K2107" t="n">
        <x:f>D2107+K2106</x:f>
        <x:v>25</x:v>
      </x:c>
    </x:row>
    <x:row r="2108">
      <x:c r="A2108" t="str">
        <x:v>Payment</x:v>
      </x:c>
      <x:c r="B2108" t="str">
        <x:f>'04_checks'!B302</x:f>
        <x:v>P055</x:v>
      </x:c>
      <x:c r="C2108" t="n">
        <x:v>56</x:v>
      </x:c>
      <x:c r="D2108" t="n">
        <x:f>IF('04_checks'!I302="ERROR",1,0)</x:f>
        <x:v>0</x:v>
      </x:c>
      <x:c r="E2108" t="str">
        <x:v>Payment:56:7</x:v>
      </x:c>
      <x:c r="F2108" t="str">
        <x:v>Статус</x:v>
      </x:c>
      <x:c r="G2108" t="str">
        <x:v>Medium</x:v>
      </x:c>
      <x:c r="H2108" t="str">
        <x:v>payment_status</x:v>
      </x:c>
      <x:c r="I2108" t="str">
        <x:v>Выбрать допустимый статус</x:v>
      </x:c>
      <x:c r="J2108" t="n">
        <x:f>IF(D2108=1,K2108,0)</x:f>
        <x:v>0</x:v>
      </x:c>
      <x:c r="K2108" t="n">
        <x:f>D2108+K2107</x:f>
        <x:v>25</x:v>
      </x:c>
    </x:row>
    <x:row r="2109">
      <x:c r="A2109" t="str">
        <x:v>Payment</x:v>
      </x:c>
      <x:c r="B2109" t="str">
        <x:f>'04_checks'!B303</x:f>
        <x:v>P056</x:v>
      </x:c>
      <x:c r="C2109" t="n">
        <x:v>57</x:v>
      </x:c>
      <x:c r="D2109" t="n">
        <x:f>IF('04_checks'!C303="ERROR",1,0)</x:f>
        <x:v>0</x:v>
      </x:c>
      <x:c r="E2109" t="str">
        <x:v>Payment:57:1</x:v>
      </x:c>
      <x:c r="F2109" t="str">
        <x:v>Дубль</x:v>
      </x:c>
      <x:c r="G2109" t="str">
        <x:v>High</x:v>
      </x:c>
      <x:c r="H2109" t="str">
        <x:v>payment_id</x:v>
      </x:c>
      <x:c r="I2109" t="str">
        <x:v>Проверить уникальность ID в источнике; не удалять записи автоматически</x:v>
      </x:c>
      <x:c r="J2109" t="n">
        <x:f>IF(D2109=1,K2109,0)</x:f>
        <x:v>0</x:v>
      </x:c>
      <x:c r="K2109" t="n">
        <x:f>D2109+K2108</x:f>
        <x:v>25</x:v>
      </x:c>
    </x:row>
    <x:row r="2110">
      <x:c r="A2110" t="str">
        <x:v>Payment</x:v>
      </x:c>
      <x:c r="B2110" t="str">
        <x:f>'04_checks'!B303</x:f>
        <x:v>P056</x:v>
      </x:c>
      <x:c r="C2110" t="n">
        <x:v>57</x:v>
      </x:c>
      <x:c r="D2110" t="n">
        <x:f>IF('04_checks'!D303="ERROR",1,0)</x:f>
        <x:v>0</x:v>
      </x:c>
      <x:c r="E2110" t="str">
        <x:v>Payment:57:2</x:v>
      </x:c>
      <x:c r="F2110" t="str">
        <x:v>Пустое поле</x:v>
      </x:c>
      <x:c r="G2110" t="str">
        <x:v>High</x:v>
      </x:c>
      <x:c r="H2110" t="str">
        <x:v>required_fields</x:v>
      </x:c>
      <x:c r="I2110" t="str">
        <x:v>Дополнить обязательные поля в источнике</x:v>
      </x:c>
      <x:c r="J2110" t="n">
        <x:f>IF(D2110=1,K2110,0)</x:f>
        <x:v>0</x:v>
      </x:c>
      <x:c r="K2110" t="n">
        <x:f>D2110+K2109</x:f>
        <x:v>25</x:v>
      </x:c>
    </x:row>
    <x:row r="2111">
      <x:c r="A2111" t="str">
        <x:v>Payment</x:v>
      </x:c>
      <x:c r="B2111" t="str">
        <x:f>'04_checks'!B303</x:f>
        <x:v>P056</x:v>
      </x:c>
      <x:c r="C2111" t="n">
        <x:v>57</x:v>
      </x:c>
      <x:c r="D2111" t="n">
        <x:f>IF('04_checks'!E303="ERROR",1,0)</x:f>
        <x:v>0</x:v>
      </x:c>
      <x:c r="E2111" t="str">
        <x:v>Payment:57:3</x:v>
      </x:c>
      <x:c r="F2111" t="str">
        <x:f>IF(COUNTIF('01_orders_raw'!$A$2:$A$181,'03_payments_raw'!B57)&gt;1,"Неоднозначная связь","Нет связи")</x:f>
        <x:v>Нет связи</x:v>
      </x:c>
      <x:c r="G2111" t="str">
        <x:v>High</x:v>
      </x:c>
      <x:c r="H2111" t="str">
        <x:v>order_id</x:v>
      </x:c>
      <x:c r="I2111" t="str">
        <x:v>Исправить ссылку или разрешить дубли связанного ID</x:v>
      </x:c>
      <x:c r="J2111" t="n">
        <x:f>IF(D2111=1,K2111,0)</x:f>
        <x:v>0</x:v>
      </x:c>
      <x:c r="K2111" t="n">
        <x:f>D2111+K2110</x:f>
        <x:v>25</x:v>
      </x:c>
    </x:row>
    <x:row r="2112">
      <x:c r="A2112" t="str">
        <x:v>Payment</x:v>
      </x:c>
      <x:c r="B2112" t="str">
        <x:f>'04_checks'!B303</x:f>
        <x:v>P056</x:v>
      </x:c>
      <x:c r="C2112" t="n">
        <x:v>57</x:v>
      </x:c>
      <x:c r="D2112" t="n">
        <x:f>IF('04_checks'!F303="ERROR",1,0)</x:f>
        <x:v>0</x:v>
      </x:c>
      <x:c r="E2112" t="str">
        <x:v>Payment:57:4</x:v>
      </x:c>
      <x:c r="F2112" t="str">
        <x:v>Ошибка расчета</x:v>
      </x:c>
      <x:c r="G2112" t="str">
        <x:v>High</x:v>
      </x:c>
      <x:c r="H2112" t="str">
        <x:v>payment_sum</x:v>
      </x:c>
      <x:c r="I2112" t="str">
        <x:v>Сверить исходные значения и правило расчёта</x:v>
      </x:c>
      <x:c r="J2112" t="n">
        <x:f>IF(D2112=1,K2112,0)</x:f>
        <x:v>0</x:v>
      </x:c>
      <x:c r="K2112" t="n">
        <x:f>D2112+K2111</x:f>
        <x:v>25</x:v>
      </x:c>
    </x:row>
    <x:row r="2113">
      <x:c r="A2113" t="str">
        <x:v>Payment</x:v>
      </x:c>
      <x:c r="B2113" t="str">
        <x:f>'04_checks'!B303</x:f>
        <x:v>P056</x:v>
      </x:c>
      <x:c r="C2113" t="n">
        <x:v>57</x:v>
      </x:c>
      <x:c r="D2113" t="n">
        <x:f>IF('04_checks'!G303="ERROR",1,0)</x:f>
        <x:v>0</x:v>
      </x:c>
      <x:c r="E2113" t="str">
        <x:v>Payment:57:5</x:v>
      </x:c>
      <x:c r="F2113" t="str">
        <x:v>Отрицательная цена</x:v>
      </x:c>
      <x:c r="G2113" t="str">
        <x:v>High</x:v>
      </x:c>
      <x:c r="H2113" t="str">
        <x:v>N/A</x:v>
      </x:c>
      <x:c r="I2113" t="str">
        <x:v>Проверить цену в источнике</x:v>
      </x:c>
      <x:c r="J2113" t="n">
        <x:f>IF(D2113=1,K2113,0)</x:f>
        <x:v>0</x:v>
      </x:c>
      <x:c r="K2113" t="n">
        <x:f>D2113+K2112</x:f>
        <x:v>25</x:v>
      </x:c>
    </x:row>
    <x:row r="2114">
      <x:c r="A2114" t="str">
        <x:v>Payment</x:v>
      </x:c>
      <x:c r="B2114" t="str">
        <x:f>'04_checks'!B303</x:f>
        <x:v>P056</x:v>
      </x:c>
      <x:c r="C2114" t="n">
        <x:v>57</x:v>
      </x:c>
      <x:c r="D2114" t="n">
        <x:f>IF('04_checks'!H303="ERROR",1,0)</x:f>
        <x:v>0</x:v>
      </x:c>
      <x:c r="E2114" t="str">
        <x:v>Payment:57:6</x:v>
      </x:c>
      <x:c r="F2114" t="str">
        <x:v>Дата</x:v>
      </x:c>
      <x:c r="G2114" t="str">
        <x:v>Medium</x:v>
      </x:c>
      <x:c r="H2114" t="str">
        <x:v>payment_date</x:v>
      </x:c>
      <x:c r="I2114" t="str">
        <x:v>Сверить дату со срезом и исходной записью</x:v>
      </x:c>
      <x:c r="J2114" t="n">
        <x:f>IF(D2114=1,K2114,0)</x:f>
        <x:v>0</x:v>
      </x:c>
      <x:c r="K2114" t="n">
        <x:f>D2114+K2113</x:f>
        <x:v>25</x:v>
      </x:c>
    </x:row>
    <x:row r="2115">
      <x:c r="A2115" t="str">
        <x:v>Payment</x:v>
      </x:c>
      <x:c r="B2115" t="str">
        <x:f>'04_checks'!B303</x:f>
        <x:v>P056</x:v>
      </x:c>
      <x:c r="C2115" t="n">
        <x:v>57</x:v>
      </x:c>
      <x:c r="D2115" t="n">
        <x:f>IF('04_checks'!I303="ERROR",1,0)</x:f>
        <x:v>0</x:v>
      </x:c>
      <x:c r="E2115" t="str">
        <x:v>Payment:57:7</x:v>
      </x:c>
      <x:c r="F2115" t="str">
        <x:v>Статус</x:v>
      </x:c>
      <x:c r="G2115" t="str">
        <x:v>Medium</x:v>
      </x:c>
      <x:c r="H2115" t="str">
        <x:v>payment_status</x:v>
      </x:c>
      <x:c r="I2115" t="str">
        <x:v>Выбрать допустимый статус</x:v>
      </x:c>
      <x:c r="J2115" t="n">
        <x:f>IF(D2115=1,K2115,0)</x:f>
        <x:v>0</x:v>
      </x:c>
      <x:c r="K2115" t="n">
        <x:f>D2115+K2114</x:f>
        <x:v>25</x:v>
      </x:c>
    </x:row>
    <x:row r="2116">
      <x:c r="A2116" t="str">
        <x:v>Payment</x:v>
      </x:c>
      <x:c r="B2116" t="str">
        <x:f>'04_checks'!B304</x:f>
        <x:v>P057</x:v>
      </x:c>
      <x:c r="C2116" t="n">
        <x:v>58</x:v>
      </x:c>
      <x:c r="D2116" t="n">
        <x:f>IF('04_checks'!C304="ERROR",1,0)</x:f>
        <x:v>0</x:v>
      </x:c>
      <x:c r="E2116" t="str">
        <x:v>Payment:58:1</x:v>
      </x:c>
      <x:c r="F2116" t="str">
        <x:v>Дубль</x:v>
      </x:c>
      <x:c r="G2116" t="str">
        <x:v>High</x:v>
      </x:c>
      <x:c r="H2116" t="str">
        <x:v>payment_id</x:v>
      </x:c>
      <x:c r="I2116" t="str">
        <x:v>Проверить уникальность ID в источнике; не удалять записи автоматически</x:v>
      </x:c>
      <x:c r="J2116" t="n">
        <x:f>IF(D2116=1,K2116,0)</x:f>
        <x:v>0</x:v>
      </x:c>
      <x:c r="K2116" t="n">
        <x:f>D2116+K2115</x:f>
        <x:v>25</x:v>
      </x:c>
    </x:row>
    <x:row r="2117">
      <x:c r="A2117" t="str">
        <x:v>Payment</x:v>
      </x:c>
      <x:c r="B2117" t="str">
        <x:f>'04_checks'!B304</x:f>
        <x:v>P057</x:v>
      </x:c>
      <x:c r="C2117" t="n">
        <x:v>58</x:v>
      </x:c>
      <x:c r="D2117" t="n">
        <x:f>IF('04_checks'!D304="ERROR",1,0)</x:f>
        <x:v>0</x:v>
      </x:c>
      <x:c r="E2117" t="str">
        <x:v>Payment:58:2</x:v>
      </x:c>
      <x:c r="F2117" t="str">
        <x:v>Пустое поле</x:v>
      </x:c>
      <x:c r="G2117" t="str">
        <x:v>High</x:v>
      </x:c>
      <x:c r="H2117" t="str">
        <x:v>required_fields</x:v>
      </x:c>
      <x:c r="I2117" t="str">
        <x:v>Дополнить обязательные поля в источнике</x:v>
      </x:c>
      <x:c r="J2117" t="n">
        <x:f>IF(D2117=1,K2117,0)</x:f>
        <x:v>0</x:v>
      </x:c>
      <x:c r="K2117" t="n">
        <x:f>D2117+K2116</x:f>
        <x:v>25</x:v>
      </x:c>
    </x:row>
    <x:row r="2118">
      <x:c r="A2118" t="str">
        <x:v>Payment</x:v>
      </x:c>
      <x:c r="B2118" t="str">
        <x:f>'04_checks'!B304</x:f>
        <x:v>P057</x:v>
      </x:c>
      <x:c r="C2118" t="n">
        <x:v>58</x:v>
      </x:c>
      <x:c r="D2118" t="n">
        <x:f>IF('04_checks'!E304="ERROR",1,0)</x:f>
        <x:v>0</x:v>
      </x:c>
      <x:c r="E2118" t="str">
        <x:v>Payment:58:3</x:v>
      </x:c>
      <x:c r="F2118" t="str">
        <x:f>IF(COUNTIF('01_orders_raw'!$A$2:$A$181,'03_payments_raw'!B58)&gt;1,"Неоднозначная связь","Нет связи")</x:f>
        <x:v>Нет связи</x:v>
      </x:c>
      <x:c r="G2118" t="str">
        <x:v>High</x:v>
      </x:c>
      <x:c r="H2118" t="str">
        <x:v>order_id</x:v>
      </x:c>
      <x:c r="I2118" t="str">
        <x:v>Исправить ссылку или разрешить дубли связанного ID</x:v>
      </x:c>
      <x:c r="J2118" t="n">
        <x:f>IF(D2118=1,K2118,0)</x:f>
        <x:v>0</x:v>
      </x:c>
      <x:c r="K2118" t="n">
        <x:f>D2118+K2117</x:f>
        <x:v>25</x:v>
      </x:c>
    </x:row>
    <x:row r="2119">
      <x:c r="A2119" t="str">
        <x:v>Payment</x:v>
      </x:c>
      <x:c r="B2119" t="str">
        <x:f>'04_checks'!B304</x:f>
        <x:v>P057</x:v>
      </x:c>
      <x:c r="C2119" t="n">
        <x:v>58</x:v>
      </x:c>
      <x:c r="D2119" t="n">
        <x:f>IF('04_checks'!F304="ERROR",1,0)</x:f>
        <x:v>0</x:v>
      </x:c>
      <x:c r="E2119" t="str">
        <x:v>Payment:58:4</x:v>
      </x:c>
      <x:c r="F2119" t="str">
        <x:v>Ошибка расчета</x:v>
      </x:c>
      <x:c r="G2119" t="str">
        <x:v>High</x:v>
      </x:c>
      <x:c r="H2119" t="str">
        <x:v>payment_sum</x:v>
      </x:c>
      <x:c r="I2119" t="str">
        <x:v>Сверить исходные значения и правило расчёта</x:v>
      </x:c>
      <x:c r="J2119" t="n">
        <x:f>IF(D2119=1,K2119,0)</x:f>
        <x:v>0</x:v>
      </x:c>
      <x:c r="K2119" t="n">
        <x:f>D2119+K2118</x:f>
        <x:v>25</x:v>
      </x:c>
    </x:row>
    <x:row r="2120">
      <x:c r="A2120" t="str">
        <x:v>Payment</x:v>
      </x:c>
      <x:c r="B2120" t="str">
        <x:f>'04_checks'!B304</x:f>
        <x:v>P057</x:v>
      </x:c>
      <x:c r="C2120" t="n">
        <x:v>58</x:v>
      </x:c>
      <x:c r="D2120" t="n">
        <x:f>IF('04_checks'!G304="ERROR",1,0)</x:f>
        <x:v>0</x:v>
      </x:c>
      <x:c r="E2120" t="str">
        <x:v>Payment:58:5</x:v>
      </x:c>
      <x:c r="F2120" t="str">
        <x:v>Отрицательная цена</x:v>
      </x:c>
      <x:c r="G2120" t="str">
        <x:v>High</x:v>
      </x:c>
      <x:c r="H2120" t="str">
        <x:v>N/A</x:v>
      </x:c>
      <x:c r="I2120" t="str">
        <x:v>Проверить цену в источнике</x:v>
      </x:c>
      <x:c r="J2120" t="n">
        <x:f>IF(D2120=1,K2120,0)</x:f>
        <x:v>0</x:v>
      </x:c>
      <x:c r="K2120" t="n">
        <x:f>D2120+K2119</x:f>
        <x:v>25</x:v>
      </x:c>
    </x:row>
    <x:row r="2121">
      <x:c r="A2121" t="str">
        <x:v>Payment</x:v>
      </x:c>
      <x:c r="B2121" t="str">
        <x:f>'04_checks'!B304</x:f>
        <x:v>P057</x:v>
      </x:c>
      <x:c r="C2121" t="n">
        <x:v>58</x:v>
      </x:c>
      <x:c r="D2121" t="n">
        <x:f>IF('04_checks'!H304="ERROR",1,0)</x:f>
        <x:v>0</x:v>
      </x:c>
      <x:c r="E2121" t="str">
        <x:v>Payment:58:6</x:v>
      </x:c>
      <x:c r="F2121" t="str">
        <x:v>Дата</x:v>
      </x:c>
      <x:c r="G2121" t="str">
        <x:v>Medium</x:v>
      </x:c>
      <x:c r="H2121" t="str">
        <x:v>payment_date</x:v>
      </x:c>
      <x:c r="I2121" t="str">
        <x:v>Сверить дату со срезом и исходной записью</x:v>
      </x:c>
      <x:c r="J2121" t="n">
        <x:f>IF(D2121=1,K2121,0)</x:f>
        <x:v>0</x:v>
      </x:c>
      <x:c r="K2121" t="n">
        <x:f>D2121+K2120</x:f>
        <x:v>25</x:v>
      </x:c>
    </x:row>
    <x:row r="2122">
      <x:c r="A2122" t="str">
        <x:v>Payment</x:v>
      </x:c>
      <x:c r="B2122" t="str">
        <x:f>'04_checks'!B304</x:f>
        <x:v>P057</x:v>
      </x:c>
      <x:c r="C2122" t="n">
        <x:v>58</x:v>
      </x:c>
      <x:c r="D2122" t="n">
        <x:f>IF('04_checks'!I304="ERROR",1,0)</x:f>
        <x:v>0</x:v>
      </x:c>
      <x:c r="E2122" t="str">
        <x:v>Payment:58:7</x:v>
      </x:c>
      <x:c r="F2122" t="str">
        <x:v>Статус</x:v>
      </x:c>
      <x:c r="G2122" t="str">
        <x:v>Medium</x:v>
      </x:c>
      <x:c r="H2122" t="str">
        <x:v>payment_status</x:v>
      </x:c>
      <x:c r="I2122" t="str">
        <x:v>Выбрать допустимый статус</x:v>
      </x:c>
      <x:c r="J2122" t="n">
        <x:f>IF(D2122=1,K2122,0)</x:f>
        <x:v>0</x:v>
      </x:c>
      <x:c r="K2122" t="n">
        <x:f>D2122+K2121</x:f>
        <x:v>25</x:v>
      </x:c>
    </x:row>
    <x:row r="2123">
      <x:c r="A2123" t="str">
        <x:v>Payment</x:v>
      </x:c>
      <x:c r="B2123" t="str">
        <x:f>'04_checks'!B305</x:f>
        <x:v>P058</x:v>
      </x:c>
      <x:c r="C2123" t="n">
        <x:v>59</x:v>
      </x:c>
      <x:c r="D2123" t="n">
        <x:f>IF('04_checks'!C305="ERROR",1,0)</x:f>
        <x:v>0</x:v>
      </x:c>
      <x:c r="E2123" t="str">
        <x:v>Payment:59:1</x:v>
      </x:c>
      <x:c r="F2123" t="str">
        <x:v>Дубль</x:v>
      </x:c>
      <x:c r="G2123" t="str">
        <x:v>High</x:v>
      </x:c>
      <x:c r="H2123" t="str">
        <x:v>payment_id</x:v>
      </x:c>
      <x:c r="I2123" t="str">
        <x:v>Проверить уникальность ID в источнике; не удалять записи автоматически</x:v>
      </x:c>
      <x:c r="J2123" t="n">
        <x:f>IF(D2123=1,K2123,0)</x:f>
        <x:v>0</x:v>
      </x:c>
      <x:c r="K2123" t="n">
        <x:f>D2123+K2122</x:f>
        <x:v>25</x:v>
      </x:c>
    </x:row>
    <x:row r="2124">
      <x:c r="A2124" t="str">
        <x:v>Payment</x:v>
      </x:c>
      <x:c r="B2124" t="str">
        <x:f>'04_checks'!B305</x:f>
        <x:v>P058</x:v>
      </x:c>
      <x:c r="C2124" t="n">
        <x:v>59</x:v>
      </x:c>
      <x:c r="D2124" t="n">
        <x:f>IF('04_checks'!D305="ERROR",1,0)</x:f>
        <x:v>0</x:v>
      </x:c>
      <x:c r="E2124" t="str">
        <x:v>Payment:59:2</x:v>
      </x:c>
      <x:c r="F2124" t="str">
        <x:v>Пустое поле</x:v>
      </x:c>
      <x:c r="G2124" t="str">
        <x:v>High</x:v>
      </x:c>
      <x:c r="H2124" t="str">
        <x:v>required_fields</x:v>
      </x:c>
      <x:c r="I2124" t="str">
        <x:v>Дополнить обязательные поля в источнике</x:v>
      </x:c>
      <x:c r="J2124" t="n">
        <x:f>IF(D2124=1,K2124,0)</x:f>
        <x:v>0</x:v>
      </x:c>
      <x:c r="K2124" t="n">
        <x:f>D2124+K2123</x:f>
        <x:v>25</x:v>
      </x:c>
    </x:row>
    <x:row r="2125">
      <x:c r="A2125" t="str">
        <x:v>Payment</x:v>
      </x:c>
      <x:c r="B2125" t="str">
        <x:f>'04_checks'!B305</x:f>
        <x:v>P058</x:v>
      </x:c>
      <x:c r="C2125" t="n">
        <x:v>59</x:v>
      </x:c>
      <x:c r="D2125" t="n">
        <x:f>IF('04_checks'!E305="ERROR",1,0)</x:f>
        <x:v>0</x:v>
      </x:c>
      <x:c r="E2125" t="str">
        <x:v>Payment:59:3</x:v>
      </x:c>
      <x:c r="F2125" t="str">
        <x:f>IF(COUNTIF('01_orders_raw'!$A$2:$A$181,'03_payments_raw'!B59)&gt;1,"Неоднозначная связь","Нет связи")</x:f>
        <x:v>Нет связи</x:v>
      </x:c>
      <x:c r="G2125" t="str">
        <x:v>High</x:v>
      </x:c>
      <x:c r="H2125" t="str">
        <x:v>order_id</x:v>
      </x:c>
      <x:c r="I2125" t="str">
        <x:v>Исправить ссылку или разрешить дубли связанного ID</x:v>
      </x:c>
      <x:c r="J2125" t="n">
        <x:f>IF(D2125=1,K2125,0)</x:f>
        <x:v>0</x:v>
      </x:c>
      <x:c r="K2125" t="n">
        <x:f>D2125+K2124</x:f>
        <x:v>25</x:v>
      </x:c>
    </x:row>
    <x:row r="2126">
      <x:c r="A2126" t="str">
        <x:v>Payment</x:v>
      </x:c>
      <x:c r="B2126" t="str">
        <x:f>'04_checks'!B305</x:f>
        <x:v>P058</x:v>
      </x:c>
      <x:c r="C2126" t="n">
        <x:v>59</x:v>
      </x:c>
      <x:c r="D2126" t="n">
        <x:f>IF('04_checks'!F305="ERROR",1,0)</x:f>
        <x:v>0</x:v>
      </x:c>
      <x:c r="E2126" t="str">
        <x:v>Payment:59:4</x:v>
      </x:c>
      <x:c r="F2126" t="str">
        <x:v>Ошибка расчета</x:v>
      </x:c>
      <x:c r="G2126" t="str">
        <x:v>High</x:v>
      </x:c>
      <x:c r="H2126" t="str">
        <x:v>payment_sum</x:v>
      </x:c>
      <x:c r="I2126" t="str">
        <x:v>Сверить исходные значения и правило расчёта</x:v>
      </x:c>
      <x:c r="J2126" t="n">
        <x:f>IF(D2126=1,K2126,0)</x:f>
        <x:v>0</x:v>
      </x:c>
      <x:c r="K2126" t="n">
        <x:f>D2126+K2125</x:f>
        <x:v>25</x:v>
      </x:c>
    </x:row>
    <x:row r="2127">
      <x:c r="A2127" t="str">
        <x:v>Payment</x:v>
      </x:c>
      <x:c r="B2127" t="str">
        <x:f>'04_checks'!B305</x:f>
        <x:v>P058</x:v>
      </x:c>
      <x:c r="C2127" t="n">
        <x:v>59</x:v>
      </x:c>
      <x:c r="D2127" t="n">
        <x:f>IF('04_checks'!G305="ERROR",1,0)</x:f>
        <x:v>0</x:v>
      </x:c>
      <x:c r="E2127" t="str">
        <x:v>Payment:59:5</x:v>
      </x:c>
      <x:c r="F2127" t="str">
        <x:v>Отрицательная цена</x:v>
      </x:c>
      <x:c r="G2127" t="str">
        <x:v>High</x:v>
      </x:c>
      <x:c r="H2127" t="str">
        <x:v>N/A</x:v>
      </x:c>
      <x:c r="I2127" t="str">
        <x:v>Проверить цену в источнике</x:v>
      </x:c>
      <x:c r="J2127" t="n">
        <x:f>IF(D2127=1,K2127,0)</x:f>
        <x:v>0</x:v>
      </x:c>
      <x:c r="K2127" t="n">
        <x:f>D2127+K2126</x:f>
        <x:v>25</x:v>
      </x:c>
    </x:row>
    <x:row r="2128">
      <x:c r="A2128" t="str">
        <x:v>Payment</x:v>
      </x:c>
      <x:c r="B2128" t="str">
        <x:f>'04_checks'!B305</x:f>
        <x:v>P058</x:v>
      </x:c>
      <x:c r="C2128" t="n">
        <x:v>59</x:v>
      </x:c>
      <x:c r="D2128" t="n">
        <x:f>IF('04_checks'!H305="ERROR",1,0)</x:f>
        <x:v>0</x:v>
      </x:c>
      <x:c r="E2128" t="str">
        <x:v>Payment:59:6</x:v>
      </x:c>
      <x:c r="F2128" t="str">
        <x:v>Дата</x:v>
      </x:c>
      <x:c r="G2128" t="str">
        <x:v>Medium</x:v>
      </x:c>
      <x:c r="H2128" t="str">
        <x:v>payment_date</x:v>
      </x:c>
      <x:c r="I2128" t="str">
        <x:v>Сверить дату со срезом и исходной записью</x:v>
      </x:c>
      <x:c r="J2128" t="n">
        <x:f>IF(D2128=1,K2128,0)</x:f>
        <x:v>0</x:v>
      </x:c>
      <x:c r="K2128" t="n">
        <x:f>D2128+K2127</x:f>
        <x:v>25</x:v>
      </x:c>
    </x:row>
    <x:row r="2129">
      <x:c r="A2129" t="str">
        <x:v>Payment</x:v>
      </x:c>
      <x:c r="B2129" t="str">
        <x:f>'04_checks'!B305</x:f>
        <x:v>P058</x:v>
      </x:c>
      <x:c r="C2129" t="n">
        <x:v>59</x:v>
      </x:c>
      <x:c r="D2129" t="n">
        <x:f>IF('04_checks'!I305="ERROR",1,0)</x:f>
        <x:v>0</x:v>
      </x:c>
      <x:c r="E2129" t="str">
        <x:v>Payment:59:7</x:v>
      </x:c>
      <x:c r="F2129" t="str">
        <x:v>Статус</x:v>
      </x:c>
      <x:c r="G2129" t="str">
        <x:v>Medium</x:v>
      </x:c>
      <x:c r="H2129" t="str">
        <x:v>payment_status</x:v>
      </x:c>
      <x:c r="I2129" t="str">
        <x:v>Выбрать допустимый статус</x:v>
      </x:c>
      <x:c r="J2129" t="n">
        <x:f>IF(D2129=1,K2129,0)</x:f>
        <x:v>0</x:v>
      </x:c>
      <x:c r="K2129" t="n">
        <x:f>D2129+K2128</x:f>
        <x:v>25</x:v>
      </x:c>
    </x:row>
    <x:row r="2130">
      <x:c r="A2130" t="str">
        <x:v>Payment</x:v>
      </x:c>
      <x:c r="B2130" t="str">
        <x:f>'04_checks'!B306</x:f>
        <x:v>P059</x:v>
      </x:c>
      <x:c r="C2130" t="n">
        <x:v>60</x:v>
      </x:c>
      <x:c r="D2130" t="n">
        <x:f>IF('04_checks'!C306="ERROR",1,0)</x:f>
        <x:v>0</x:v>
      </x:c>
      <x:c r="E2130" t="str">
        <x:v>Payment:60:1</x:v>
      </x:c>
      <x:c r="F2130" t="str">
        <x:v>Дубль</x:v>
      </x:c>
      <x:c r="G2130" t="str">
        <x:v>High</x:v>
      </x:c>
      <x:c r="H2130" t="str">
        <x:v>payment_id</x:v>
      </x:c>
      <x:c r="I2130" t="str">
        <x:v>Проверить уникальность ID в источнике; не удалять записи автоматически</x:v>
      </x:c>
      <x:c r="J2130" t="n">
        <x:f>IF(D2130=1,K2130,0)</x:f>
        <x:v>0</x:v>
      </x:c>
      <x:c r="K2130" t="n">
        <x:f>D2130+K2129</x:f>
        <x:v>25</x:v>
      </x:c>
    </x:row>
    <x:row r="2131">
      <x:c r="A2131" t="str">
        <x:v>Payment</x:v>
      </x:c>
      <x:c r="B2131" t="str">
        <x:f>'04_checks'!B306</x:f>
        <x:v>P059</x:v>
      </x:c>
      <x:c r="C2131" t="n">
        <x:v>60</x:v>
      </x:c>
      <x:c r="D2131" t="n">
        <x:f>IF('04_checks'!D306="ERROR",1,0)</x:f>
        <x:v>0</x:v>
      </x:c>
      <x:c r="E2131" t="str">
        <x:v>Payment:60:2</x:v>
      </x:c>
      <x:c r="F2131" t="str">
        <x:v>Пустое поле</x:v>
      </x:c>
      <x:c r="G2131" t="str">
        <x:v>High</x:v>
      </x:c>
      <x:c r="H2131" t="str">
        <x:v>required_fields</x:v>
      </x:c>
      <x:c r="I2131" t="str">
        <x:v>Дополнить обязательные поля в источнике</x:v>
      </x:c>
      <x:c r="J2131" t="n">
        <x:f>IF(D2131=1,K2131,0)</x:f>
        <x:v>0</x:v>
      </x:c>
      <x:c r="K2131" t="n">
        <x:f>D2131+K2130</x:f>
        <x:v>25</x:v>
      </x:c>
    </x:row>
    <x:row r="2132">
      <x:c r="A2132" t="str">
        <x:v>Payment</x:v>
      </x:c>
      <x:c r="B2132" t="str">
        <x:f>'04_checks'!B306</x:f>
        <x:v>P059</x:v>
      </x:c>
      <x:c r="C2132" t="n">
        <x:v>60</x:v>
      </x:c>
      <x:c r="D2132" t="n">
        <x:f>IF('04_checks'!E306="ERROR",1,0)</x:f>
        <x:v>0</x:v>
      </x:c>
      <x:c r="E2132" t="str">
        <x:v>Payment:60:3</x:v>
      </x:c>
      <x:c r="F2132" t="str">
        <x:f>IF(COUNTIF('01_orders_raw'!$A$2:$A$181,'03_payments_raw'!B60)&gt;1,"Неоднозначная связь","Нет связи")</x:f>
        <x:v>Нет связи</x:v>
      </x:c>
      <x:c r="G2132" t="str">
        <x:v>High</x:v>
      </x:c>
      <x:c r="H2132" t="str">
        <x:v>order_id</x:v>
      </x:c>
      <x:c r="I2132" t="str">
        <x:v>Исправить ссылку или разрешить дубли связанного ID</x:v>
      </x:c>
      <x:c r="J2132" t="n">
        <x:f>IF(D2132=1,K2132,0)</x:f>
        <x:v>0</x:v>
      </x:c>
      <x:c r="K2132" t="n">
        <x:f>D2132+K2131</x:f>
        <x:v>25</x:v>
      </x:c>
    </x:row>
    <x:row r="2133">
      <x:c r="A2133" t="str">
        <x:v>Payment</x:v>
      </x:c>
      <x:c r="B2133" t="str">
        <x:f>'04_checks'!B306</x:f>
        <x:v>P059</x:v>
      </x:c>
      <x:c r="C2133" t="n">
        <x:v>60</x:v>
      </x:c>
      <x:c r="D2133" t="n">
        <x:f>IF('04_checks'!F306="ERROR",1,0)</x:f>
        <x:v>0</x:v>
      </x:c>
      <x:c r="E2133" t="str">
        <x:v>Payment:60:4</x:v>
      </x:c>
      <x:c r="F2133" t="str">
        <x:v>Ошибка расчета</x:v>
      </x:c>
      <x:c r="G2133" t="str">
        <x:v>High</x:v>
      </x:c>
      <x:c r="H2133" t="str">
        <x:v>payment_sum</x:v>
      </x:c>
      <x:c r="I2133" t="str">
        <x:v>Сверить исходные значения и правило расчёта</x:v>
      </x:c>
      <x:c r="J2133" t="n">
        <x:f>IF(D2133=1,K2133,0)</x:f>
        <x:v>0</x:v>
      </x:c>
      <x:c r="K2133" t="n">
        <x:f>D2133+K2132</x:f>
        <x:v>25</x:v>
      </x:c>
    </x:row>
    <x:row r="2134">
      <x:c r="A2134" t="str">
        <x:v>Payment</x:v>
      </x:c>
      <x:c r="B2134" t="str">
        <x:f>'04_checks'!B306</x:f>
        <x:v>P059</x:v>
      </x:c>
      <x:c r="C2134" t="n">
        <x:v>60</x:v>
      </x:c>
      <x:c r="D2134" t="n">
        <x:f>IF('04_checks'!G306="ERROR",1,0)</x:f>
        <x:v>0</x:v>
      </x:c>
      <x:c r="E2134" t="str">
        <x:v>Payment:60:5</x:v>
      </x:c>
      <x:c r="F2134" t="str">
        <x:v>Отрицательная цена</x:v>
      </x:c>
      <x:c r="G2134" t="str">
        <x:v>High</x:v>
      </x:c>
      <x:c r="H2134" t="str">
        <x:v>N/A</x:v>
      </x:c>
      <x:c r="I2134" t="str">
        <x:v>Проверить цену в источнике</x:v>
      </x:c>
      <x:c r="J2134" t="n">
        <x:f>IF(D2134=1,K2134,0)</x:f>
        <x:v>0</x:v>
      </x:c>
      <x:c r="K2134" t="n">
        <x:f>D2134+K2133</x:f>
        <x:v>25</x:v>
      </x:c>
    </x:row>
    <x:row r="2135">
      <x:c r="A2135" t="str">
        <x:v>Payment</x:v>
      </x:c>
      <x:c r="B2135" t="str">
        <x:f>'04_checks'!B306</x:f>
        <x:v>P059</x:v>
      </x:c>
      <x:c r="C2135" t="n">
        <x:v>60</x:v>
      </x:c>
      <x:c r="D2135" t="n">
        <x:f>IF('04_checks'!H306="ERROR",1,0)</x:f>
        <x:v>0</x:v>
      </x:c>
      <x:c r="E2135" t="str">
        <x:v>Payment:60:6</x:v>
      </x:c>
      <x:c r="F2135" t="str">
        <x:v>Дата</x:v>
      </x:c>
      <x:c r="G2135" t="str">
        <x:v>Medium</x:v>
      </x:c>
      <x:c r="H2135" t="str">
        <x:v>payment_date</x:v>
      </x:c>
      <x:c r="I2135" t="str">
        <x:v>Сверить дату со срезом и исходной записью</x:v>
      </x:c>
      <x:c r="J2135" t="n">
        <x:f>IF(D2135=1,K2135,0)</x:f>
        <x:v>0</x:v>
      </x:c>
      <x:c r="K2135" t="n">
        <x:f>D2135+K2134</x:f>
        <x:v>25</x:v>
      </x:c>
    </x:row>
    <x:row r="2136">
      <x:c r="A2136" t="str">
        <x:v>Payment</x:v>
      </x:c>
      <x:c r="B2136" t="str">
        <x:f>'04_checks'!B306</x:f>
        <x:v>P059</x:v>
      </x:c>
      <x:c r="C2136" t="n">
        <x:v>60</x:v>
      </x:c>
      <x:c r="D2136" t="n">
        <x:f>IF('04_checks'!I306="ERROR",1,0)</x:f>
        <x:v>0</x:v>
      </x:c>
      <x:c r="E2136" t="str">
        <x:v>Payment:60:7</x:v>
      </x:c>
      <x:c r="F2136" t="str">
        <x:v>Статус</x:v>
      </x:c>
      <x:c r="G2136" t="str">
        <x:v>Medium</x:v>
      </x:c>
      <x:c r="H2136" t="str">
        <x:v>payment_status</x:v>
      </x:c>
      <x:c r="I2136" t="str">
        <x:v>Выбрать допустимый статус</x:v>
      </x:c>
      <x:c r="J2136" t="n">
        <x:f>IF(D2136=1,K2136,0)</x:f>
        <x:v>0</x:v>
      </x:c>
      <x:c r="K2136" t="n">
        <x:f>D2136+K2135</x:f>
        <x:v>25</x:v>
      </x:c>
    </x:row>
    <x:row r="2137">
      <x:c r="A2137" t="str">
        <x:v>Payment</x:v>
      </x:c>
      <x:c r="B2137" t="str">
        <x:f>'04_checks'!B307</x:f>
        <x:v>P060</x:v>
      </x:c>
      <x:c r="C2137" t="n">
        <x:v>61</x:v>
      </x:c>
      <x:c r="D2137" t="n">
        <x:f>IF('04_checks'!C307="ERROR",1,0)</x:f>
        <x:v>0</x:v>
      </x:c>
      <x:c r="E2137" t="str">
        <x:v>Payment:61:1</x:v>
      </x:c>
      <x:c r="F2137" t="str">
        <x:v>Дубль</x:v>
      </x:c>
      <x:c r="G2137" t="str">
        <x:v>High</x:v>
      </x:c>
      <x:c r="H2137" t="str">
        <x:v>payment_id</x:v>
      </x:c>
      <x:c r="I2137" t="str">
        <x:v>Проверить уникальность ID в источнике; не удалять записи автоматически</x:v>
      </x:c>
      <x:c r="J2137" t="n">
        <x:f>IF(D2137=1,K2137,0)</x:f>
        <x:v>0</x:v>
      </x:c>
      <x:c r="K2137" t="n">
        <x:f>D2137+K2136</x:f>
        <x:v>25</x:v>
      </x:c>
    </x:row>
    <x:row r="2138">
      <x:c r="A2138" t="str">
        <x:v>Payment</x:v>
      </x:c>
      <x:c r="B2138" t="str">
        <x:f>'04_checks'!B307</x:f>
        <x:v>P060</x:v>
      </x:c>
      <x:c r="C2138" t="n">
        <x:v>61</x:v>
      </x:c>
      <x:c r="D2138" t="n">
        <x:f>IF('04_checks'!D307="ERROR",1,0)</x:f>
        <x:v>0</x:v>
      </x:c>
      <x:c r="E2138" t="str">
        <x:v>Payment:61:2</x:v>
      </x:c>
      <x:c r="F2138" t="str">
        <x:v>Пустое поле</x:v>
      </x:c>
      <x:c r="G2138" t="str">
        <x:v>High</x:v>
      </x:c>
      <x:c r="H2138" t="str">
        <x:v>required_fields</x:v>
      </x:c>
      <x:c r="I2138" t="str">
        <x:v>Дополнить обязательные поля в источнике</x:v>
      </x:c>
      <x:c r="J2138" t="n">
        <x:f>IF(D2138=1,K2138,0)</x:f>
        <x:v>0</x:v>
      </x:c>
      <x:c r="K2138" t="n">
        <x:f>D2138+K2137</x:f>
        <x:v>25</x:v>
      </x:c>
    </x:row>
    <x:row r="2139">
      <x:c r="A2139" t="str">
        <x:v>Payment</x:v>
      </x:c>
      <x:c r="B2139" t="str">
        <x:f>'04_checks'!B307</x:f>
        <x:v>P060</x:v>
      </x:c>
      <x:c r="C2139" t="n">
        <x:v>61</x:v>
      </x:c>
      <x:c r="D2139" t="n">
        <x:f>IF('04_checks'!E307="ERROR",1,0)</x:f>
        <x:v>0</x:v>
      </x:c>
      <x:c r="E2139" t="str">
        <x:v>Payment:61:3</x:v>
      </x:c>
      <x:c r="F2139" t="str">
        <x:f>IF(COUNTIF('01_orders_raw'!$A$2:$A$181,'03_payments_raw'!B61)&gt;1,"Неоднозначная связь","Нет связи")</x:f>
        <x:v>Нет связи</x:v>
      </x:c>
      <x:c r="G2139" t="str">
        <x:v>High</x:v>
      </x:c>
      <x:c r="H2139" t="str">
        <x:v>order_id</x:v>
      </x:c>
      <x:c r="I2139" t="str">
        <x:v>Исправить ссылку или разрешить дубли связанного ID</x:v>
      </x:c>
      <x:c r="J2139" t="n">
        <x:f>IF(D2139=1,K2139,0)</x:f>
        <x:v>0</x:v>
      </x:c>
      <x:c r="K2139" t="n">
        <x:f>D2139+K2138</x:f>
        <x:v>25</x:v>
      </x:c>
    </x:row>
    <x:row r="2140">
      <x:c r="A2140" t="str">
        <x:v>Payment</x:v>
      </x:c>
      <x:c r="B2140" t="str">
        <x:f>'04_checks'!B307</x:f>
        <x:v>P060</x:v>
      </x:c>
      <x:c r="C2140" t="n">
        <x:v>61</x:v>
      </x:c>
      <x:c r="D2140" t="n">
        <x:f>IF('04_checks'!F307="ERROR",1,0)</x:f>
        <x:v>0</x:v>
      </x:c>
      <x:c r="E2140" t="str">
        <x:v>Payment:61:4</x:v>
      </x:c>
      <x:c r="F2140" t="str">
        <x:v>Ошибка расчета</x:v>
      </x:c>
      <x:c r="G2140" t="str">
        <x:v>High</x:v>
      </x:c>
      <x:c r="H2140" t="str">
        <x:v>payment_sum</x:v>
      </x:c>
      <x:c r="I2140" t="str">
        <x:v>Сверить исходные значения и правило расчёта</x:v>
      </x:c>
      <x:c r="J2140" t="n">
        <x:f>IF(D2140=1,K2140,0)</x:f>
        <x:v>0</x:v>
      </x:c>
      <x:c r="K2140" t="n">
        <x:f>D2140+K2139</x:f>
        <x:v>25</x:v>
      </x:c>
    </x:row>
    <x:row r="2141">
      <x:c r="A2141" t="str">
        <x:v>Payment</x:v>
      </x:c>
      <x:c r="B2141" t="str">
        <x:f>'04_checks'!B307</x:f>
        <x:v>P060</x:v>
      </x:c>
      <x:c r="C2141" t="n">
        <x:v>61</x:v>
      </x:c>
      <x:c r="D2141" t="n">
        <x:f>IF('04_checks'!G307="ERROR",1,0)</x:f>
        <x:v>0</x:v>
      </x:c>
      <x:c r="E2141" t="str">
        <x:v>Payment:61:5</x:v>
      </x:c>
      <x:c r="F2141" t="str">
        <x:v>Отрицательная цена</x:v>
      </x:c>
      <x:c r="G2141" t="str">
        <x:v>High</x:v>
      </x:c>
      <x:c r="H2141" t="str">
        <x:v>N/A</x:v>
      </x:c>
      <x:c r="I2141" t="str">
        <x:v>Проверить цену в источнике</x:v>
      </x:c>
      <x:c r="J2141" t="n">
        <x:f>IF(D2141=1,K2141,0)</x:f>
        <x:v>0</x:v>
      </x:c>
      <x:c r="K2141" t="n">
        <x:f>D2141+K2140</x:f>
        <x:v>25</x:v>
      </x:c>
    </x:row>
    <x:row r="2142">
      <x:c r="A2142" t="str">
        <x:v>Payment</x:v>
      </x:c>
      <x:c r="B2142" t="str">
        <x:f>'04_checks'!B307</x:f>
        <x:v>P060</x:v>
      </x:c>
      <x:c r="C2142" t="n">
        <x:v>61</x:v>
      </x:c>
      <x:c r="D2142" t="n">
        <x:f>IF('04_checks'!H307="ERROR",1,0)</x:f>
        <x:v>0</x:v>
      </x:c>
      <x:c r="E2142" t="str">
        <x:v>Payment:61:6</x:v>
      </x:c>
      <x:c r="F2142" t="str">
        <x:v>Дата</x:v>
      </x:c>
      <x:c r="G2142" t="str">
        <x:v>Medium</x:v>
      </x:c>
      <x:c r="H2142" t="str">
        <x:v>payment_date</x:v>
      </x:c>
      <x:c r="I2142" t="str">
        <x:v>Сверить дату со срезом и исходной записью</x:v>
      </x:c>
      <x:c r="J2142" t="n">
        <x:f>IF(D2142=1,K2142,0)</x:f>
        <x:v>0</x:v>
      </x:c>
      <x:c r="K2142" t="n">
        <x:f>D2142+K2141</x:f>
        <x:v>25</x:v>
      </x:c>
    </x:row>
    <x:row r="2143">
      <x:c r="A2143" t="str">
        <x:v>Payment</x:v>
      </x:c>
      <x:c r="B2143" t="str">
        <x:f>'04_checks'!B307</x:f>
        <x:v>P060</x:v>
      </x:c>
      <x:c r="C2143" t="n">
        <x:v>61</x:v>
      </x:c>
      <x:c r="D2143" t="n">
        <x:f>IF('04_checks'!I307="ERROR",1,0)</x:f>
        <x:v>0</x:v>
      </x:c>
      <x:c r="E2143" t="str">
        <x:v>Payment:61:7</x:v>
      </x:c>
      <x:c r="F2143" t="str">
        <x:v>Статус</x:v>
      </x:c>
      <x:c r="G2143" t="str">
        <x:v>Medium</x:v>
      </x:c>
      <x:c r="H2143" t="str">
        <x:v>payment_status</x:v>
      </x:c>
      <x:c r="I2143" t="str">
        <x:v>Выбрать допустимый статус</x:v>
      </x:c>
      <x:c r="J2143" t="n">
        <x:f>IF(D2143=1,K2143,0)</x:f>
        <x:v>0</x:v>
      </x:c>
      <x:c r="K2143" t="n">
        <x:f>D2143+K2142</x:f>
        <x:v>25</x:v>
      </x:c>
    </x:row>
    <x:row r="2144">
      <x:c r="A2144" t="str">
        <x:v>Payment</x:v>
      </x:c>
      <x:c r="B2144" t="str">
        <x:f>'04_checks'!B308</x:f>
        <x:v>P061</x:v>
      </x:c>
      <x:c r="C2144" t="n">
        <x:v>62</x:v>
      </x:c>
      <x:c r="D2144" t="n">
        <x:f>IF('04_checks'!C308="ERROR",1,0)</x:f>
        <x:v>0</x:v>
      </x:c>
      <x:c r="E2144" t="str">
        <x:v>Payment:62:1</x:v>
      </x:c>
      <x:c r="F2144" t="str">
        <x:v>Дубль</x:v>
      </x:c>
      <x:c r="G2144" t="str">
        <x:v>High</x:v>
      </x:c>
      <x:c r="H2144" t="str">
        <x:v>payment_id</x:v>
      </x:c>
      <x:c r="I2144" t="str">
        <x:v>Проверить уникальность ID в источнике; не удалять записи автоматически</x:v>
      </x:c>
      <x:c r="J2144" t="n">
        <x:f>IF(D2144=1,K2144,0)</x:f>
        <x:v>0</x:v>
      </x:c>
      <x:c r="K2144" t="n">
        <x:f>D2144+K2143</x:f>
        <x:v>25</x:v>
      </x:c>
    </x:row>
    <x:row r="2145">
      <x:c r="A2145" t="str">
        <x:v>Payment</x:v>
      </x:c>
      <x:c r="B2145" t="str">
        <x:f>'04_checks'!B308</x:f>
        <x:v>P061</x:v>
      </x:c>
      <x:c r="C2145" t="n">
        <x:v>62</x:v>
      </x:c>
      <x:c r="D2145" t="n">
        <x:f>IF('04_checks'!D308="ERROR",1,0)</x:f>
        <x:v>0</x:v>
      </x:c>
      <x:c r="E2145" t="str">
        <x:v>Payment:62:2</x:v>
      </x:c>
      <x:c r="F2145" t="str">
        <x:v>Пустое поле</x:v>
      </x:c>
      <x:c r="G2145" t="str">
        <x:v>High</x:v>
      </x:c>
      <x:c r="H2145" t="str">
        <x:v>required_fields</x:v>
      </x:c>
      <x:c r="I2145" t="str">
        <x:v>Дополнить обязательные поля в источнике</x:v>
      </x:c>
      <x:c r="J2145" t="n">
        <x:f>IF(D2145=1,K2145,0)</x:f>
        <x:v>0</x:v>
      </x:c>
      <x:c r="K2145" t="n">
        <x:f>D2145+K2144</x:f>
        <x:v>25</x:v>
      </x:c>
    </x:row>
    <x:row r="2146">
      <x:c r="A2146" t="str">
        <x:v>Payment</x:v>
      </x:c>
      <x:c r="B2146" t="str">
        <x:f>'04_checks'!B308</x:f>
        <x:v>P061</x:v>
      </x:c>
      <x:c r="C2146" t="n">
        <x:v>62</x:v>
      </x:c>
      <x:c r="D2146" t="n">
        <x:f>IF('04_checks'!E308="ERROR",1,0)</x:f>
        <x:v>0</x:v>
      </x:c>
      <x:c r="E2146" t="str">
        <x:v>Payment:62:3</x:v>
      </x:c>
      <x:c r="F2146" t="str">
        <x:f>IF(COUNTIF('01_orders_raw'!$A$2:$A$181,'03_payments_raw'!B62)&gt;1,"Неоднозначная связь","Нет связи")</x:f>
        <x:v>Нет связи</x:v>
      </x:c>
      <x:c r="G2146" t="str">
        <x:v>High</x:v>
      </x:c>
      <x:c r="H2146" t="str">
        <x:v>order_id</x:v>
      </x:c>
      <x:c r="I2146" t="str">
        <x:v>Исправить ссылку или разрешить дубли связанного ID</x:v>
      </x:c>
      <x:c r="J2146" t="n">
        <x:f>IF(D2146=1,K2146,0)</x:f>
        <x:v>0</x:v>
      </x:c>
      <x:c r="K2146" t="n">
        <x:f>D2146+K2145</x:f>
        <x:v>25</x:v>
      </x:c>
    </x:row>
    <x:row r="2147">
      <x:c r="A2147" t="str">
        <x:v>Payment</x:v>
      </x:c>
      <x:c r="B2147" t="str">
        <x:f>'04_checks'!B308</x:f>
        <x:v>P061</x:v>
      </x:c>
      <x:c r="C2147" t="n">
        <x:v>62</x:v>
      </x:c>
      <x:c r="D2147" t="n">
        <x:f>IF('04_checks'!F308="ERROR",1,0)</x:f>
        <x:v>0</x:v>
      </x:c>
      <x:c r="E2147" t="str">
        <x:v>Payment:62:4</x:v>
      </x:c>
      <x:c r="F2147" t="str">
        <x:v>Ошибка расчета</x:v>
      </x:c>
      <x:c r="G2147" t="str">
        <x:v>High</x:v>
      </x:c>
      <x:c r="H2147" t="str">
        <x:v>payment_sum</x:v>
      </x:c>
      <x:c r="I2147" t="str">
        <x:v>Сверить исходные значения и правило расчёта</x:v>
      </x:c>
      <x:c r="J2147" t="n">
        <x:f>IF(D2147=1,K2147,0)</x:f>
        <x:v>0</x:v>
      </x:c>
      <x:c r="K2147" t="n">
        <x:f>D2147+K2146</x:f>
        <x:v>25</x:v>
      </x:c>
    </x:row>
    <x:row r="2148">
      <x:c r="A2148" t="str">
        <x:v>Payment</x:v>
      </x:c>
      <x:c r="B2148" t="str">
        <x:f>'04_checks'!B308</x:f>
        <x:v>P061</x:v>
      </x:c>
      <x:c r="C2148" t="n">
        <x:v>62</x:v>
      </x:c>
      <x:c r="D2148" t="n">
        <x:f>IF('04_checks'!G308="ERROR",1,0)</x:f>
        <x:v>0</x:v>
      </x:c>
      <x:c r="E2148" t="str">
        <x:v>Payment:62:5</x:v>
      </x:c>
      <x:c r="F2148" t="str">
        <x:v>Отрицательная цена</x:v>
      </x:c>
      <x:c r="G2148" t="str">
        <x:v>High</x:v>
      </x:c>
      <x:c r="H2148" t="str">
        <x:v>N/A</x:v>
      </x:c>
      <x:c r="I2148" t="str">
        <x:v>Проверить цену в источнике</x:v>
      </x:c>
      <x:c r="J2148" t="n">
        <x:f>IF(D2148=1,K2148,0)</x:f>
        <x:v>0</x:v>
      </x:c>
      <x:c r="K2148" t="n">
        <x:f>D2148+K2147</x:f>
        <x:v>25</x:v>
      </x:c>
    </x:row>
    <x:row r="2149">
      <x:c r="A2149" t="str">
        <x:v>Payment</x:v>
      </x:c>
      <x:c r="B2149" t="str">
        <x:f>'04_checks'!B308</x:f>
        <x:v>P061</x:v>
      </x:c>
      <x:c r="C2149" t="n">
        <x:v>62</x:v>
      </x:c>
      <x:c r="D2149" t="n">
        <x:f>IF('04_checks'!H308="ERROR",1,0)</x:f>
        <x:v>0</x:v>
      </x:c>
      <x:c r="E2149" t="str">
        <x:v>Payment:62:6</x:v>
      </x:c>
      <x:c r="F2149" t="str">
        <x:v>Дата</x:v>
      </x:c>
      <x:c r="G2149" t="str">
        <x:v>Medium</x:v>
      </x:c>
      <x:c r="H2149" t="str">
        <x:v>payment_date</x:v>
      </x:c>
      <x:c r="I2149" t="str">
        <x:v>Сверить дату со срезом и исходной записью</x:v>
      </x:c>
      <x:c r="J2149" t="n">
        <x:f>IF(D2149=1,K2149,0)</x:f>
        <x:v>0</x:v>
      </x:c>
      <x:c r="K2149" t="n">
        <x:f>D2149+K2148</x:f>
        <x:v>25</x:v>
      </x:c>
    </x:row>
    <x:row r="2150">
      <x:c r="A2150" t="str">
        <x:v>Payment</x:v>
      </x:c>
      <x:c r="B2150" t="str">
        <x:f>'04_checks'!B308</x:f>
        <x:v>P061</x:v>
      </x:c>
      <x:c r="C2150" t="n">
        <x:v>62</x:v>
      </x:c>
      <x:c r="D2150" t="n">
        <x:f>IF('04_checks'!I308="ERROR",1,0)</x:f>
        <x:v>0</x:v>
      </x:c>
      <x:c r="E2150" t="str">
        <x:v>Payment:62:7</x:v>
      </x:c>
      <x:c r="F2150" t="str">
        <x:v>Статус</x:v>
      </x:c>
      <x:c r="G2150" t="str">
        <x:v>Medium</x:v>
      </x:c>
      <x:c r="H2150" t="str">
        <x:v>payment_status</x:v>
      </x:c>
      <x:c r="I2150" t="str">
        <x:v>Выбрать допустимый статус</x:v>
      </x:c>
      <x:c r="J2150" t="n">
        <x:f>IF(D2150=1,K2150,0)</x:f>
        <x:v>0</x:v>
      </x:c>
      <x:c r="K2150" t="n">
        <x:f>D2150+K2149</x:f>
        <x:v>25</x:v>
      </x:c>
    </x:row>
    <x:row r="2151">
      <x:c r="A2151" t="str">
        <x:v>Payment</x:v>
      </x:c>
      <x:c r="B2151" t="str">
        <x:f>'04_checks'!B309</x:f>
        <x:v>P062</x:v>
      </x:c>
      <x:c r="C2151" t="n">
        <x:v>63</x:v>
      </x:c>
      <x:c r="D2151" t="n">
        <x:f>IF('04_checks'!C309="ERROR",1,0)</x:f>
        <x:v>0</x:v>
      </x:c>
      <x:c r="E2151" t="str">
        <x:v>Payment:63:1</x:v>
      </x:c>
      <x:c r="F2151" t="str">
        <x:v>Дубль</x:v>
      </x:c>
      <x:c r="G2151" t="str">
        <x:v>High</x:v>
      </x:c>
      <x:c r="H2151" t="str">
        <x:v>payment_id</x:v>
      </x:c>
      <x:c r="I2151" t="str">
        <x:v>Проверить уникальность ID в источнике; не удалять записи автоматически</x:v>
      </x:c>
      <x:c r="J2151" t="n">
        <x:f>IF(D2151=1,K2151,0)</x:f>
        <x:v>0</x:v>
      </x:c>
      <x:c r="K2151" t="n">
        <x:f>D2151+K2150</x:f>
        <x:v>25</x:v>
      </x:c>
    </x:row>
    <x:row r="2152">
      <x:c r="A2152" t="str">
        <x:v>Payment</x:v>
      </x:c>
      <x:c r="B2152" t="str">
        <x:f>'04_checks'!B309</x:f>
        <x:v>P062</x:v>
      </x:c>
      <x:c r="C2152" t="n">
        <x:v>63</x:v>
      </x:c>
      <x:c r="D2152" t="n">
        <x:f>IF('04_checks'!D309="ERROR",1,0)</x:f>
        <x:v>0</x:v>
      </x:c>
      <x:c r="E2152" t="str">
        <x:v>Payment:63:2</x:v>
      </x:c>
      <x:c r="F2152" t="str">
        <x:v>Пустое поле</x:v>
      </x:c>
      <x:c r="G2152" t="str">
        <x:v>High</x:v>
      </x:c>
      <x:c r="H2152" t="str">
        <x:v>required_fields</x:v>
      </x:c>
      <x:c r="I2152" t="str">
        <x:v>Дополнить обязательные поля в источнике</x:v>
      </x:c>
      <x:c r="J2152" t="n">
        <x:f>IF(D2152=1,K2152,0)</x:f>
        <x:v>0</x:v>
      </x:c>
      <x:c r="K2152" t="n">
        <x:f>D2152+K2151</x:f>
        <x:v>25</x:v>
      </x:c>
    </x:row>
    <x:row r="2153">
      <x:c r="A2153" t="str">
        <x:v>Payment</x:v>
      </x:c>
      <x:c r="B2153" t="str">
        <x:f>'04_checks'!B309</x:f>
        <x:v>P062</x:v>
      </x:c>
      <x:c r="C2153" t="n">
        <x:v>63</x:v>
      </x:c>
      <x:c r="D2153" t="n">
        <x:f>IF('04_checks'!E309="ERROR",1,0)</x:f>
        <x:v>0</x:v>
      </x:c>
      <x:c r="E2153" t="str">
        <x:v>Payment:63:3</x:v>
      </x:c>
      <x:c r="F2153" t="str">
        <x:f>IF(COUNTIF('01_orders_raw'!$A$2:$A$181,'03_payments_raw'!B63)&gt;1,"Неоднозначная связь","Нет связи")</x:f>
        <x:v>Нет связи</x:v>
      </x:c>
      <x:c r="G2153" t="str">
        <x:v>High</x:v>
      </x:c>
      <x:c r="H2153" t="str">
        <x:v>order_id</x:v>
      </x:c>
      <x:c r="I2153" t="str">
        <x:v>Исправить ссылку или разрешить дубли связанного ID</x:v>
      </x:c>
      <x:c r="J2153" t="n">
        <x:f>IF(D2153=1,K2153,0)</x:f>
        <x:v>0</x:v>
      </x:c>
      <x:c r="K2153" t="n">
        <x:f>D2153+K2152</x:f>
        <x:v>25</x:v>
      </x:c>
    </x:row>
    <x:row r="2154">
      <x:c r="A2154" t="str">
        <x:v>Payment</x:v>
      </x:c>
      <x:c r="B2154" t="str">
        <x:f>'04_checks'!B309</x:f>
        <x:v>P062</x:v>
      </x:c>
      <x:c r="C2154" t="n">
        <x:v>63</x:v>
      </x:c>
      <x:c r="D2154" t="n">
        <x:f>IF('04_checks'!F309="ERROR",1,0)</x:f>
        <x:v>0</x:v>
      </x:c>
      <x:c r="E2154" t="str">
        <x:v>Payment:63:4</x:v>
      </x:c>
      <x:c r="F2154" t="str">
        <x:v>Ошибка расчета</x:v>
      </x:c>
      <x:c r="G2154" t="str">
        <x:v>High</x:v>
      </x:c>
      <x:c r="H2154" t="str">
        <x:v>payment_sum</x:v>
      </x:c>
      <x:c r="I2154" t="str">
        <x:v>Сверить исходные значения и правило расчёта</x:v>
      </x:c>
      <x:c r="J2154" t="n">
        <x:f>IF(D2154=1,K2154,0)</x:f>
        <x:v>0</x:v>
      </x:c>
      <x:c r="K2154" t="n">
        <x:f>D2154+K2153</x:f>
        <x:v>25</x:v>
      </x:c>
    </x:row>
    <x:row r="2155">
      <x:c r="A2155" t="str">
        <x:v>Payment</x:v>
      </x:c>
      <x:c r="B2155" t="str">
        <x:f>'04_checks'!B309</x:f>
        <x:v>P062</x:v>
      </x:c>
      <x:c r="C2155" t="n">
        <x:v>63</x:v>
      </x:c>
      <x:c r="D2155" t="n">
        <x:f>IF('04_checks'!G309="ERROR",1,0)</x:f>
        <x:v>0</x:v>
      </x:c>
      <x:c r="E2155" t="str">
        <x:v>Payment:63:5</x:v>
      </x:c>
      <x:c r="F2155" t="str">
        <x:v>Отрицательная цена</x:v>
      </x:c>
      <x:c r="G2155" t="str">
        <x:v>High</x:v>
      </x:c>
      <x:c r="H2155" t="str">
        <x:v>N/A</x:v>
      </x:c>
      <x:c r="I2155" t="str">
        <x:v>Проверить цену в источнике</x:v>
      </x:c>
      <x:c r="J2155" t="n">
        <x:f>IF(D2155=1,K2155,0)</x:f>
        <x:v>0</x:v>
      </x:c>
      <x:c r="K2155" t="n">
        <x:f>D2155+K2154</x:f>
        <x:v>25</x:v>
      </x:c>
    </x:row>
    <x:row r="2156">
      <x:c r="A2156" t="str">
        <x:v>Payment</x:v>
      </x:c>
      <x:c r="B2156" t="str">
        <x:f>'04_checks'!B309</x:f>
        <x:v>P062</x:v>
      </x:c>
      <x:c r="C2156" t="n">
        <x:v>63</x:v>
      </x:c>
      <x:c r="D2156" t="n">
        <x:f>IF('04_checks'!H309="ERROR",1,0)</x:f>
        <x:v>0</x:v>
      </x:c>
      <x:c r="E2156" t="str">
        <x:v>Payment:63:6</x:v>
      </x:c>
      <x:c r="F2156" t="str">
        <x:v>Дата</x:v>
      </x:c>
      <x:c r="G2156" t="str">
        <x:v>Medium</x:v>
      </x:c>
      <x:c r="H2156" t="str">
        <x:v>payment_date</x:v>
      </x:c>
      <x:c r="I2156" t="str">
        <x:v>Сверить дату со срезом и исходной записью</x:v>
      </x:c>
      <x:c r="J2156" t="n">
        <x:f>IF(D2156=1,K2156,0)</x:f>
        <x:v>0</x:v>
      </x:c>
      <x:c r="K2156" t="n">
        <x:f>D2156+K2155</x:f>
        <x:v>25</x:v>
      </x:c>
    </x:row>
    <x:row r="2157">
      <x:c r="A2157" t="str">
        <x:v>Payment</x:v>
      </x:c>
      <x:c r="B2157" t="str">
        <x:f>'04_checks'!B309</x:f>
        <x:v>P062</x:v>
      </x:c>
      <x:c r="C2157" t="n">
        <x:v>63</x:v>
      </x:c>
      <x:c r="D2157" t="n">
        <x:f>IF('04_checks'!I309="ERROR",1,0)</x:f>
        <x:v>0</x:v>
      </x:c>
      <x:c r="E2157" t="str">
        <x:v>Payment:63:7</x:v>
      </x:c>
      <x:c r="F2157" t="str">
        <x:v>Статус</x:v>
      </x:c>
      <x:c r="G2157" t="str">
        <x:v>Medium</x:v>
      </x:c>
      <x:c r="H2157" t="str">
        <x:v>payment_status</x:v>
      </x:c>
      <x:c r="I2157" t="str">
        <x:v>Выбрать допустимый статус</x:v>
      </x:c>
      <x:c r="J2157" t="n">
        <x:f>IF(D2157=1,K2157,0)</x:f>
        <x:v>0</x:v>
      </x:c>
      <x:c r="K2157" t="n">
        <x:f>D2157+K2156</x:f>
        <x:v>25</x:v>
      </x:c>
    </x:row>
    <x:row r="2158">
      <x:c r="A2158" t="str">
        <x:v>Payment</x:v>
      </x:c>
      <x:c r="B2158" t="str">
        <x:f>'04_checks'!B310</x:f>
        <x:v>P063</x:v>
      </x:c>
      <x:c r="C2158" t="n">
        <x:v>64</x:v>
      </x:c>
      <x:c r="D2158" t="n">
        <x:f>IF('04_checks'!C310="ERROR",1,0)</x:f>
        <x:v>0</x:v>
      </x:c>
      <x:c r="E2158" t="str">
        <x:v>Payment:64:1</x:v>
      </x:c>
      <x:c r="F2158" t="str">
        <x:v>Дубль</x:v>
      </x:c>
      <x:c r="G2158" t="str">
        <x:v>High</x:v>
      </x:c>
      <x:c r="H2158" t="str">
        <x:v>payment_id</x:v>
      </x:c>
      <x:c r="I2158" t="str">
        <x:v>Проверить уникальность ID в источнике; не удалять записи автоматически</x:v>
      </x:c>
      <x:c r="J2158" t="n">
        <x:f>IF(D2158=1,K2158,0)</x:f>
        <x:v>0</x:v>
      </x:c>
      <x:c r="K2158" t="n">
        <x:f>D2158+K2157</x:f>
        <x:v>25</x:v>
      </x:c>
    </x:row>
    <x:row r="2159">
      <x:c r="A2159" t="str">
        <x:v>Payment</x:v>
      </x:c>
      <x:c r="B2159" t="str">
        <x:f>'04_checks'!B310</x:f>
        <x:v>P063</x:v>
      </x:c>
      <x:c r="C2159" t="n">
        <x:v>64</x:v>
      </x:c>
      <x:c r="D2159" t="n">
        <x:f>IF('04_checks'!D310="ERROR",1,0)</x:f>
        <x:v>0</x:v>
      </x:c>
      <x:c r="E2159" t="str">
        <x:v>Payment:64:2</x:v>
      </x:c>
      <x:c r="F2159" t="str">
        <x:v>Пустое поле</x:v>
      </x:c>
      <x:c r="G2159" t="str">
        <x:v>High</x:v>
      </x:c>
      <x:c r="H2159" t="str">
        <x:v>required_fields</x:v>
      </x:c>
      <x:c r="I2159" t="str">
        <x:v>Дополнить обязательные поля в источнике</x:v>
      </x:c>
      <x:c r="J2159" t="n">
        <x:f>IF(D2159=1,K2159,0)</x:f>
        <x:v>0</x:v>
      </x:c>
      <x:c r="K2159" t="n">
        <x:f>D2159+K2158</x:f>
        <x:v>25</x:v>
      </x:c>
    </x:row>
    <x:row r="2160">
      <x:c r="A2160" t="str">
        <x:v>Payment</x:v>
      </x:c>
      <x:c r="B2160" t="str">
        <x:f>'04_checks'!B310</x:f>
        <x:v>P063</x:v>
      </x:c>
      <x:c r="C2160" t="n">
        <x:v>64</x:v>
      </x:c>
      <x:c r="D2160" t="n">
        <x:f>IF('04_checks'!E310="ERROR",1,0)</x:f>
        <x:v>0</x:v>
      </x:c>
      <x:c r="E2160" t="str">
        <x:v>Payment:64:3</x:v>
      </x:c>
      <x:c r="F2160" t="str">
        <x:f>IF(COUNTIF('01_orders_raw'!$A$2:$A$181,'03_payments_raw'!B64)&gt;1,"Неоднозначная связь","Нет связи")</x:f>
        <x:v>Нет связи</x:v>
      </x:c>
      <x:c r="G2160" t="str">
        <x:v>High</x:v>
      </x:c>
      <x:c r="H2160" t="str">
        <x:v>order_id</x:v>
      </x:c>
      <x:c r="I2160" t="str">
        <x:v>Исправить ссылку или разрешить дубли связанного ID</x:v>
      </x:c>
      <x:c r="J2160" t="n">
        <x:f>IF(D2160=1,K2160,0)</x:f>
        <x:v>0</x:v>
      </x:c>
      <x:c r="K2160" t="n">
        <x:f>D2160+K2159</x:f>
        <x:v>25</x:v>
      </x:c>
    </x:row>
    <x:row r="2161">
      <x:c r="A2161" t="str">
        <x:v>Payment</x:v>
      </x:c>
      <x:c r="B2161" t="str">
        <x:f>'04_checks'!B310</x:f>
        <x:v>P063</x:v>
      </x:c>
      <x:c r="C2161" t="n">
        <x:v>64</x:v>
      </x:c>
      <x:c r="D2161" t="n">
        <x:f>IF('04_checks'!F310="ERROR",1,0)</x:f>
        <x:v>0</x:v>
      </x:c>
      <x:c r="E2161" t="str">
        <x:v>Payment:64:4</x:v>
      </x:c>
      <x:c r="F2161" t="str">
        <x:v>Ошибка расчета</x:v>
      </x:c>
      <x:c r="G2161" t="str">
        <x:v>High</x:v>
      </x:c>
      <x:c r="H2161" t="str">
        <x:v>payment_sum</x:v>
      </x:c>
      <x:c r="I2161" t="str">
        <x:v>Сверить исходные значения и правило расчёта</x:v>
      </x:c>
      <x:c r="J2161" t="n">
        <x:f>IF(D2161=1,K2161,0)</x:f>
        <x:v>0</x:v>
      </x:c>
      <x:c r="K2161" t="n">
        <x:f>D2161+K2160</x:f>
        <x:v>25</x:v>
      </x:c>
    </x:row>
    <x:row r="2162">
      <x:c r="A2162" t="str">
        <x:v>Payment</x:v>
      </x:c>
      <x:c r="B2162" t="str">
        <x:f>'04_checks'!B310</x:f>
        <x:v>P063</x:v>
      </x:c>
      <x:c r="C2162" t="n">
        <x:v>64</x:v>
      </x:c>
      <x:c r="D2162" t="n">
        <x:f>IF('04_checks'!G310="ERROR",1,0)</x:f>
        <x:v>0</x:v>
      </x:c>
      <x:c r="E2162" t="str">
        <x:v>Payment:64:5</x:v>
      </x:c>
      <x:c r="F2162" t="str">
        <x:v>Отрицательная цена</x:v>
      </x:c>
      <x:c r="G2162" t="str">
        <x:v>High</x:v>
      </x:c>
      <x:c r="H2162" t="str">
        <x:v>N/A</x:v>
      </x:c>
      <x:c r="I2162" t="str">
        <x:v>Проверить цену в источнике</x:v>
      </x:c>
      <x:c r="J2162" t="n">
        <x:f>IF(D2162=1,K2162,0)</x:f>
        <x:v>0</x:v>
      </x:c>
      <x:c r="K2162" t="n">
        <x:f>D2162+K2161</x:f>
        <x:v>25</x:v>
      </x:c>
    </x:row>
    <x:row r="2163">
      <x:c r="A2163" t="str">
        <x:v>Payment</x:v>
      </x:c>
      <x:c r="B2163" t="str">
        <x:f>'04_checks'!B310</x:f>
        <x:v>P063</x:v>
      </x:c>
      <x:c r="C2163" t="n">
        <x:v>64</x:v>
      </x:c>
      <x:c r="D2163" t="n">
        <x:f>IF('04_checks'!H310="ERROR",1,0)</x:f>
        <x:v>0</x:v>
      </x:c>
      <x:c r="E2163" t="str">
        <x:v>Payment:64:6</x:v>
      </x:c>
      <x:c r="F2163" t="str">
        <x:v>Дата</x:v>
      </x:c>
      <x:c r="G2163" t="str">
        <x:v>Medium</x:v>
      </x:c>
      <x:c r="H2163" t="str">
        <x:v>payment_date</x:v>
      </x:c>
      <x:c r="I2163" t="str">
        <x:v>Сверить дату со срезом и исходной записью</x:v>
      </x:c>
      <x:c r="J2163" t="n">
        <x:f>IF(D2163=1,K2163,0)</x:f>
        <x:v>0</x:v>
      </x:c>
      <x:c r="K2163" t="n">
        <x:f>D2163+K2162</x:f>
        <x:v>25</x:v>
      </x:c>
    </x:row>
    <x:row r="2164">
      <x:c r="A2164" t="str">
        <x:v>Payment</x:v>
      </x:c>
      <x:c r="B2164" t="str">
        <x:f>'04_checks'!B310</x:f>
        <x:v>P063</x:v>
      </x:c>
      <x:c r="C2164" t="n">
        <x:v>64</x:v>
      </x:c>
      <x:c r="D2164" t="n">
        <x:f>IF('04_checks'!I310="ERROR",1,0)</x:f>
        <x:v>0</x:v>
      </x:c>
      <x:c r="E2164" t="str">
        <x:v>Payment:64:7</x:v>
      </x:c>
      <x:c r="F2164" t="str">
        <x:v>Статус</x:v>
      </x:c>
      <x:c r="G2164" t="str">
        <x:v>Medium</x:v>
      </x:c>
      <x:c r="H2164" t="str">
        <x:v>payment_status</x:v>
      </x:c>
      <x:c r="I2164" t="str">
        <x:v>Выбрать допустимый статус</x:v>
      </x:c>
      <x:c r="J2164" t="n">
        <x:f>IF(D2164=1,K2164,0)</x:f>
        <x:v>0</x:v>
      </x:c>
      <x:c r="K2164" t="n">
        <x:f>D2164+K2163</x:f>
        <x:v>25</x:v>
      </x:c>
    </x:row>
    <x:row r="2165">
      <x:c r="A2165" t="str">
        <x:v>Payment</x:v>
      </x:c>
      <x:c r="B2165" t="str">
        <x:f>'04_checks'!B311</x:f>
        <x:v>P064</x:v>
      </x:c>
      <x:c r="C2165" t="n">
        <x:v>65</x:v>
      </x:c>
      <x:c r="D2165" t="n">
        <x:f>IF('04_checks'!C311="ERROR",1,0)</x:f>
        <x:v>0</x:v>
      </x:c>
      <x:c r="E2165" t="str">
        <x:v>Payment:65:1</x:v>
      </x:c>
      <x:c r="F2165" t="str">
        <x:v>Дубль</x:v>
      </x:c>
      <x:c r="G2165" t="str">
        <x:v>High</x:v>
      </x:c>
      <x:c r="H2165" t="str">
        <x:v>payment_id</x:v>
      </x:c>
      <x:c r="I2165" t="str">
        <x:v>Проверить уникальность ID в источнике; не удалять записи автоматически</x:v>
      </x:c>
      <x:c r="J2165" t="n">
        <x:f>IF(D2165=1,K2165,0)</x:f>
        <x:v>0</x:v>
      </x:c>
      <x:c r="K2165" t="n">
        <x:f>D2165+K2164</x:f>
        <x:v>25</x:v>
      </x:c>
    </x:row>
    <x:row r="2166">
      <x:c r="A2166" t="str">
        <x:v>Payment</x:v>
      </x:c>
      <x:c r="B2166" t="str">
        <x:f>'04_checks'!B311</x:f>
        <x:v>P064</x:v>
      </x:c>
      <x:c r="C2166" t="n">
        <x:v>65</x:v>
      </x:c>
      <x:c r="D2166" t="n">
        <x:f>IF('04_checks'!D311="ERROR",1,0)</x:f>
        <x:v>0</x:v>
      </x:c>
      <x:c r="E2166" t="str">
        <x:v>Payment:65:2</x:v>
      </x:c>
      <x:c r="F2166" t="str">
        <x:v>Пустое поле</x:v>
      </x:c>
      <x:c r="G2166" t="str">
        <x:v>High</x:v>
      </x:c>
      <x:c r="H2166" t="str">
        <x:v>required_fields</x:v>
      </x:c>
      <x:c r="I2166" t="str">
        <x:v>Дополнить обязательные поля в источнике</x:v>
      </x:c>
      <x:c r="J2166" t="n">
        <x:f>IF(D2166=1,K2166,0)</x:f>
        <x:v>0</x:v>
      </x:c>
      <x:c r="K2166" t="n">
        <x:f>D2166+K2165</x:f>
        <x:v>25</x:v>
      </x:c>
    </x:row>
    <x:row r="2167">
      <x:c r="A2167" t="str">
        <x:v>Payment</x:v>
      </x:c>
      <x:c r="B2167" t="str">
        <x:f>'04_checks'!B311</x:f>
        <x:v>P064</x:v>
      </x:c>
      <x:c r="C2167" t="n">
        <x:v>65</x:v>
      </x:c>
      <x:c r="D2167" t="n">
        <x:f>IF('04_checks'!E311="ERROR",1,0)</x:f>
        <x:v>0</x:v>
      </x:c>
      <x:c r="E2167" t="str">
        <x:v>Payment:65:3</x:v>
      </x:c>
      <x:c r="F2167" t="str">
        <x:f>IF(COUNTIF('01_orders_raw'!$A$2:$A$181,'03_payments_raw'!B65)&gt;1,"Неоднозначная связь","Нет связи")</x:f>
        <x:v>Нет связи</x:v>
      </x:c>
      <x:c r="G2167" t="str">
        <x:v>High</x:v>
      </x:c>
      <x:c r="H2167" t="str">
        <x:v>order_id</x:v>
      </x:c>
      <x:c r="I2167" t="str">
        <x:v>Исправить ссылку или разрешить дубли связанного ID</x:v>
      </x:c>
      <x:c r="J2167" t="n">
        <x:f>IF(D2167=1,K2167,0)</x:f>
        <x:v>0</x:v>
      </x:c>
      <x:c r="K2167" t="n">
        <x:f>D2167+K2166</x:f>
        <x:v>25</x:v>
      </x:c>
    </x:row>
    <x:row r="2168">
      <x:c r="A2168" t="str">
        <x:v>Payment</x:v>
      </x:c>
      <x:c r="B2168" t="str">
        <x:f>'04_checks'!B311</x:f>
        <x:v>P064</x:v>
      </x:c>
      <x:c r="C2168" t="n">
        <x:v>65</x:v>
      </x:c>
      <x:c r="D2168" t="n">
        <x:f>IF('04_checks'!F311="ERROR",1,0)</x:f>
        <x:v>0</x:v>
      </x:c>
      <x:c r="E2168" t="str">
        <x:v>Payment:65:4</x:v>
      </x:c>
      <x:c r="F2168" t="str">
        <x:v>Ошибка расчета</x:v>
      </x:c>
      <x:c r="G2168" t="str">
        <x:v>High</x:v>
      </x:c>
      <x:c r="H2168" t="str">
        <x:v>payment_sum</x:v>
      </x:c>
      <x:c r="I2168" t="str">
        <x:v>Сверить исходные значения и правило расчёта</x:v>
      </x:c>
      <x:c r="J2168" t="n">
        <x:f>IF(D2168=1,K2168,0)</x:f>
        <x:v>0</x:v>
      </x:c>
      <x:c r="K2168" t="n">
        <x:f>D2168+K2167</x:f>
        <x:v>25</x:v>
      </x:c>
    </x:row>
    <x:row r="2169">
      <x:c r="A2169" t="str">
        <x:v>Payment</x:v>
      </x:c>
      <x:c r="B2169" t="str">
        <x:f>'04_checks'!B311</x:f>
        <x:v>P064</x:v>
      </x:c>
      <x:c r="C2169" t="n">
        <x:v>65</x:v>
      </x:c>
      <x:c r="D2169" t="n">
        <x:f>IF('04_checks'!G311="ERROR",1,0)</x:f>
        <x:v>0</x:v>
      </x:c>
      <x:c r="E2169" t="str">
        <x:v>Payment:65:5</x:v>
      </x:c>
      <x:c r="F2169" t="str">
        <x:v>Отрицательная цена</x:v>
      </x:c>
      <x:c r="G2169" t="str">
        <x:v>High</x:v>
      </x:c>
      <x:c r="H2169" t="str">
        <x:v>N/A</x:v>
      </x:c>
      <x:c r="I2169" t="str">
        <x:v>Проверить цену в источнике</x:v>
      </x:c>
      <x:c r="J2169" t="n">
        <x:f>IF(D2169=1,K2169,0)</x:f>
        <x:v>0</x:v>
      </x:c>
      <x:c r="K2169" t="n">
        <x:f>D2169+K2168</x:f>
        <x:v>25</x:v>
      </x:c>
    </x:row>
    <x:row r="2170">
      <x:c r="A2170" t="str">
        <x:v>Payment</x:v>
      </x:c>
      <x:c r="B2170" t="str">
        <x:f>'04_checks'!B311</x:f>
        <x:v>P064</x:v>
      </x:c>
      <x:c r="C2170" t="n">
        <x:v>65</x:v>
      </x:c>
      <x:c r="D2170" t="n">
        <x:f>IF('04_checks'!H311="ERROR",1,0)</x:f>
        <x:v>0</x:v>
      </x:c>
      <x:c r="E2170" t="str">
        <x:v>Payment:65:6</x:v>
      </x:c>
      <x:c r="F2170" t="str">
        <x:v>Дата</x:v>
      </x:c>
      <x:c r="G2170" t="str">
        <x:v>Medium</x:v>
      </x:c>
      <x:c r="H2170" t="str">
        <x:v>payment_date</x:v>
      </x:c>
      <x:c r="I2170" t="str">
        <x:v>Сверить дату со срезом и исходной записью</x:v>
      </x:c>
      <x:c r="J2170" t="n">
        <x:f>IF(D2170=1,K2170,0)</x:f>
        <x:v>0</x:v>
      </x:c>
      <x:c r="K2170" t="n">
        <x:f>D2170+K2169</x:f>
        <x:v>25</x:v>
      </x:c>
    </x:row>
    <x:row r="2171">
      <x:c r="A2171" t="str">
        <x:v>Payment</x:v>
      </x:c>
      <x:c r="B2171" t="str">
        <x:f>'04_checks'!B311</x:f>
        <x:v>P064</x:v>
      </x:c>
      <x:c r="C2171" t="n">
        <x:v>65</x:v>
      </x:c>
      <x:c r="D2171" t="n">
        <x:f>IF('04_checks'!I311="ERROR",1,0)</x:f>
        <x:v>0</x:v>
      </x:c>
      <x:c r="E2171" t="str">
        <x:v>Payment:65:7</x:v>
      </x:c>
      <x:c r="F2171" t="str">
        <x:v>Статус</x:v>
      </x:c>
      <x:c r="G2171" t="str">
        <x:v>Medium</x:v>
      </x:c>
      <x:c r="H2171" t="str">
        <x:v>payment_status</x:v>
      </x:c>
      <x:c r="I2171" t="str">
        <x:v>Выбрать допустимый статус</x:v>
      </x:c>
      <x:c r="J2171" t="n">
        <x:f>IF(D2171=1,K2171,0)</x:f>
        <x:v>0</x:v>
      </x:c>
      <x:c r="K2171" t="n">
        <x:f>D2171+K2170</x:f>
        <x:v>25</x:v>
      </x:c>
    </x:row>
    <x:row r="2172">
      <x:c r="A2172" t="str">
        <x:v>Payment</x:v>
      </x:c>
      <x:c r="B2172" t="str">
        <x:f>'04_checks'!B312</x:f>
        <x:v>P065</x:v>
      </x:c>
      <x:c r="C2172" t="n">
        <x:v>66</x:v>
      </x:c>
      <x:c r="D2172" t="n">
        <x:f>IF('04_checks'!C312="ERROR",1,0)</x:f>
        <x:v>0</x:v>
      </x:c>
      <x:c r="E2172" t="str">
        <x:v>Payment:66:1</x:v>
      </x:c>
      <x:c r="F2172" t="str">
        <x:v>Дубль</x:v>
      </x:c>
      <x:c r="G2172" t="str">
        <x:v>High</x:v>
      </x:c>
      <x:c r="H2172" t="str">
        <x:v>payment_id</x:v>
      </x:c>
      <x:c r="I2172" t="str">
        <x:v>Проверить уникальность ID в источнике; не удалять записи автоматически</x:v>
      </x:c>
      <x:c r="J2172" t="n">
        <x:f>IF(D2172=1,K2172,0)</x:f>
        <x:v>0</x:v>
      </x:c>
      <x:c r="K2172" t="n">
        <x:f>D2172+K2171</x:f>
        <x:v>25</x:v>
      </x:c>
    </x:row>
    <x:row r="2173">
      <x:c r="A2173" t="str">
        <x:v>Payment</x:v>
      </x:c>
      <x:c r="B2173" t="str">
        <x:f>'04_checks'!B312</x:f>
        <x:v>P065</x:v>
      </x:c>
      <x:c r="C2173" t="n">
        <x:v>66</x:v>
      </x:c>
      <x:c r="D2173" t="n">
        <x:f>IF('04_checks'!D312="ERROR",1,0)</x:f>
        <x:v>0</x:v>
      </x:c>
      <x:c r="E2173" t="str">
        <x:v>Payment:66:2</x:v>
      </x:c>
      <x:c r="F2173" t="str">
        <x:v>Пустое поле</x:v>
      </x:c>
      <x:c r="G2173" t="str">
        <x:v>High</x:v>
      </x:c>
      <x:c r="H2173" t="str">
        <x:v>required_fields</x:v>
      </x:c>
      <x:c r="I2173" t="str">
        <x:v>Дополнить обязательные поля в источнике</x:v>
      </x:c>
      <x:c r="J2173" t="n">
        <x:f>IF(D2173=1,K2173,0)</x:f>
        <x:v>0</x:v>
      </x:c>
      <x:c r="K2173" t="n">
        <x:f>D2173+K2172</x:f>
        <x:v>25</x:v>
      </x:c>
    </x:row>
    <x:row r="2174">
      <x:c r="A2174" t="str">
        <x:v>Payment</x:v>
      </x:c>
      <x:c r="B2174" t="str">
        <x:f>'04_checks'!B312</x:f>
        <x:v>P065</x:v>
      </x:c>
      <x:c r="C2174" t="n">
        <x:v>66</x:v>
      </x:c>
      <x:c r="D2174" t="n">
        <x:f>IF('04_checks'!E312="ERROR",1,0)</x:f>
        <x:v>0</x:v>
      </x:c>
      <x:c r="E2174" t="str">
        <x:v>Payment:66:3</x:v>
      </x:c>
      <x:c r="F2174" t="str">
        <x:f>IF(COUNTIF('01_orders_raw'!$A$2:$A$181,'03_payments_raw'!B66)&gt;1,"Неоднозначная связь","Нет связи")</x:f>
        <x:v>Нет связи</x:v>
      </x:c>
      <x:c r="G2174" t="str">
        <x:v>High</x:v>
      </x:c>
      <x:c r="H2174" t="str">
        <x:v>order_id</x:v>
      </x:c>
      <x:c r="I2174" t="str">
        <x:v>Исправить ссылку или разрешить дубли связанного ID</x:v>
      </x:c>
      <x:c r="J2174" t="n">
        <x:f>IF(D2174=1,K2174,0)</x:f>
        <x:v>0</x:v>
      </x:c>
      <x:c r="K2174" t="n">
        <x:f>D2174+K2173</x:f>
        <x:v>25</x:v>
      </x:c>
    </x:row>
    <x:row r="2175">
      <x:c r="A2175" t="str">
        <x:v>Payment</x:v>
      </x:c>
      <x:c r="B2175" t="str">
        <x:f>'04_checks'!B312</x:f>
        <x:v>P065</x:v>
      </x:c>
      <x:c r="C2175" t="n">
        <x:v>66</x:v>
      </x:c>
      <x:c r="D2175" t="n">
        <x:f>IF('04_checks'!F312="ERROR",1,0)</x:f>
        <x:v>0</x:v>
      </x:c>
      <x:c r="E2175" t="str">
        <x:v>Payment:66:4</x:v>
      </x:c>
      <x:c r="F2175" t="str">
        <x:v>Ошибка расчета</x:v>
      </x:c>
      <x:c r="G2175" t="str">
        <x:v>High</x:v>
      </x:c>
      <x:c r="H2175" t="str">
        <x:v>payment_sum</x:v>
      </x:c>
      <x:c r="I2175" t="str">
        <x:v>Сверить исходные значения и правило расчёта</x:v>
      </x:c>
      <x:c r="J2175" t="n">
        <x:f>IF(D2175=1,K2175,0)</x:f>
        <x:v>0</x:v>
      </x:c>
      <x:c r="K2175" t="n">
        <x:f>D2175+K2174</x:f>
        <x:v>25</x:v>
      </x:c>
    </x:row>
    <x:row r="2176">
      <x:c r="A2176" t="str">
        <x:v>Payment</x:v>
      </x:c>
      <x:c r="B2176" t="str">
        <x:f>'04_checks'!B312</x:f>
        <x:v>P065</x:v>
      </x:c>
      <x:c r="C2176" t="n">
        <x:v>66</x:v>
      </x:c>
      <x:c r="D2176" t="n">
        <x:f>IF('04_checks'!G312="ERROR",1,0)</x:f>
        <x:v>0</x:v>
      </x:c>
      <x:c r="E2176" t="str">
        <x:v>Payment:66:5</x:v>
      </x:c>
      <x:c r="F2176" t="str">
        <x:v>Отрицательная цена</x:v>
      </x:c>
      <x:c r="G2176" t="str">
        <x:v>High</x:v>
      </x:c>
      <x:c r="H2176" t="str">
        <x:v>N/A</x:v>
      </x:c>
      <x:c r="I2176" t="str">
        <x:v>Проверить цену в источнике</x:v>
      </x:c>
      <x:c r="J2176" t="n">
        <x:f>IF(D2176=1,K2176,0)</x:f>
        <x:v>0</x:v>
      </x:c>
      <x:c r="K2176" t="n">
        <x:f>D2176+K2175</x:f>
        <x:v>25</x:v>
      </x:c>
    </x:row>
    <x:row r="2177">
      <x:c r="A2177" t="str">
        <x:v>Payment</x:v>
      </x:c>
      <x:c r="B2177" t="str">
        <x:f>'04_checks'!B312</x:f>
        <x:v>P065</x:v>
      </x:c>
      <x:c r="C2177" t="n">
        <x:v>66</x:v>
      </x:c>
      <x:c r="D2177" t="n">
        <x:f>IF('04_checks'!H312="ERROR",1,0)</x:f>
        <x:v>0</x:v>
      </x:c>
      <x:c r="E2177" t="str">
        <x:v>Payment:66:6</x:v>
      </x:c>
      <x:c r="F2177" t="str">
        <x:v>Дата</x:v>
      </x:c>
      <x:c r="G2177" t="str">
        <x:v>Medium</x:v>
      </x:c>
      <x:c r="H2177" t="str">
        <x:v>payment_date</x:v>
      </x:c>
      <x:c r="I2177" t="str">
        <x:v>Сверить дату со срезом и исходной записью</x:v>
      </x:c>
      <x:c r="J2177" t="n">
        <x:f>IF(D2177=1,K2177,0)</x:f>
        <x:v>0</x:v>
      </x:c>
      <x:c r="K2177" t="n">
        <x:f>D2177+K2176</x:f>
        <x:v>25</x:v>
      </x:c>
    </x:row>
    <x:row r="2178">
      <x:c r="A2178" t="str">
        <x:v>Payment</x:v>
      </x:c>
      <x:c r="B2178" t="str">
        <x:f>'04_checks'!B312</x:f>
        <x:v>P065</x:v>
      </x:c>
      <x:c r="C2178" t="n">
        <x:v>66</x:v>
      </x:c>
      <x:c r="D2178" t="n">
        <x:f>IF('04_checks'!I312="ERROR",1,0)</x:f>
        <x:v>0</x:v>
      </x:c>
      <x:c r="E2178" t="str">
        <x:v>Payment:66:7</x:v>
      </x:c>
      <x:c r="F2178" t="str">
        <x:v>Статус</x:v>
      </x:c>
      <x:c r="G2178" t="str">
        <x:v>Medium</x:v>
      </x:c>
      <x:c r="H2178" t="str">
        <x:v>payment_status</x:v>
      </x:c>
      <x:c r="I2178" t="str">
        <x:v>Выбрать допустимый статус</x:v>
      </x:c>
      <x:c r="J2178" t="n">
        <x:f>IF(D2178=1,K2178,0)</x:f>
        <x:v>0</x:v>
      </x:c>
      <x:c r="K2178" t="n">
        <x:f>D2178+K2177</x:f>
        <x:v>25</x:v>
      </x:c>
    </x:row>
    <x:row r="2179">
      <x:c r="A2179" t="str">
        <x:v>Payment</x:v>
      </x:c>
      <x:c r="B2179" t="str">
        <x:f>'04_checks'!B313</x:f>
        <x:v>P066</x:v>
      </x:c>
      <x:c r="C2179" t="n">
        <x:v>67</x:v>
      </x:c>
      <x:c r="D2179" t="n">
        <x:f>IF('04_checks'!C313="ERROR",1,0)</x:f>
        <x:v>0</x:v>
      </x:c>
      <x:c r="E2179" t="str">
        <x:v>Payment:67:1</x:v>
      </x:c>
      <x:c r="F2179" t="str">
        <x:v>Дубль</x:v>
      </x:c>
      <x:c r="G2179" t="str">
        <x:v>High</x:v>
      </x:c>
      <x:c r="H2179" t="str">
        <x:v>payment_id</x:v>
      </x:c>
      <x:c r="I2179" t="str">
        <x:v>Проверить уникальность ID в источнике; не удалять записи автоматически</x:v>
      </x:c>
      <x:c r="J2179" t="n">
        <x:f>IF(D2179=1,K2179,0)</x:f>
        <x:v>0</x:v>
      </x:c>
      <x:c r="K2179" t="n">
        <x:f>D2179+K2178</x:f>
        <x:v>25</x:v>
      </x:c>
    </x:row>
    <x:row r="2180">
      <x:c r="A2180" t="str">
        <x:v>Payment</x:v>
      </x:c>
      <x:c r="B2180" t="str">
        <x:f>'04_checks'!B313</x:f>
        <x:v>P066</x:v>
      </x:c>
      <x:c r="C2180" t="n">
        <x:v>67</x:v>
      </x:c>
      <x:c r="D2180" t="n">
        <x:f>IF('04_checks'!D313="ERROR",1,0)</x:f>
        <x:v>0</x:v>
      </x:c>
      <x:c r="E2180" t="str">
        <x:v>Payment:67:2</x:v>
      </x:c>
      <x:c r="F2180" t="str">
        <x:v>Пустое поле</x:v>
      </x:c>
      <x:c r="G2180" t="str">
        <x:v>High</x:v>
      </x:c>
      <x:c r="H2180" t="str">
        <x:v>required_fields</x:v>
      </x:c>
      <x:c r="I2180" t="str">
        <x:v>Дополнить обязательные поля в источнике</x:v>
      </x:c>
      <x:c r="J2180" t="n">
        <x:f>IF(D2180=1,K2180,0)</x:f>
        <x:v>0</x:v>
      </x:c>
      <x:c r="K2180" t="n">
        <x:f>D2180+K2179</x:f>
        <x:v>25</x:v>
      </x:c>
    </x:row>
    <x:row r="2181">
      <x:c r="A2181" t="str">
        <x:v>Payment</x:v>
      </x:c>
      <x:c r="B2181" t="str">
        <x:f>'04_checks'!B313</x:f>
        <x:v>P066</x:v>
      </x:c>
      <x:c r="C2181" t="n">
        <x:v>67</x:v>
      </x:c>
      <x:c r="D2181" t="n">
        <x:f>IF('04_checks'!E313="ERROR",1,0)</x:f>
        <x:v>0</x:v>
      </x:c>
      <x:c r="E2181" t="str">
        <x:v>Payment:67:3</x:v>
      </x:c>
      <x:c r="F2181" t="str">
        <x:f>IF(COUNTIF('01_orders_raw'!$A$2:$A$181,'03_payments_raw'!B67)&gt;1,"Неоднозначная связь","Нет связи")</x:f>
        <x:v>Нет связи</x:v>
      </x:c>
      <x:c r="G2181" t="str">
        <x:v>High</x:v>
      </x:c>
      <x:c r="H2181" t="str">
        <x:v>order_id</x:v>
      </x:c>
      <x:c r="I2181" t="str">
        <x:v>Исправить ссылку или разрешить дубли связанного ID</x:v>
      </x:c>
      <x:c r="J2181" t="n">
        <x:f>IF(D2181=1,K2181,0)</x:f>
        <x:v>0</x:v>
      </x:c>
      <x:c r="K2181" t="n">
        <x:f>D2181+K2180</x:f>
        <x:v>25</x:v>
      </x:c>
    </x:row>
    <x:row r="2182">
      <x:c r="A2182" t="str">
        <x:v>Payment</x:v>
      </x:c>
      <x:c r="B2182" t="str">
        <x:f>'04_checks'!B313</x:f>
        <x:v>P066</x:v>
      </x:c>
      <x:c r="C2182" t="n">
        <x:v>67</x:v>
      </x:c>
      <x:c r="D2182" t="n">
        <x:f>IF('04_checks'!F313="ERROR",1,0)</x:f>
        <x:v>0</x:v>
      </x:c>
      <x:c r="E2182" t="str">
        <x:v>Payment:67:4</x:v>
      </x:c>
      <x:c r="F2182" t="str">
        <x:v>Ошибка расчета</x:v>
      </x:c>
      <x:c r="G2182" t="str">
        <x:v>High</x:v>
      </x:c>
      <x:c r="H2182" t="str">
        <x:v>payment_sum</x:v>
      </x:c>
      <x:c r="I2182" t="str">
        <x:v>Сверить исходные значения и правило расчёта</x:v>
      </x:c>
      <x:c r="J2182" t="n">
        <x:f>IF(D2182=1,K2182,0)</x:f>
        <x:v>0</x:v>
      </x:c>
      <x:c r="K2182" t="n">
        <x:f>D2182+K2181</x:f>
        <x:v>25</x:v>
      </x:c>
    </x:row>
    <x:row r="2183">
      <x:c r="A2183" t="str">
        <x:v>Payment</x:v>
      </x:c>
      <x:c r="B2183" t="str">
        <x:f>'04_checks'!B313</x:f>
        <x:v>P066</x:v>
      </x:c>
      <x:c r="C2183" t="n">
        <x:v>67</x:v>
      </x:c>
      <x:c r="D2183" t="n">
        <x:f>IF('04_checks'!G313="ERROR",1,0)</x:f>
        <x:v>0</x:v>
      </x:c>
      <x:c r="E2183" t="str">
        <x:v>Payment:67:5</x:v>
      </x:c>
      <x:c r="F2183" t="str">
        <x:v>Отрицательная цена</x:v>
      </x:c>
      <x:c r="G2183" t="str">
        <x:v>High</x:v>
      </x:c>
      <x:c r="H2183" t="str">
        <x:v>N/A</x:v>
      </x:c>
      <x:c r="I2183" t="str">
        <x:v>Проверить цену в источнике</x:v>
      </x:c>
      <x:c r="J2183" t="n">
        <x:f>IF(D2183=1,K2183,0)</x:f>
        <x:v>0</x:v>
      </x:c>
      <x:c r="K2183" t="n">
        <x:f>D2183+K2182</x:f>
        <x:v>25</x:v>
      </x:c>
    </x:row>
    <x:row r="2184">
      <x:c r="A2184" t="str">
        <x:v>Payment</x:v>
      </x:c>
      <x:c r="B2184" t="str">
        <x:f>'04_checks'!B313</x:f>
        <x:v>P066</x:v>
      </x:c>
      <x:c r="C2184" t="n">
        <x:v>67</x:v>
      </x:c>
      <x:c r="D2184" t="n">
        <x:f>IF('04_checks'!H313="ERROR",1,0)</x:f>
        <x:v>0</x:v>
      </x:c>
      <x:c r="E2184" t="str">
        <x:v>Payment:67:6</x:v>
      </x:c>
      <x:c r="F2184" t="str">
        <x:v>Дата</x:v>
      </x:c>
      <x:c r="G2184" t="str">
        <x:v>Medium</x:v>
      </x:c>
      <x:c r="H2184" t="str">
        <x:v>payment_date</x:v>
      </x:c>
      <x:c r="I2184" t="str">
        <x:v>Сверить дату со срезом и исходной записью</x:v>
      </x:c>
      <x:c r="J2184" t="n">
        <x:f>IF(D2184=1,K2184,0)</x:f>
        <x:v>0</x:v>
      </x:c>
      <x:c r="K2184" t="n">
        <x:f>D2184+K2183</x:f>
        <x:v>25</x:v>
      </x:c>
    </x:row>
    <x:row r="2185">
      <x:c r="A2185" t="str">
        <x:v>Payment</x:v>
      </x:c>
      <x:c r="B2185" t="str">
        <x:f>'04_checks'!B313</x:f>
        <x:v>P066</x:v>
      </x:c>
      <x:c r="C2185" t="n">
        <x:v>67</x:v>
      </x:c>
      <x:c r="D2185" t="n">
        <x:f>IF('04_checks'!I313="ERROR",1,0)</x:f>
        <x:v>0</x:v>
      </x:c>
      <x:c r="E2185" t="str">
        <x:v>Payment:67:7</x:v>
      </x:c>
      <x:c r="F2185" t="str">
        <x:v>Статус</x:v>
      </x:c>
      <x:c r="G2185" t="str">
        <x:v>Medium</x:v>
      </x:c>
      <x:c r="H2185" t="str">
        <x:v>payment_status</x:v>
      </x:c>
      <x:c r="I2185" t="str">
        <x:v>Выбрать допустимый статус</x:v>
      </x:c>
      <x:c r="J2185" t="n">
        <x:f>IF(D2185=1,K2185,0)</x:f>
        <x:v>0</x:v>
      </x:c>
      <x:c r="K2185" t="n">
        <x:f>D2185+K2184</x:f>
        <x:v>25</x:v>
      </x:c>
    </x:row>
    <x:row r="2186">
      <x:c r="A2186" t="str">
        <x:v>Payment</x:v>
      </x:c>
      <x:c r="B2186" t="str">
        <x:f>'04_checks'!B314</x:f>
        <x:v>P067</x:v>
      </x:c>
      <x:c r="C2186" t="n">
        <x:v>68</x:v>
      </x:c>
      <x:c r="D2186" t="n">
        <x:f>IF('04_checks'!C314="ERROR",1,0)</x:f>
        <x:v>0</x:v>
      </x:c>
      <x:c r="E2186" t="str">
        <x:v>Payment:68:1</x:v>
      </x:c>
      <x:c r="F2186" t="str">
        <x:v>Дубль</x:v>
      </x:c>
      <x:c r="G2186" t="str">
        <x:v>High</x:v>
      </x:c>
      <x:c r="H2186" t="str">
        <x:v>payment_id</x:v>
      </x:c>
      <x:c r="I2186" t="str">
        <x:v>Проверить уникальность ID в источнике; не удалять записи автоматически</x:v>
      </x:c>
      <x:c r="J2186" t="n">
        <x:f>IF(D2186=1,K2186,0)</x:f>
        <x:v>0</x:v>
      </x:c>
      <x:c r="K2186" t="n">
        <x:f>D2186+K2185</x:f>
        <x:v>25</x:v>
      </x:c>
    </x:row>
    <x:row r="2187">
      <x:c r="A2187" t="str">
        <x:v>Payment</x:v>
      </x:c>
      <x:c r="B2187" t="str">
        <x:f>'04_checks'!B314</x:f>
        <x:v>P067</x:v>
      </x:c>
      <x:c r="C2187" t="n">
        <x:v>68</x:v>
      </x:c>
      <x:c r="D2187" t="n">
        <x:f>IF('04_checks'!D314="ERROR",1,0)</x:f>
        <x:v>0</x:v>
      </x:c>
      <x:c r="E2187" t="str">
        <x:v>Payment:68:2</x:v>
      </x:c>
      <x:c r="F2187" t="str">
        <x:v>Пустое поле</x:v>
      </x:c>
      <x:c r="G2187" t="str">
        <x:v>High</x:v>
      </x:c>
      <x:c r="H2187" t="str">
        <x:v>required_fields</x:v>
      </x:c>
      <x:c r="I2187" t="str">
        <x:v>Дополнить обязательные поля в источнике</x:v>
      </x:c>
      <x:c r="J2187" t="n">
        <x:f>IF(D2187=1,K2187,0)</x:f>
        <x:v>0</x:v>
      </x:c>
      <x:c r="K2187" t="n">
        <x:f>D2187+K2186</x:f>
        <x:v>25</x:v>
      </x:c>
    </x:row>
    <x:row r="2188">
      <x:c r="A2188" t="str">
        <x:v>Payment</x:v>
      </x:c>
      <x:c r="B2188" t="str">
        <x:f>'04_checks'!B314</x:f>
        <x:v>P067</x:v>
      </x:c>
      <x:c r="C2188" t="n">
        <x:v>68</x:v>
      </x:c>
      <x:c r="D2188" t="n">
        <x:f>IF('04_checks'!E314="ERROR",1,0)</x:f>
        <x:v>0</x:v>
      </x:c>
      <x:c r="E2188" t="str">
        <x:v>Payment:68:3</x:v>
      </x:c>
      <x:c r="F2188" t="str">
        <x:f>IF(COUNTIF('01_orders_raw'!$A$2:$A$181,'03_payments_raw'!B68)&gt;1,"Неоднозначная связь","Нет связи")</x:f>
        <x:v>Нет связи</x:v>
      </x:c>
      <x:c r="G2188" t="str">
        <x:v>High</x:v>
      </x:c>
      <x:c r="H2188" t="str">
        <x:v>order_id</x:v>
      </x:c>
      <x:c r="I2188" t="str">
        <x:v>Исправить ссылку или разрешить дубли связанного ID</x:v>
      </x:c>
      <x:c r="J2188" t="n">
        <x:f>IF(D2188=1,K2188,0)</x:f>
        <x:v>0</x:v>
      </x:c>
      <x:c r="K2188" t="n">
        <x:f>D2188+K2187</x:f>
        <x:v>25</x:v>
      </x:c>
    </x:row>
    <x:row r="2189">
      <x:c r="A2189" t="str">
        <x:v>Payment</x:v>
      </x:c>
      <x:c r="B2189" t="str">
        <x:f>'04_checks'!B314</x:f>
        <x:v>P067</x:v>
      </x:c>
      <x:c r="C2189" t="n">
        <x:v>68</x:v>
      </x:c>
      <x:c r="D2189" t="n">
        <x:f>IF('04_checks'!F314="ERROR",1,0)</x:f>
        <x:v>0</x:v>
      </x:c>
      <x:c r="E2189" t="str">
        <x:v>Payment:68:4</x:v>
      </x:c>
      <x:c r="F2189" t="str">
        <x:v>Ошибка расчета</x:v>
      </x:c>
      <x:c r="G2189" t="str">
        <x:v>High</x:v>
      </x:c>
      <x:c r="H2189" t="str">
        <x:v>payment_sum</x:v>
      </x:c>
      <x:c r="I2189" t="str">
        <x:v>Сверить исходные значения и правило расчёта</x:v>
      </x:c>
      <x:c r="J2189" t="n">
        <x:f>IF(D2189=1,K2189,0)</x:f>
        <x:v>0</x:v>
      </x:c>
      <x:c r="K2189" t="n">
        <x:f>D2189+K2188</x:f>
        <x:v>25</x:v>
      </x:c>
    </x:row>
    <x:row r="2190">
      <x:c r="A2190" t="str">
        <x:v>Payment</x:v>
      </x:c>
      <x:c r="B2190" t="str">
        <x:f>'04_checks'!B314</x:f>
        <x:v>P067</x:v>
      </x:c>
      <x:c r="C2190" t="n">
        <x:v>68</x:v>
      </x:c>
      <x:c r="D2190" t="n">
        <x:f>IF('04_checks'!G314="ERROR",1,0)</x:f>
        <x:v>0</x:v>
      </x:c>
      <x:c r="E2190" t="str">
        <x:v>Payment:68:5</x:v>
      </x:c>
      <x:c r="F2190" t="str">
        <x:v>Отрицательная цена</x:v>
      </x:c>
      <x:c r="G2190" t="str">
        <x:v>High</x:v>
      </x:c>
      <x:c r="H2190" t="str">
        <x:v>N/A</x:v>
      </x:c>
      <x:c r="I2190" t="str">
        <x:v>Проверить цену в источнике</x:v>
      </x:c>
      <x:c r="J2190" t="n">
        <x:f>IF(D2190=1,K2190,0)</x:f>
        <x:v>0</x:v>
      </x:c>
      <x:c r="K2190" t="n">
        <x:f>D2190+K2189</x:f>
        <x:v>25</x:v>
      </x:c>
    </x:row>
    <x:row r="2191">
      <x:c r="A2191" t="str">
        <x:v>Payment</x:v>
      </x:c>
      <x:c r="B2191" t="str">
        <x:f>'04_checks'!B314</x:f>
        <x:v>P067</x:v>
      </x:c>
      <x:c r="C2191" t="n">
        <x:v>68</x:v>
      </x:c>
      <x:c r="D2191" t="n">
        <x:f>IF('04_checks'!H314="ERROR",1,0)</x:f>
        <x:v>0</x:v>
      </x:c>
      <x:c r="E2191" t="str">
        <x:v>Payment:68:6</x:v>
      </x:c>
      <x:c r="F2191" t="str">
        <x:v>Дата</x:v>
      </x:c>
      <x:c r="G2191" t="str">
        <x:v>Medium</x:v>
      </x:c>
      <x:c r="H2191" t="str">
        <x:v>payment_date</x:v>
      </x:c>
      <x:c r="I2191" t="str">
        <x:v>Сверить дату со срезом и исходной записью</x:v>
      </x:c>
      <x:c r="J2191" t="n">
        <x:f>IF(D2191=1,K2191,0)</x:f>
        <x:v>0</x:v>
      </x:c>
      <x:c r="K2191" t="n">
        <x:f>D2191+K2190</x:f>
        <x:v>25</x:v>
      </x:c>
    </x:row>
    <x:row r="2192">
      <x:c r="A2192" t="str">
        <x:v>Payment</x:v>
      </x:c>
      <x:c r="B2192" t="str">
        <x:f>'04_checks'!B314</x:f>
        <x:v>P067</x:v>
      </x:c>
      <x:c r="C2192" t="n">
        <x:v>68</x:v>
      </x:c>
      <x:c r="D2192" t="n">
        <x:f>IF('04_checks'!I314="ERROR",1,0)</x:f>
        <x:v>0</x:v>
      </x:c>
      <x:c r="E2192" t="str">
        <x:v>Payment:68:7</x:v>
      </x:c>
      <x:c r="F2192" t="str">
        <x:v>Статус</x:v>
      </x:c>
      <x:c r="G2192" t="str">
        <x:v>Medium</x:v>
      </x:c>
      <x:c r="H2192" t="str">
        <x:v>payment_status</x:v>
      </x:c>
      <x:c r="I2192" t="str">
        <x:v>Выбрать допустимый статус</x:v>
      </x:c>
      <x:c r="J2192" t="n">
        <x:f>IF(D2192=1,K2192,0)</x:f>
        <x:v>0</x:v>
      </x:c>
      <x:c r="K2192" t="n">
        <x:f>D2192+K2191</x:f>
        <x:v>25</x:v>
      </x:c>
    </x:row>
    <x:row r="2193">
      <x:c r="A2193" t="str">
        <x:v>Payment</x:v>
      </x:c>
      <x:c r="B2193" t="str">
        <x:f>'04_checks'!B315</x:f>
        <x:v>P068</x:v>
      </x:c>
      <x:c r="C2193" t="n">
        <x:v>69</x:v>
      </x:c>
      <x:c r="D2193" t="n">
        <x:f>IF('04_checks'!C315="ERROR",1,0)</x:f>
        <x:v>0</x:v>
      </x:c>
      <x:c r="E2193" t="str">
        <x:v>Payment:69:1</x:v>
      </x:c>
      <x:c r="F2193" t="str">
        <x:v>Дубль</x:v>
      </x:c>
      <x:c r="G2193" t="str">
        <x:v>High</x:v>
      </x:c>
      <x:c r="H2193" t="str">
        <x:v>payment_id</x:v>
      </x:c>
      <x:c r="I2193" t="str">
        <x:v>Проверить уникальность ID в источнике; не удалять записи автоматически</x:v>
      </x:c>
      <x:c r="J2193" t="n">
        <x:f>IF(D2193=1,K2193,0)</x:f>
        <x:v>0</x:v>
      </x:c>
      <x:c r="K2193" t="n">
        <x:f>D2193+K2192</x:f>
        <x:v>25</x:v>
      </x:c>
    </x:row>
    <x:row r="2194">
      <x:c r="A2194" t="str">
        <x:v>Payment</x:v>
      </x:c>
      <x:c r="B2194" t="str">
        <x:f>'04_checks'!B315</x:f>
        <x:v>P068</x:v>
      </x:c>
      <x:c r="C2194" t="n">
        <x:v>69</x:v>
      </x:c>
      <x:c r="D2194" t="n">
        <x:f>IF('04_checks'!D315="ERROR",1,0)</x:f>
        <x:v>0</x:v>
      </x:c>
      <x:c r="E2194" t="str">
        <x:v>Payment:69:2</x:v>
      </x:c>
      <x:c r="F2194" t="str">
        <x:v>Пустое поле</x:v>
      </x:c>
      <x:c r="G2194" t="str">
        <x:v>High</x:v>
      </x:c>
      <x:c r="H2194" t="str">
        <x:v>required_fields</x:v>
      </x:c>
      <x:c r="I2194" t="str">
        <x:v>Дополнить обязательные поля в источнике</x:v>
      </x:c>
      <x:c r="J2194" t="n">
        <x:f>IF(D2194=1,K2194,0)</x:f>
        <x:v>0</x:v>
      </x:c>
      <x:c r="K2194" t="n">
        <x:f>D2194+K2193</x:f>
        <x:v>25</x:v>
      </x:c>
    </x:row>
    <x:row r="2195">
      <x:c r="A2195" t="str">
        <x:v>Payment</x:v>
      </x:c>
      <x:c r="B2195" t="str">
        <x:f>'04_checks'!B315</x:f>
        <x:v>P068</x:v>
      </x:c>
      <x:c r="C2195" t="n">
        <x:v>69</x:v>
      </x:c>
      <x:c r="D2195" t="n">
        <x:f>IF('04_checks'!E315="ERROR",1,0)</x:f>
        <x:v>0</x:v>
      </x:c>
      <x:c r="E2195" t="str">
        <x:v>Payment:69:3</x:v>
      </x:c>
      <x:c r="F2195" t="str">
        <x:f>IF(COUNTIF('01_orders_raw'!$A$2:$A$181,'03_payments_raw'!B69)&gt;1,"Неоднозначная связь","Нет связи")</x:f>
        <x:v>Нет связи</x:v>
      </x:c>
      <x:c r="G2195" t="str">
        <x:v>High</x:v>
      </x:c>
      <x:c r="H2195" t="str">
        <x:v>order_id</x:v>
      </x:c>
      <x:c r="I2195" t="str">
        <x:v>Исправить ссылку или разрешить дубли связанного ID</x:v>
      </x:c>
      <x:c r="J2195" t="n">
        <x:f>IF(D2195=1,K2195,0)</x:f>
        <x:v>0</x:v>
      </x:c>
      <x:c r="K2195" t="n">
        <x:f>D2195+K2194</x:f>
        <x:v>25</x:v>
      </x:c>
    </x:row>
    <x:row r="2196">
      <x:c r="A2196" t="str">
        <x:v>Payment</x:v>
      </x:c>
      <x:c r="B2196" t="str">
        <x:f>'04_checks'!B315</x:f>
        <x:v>P068</x:v>
      </x:c>
      <x:c r="C2196" t="n">
        <x:v>69</x:v>
      </x:c>
      <x:c r="D2196" t="n">
        <x:f>IF('04_checks'!F315="ERROR",1,0)</x:f>
        <x:v>0</x:v>
      </x:c>
      <x:c r="E2196" t="str">
        <x:v>Payment:69:4</x:v>
      </x:c>
      <x:c r="F2196" t="str">
        <x:v>Ошибка расчета</x:v>
      </x:c>
      <x:c r="G2196" t="str">
        <x:v>High</x:v>
      </x:c>
      <x:c r="H2196" t="str">
        <x:v>payment_sum</x:v>
      </x:c>
      <x:c r="I2196" t="str">
        <x:v>Сверить исходные значения и правило расчёта</x:v>
      </x:c>
      <x:c r="J2196" t="n">
        <x:f>IF(D2196=1,K2196,0)</x:f>
        <x:v>0</x:v>
      </x:c>
      <x:c r="K2196" t="n">
        <x:f>D2196+K2195</x:f>
        <x:v>25</x:v>
      </x:c>
    </x:row>
    <x:row r="2197">
      <x:c r="A2197" t="str">
        <x:v>Payment</x:v>
      </x:c>
      <x:c r="B2197" t="str">
        <x:f>'04_checks'!B315</x:f>
        <x:v>P068</x:v>
      </x:c>
      <x:c r="C2197" t="n">
        <x:v>69</x:v>
      </x:c>
      <x:c r="D2197" t="n">
        <x:f>IF('04_checks'!G315="ERROR",1,0)</x:f>
        <x:v>0</x:v>
      </x:c>
      <x:c r="E2197" t="str">
        <x:v>Payment:69:5</x:v>
      </x:c>
      <x:c r="F2197" t="str">
        <x:v>Отрицательная цена</x:v>
      </x:c>
      <x:c r="G2197" t="str">
        <x:v>High</x:v>
      </x:c>
      <x:c r="H2197" t="str">
        <x:v>N/A</x:v>
      </x:c>
      <x:c r="I2197" t="str">
        <x:v>Проверить цену в источнике</x:v>
      </x:c>
      <x:c r="J2197" t="n">
        <x:f>IF(D2197=1,K2197,0)</x:f>
        <x:v>0</x:v>
      </x:c>
      <x:c r="K2197" t="n">
        <x:f>D2197+K2196</x:f>
        <x:v>25</x:v>
      </x:c>
    </x:row>
    <x:row r="2198">
      <x:c r="A2198" t="str">
        <x:v>Payment</x:v>
      </x:c>
      <x:c r="B2198" t="str">
        <x:f>'04_checks'!B315</x:f>
        <x:v>P068</x:v>
      </x:c>
      <x:c r="C2198" t="n">
        <x:v>69</x:v>
      </x:c>
      <x:c r="D2198" t="n">
        <x:f>IF('04_checks'!H315="ERROR",1,0)</x:f>
        <x:v>0</x:v>
      </x:c>
      <x:c r="E2198" t="str">
        <x:v>Payment:69:6</x:v>
      </x:c>
      <x:c r="F2198" t="str">
        <x:v>Дата</x:v>
      </x:c>
      <x:c r="G2198" t="str">
        <x:v>Medium</x:v>
      </x:c>
      <x:c r="H2198" t="str">
        <x:v>payment_date</x:v>
      </x:c>
      <x:c r="I2198" t="str">
        <x:v>Сверить дату со срезом и исходной записью</x:v>
      </x:c>
      <x:c r="J2198" t="n">
        <x:f>IF(D2198=1,K2198,0)</x:f>
        <x:v>0</x:v>
      </x:c>
      <x:c r="K2198" t="n">
        <x:f>D2198+K2197</x:f>
        <x:v>25</x:v>
      </x:c>
    </x:row>
    <x:row r="2199">
      <x:c r="A2199" t="str">
        <x:v>Payment</x:v>
      </x:c>
      <x:c r="B2199" t="str">
        <x:f>'04_checks'!B315</x:f>
        <x:v>P068</x:v>
      </x:c>
      <x:c r="C2199" t="n">
        <x:v>69</x:v>
      </x:c>
      <x:c r="D2199" t="n">
        <x:f>IF('04_checks'!I315="ERROR",1,0)</x:f>
        <x:v>0</x:v>
      </x:c>
      <x:c r="E2199" t="str">
        <x:v>Payment:69:7</x:v>
      </x:c>
      <x:c r="F2199" t="str">
        <x:v>Статус</x:v>
      </x:c>
      <x:c r="G2199" t="str">
        <x:v>Medium</x:v>
      </x:c>
      <x:c r="H2199" t="str">
        <x:v>payment_status</x:v>
      </x:c>
      <x:c r="I2199" t="str">
        <x:v>Выбрать допустимый статус</x:v>
      </x:c>
      <x:c r="J2199" t="n">
        <x:f>IF(D2199=1,K2199,0)</x:f>
        <x:v>0</x:v>
      </x:c>
      <x:c r="K2199" t="n">
        <x:f>D2199+K2198</x:f>
        <x:v>25</x:v>
      </x:c>
    </x:row>
    <x:row r="2200">
      <x:c r="A2200" t="str">
        <x:v>Payment</x:v>
      </x:c>
      <x:c r="B2200" t="str">
        <x:f>'04_checks'!B316</x:f>
        <x:v>P069</x:v>
      </x:c>
      <x:c r="C2200" t="n">
        <x:v>70</x:v>
      </x:c>
      <x:c r="D2200" t="n">
        <x:f>IF('04_checks'!C316="ERROR",1,0)</x:f>
        <x:v>0</x:v>
      </x:c>
      <x:c r="E2200" t="str">
        <x:v>Payment:70:1</x:v>
      </x:c>
      <x:c r="F2200" t="str">
        <x:v>Дубль</x:v>
      </x:c>
      <x:c r="G2200" t="str">
        <x:v>High</x:v>
      </x:c>
      <x:c r="H2200" t="str">
        <x:v>payment_id</x:v>
      </x:c>
      <x:c r="I2200" t="str">
        <x:v>Проверить уникальность ID в источнике; не удалять записи автоматически</x:v>
      </x:c>
      <x:c r="J2200" t="n">
        <x:f>IF(D2200=1,K2200,0)</x:f>
        <x:v>0</x:v>
      </x:c>
      <x:c r="K2200" t="n">
        <x:f>D2200+K2199</x:f>
        <x:v>25</x:v>
      </x:c>
    </x:row>
    <x:row r="2201">
      <x:c r="A2201" t="str">
        <x:v>Payment</x:v>
      </x:c>
      <x:c r="B2201" t="str">
        <x:f>'04_checks'!B316</x:f>
        <x:v>P069</x:v>
      </x:c>
      <x:c r="C2201" t="n">
        <x:v>70</x:v>
      </x:c>
      <x:c r="D2201" t="n">
        <x:f>IF('04_checks'!D316="ERROR",1,0)</x:f>
        <x:v>0</x:v>
      </x:c>
      <x:c r="E2201" t="str">
        <x:v>Payment:70:2</x:v>
      </x:c>
      <x:c r="F2201" t="str">
        <x:v>Пустое поле</x:v>
      </x:c>
      <x:c r="G2201" t="str">
        <x:v>High</x:v>
      </x:c>
      <x:c r="H2201" t="str">
        <x:v>required_fields</x:v>
      </x:c>
      <x:c r="I2201" t="str">
        <x:v>Дополнить обязательные поля в источнике</x:v>
      </x:c>
      <x:c r="J2201" t="n">
        <x:f>IF(D2201=1,K2201,0)</x:f>
        <x:v>0</x:v>
      </x:c>
      <x:c r="K2201" t="n">
        <x:f>D2201+K2200</x:f>
        <x:v>25</x:v>
      </x:c>
    </x:row>
    <x:row r="2202">
      <x:c r="A2202" t="str">
        <x:v>Payment</x:v>
      </x:c>
      <x:c r="B2202" t="str">
        <x:f>'04_checks'!B316</x:f>
        <x:v>P069</x:v>
      </x:c>
      <x:c r="C2202" t="n">
        <x:v>70</x:v>
      </x:c>
      <x:c r="D2202" t="n">
        <x:f>IF('04_checks'!E316="ERROR",1,0)</x:f>
        <x:v>0</x:v>
      </x:c>
      <x:c r="E2202" t="str">
        <x:v>Payment:70:3</x:v>
      </x:c>
      <x:c r="F2202" t="str">
        <x:f>IF(COUNTIF('01_orders_raw'!$A$2:$A$181,'03_payments_raw'!B70)&gt;1,"Неоднозначная связь","Нет связи")</x:f>
        <x:v>Нет связи</x:v>
      </x:c>
      <x:c r="G2202" t="str">
        <x:v>High</x:v>
      </x:c>
      <x:c r="H2202" t="str">
        <x:v>order_id</x:v>
      </x:c>
      <x:c r="I2202" t="str">
        <x:v>Исправить ссылку или разрешить дубли связанного ID</x:v>
      </x:c>
      <x:c r="J2202" t="n">
        <x:f>IF(D2202=1,K2202,0)</x:f>
        <x:v>0</x:v>
      </x:c>
      <x:c r="K2202" t="n">
        <x:f>D2202+K2201</x:f>
        <x:v>25</x:v>
      </x:c>
    </x:row>
    <x:row r="2203">
      <x:c r="A2203" t="str">
        <x:v>Payment</x:v>
      </x:c>
      <x:c r="B2203" t="str">
        <x:f>'04_checks'!B316</x:f>
        <x:v>P069</x:v>
      </x:c>
      <x:c r="C2203" t="n">
        <x:v>70</x:v>
      </x:c>
      <x:c r="D2203" t="n">
        <x:f>IF('04_checks'!F316="ERROR",1,0)</x:f>
        <x:v>0</x:v>
      </x:c>
      <x:c r="E2203" t="str">
        <x:v>Payment:70:4</x:v>
      </x:c>
      <x:c r="F2203" t="str">
        <x:v>Ошибка расчета</x:v>
      </x:c>
      <x:c r="G2203" t="str">
        <x:v>High</x:v>
      </x:c>
      <x:c r="H2203" t="str">
        <x:v>payment_sum</x:v>
      </x:c>
      <x:c r="I2203" t="str">
        <x:v>Сверить исходные значения и правило расчёта</x:v>
      </x:c>
      <x:c r="J2203" t="n">
        <x:f>IF(D2203=1,K2203,0)</x:f>
        <x:v>0</x:v>
      </x:c>
      <x:c r="K2203" t="n">
        <x:f>D2203+K2202</x:f>
        <x:v>25</x:v>
      </x:c>
    </x:row>
    <x:row r="2204">
      <x:c r="A2204" t="str">
        <x:v>Payment</x:v>
      </x:c>
      <x:c r="B2204" t="str">
        <x:f>'04_checks'!B316</x:f>
        <x:v>P069</x:v>
      </x:c>
      <x:c r="C2204" t="n">
        <x:v>70</x:v>
      </x:c>
      <x:c r="D2204" t="n">
        <x:f>IF('04_checks'!G316="ERROR",1,0)</x:f>
        <x:v>0</x:v>
      </x:c>
      <x:c r="E2204" t="str">
        <x:v>Payment:70:5</x:v>
      </x:c>
      <x:c r="F2204" t="str">
        <x:v>Отрицательная цена</x:v>
      </x:c>
      <x:c r="G2204" t="str">
        <x:v>High</x:v>
      </x:c>
      <x:c r="H2204" t="str">
        <x:v>N/A</x:v>
      </x:c>
      <x:c r="I2204" t="str">
        <x:v>Проверить цену в источнике</x:v>
      </x:c>
      <x:c r="J2204" t="n">
        <x:f>IF(D2204=1,K2204,0)</x:f>
        <x:v>0</x:v>
      </x:c>
      <x:c r="K2204" t="n">
        <x:f>D2204+K2203</x:f>
        <x:v>25</x:v>
      </x:c>
    </x:row>
    <x:row r="2205">
      <x:c r="A2205" t="str">
        <x:v>Payment</x:v>
      </x:c>
      <x:c r="B2205" t="str">
        <x:f>'04_checks'!B316</x:f>
        <x:v>P069</x:v>
      </x:c>
      <x:c r="C2205" t="n">
        <x:v>70</x:v>
      </x:c>
      <x:c r="D2205" t="n">
        <x:f>IF('04_checks'!H316="ERROR",1,0)</x:f>
        <x:v>0</x:v>
      </x:c>
      <x:c r="E2205" t="str">
        <x:v>Payment:70:6</x:v>
      </x:c>
      <x:c r="F2205" t="str">
        <x:v>Дата</x:v>
      </x:c>
      <x:c r="G2205" t="str">
        <x:v>Medium</x:v>
      </x:c>
      <x:c r="H2205" t="str">
        <x:v>payment_date</x:v>
      </x:c>
      <x:c r="I2205" t="str">
        <x:v>Сверить дату со срезом и исходной записью</x:v>
      </x:c>
      <x:c r="J2205" t="n">
        <x:f>IF(D2205=1,K2205,0)</x:f>
        <x:v>0</x:v>
      </x:c>
      <x:c r="K2205" t="n">
        <x:f>D2205+K2204</x:f>
        <x:v>25</x:v>
      </x:c>
    </x:row>
    <x:row r="2206">
      <x:c r="A2206" t="str">
        <x:v>Payment</x:v>
      </x:c>
      <x:c r="B2206" t="str">
        <x:f>'04_checks'!B316</x:f>
        <x:v>P069</x:v>
      </x:c>
      <x:c r="C2206" t="n">
        <x:v>70</x:v>
      </x:c>
      <x:c r="D2206" t="n">
        <x:f>IF('04_checks'!I316="ERROR",1,0)</x:f>
        <x:v>0</x:v>
      </x:c>
      <x:c r="E2206" t="str">
        <x:v>Payment:70:7</x:v>
      </x:c>
      <x:c r="F2206" t="str">
        <x:v>Статус</x:v>
      </x:c>
      <x:c r="G2206" t="str">
        <x:v>Medium</x:v>
      </x:c>
      <x:c r="H2206" t="str">
        <x:v>payment_status</x:v>
      </x:c>
      <x:c r="I2206" t="str">
        <x:v>Выбрать допустимый статус</x:v>
      </x:c>
      <x:c r="J2206" t="n">
        <x:f>IF(D2206=1,K2206,0)</x:f>
        <x:v>0</x:v>
      </x:c>
      <x:c r="K2206" t="n">
        <x:f>D2206+K2205</x:f>
        <x:v>25</x:v>
      </x:c>
    </x:row>
    <x:row r="2207">
      <x:c r="A2207" t="str">
        <x:v>Payment</x:v>
      </x:c>
      <x:c r="B2207" t="str">
        <x:f>'04_checks'!B317</x:f>
        <x:v>P070</x:v>
      </x:c>
      <x:c r="C2207" t="n">
        <x:v>71</x:v>
      </x:c>
      <x:c r="D2207" t="n">
        <x:f>IF('04_checks'!C317="ERROR",1,0)</x:f>
        <x:v>0</x:v>
      </x:c>
      <x:c r="E2207" t="str">
        <x:v>Payment:71:1</x:v>
      </x:c>
      <x:c r="F2207" t="str">
        <x:v>Дубль</x:v>
      </x:c>
      <x:c r="G2207" t="str">
        <x:v>High</x:v>
      </x:c>
      <x:c r="H2207" t="str">
        <x:v>payment_id</x:v>
      </x:c>
      <x:c r="I2207" t="str">
        <x:v>Проверить уникальность ID в источнике; не удалять записи автоматически</x:v>
      </x:c>
      <x:c r="J2207" t="n">
        <x:f>IF(D2207=1,K2207,0)</x:f>
        <x:v>0</x:v>
      </x:c>
      <x:c r="K2207" t="n">
        <x:f>D2207+K2206</x:f>
        <x:v>25</x:v>
      </x:c>
    </x:row>
    <x:row r="2208">
      <x:c r="A2208" t="str">
        <x:v>Payment</x:v>
      </x:c>
      <x:c r="B2208" t="str">
        <x:f>'04_checks'!B317</x:f>
        <x:v>P070</x:v>
      </x:c>
      <x:c r="C2208" t="n">
        <x:v>71</x:v>
      </x:c>
      <x:c r="D2208" t="n">
        <x:f>IF('04_checks'!D317="ERROR",1,0)</x:f>
        <x:v>0</x:v>
      </x:c>
      <x:c r="E2208" t="str">
        <x:v>Payment:71:2</x:v>
      </x:c>
      <x:c r="F2208" t="str">
        <x:v>Пустое поле</x:v>
      </x:c>
      <x:c r="G2208" t="str">
        <x:v>High</x:v>
      </x:c>
      <x:c r="H2208" t="str">
        <x:v>required_fields</x:v>
      </x:c>
      <x:c r="I2208" t="str">
        <x:v>Дополнить обязательные поля в источнике</x:v>
      </x:c>
      <x:c r="J2208" t="n">
        <x:f>IF(D2208=1,K2208,0)</x:f>
        <x:v>0</x:v>
      </x:c>
      <x:c r="K2208" t="n">
        <x:f>D2208+K2207</x:f>
        <x:v>25</x:v>
      </x:c>
    </x:row>
    <x:row r="2209">
      <x:c r="A2209" t="str">
        <x:v>Payment</x:v>
      </x:c>
      <x:c r="B2209" t="str">
        <x:f>'04_checks'!B317</x:f>
        <x:v>P070</x:v>
      </x:c>
      <x:c r="C2209" t="n">
        <x:v>71</x:v>
      </x:c>
      <x:c r="D2209" t="n">
        <x:f>IF('04_checks'!E317="ERROR",1,0)</x:f>
        <x:v>0</x:v>
      </x:c>
      <x:c r="E2209" t="str">
        <x:v>Payment:71:3</x:v>
      </x:c>
      <x:c r="F2209" t="str">
        <x:f>IF(COUNTIF('01_orders_raw'!$A$2:$A$181,'03_payments_raw'!B71)&gt;1,"Неоднозначная связь","Нет связи")</x:f>
        <x:v>Нет связи</x:v>
      </x:c>
      <x:c r="G2209" t="str">
        <x:v>High</x:v>
      </x:c>
      <x:c r="H2209" t="str">
        <x:v>order_id</x:v>
      </x:c>
      <x:c r="I2209" t="str">
        <x:v>Исправить ссылку или разрешить дубли связанного ID</x:v>
      </x:c>
      <x:c r="J2209" t="n">
        <x:f>IF(D2209=1,K2209,0)</x:f>
        <x:v>0</x:v>
      </x:c>
      <x:c r="K2209" t="n">
        <x:f>D2209+K2208</x:f>
        <x:v>25</x:v>
      </x:c>
    </x:row>
    <x:row r="2210">
      <x:c r="A2210" t="str">
        <x:v>Payment</x:v>
      </x:c>
      <x:c r="B2210" t="str">
        <x:f>'04_checks'!B317</x:f>
        <x:v>P070</x:v>
      </x:c>
      <x:c r="C2210" t="n">
        <x:v>71</x:v>
      </x:c>
      <x:c r="D2210" t="n">
        <x:f>IF('04_checks'!F317="ERROR",1,0)</x:f>
        <x:v>0</x:v>
      </x:c>
      <x:c r="E2210" t="str">
        <x:v>Payment:71:4</x:v>
      </x:c>
      <x:c r="F2210" t="str">
        <x:v>Ошибка расчета</x:v>
      </x:c>
      <x:c r="G2210" t="str">
        <x:v>High</x:v>
      </x:c>
      <x:c r="H2210" t="str">
        <x:v>payment_sum</x:v>
      </x:c>
      <x:c r="I2210" t="str">
        <x:v>Сверить исходные значения и правило расчёта</x:v>
      </x:c>
      <x:c r="J2210" t="n">
        <x:f>IF(D2210=1,K2210,0)</x:f>
        <x:v>0</x:v>
      </x:c>
      <x:c r="K2210" t="n">
        <x:f>D2210+K2209</x:f>
        <x:v>25</x:v>
      </x:c>
    </x:row>
    <x:row r="2211">
      <x:c r="A2211" t="str">
        <x:v>Payment</x:v>
      </x:c>
      <x:c r="B2211" t="str">
        <x:f>'04_checks'!B317</x:f>
        <x:v>P070</x:v>
      </x:c>
      <x:c r="C2211" t="n">
        <x:v>71</x:v>
      </x:c>
      <x:c r="D2211" t="n">
        <x:f>IF('04_checks'!G317="ERROR",1,0)</x:f>
        <x:v>0</x:v>
      </x:c>
      <x:c r="E2211" t="str">
        <x:v>Payment:71:5</x:v>
      </x:c>
      <x:c r="F2211" t="str">
        <x:v>Отрицательная цена</x:v>
      </x:c>
      <x:c r="G2211" t="str">
        <x:v>High</x:v>
      </x:c>
      <x:c r="H2211" t="str">
        <x:v>N/A</x:v>
      </x:c>
      <x:c r="I2211" t="str">
        <x:v>Проверить цену в источнике</x:v>
      </x:c>
      <x:c r="J2211" t="n">
        <x:f>IF(D2211=1,K2211,0)</x:f>
        <x:v>0</x:v>
      </x:c>
      <x:c r="K2211" t="n">
        <x:f>D2211+K2210</x:f>
        <x:v>25</x:v>
      </x:c>
    </x:row>
    <x:row r="2212">
      <x:c r="A2212" t="str">
        <x:v>Payment</x:v>
      </x:c>
      <x:c r="B2212" t="str">
        <x:f>'04_checks'!B317</x:f>
        <x:v>P070</x:v>
      </x:c>
      <x:c r="C2212" t="n">
        <x:v>71</x:v>
      </x:c>
      <x:c r="D2212" t="n">
        <x:f>IF('04_checks'!H317="ERROR",1,0)</x:f>
        <x:v>0</x:v>
      </x:c>
      <x:c r="E2212" t="str">
        <x:v>Payment:71:6</x:v>
      </x:c>
      <x:c r="F2212" t="str">
        <x:v>Дата</x:v>
      </x:c>
      <x:c r="G2212" t="str">
        <x:v>Medium</x:v>
      </x:c>
      <x:c r="H2212" t="str">
        <x:v>payment_date</x:v>
      </x:c>
      <x:c r="I2212" t="str">
        <x:v>Сверить дату со срезом и исходной записью</x:v>
      </x:c>
      <x:c r="J2212" t="n">
        <x:f>IF(D2212=1,K2212,0)</x:f>
        <x:v>0</x:v>
      </x:c>
      <x:c r="K2212" t="n">
        <x:f>D2212+K2211</x:f>
        <x:v>25</x:v>
      </x:c>
    </x:row>
    <x:row r="2213">
      <x:c r="A2213" t="str">
        <x:v>Payment</x:v>
      </x:c>
      <x:c r="B2213" t="str">
        <x:f>'04_checks'!B317</x:f>
        <x:v>P070</x:v>
      </x:c>
      <x:c r="C2213" t="n">
        <x:v>71</x:v>
      </x:c>
      <x:c r="D2213" t="n">
        <x:f>IF('04_checks'!I317="ERROR",1,0)</x:f>
        <x:v>0</x:v>
      </x:c>
      <x:c r="E2213" t="str">
        <x:v>Payment:71:7</x:v>
      </x:c>
      <x:c r="F2213" t="str">
        <x:v>Статус</x:v>
      </x:c>
      <x:c r="G2213" t="str">
        <x:v>Medium</x:v>
      </x:c>
      <x:c r="H2213" t="str">
        <x:v>payment_status</x:v>
      </x:c>
      <x:c r="I2213" t="str">
        <x:v>Выбрать допустимый статус</x:v>
      </x:c>
      <x:c r="J2213" t="n">
        <x:f>IF(D2213=1,K2213,0)</x:f>
        <x:v>0</x:v>
      </x:c>
      <x:c r="K2213" t="n">
        <x:f>D2213+K2212</x:f>
        <x:v>25</x:v>
      </x:c>
    </x:row>
    <x:row r="2214">
      <x:c r="A2214" t="str">
        <x:v>Payment</x:v>
      </x:c>
      <x:c r="B2214" t="str">
        <x:f>'04_checks'!B318</x:f>
        <x:v>P071</x:v>
      </x:c>
      <x:c r="C2214" t="n">
        <x:v>72</x:v>
      </x:c>
      <x:c r="D2214" t="n">
        <x:f>IF('04_checks'!C318="ERROR",1,0)</x:f>
        <x:v>0</x:v>
      </x:c>
      <x:c r="E2214" t="str">
        <x:v>Payment:72:1</x:v>
      </x:c>
      <x:c r="F2214" t="str">
        <x:v>Дубль</x:v>
      </x:c>
      <x:c r="G2214" t="str">
        <x:v>High</x:v>
      </x:c>
      <x:c r="H2214" t="str">
        <x:v>payment_id</x:v>
      </x:c>
      <x:c r="I2214" t="str">
        <x:v>Проверить уникальность ID в источнике; не удалять записи автоматически</x:v>
      </x:c>
      <x:c r="J2214" t="n">
        <x:f>IF(D2214=1,K2214,0)</x:f>
        <x:v>0</x:v>
      </x:c>
      <x:c r="K2214" t="n">
        <x:f>D2214+K2213</x:f>
        <x:v>25</x:v>
      </x:c>
    </x:row>
    <x:row r="2215">
      <x:c r="A2215" t="str">
        <x:v>Payment</x:v>
      </x:c>
      <x:c r="B2215" t="str">
        <x:f>'04_checks'!B318</x:f>
        <x:v>P071</x:v>
      </x:c>
      <x:c r="C2215" t="n">
        <x:v>72</x:v>
      </x:c>
      <x:c r="D2215" t="n">
        <x:f>IF('04_checks'!D318="ERROR",1,0)</x:f>
        <x:v>0</x:v>
      </x:c>
      <x:c r="E2215" t="str">
        <x:v>Payment:72:2</x:v>
      </x:c>
      <x:c r="F2215" t="str">
        <x:v>Пустое поле</x:v>
      </x:c>
      <x:c r="G2215" t="str">
        <x:v>High</x:v>
      </x:c>
      <x:c r="H2215" t="str">
        <x:v>required_fields</x:v>
      </x:c>
      <x:c r="I2215" t="str">
        <x:v>Дополнить обязательные поля в источнике</x:v>
      </x:c>
      <x:c r="J2215" t="n">
        <x:f>IF(D2215=1,K2215,0)</x:f>
        <x:v>0</x:v>
      </x:c>
      <x:c r="K2215" t="n">
        <x:f>D2215+K2214</x:f>
        <x:v>25</x:v>
      </x:c>
    </x:row>
    <x:row r="2216">
      <x:c r="A2216" t="str">
        <x:v>Payment</x:v>
      </x:c>
      <x:c r="B2216" t="str">
        <x:f>'04_checks'!B318</x:f>
        <x:v>P071</x:v>
      </x:c>
      <x:c r="C2216" t="n">
        <x:v>72</x:v>
      </x:c>
      <x:c r="D2216" t="n">
        <x:f>IF('04_checks'!E318="ERROR",1,0)</x:f>
        <x:v>0</x:v>
      </x:c>
      <x:c r="E2216" t="str">
        <x:v>Payment:72:3</x:v>
      </x:c>
      <x:c r="F2216" t="str">
        <x:f>IF(COUNTIF('01_orders_raw'!$A$2:$A$181,'03_payments_raw'!B72)&gt;1,"Неоднозначная связь","Нет связи")</x:f>
        <x:v>Нет связи</x:v>
      </x:c>
      <x:c r="G2216" t="str">
        <x:v>High</x:v>
      </x:c>
      <x:c r="H2216" t="str">
        <x:v>order_id</x:v>
      </x:c>
      <x:c r="I2216" t="str">
        <x:v>Исправить ссылку или разрешить дубли связанного ID</x:v>
      </x:c>
      <x:c r="J2216" t="n">
        <x:f>IF(D2216=1,K2216,0)</x:f>
        <x:v>0</x:v>
      </x:c>
      <x:c r="K2216" t="n">
        <x:f>D2216+K2215</x:f>
        <x:v>25</x:v>
      </x:c>
    </x:row>
    <x:row r="2217">
      <x:c r="A2217" t="str">
        <x:v>Payment</x:v>
      </x:c>
      <x:c r="B2217" t="str">
        <x:f>'04_checks'!B318</x:f>
        <x:v>P071</x:v>
      </x:c>
      <x:c r="C2217" t="n">
        <x:v>72</x:v>
      </x:c>
      <x:c r="D2217" t="n">
        <x:f>IF('04_checks'!F318="ERROR",1,0)</x:f>
        <x:v>0</x:v>
      </x:c>
      <x:c r="E2217" t="str">
        <x:v>Payment:72:4</x:v>
      </x:c>
      <x:c r="F2217" t="str">
        <x:v>Ошибка расчета</x:v>
      </x:c>
      <x:c r="G2217" t="str">
        <x:v>High</x:v>
      </x:c>
      <x:c r="H2217" t="str">
        <x:v>payment_sum</x:v>
      </x:c>
      <x:c r="I2217" t="str">
        <x:v>Сверить исходные значения и правило расчёта</x:v>
      </x:c>
      <x:c r="J2217" t="n">
        <x:f>IF(D2217=1,K2217,0)</x:f>
        <x:v>0</x:v>
      </x:c>
      <x:c r="K2217" t="n">
        <x:f>D2217+K2216</x:f>
        <x:v>25</x:v>
      </x:c>
    </x:row>
    <x:row r="2218">
      <x:c r="A2218" t="str">
        <x:v>Payment</x:v>
      </x:c>
      <x:c r="B2218" t="str">
        <x:f>'04_checks'!B318</x:f>
        <x:v>P071</x:v>
      </x:c>
      <x:c r="C2218" t="n">
        <x:v>72</x:v>
      </x:c>
      <x:c r="D2218" t="n">
        <x:f>IF('04_checks'!G318="ERROR",1,0)</x:f>
        <x:v>0</x:v>
      </x:c>
      <x:c r="E2218" t="str">
        <x:v>Payment:72:5</x:v>
      </x:c>
      <x:c r="F2218" t="str">
        <x:v>Отрицательная цена</x:v>
      </x:c>
      <x:c r="G2218" t="str">
        <x:v>High</x:v>
      </x:c>
      <x:c r="H2218" t="str">
        <x:v>N/A</x:v>
      </x:c>
      <x:c r="I2218" t="str">
        <x:v>Проверить цену в источнике</x:v>
      </x:c>
      <x:c r="J2218" t="n">
        <x:f>IF(D2218=1,K2218,0)</x:f>
        <x:v>0</x:v>
      </x:c>
      <x:c r="K2218" t="n">
        <x:f>D2218+K2217</x:f>
        <x:v>25</x:v>
      </x:c>
    </x:row>
    <x:row r="2219">
      <x:c r="A2219" t="str">
        <x:v>Payment</x:v>
      </x:c>
      <x:c r="B2219" t="str">
        <x:f>'04_checks'!B318</x:f>
        <x:v>P071</x:v>
      </x:c>
      <x:c r="C2219" t="n">
        <x:v>72</x:v>
      </x:c>
      <x:c r="D2219" t="n">
        <x:f>IF('04_checks'!H318="ERROR",1,0)</x:f>
        <x:v>0</x:v>
      </x:c>
      <x:c r="E2219" t="str">
        <x:v>Payment:72:6</x:v>
      </x:c>
      <x:c r="F2219" t="str">
        <x:v>Дата</x:v>
      </x:c>
      <x:c r="G2219" t="str">
        <x:v>Medium</x:v>
      </x:c>
      <x:c r="H2219" t="str">
        <x:v>payment_date</x:v>
      </x:c>
      <x:c r="I2219" t="str">
        <x:v>Сверить дату со срезом и исходной записью</x:v>
      </x:c>
      <x:c r="J2219" t="n">
        <x:f>IF(D2219=1,K2219,0)</x:f>
        <x:v>0</x:v>
      </x:c>
      <x:c r="K2219" t="n">
        <x:f>D2219+K2218</x:f>
        <x:v>25</x:v>
      </x:c>
    </x:row>
    <x:row r="2220">
      <x:c r="A2220" t="str">
        <x:v>Payment</x:v>
      </x:c>
      <x:c r="B2220" t="str">
        <x:f>'04_checks'!B318</x:f>
        <x:v>P071</x:v>
      </x:c>
      <x:c r="C2220" t="n">
        <x:v>72</x:v>
      </x:c>
      <x:c r="D2220" t="n">
        <x:f>IF('04_checks'!I318="ERROR",1,0)</x:f>
        <x:v>0</x:v>
      </x:c>
      <x:c r="E2220" t="str">
        <x:v>Payment:72:7</x:v>
      </x:c>
      <x:c r="F2220" t="str">
        <x:v>Статус</x:v>
      </x:c>
      <x:c r="G2220" t="str">
        <x:v>Medium</x:v>
      </x:c>
      <x:c r="H2220" t="str">
        <x:v>payment_status</x:v>
      </x:c>
      <x:c r="I2220" t="str">
        <x:v>Выбрать допустимый статус</x:v>
      </x:c>
      <x:c r="J2220" t="n">
        <x:f>IF(D2220=1,K2220,0)</x:f>
        <x:v>0</x:v>
      </x:c>
      <x:c r="K2220" t="n">
        <x:f>D2220+K2219</x:f>
        <x:v>25</x:v>
      </x:c>
    </x:row>
    <x:row r="2221">
      <x:c r="A2221" t="str">
        <x:v>Payment</x:v>
      </x:c>
      <x:c r="B2221" t="str">
        <x:f>'04_checks'!B319</x:f>
        <x:v>P072</x:v>
      </x:c>
      <x:c r="C2221" t="n">
        <x:v>73</x:v>
      </x:c>
      <x:c r="D2221" t="n">
        <x:f>IF('04_checks'!C319="ERROR",1,0)</x:f>
        <x:v>0</x:v>
      </x:c>
      <x:c r="E2221" t="str">
        <x:v>Payment:73:1</x:v>
      </x:c>
      <x:c r="F2221" t="str">
        <x:v>Дубль</x:v>
      </x:c>
      <x:c r="G2221" t="str">
        <x:v>High</x:v>
      </x:c>
      <x:c r="H2221" t="str">
        <x:v>payment_id</x:v>
      </x:c>
      <x:c r="I2221" t="str">
        <x:v>Проверить уникальность ID в источнике; не удалять записи автоматически</x:v>
      </x:c>
      <x:c r="J2221" t="n">
        <x:f>IF(D2221=1,K2221,0)</x:f>
        <x:v>0</x:v>
      </x:c>
      <x:c r="K2221" t="n">
        <x:f>D2221+K2220</x:f>
        <x:v>25</x:v>
      </x:c>
    </x:row>
    <x:row r="2222">
      <x:c r="A2222" t="str">
        <x:v>Payment</x:v>
      </x:c>
      <x:c r="B2222" t="str">
        <x:f>'04_checks'!B319</x:f>
        <x:v>P072</x:v>
      </x:c>
      <x:c r="C2222" t="n">
        <x:v>73</x:v>
      </x:c>
      <x:c r="D2222" t="n">
        <x:f>IF('04_checks'!D319="ERROR",1,0)</x:f>
        <x:v>0</x:v>
      </x:c>
      <x:c r="E2222" t="str">
        <x:v>Payment:73:2</x:v>
      </x:c>
      <x:c r="F2222" t="str">
        <x:v>Пустое поле</x:v>
      </x:c>
      <x:c r="G2222" t="str">
        <x:v>High</x:v>
      </x:c>
      <x:c r="H2222" t="str">
        <x:v>required_fields</x:v>
      </x:c>
      <x:c r="I2222" t="str">
        <x:v>Дополнить обязательные поля в источнике</x:v>
      </x:c>
      <x:c r="J2222" t="n">
        <x:f>IF(D2222=1,K2222,0)</x:f>
        <x:v>0</x:v>
      </x:c>
      <x:c r="K2222" t="n">
        <x:f>D2222+K2221</x:f>
        <x:v>25</x:v>
      </x:c>
    </x:row>
    <x:row r="2223">
      <x:c r="A2223" t="str">
        <x:v>Payment</x:v>
      </x:c>
      <x:c r="B2223" t="str">
        <x:f>'04_checks'!B319</x:f>
        <x:v>P072</x:v>
      </x:c>
      <x:c r="C2223" t="n">
        <x:v>73</x:v>
      </x:c>
      <x:c r="D2223" t="n">
        <x:f>IF('04_checks'!E319="ERROR",1,0)</x:f>
        <x:v>0</x:v>
      </x:c>
      <x:c r="E2223" t="str">
        <x:v>Payment:73:3</x:v>
      </x:c>
      <x:c r="F2223" t="str">
        <x:f>IF(COUNTIF('01_orders_raw'!$A$2:$A$181,'03_payments_raw'!B73)&gt;1,"Неоднозначная связь","Нет связи")</x:f>
        <x:v>Нет связи</x:v>
      </x:c>
      <x:c r="G2223" t="str">
        <x:v>High</x:v>
      </x:c>
      <x:c r="H2223" t="str">
        <x:v>order_id</x:v>
      </x:c>
      <x:c r="I2223" t="str">
        <x:v>Исправить ссылку или разрешить дубли связанного ID</x:v>
      </x:c>
      <x:c r="J2223" t="n">
        <x:f>IF(D2223=1,K2223,0)</x:f>
        <x:v>0</x:v>
      </x:c>
      <x:c r="K2223" t="n">
        <x:f>D2223+K2222</x:f>
        <x:v>25</x:v>
      </x:c>
    </x:row>
    <x:row r="2224">
      <x:c r="A2224" t="str">
        <x:v>Payment</x:v>
      </x:c>
      <x:c r="B2224" t="str">
        <x:f>'04_checks'!B319</x:f>
        <x:v>P072</x:v>
      </x:c>
      <x:c r="C2224" t="n">
        <x:v>73</x:v>
      </x:c>
      <x:c r="D2224" t="n">
        <x:f>IF('04_checks'!F319="ERROR",1,0)</x:f>
        <x:v>0</x:v>
      </x:c>
      <x:c r="E2224" t="str">
        <x:v>Payment:73:4</x:v>
      </x:c>
      <x:c r="F2224" t="str">
        <x:v>Ошибка расчета</x:v>
      </x:c>
      <x:c r="G2224" t="str">
        <x:v>High</x:v>
      </x:c>
      <x:c r="H2224" t="str">
        <x:v>payment_sum</x:v>
      </x:c>
      <x:c r="I2224" t="str">
        <x:v>Сверить исходные значения и правило расчёта</x:v>
      </x:c>
      <x:c r="J2224" t="n">
        <x:f>IF(D2224=1,K2224,0)</x:f>
        <x:v>0</x:v>
      </x:c>
      <x:c r="K2224" t="n">
        <x:f>D2224+K2223</x:f>
        <x:v>25</x:v>
      </x:c>
    </x:row>
    <x:row r="2225">
      <x:c r="A2225" t="str">
        <x:v>Payment</x:v>
      </x:c>
      <x:c r="B2225" t="str">
        <x:f>'04_checks'!B319</x:f>
        <x:v>P072</x:v>
      </x:c>
      <x:c r="C2225" t="n">
        <x:v>73</x:v>
      </x:c>
      <x:c r="D2225" t="n">
        <x:f>IF('04_checks'!G319="ERROR",1,0)</x:f>
        <x:v>0</x:v>
      </x:c>
      <x:c r="E2225" t="str">
        <x:v>Payment:73:5</x:v>
      </x:c>
      <x:c r="F2225" t="str">
        <x:v>Отрицательная цена</x:v>
      </x:c>
      <x:c r="G2225" t="str">
        <x:v>High</x:v>
      </x:c>
      <x:c r="H2225" t="str">
        <x:v>N/A</x:v>
      </x:c>
      <x:c r="I2225" t="str">
        <x:v>Проверить цену в источнике</x:v>
      </x:c>
      <x:c r="J2225" t="n">
        <x:f>IF(D2225=1,K2225,0)</x:f>
        <x:v>0</x:v>
      </x:c>
      <x:c r="K2225" t="n">
        <x:f>D2225+K2224</x:f>
        <x:v>25</x:v>
      </x:c>
    </x:row>
    <x:row r="2226">
      <x:c r="A2226" t="str">
        <x:v>Payment</x:v>
      </x:c>
      <x:c r="B2226" t="str">
        <x:f>'04_checks'!B319</x:f>
        <x:v>P072</x:v>
      </x:c>
      <x:c r="C2226" t="n">
        <x:v>73</x:v>
      </x:c>
      <x:c r="D2226" t="n">
        <x:f>IF('04_checks'!H319="ERROR",1,0)</x:f>
        <x:v>0</x:v>
      </x:c>
      <x:c r="E2226" t="str">
        <x:v>Payment:73:6</x:v>
      </x:c>
      <x:c r="F2226" t="str">
        <x:v>Дата</x:v>
      </x:c>
      <x:c r="G2226" t="str">
        <x:v>Medium</x:v>
      </x:c>
      <x:c r="H2226" t="str">
        <x:v>payment_date</x:v>
      </x:c>
      <x:c r="I2226" t="str">
        <x:v>Сверить дату со срезом и исходной записью</x:v>
      </x:c>
      <x:c r="J2226" t="n">
        <x:f>IF(D2226=1,K2226,0)</x:f>
        <x:v>0</x:v>
      </x:c>
      <x:c r="K2226" t="n">
        <x:f>D2226+K2225</x:f>
        <x:v>25</x:v>
      </x:c>
    </x:row>
    <x:row r="2227">
      <x:c r="A2227" t="str">
        <x:v>Payment</x:v>
      </x:c>
      <x:c r="B2227" t="str">
        <x:f>'04_checks'!B319</x:f>
        <x:v>P072</x:v>
      </x:c>
      <x:c r="C2227" t="n">
        <x:v>73</x:v>
      </x:c>
      <x:c r="D2227" t="n">
        <x:f>IF('04_checks'!I319="ERROR",1,0)</x:f>
        <x:v>0</x:v>
      </x:c>
      <x:c r="E2227" t="str">
        <x:v>Payment:73:7</x:v>
      </x:c>
      <x:c r="F2227" t="str">
        <x:v>Статус</x:v>
      </x:c>
      <x:c r="G2227" t="str">
        <x:v>Medium</x:v>
      </x:c>
      <x:c r="H2227" t="str">
        <x:v>payment_status</x:v>
      </x:c>
      <x:c r="I2227" t="str">
        <x:v>Выбрать допустимый статус</x:v>
      </x:c>
      <x:c r="J2227" t="n">
        <x:f>IF(D2227=1,K2227,0)</x:f>
        <x:v>0</x:v>
      </x:c>
      <x:c r="K2227" t="n">
        <x:f>D2227+K2226</x:f>
        <x:v>25</x:v>
      </x:c>
    </x:row>
    <x:row r="2228">
      <x:c r="A2228" t="str">
        <x:v>Payment</x:v>
      </x:c>
      <x:c r="B2228" t="str">
        <x:f>'04_checks'!B320</x:f>
        <x:v>P073</x:v>
      </x:c>
      <x:c r="C2228" t="n">
        <x:v>74</x:v>
      </x:c>
      <x:c r="D2228" t="n">
        <x:f>IF('04_checks'!C320="ERROR",1,0)</x:f>
        <x:v>0</x:v>
      </x:c>
      <x:c r="E2228" t="str">
        <x:v>Payment:74:1</x:v>
      </x:c>
      <x:c r="F2228" t="str">
        <x:v>Дубль</x:v>
      </x:c>
      <x:c r="G2228" t="str">
        <x:v>High</x:v>
      </x:c>
      <x:c r="H2228" t="str">
        <x:v>payment_id</x:v>
      </x:c>
      <x:c r="I2228" t="str">
        <x:v>Проверить уникальность ID в источнике; не удалять записи автоматически</x:v>
      </x:c>
      <x:c r="J2228" t="n">
        <x:f>IF(D2228=1,K2228,0)</x:f>
        <x:v>0</x:v>
      </x:c>
      <x:c r="K2228" t="n">
        <x:f>D2228+K2227</x:f>
        <x:v>25</x:v>
      </x:c>
    </x:row>
    <x:row r="2229">
      <x:c r="A2229" t="str">
        <x:v>Payment</x:v>
      </x:c>
      <x:c r="B2229" t="str">
        <x:f>'04_checks'!B320</x:f>
        <x:v>P073</x:v>
      </x:c>
      <x:c r="C2229" t="n">
        <x:v>74</x:v>
      </x:c>
      <x:c r="D2229" t="n">
        <x:f>IF('04_checks'!D320="ERROR",1,0)</x:f>
        <x:v>0</x:v>
      </x:c>
      <x:c r="E2229" t="str">
        <x:v>Payment:74:2</x:v>
      </x:c>
      <x:c r="F2229" t="str">
        <x:v>Пустое поле</x:v>
      </x:c>
      <x:c r="G2229" t="str">
        <x:v>High</x:v>
      </x:c>
      <x:c r="H2229" t="str">
        <x:v>required_fields</x:v>
      </x:c>
      <x:c r="I2229" t="str">
        <x:v>Дополнить обязательные поля в источнике</x:v>
      </x:c>
      <x:c r="J2229" t="n">
        <x:f>IF(D2229=1,K2229,0)</x:f>
        <x:v>0</x:v>
      </x:c>
      <x:c r="K2229" t="n">
        <x:f>D2229+K2228</x:f>
        <x:v>25</x:v>
      </x:c>
    </x:row>
    <x:row r="2230">
      <x:c r="A2230" t="str">
        <x:v>Payment</x:v>
      </x:c>
      <x:c r="B2230" t="str">
        <x:f>'04_checks'!B320</x:f>
        <x:v>P073</x:v>
      </x:c>
      <x:c r="C2230" t="n">
        <x:v>74</x:v>
      </x:c>
      <x:c r="D2230" t="n">
        <x:f>IF('04_checks'!E320="ERROR",1,0)</x:f>
        <x:v>0</x:v>
      </x:c>
      <x:c r="E2230" t="str">
        <x:v>Payment:74:3</x:v>
      </x:c>
      <x:c r="F2230" t="str">
        <x:f>IF(COUNTIF('01_orders_raw'!$A$2:$A$181,'03_payments_raw'!B74)&gt;1,"Неоднозначная связь","Нет связи")</x:f>
        <x:v>Нет связи</x:v>
      </x:c>
      <x:c r="G2230" t="str">
        <x:v>High</x:v>
      </x:c>
      <x:c r="H2230" t="str">
        <x:v>order_id</x:v>
      </x:c>
      <x:c r="I2230" t="str">
        <x:v>Исправить ссылку или разрешить дубли связанного ID</x:v>
      </x:c>
      <x:c r="J2230" t="n">
        <x:f>IF(D2230=1,K2230,0)</x:f>
        <x:v>0</x:v>
      </x:c>
      <x:c r="K2230" t="n">
        <x:f>D2230+K2229</x:f>
        <x:v>25</x:v>
      </x:c>
    </x:row>
    <x:row r="2231">
      <x:c r="A2231" t="str">
        <x:v>Payment</x:v>
      </x:c>
      <x:c r="B2231" t="str">
        <x:f>'04_checks'!B320</x:f>
        <x:v>P073</x:v>
      </x:c>
      <x:c r="C2231" t="n">
        <x:v>74</x:v>
      </x:c>
      <x:c r="D2231" t="n">
        <x:f>IF('04_checks'!F320="ERROR",1,0)</x:f>
        <x:v>0</x:v>
      </x:c>
      <x:c r="E2231" t="str">
        <x:v>Payment:74:4</x:v>
      </x:c>
      <x:c r="F2231" t="str">
        <x:v>Ошибка расчета</x:v>
      </x:c>
      <x:c r="G2231" t="str">
        <x:v>High</x:v>
      </x:c>
      <x:c r="H2231" t="str">
        <x:v>payment_sum</x:v>
      </x:c>
      <x:c r="I2231" t="str">
        <x:v>Сверить исходные значения и правило расчёта</x:v>
      </x:c>
      <x:c r="J2231" t="n">
        <x:f>IF(D2231=1,K2231,0)</x:f>
        <x:v>0</x:v>
      </x:c>
      <x:c r="K2231" t="n">
        <x:f>D2231+K2230</x:f>
        <x:v>25</x:v>
      </x:c>
    </x:row>
    <x:row r="2232">
      <x:c r="A2232" t="str">
        <x:v>Payment</x:v>
      </x:c>
      <x:c r="B2232" t="str">
        <x:f>'04_checks'!B320</x:f>
        <x:v>P073</x:v>
      </x:c>
      <x:c r="C2232" t="n">
        <x:v>74</x:v>
      </x:c>
      <x:c r="D2232" t="n">
        <x:f>IF('04_checks'!G320="ERROR",1,0)</x:f>
        <x:v>0</x:v>
      </x:c>
      <x:c r="E2232" t="str">
        <x:v>Payment:74:5</x:v>
      </x:c>
      <x:c r="F2232" t="str">
        <x:v>Отрицательная цена</x:v>
      </x:c>
      <x:c r="G2232" t="str">
        <x:v>High</x:v>
      </x:c>
      <x:c r="H2232" t="str">
        <x:v>N/A</x:v>
      </x:c>
      <x:c r="I2232" t="str">
        <x:v>Проверить цену в источнике</x:v>
      </x:c>
      <x:c r="J2232" t="n">
        <x:f>IF(D2232=1,K2232,0)</x:f>
        <x:v>0</x:v>
      </x:c>
      <x:c r="K2232" t="n">
        <x:f>D2232+K2231</x:f>
        <x:v>25</x:v>
      </x:c>
    </x:row>
    <x:row r="2233">
      <x:c r="A2233" t="str">
        <x:v>Payment</x:v>
      </x:c>
      <x:c r="B2233" t="str">
        <x:f>'04_checks'!B320</x:f>
        <x:v>P073</x:v>
      </x:c>
      <x:c r="C2233" t="n">
        <x:v>74</x:v>
      </x:c>
      <x:c r="D2233" t="n">
        <x:f>IF('04_checks'!H320="ERROR",1,0)</x:f>
        <x:v>0</x:v>
      </x:c>
      <x:c r="E2233" t="str">
        <x:v>Payment:74:6</x:v>
      </x:c>
      <x:c r="F2233" t="str">
        <x:v>Дата</x:v>
      </x:c>
      <x:c r="G2233" t="str">
        <x:v>Medium</x:v>
      </x:c>
      <x:c r="H2233" t="str">
        <x:v>payment_date</x:v>
      </x:c>
      <x:c r="I2233" t="str">
        <x:v>Сверить дату со срезом и исходной записью</x:v>
      </x:c>
      <x:c r="J2233" t="n">
        <x:f>IF(D2233=1,K2233,0)</x:f>
        <x:v>0</x:v>
      </x:c>
      <x:c r="K2233" t="n">
        <x:f>D2233+K2232</x:f>
        <x:v>25</x:v>
      </x:c>
    </x:row>
    <x:row r="2234">
      <x:c r="A2234" t="str">
        <x:v>Payment</x:v>
      </x:c>
      <x:c r="B2234" t="str">
        <x:f>'04_checks'!B320</x:f>
        <x:v>P073</x:v>
      </x:c>
      <x:c r="C2234" t="n">
        <x:v>74</x:v>
      </x:c>
      <x:c r="D2234" t="n">
        <x:f>IF('04_checks'!I320="ERROR",1,0)</x:f>
        <x:v>0</x:v>
      </x:c>
      <x:c r="E2234" t="str">
        <x:v>Payment:74:7</x:v>
      </x:c>
      <x:c r="F2234" t="str">
        <x:v>Статус</x:v>
      </x:c>
      <x:c r="G2234" t="str">
        <x:v>Medium</x:v>
      </x:c>
      <x:c r="H2234" t="str">
        <x:v>payment_status</x:v>
      </x:c>
      <x:c r="I2234" t="str">
        <x:v>Выбрать допустимый статус</x:v>
      </x:c>
      <x:c r="J2234" t="n">
        <x:f>IF(D2234=1,K2234,0)</x:f>
        <x:v>0</x:v>
      </x:c>
      <x:c r="K2234" t="n">
        <x:f>D2234+K2233</x:f>
        <x:v>25</x:v>
      </x:c>
    </x:row>
    <x:row r="2235">
      <x:c r="A2235" t="str">
        <x:v>Payment</x:v>
      </x:c>
      <x:c r="B2235" t="str">
        <x:f>'04_checks'!B321</x:f>
        <x:v>P074</x:v>
      </x:c>
      <x:c r="C2235" t="n">
        <x:v>75</x:v>
      </x:c>
      <x:c r="D2235" t="n">
        <x:f>IF('04_checks'!C321="ERROR",1,0)</x:f>
        <x:v>0</x:v>
      </x:c>
      <x:c r="E2235" t="str">
        <x:v>Payment:75:1</x:v>
      </x:c>
      <x:c r="F2235" t="str">
        <x:v>Дубль</x:v>
      </x:c>
      <x:c r="G2235" t="str">
        <x:v>High</x:v>
      </x:c>
      <x:c r="H2235" t="str">
        <x:v>payment_id</x:v>
      </x:c>
      <x:c r="I2235" t="str">
        <x:v>Проверить уникальность ID в источнике; не удалять записи автоматически</x:v>
      </x:c>
      <x:c r="J2235" t="n">
        <x:f>IF(D2235=1,K2235,0)</x:f>
        <x:v>0</x:v>
      </x:c>
      <x:c r="K2235" t="n">
        <x:f>D2235+K2234</x:f>
        <x:v>25</x:v>
      </x:c>
    </x:row>
    <x:row r="2236">
      <x:c r="A2236" t="str">
        <x:v>Payment</x:v>
      </x:c>
      <x:c r="B2236" t="str">
        <x:f>'04_checks'!B321</x:f>
        <x:v>P074</x:v>
      </x:c>
      <x:c r="C2236" t="n">
        <x:v>75</x:v>
      </x:c>
      <x:c r="D2236" t="n">
        <x:f>IF('04_checks'!D321="ERROR",1,0)</x:f>
        <x:v>0</x:v>
      </x:c>
      <x:c r="E2236" t="str">
        <x:v>Payment:75:2</x:v>
      </x:c>
      <x:c r="F2236" t="str">
        <x:v>Пустое поле</x:v>
      </x:c>
      <x:c r="G2236" t="str">
        <x:v>High</x:v>
      </x:c>
      <x:c r="H2236" t="str">
        <x:v>required_fields</x:v>
      </x:c>
      <x:c r="I2236" t="str">
        <x:v>Дополнить обязательные поля в источнике</x:v>
      </x:c>
      <x:c r="J2236" t="n">
        <x:f>IF(D2236=1,K2236,0)</x:f>
        <x:v>0</x:v>
      </x:c>
      <x:c r="K2236" t="n">
        <x:f>D2236+K2235</x:f>
        <x:v>25</x:v>
      </x:c>
    </x:row>
    <x:row r="2237">
      <x:c r="A2237" t="str">
        <x:v>Payment</x:v>
      </x:c>
      <x:c r="B2237" t="str">
        <x:f>'04_checks'!B321</x:f>
        <x:v>P074</x:v>
      </x:c>
      <x:c r="C2237" t="n">
        <x:v>75</x:v>
      </x:c>
      <x:c r="D2237" t="n">
        <x:f>IF('04_checks'!E321="ERROR",1,0)</x:f>
        <x:v>0</x:v>
      </x:c>
      <x:c r="E2237" t="str">
        <x:v>Payment:75:3</x:v>
      </x:c>
      <x:c r="F2237" t="str">
        <x:f>IF(COUNTIF('01_orders_raw'!$A$2:$A$181,'03_payments_raw'!B75)&gt;1,"Неоднозначная связь","Нет связи")</x:f>
        <x:v>Нет связи</x:v>
      </x:c>
      <x:c r="G2237" t="str">
        <x:v>High</x:v>
      </x:c>
      <x:c r="H2237" t="str">
        <x:v>order_id</x:v>
      </x:c>
      <x:c r="I2237" t="str">
        <x:v>Исправить ссылку или разрешить дубли связанного ID</x:v>
      </x:c>
      <x:c r="J2237" t="n">
        <x:f>IF(D2237=1,K2237,0)</x:f>
        <x:v>0</x:v>
      </x:c>
      <x:c r="K2237" t="n">
        <x:f>D2237+K2236</x:f>
        <x:v>25</x:v>
      </x:c>
    </x:row>
    <x:row r="2238">
      <x:c r="A2238" t="str">
        <x:v>Payment</x:v>
      </x:c>
      <x:c r="B2238" t="str">
        <x:f>'04_checks'!B321</x:f>
        <x:v>P074</x:v>
      </x:c>
      <x:c r="C2238" t="n">
        <x:v>75</x:v>
      </x:c>
      <x:c r="D2238" t="n">
        <x:f>IF('04_checks'!F321="ERROR",1,0)</x:f>
        <x:v>0</x:v>
      </x:c>
      <x:c r="E2238" t="str">
        <x:v>Payment:75:4</x:v>
      </x:c>
      <x:c r="F2238" t="str">
        <x:v>Ошибка расчета</x:v>
      </x:c>
      <x:c r="G2238" t="str">
        <x:v>High</x:v>
      </x:c>
      <x:c r="H2238" t="str">
        <x:v>payment_sum</x:v>
      </x:c>
      <x:c r="I2238" t="str">
        <x:v>Сверить исходные значения и правило расчёта</x:v>
      </x:c>
      <x:c r="J2238" t="n">
        <x:f>IF(D2238=1,K2238,0)</x:f>
        <x:v>0</x:v>
      </x:c>
      <x:c r="K2238" t="n">
        <x:f>D2238+K2237</x:f>
        <x:v>25</x:v>
      </x:c>
    </x:row>
    <x:row r="2239">
      <x:c r="A2239" t="str">
        <x:v>Payment</x:v>
      </x:c>
      <x:c r="B2239" t="str">
        <x:f>'04_checks'!B321</x:f>
        <x:v>P074</x:v>
      </x:c>
      <x:c r="C2239" t="n">
        <x:v>75</x:v>
      </x:c>
      <x:c r="D2239" t="n">
        <x:f>IF('04_checks'!G321="ERROR",1,0)</x:f>
        <x:v>0</x:v>
      </x:c>
      <x:c r="E2239" t="str">
        <x:v>Payment:75:5</x:v>
      </x:c>
      <x:c r="F2239" t="str">
        <x:v>Отрицательная цена</x:v>
      </x:c>
      <x:c r="G2239" t="str">
        <x:v>High</x:v>
      </x:c>
      <x:c r="H2239" t="str">
        <x:v>N/A</x:v>
      </x:c>
      <x:c r="I2239" t="str">
        <x:v>Проверить цену в источнике</x:v>
      </x:c>
      <x:c r="J2239" t="n">
        <x:f>IF(D2239=1,K2239,0)</x:f>
        <x:v>0</x:v>
      </x:c>
      <x:c r="K2239" t="n">
        <x:f>D2239+K2238</x:f>
        <x:v>25</x:v>
      </x:c>
    </x:row>
    <x:row r="2240">
      <x:c r="A2240" t="str">
        <x:v>Payment</x:v>
      </x:c>
      <x:c r="B2240" t="str">
        <x:f>'04_checks'!B321</x:f>
        <x:v>P074</x:v>
      </x:c>
      <x:c r="C2240" t="n">
        <x:v>75</x:v>
      </x:c>
      <x:c r="D2240" t="n">
        <x:f>IF('04_checks'!H321="ERROR",1,0)</x:f>
        <x:v>0</x:v>
      </x:c>
      <x:c r="E2240" t="str">
        <x:v>Payment:75:6</x:v>
      </x:c>
      <x:c r="F2240" t="str">
        <x:v>Дата</x:v>
      </x:c>
      <x:c r="G2240" t="str">
        <x:v>Medium</x:v>
      </x:c>
      <x:c r="H2240" t="str">
        <x:v>payment_date</x:v>
      </x:c>
      <x:c r="I2240" t="str">
        <x:v>Сверить дату со срезом и исходной записью</x:v>
      </x:c>
      <x:c r="J2240" t="n">
        <x:f>IF(D2240=1,K2240,0)</x:f>
        <x:v>0</x:v>
      </x:c>
      <x:c r="K2240" t="n">
        <x:f>D2240+K2239</x:f>
        <x:v>25</x:v>
      </x:c>
    </x:row>
    <x:row r="2241">
      <x:c r="A2241" t="str">
        <x:v>Payment</x:v>
      </x:c>
      <x:c r="B2241" t="str">
        <x:f>'04_checks'!B321</x:f>
        <x:v>P074</x:v>
      </x:c>
      <x:c r="C2241" t="n">
        <x:v>75</x:v>
      </x:c>
      <x:c r="D2241" t="n">
        <x:f>IF('04_checks'!I321="ERROR",1,0)</x:f>
        <x:v>0</x:v>
      </x:c>
      <x:c r="E2241" t="str">
        <x:v>Payment:75:7</x:v>
      </x:c>
      <x:c r="F2241" t="str">
        <x:v>Статус</x:v>
      </x:c>
      <x:c r="G2241" t="str">
        <x:v>Medium</x:v>
      </x:c>
      <x:c r="H2241" t="str">
        <x:v>payment_status</x:v>
      </x:c>
      <x:c r="I2241" t="str">
        <x:v>Выбрать допустимый статус</x:v>
      </x:c>
      <x:c r="J2241" t="n">
        <x:f>IF(D2241=1,K2241,0)</x:f>
        <x:v>0</x:v>
      </x:c>
      <x:c r="K2241" t="n">
        <x:f>D2241+K2240</x:f>
        <x:v>25</x:v>
      </x:c>
    </x:row>
    <x:row r="2242">
      <x:c r="A2242" t="str">
        <x:v>Payment</x:v>
      </x:c>
      <x:c r="B2242" t="str">
        <x:f>'04_checks'!B322</x:f>
        <x:v>P075</x:v>
      </x:c>
      <x:c r="C2242" t="n">
        <x:v>76</x:v>
      </x:c>
      <x:c r="D2242" t="n">
        <x:f>IF('04_checks'!C322="ERROR",1,0)</x:f>
        <x:v>0</x:v>
      </x:c>
      <x:c r="E2242" t="str">
        <x:v>Payment:76:1</x:v>
      </x:c>
      <x:c r="F2242" t="str">
        <x:v>Дубль</x:v>
      </x:c>
      <x:c r="G2242" t="str">
        <x:v>High</x:v>
      </x:c>
      <x:c r="H2242" t="str">
        <x:v>payment_id</x:v>
      </x:c>
      <x:c r="I2242" t="str">
        <x:v>Проверить уникальность ID в источнике; не удалять записи автоматически</x:v>
      </x:c>
      <x:c r="J2242" t="n">
        <x:f>IF(D2242=1,K2242,0)</x:f>
        <x:v>0</x:v>
      </x:c>
      <x:c r="K2242" t="n">
        <x:f>D2242+K2241</x:f>
        <x:v>25</x:v>
      </x:c>
    </x:row>
    <x:row r="2243">
      <x:c r="A2243" t="str">
        <x:v>Payment</x:v>
      </x:c>
      <x:c r="B2243" t="str">
        <x:f>'04_checks'!B322</x:f>
        <x:v>P075</x:v>
      </x:c>
      <x:c r="C2243" t="n">
        <x:v>76</x:v>
      </x:c>
      <x:c r="D2243" t="n">
        <x:f>IF('04_checks'!D322="ERROR",1,0)</x:f>
        <x:v>0</x:v>
      </x:c>
      <x:c r="E2243" t="str">
        <x:v>Payment:76:2</x:v>
      </x:c>
      <x:c r="F2243" t="str">
        <x:v>Пустое поле</x:v>
      </x:c>
      <x:c r="G2243" t="str">
        <x:v>High</x:v>
      </x:c>
      <x:c r="H2243" t="str">
        <x:v>required_fields</x:v>
      </x:c>
      <x:c r="I2243" t="str">
        <x:v>Дополнить обязательные поля в источнике</x:v>
      </x:c>
      <x:c r="J2243" t="n">
        <x:f>IF(D2243=1,K2243,0)</x:f>
        <x:v>0</x:v>
      </x:c>
      <x:c r="K2243" t="n">
        <x:f>D2243+K2242</x:f>
        <x:v>25</x:v>
      </x:c>
    </x:row>
    <x:row r="2244">
      <x:c r="A2244" t="str">
        <x:v>Payment</x:v>
      </x:c>
      <x:c r="B2244" t="str">
        <x:f>'04_checks'!B322</x:f>
        <x:v>P075</x:v>
      </x:c>
      <x:c r="C2244" t="n">
        <x:v>76</x:v>
      </x:c>
      <x:c r="D2244" t="n">
        <x:f>IF('04_checks'!E322="ERROR",1,0)</x:f>
        <x:v>0</x:v>
      </x:c>
      <x:c r="E2244" t="str">
        <x:v>Payment:76:3</x:v>
      </x:c>
      <x:c r="F2244" t="str">
        <x:f>IF(COUNTIF('01_orders_raw'!$A$2:$A$181,'03_payments_raw'!B76)&gt;1,"Неоднозначная связь","Нет связи")</x:f>
        <x:v>Нет связи</x:v>
      </x:c>
      <x:c r="G2244" t="str">
        <x:v>High</x:v>
      </x:c>
      <x:c r="H2244" t="str">
        <x:v>order_id</x:v>
      </x:c>
      <x:c r="I2244" t="str">
        <x:v>Исправить ссылку или разрешить дубли связанного ID</x:v>
      </x:c>
      <x:c r="J2244" t="n">
        <x:f>IF(D2244=1,K2244,0)</x:f>
        <x:v>0</x:v>
      </x:c>
      <x:c r="K2244" t="n">
        <x:f>D2244+K2243</x:f>
        <x:v>25</x:v>
      </x:c>
    </x:row>
    <x:row r="2245">
      <x:c r="A2245" t="str">
        <x:v>Payment</x:v>
      </x:c>
      <x:c r="B2245" t="str">
        <x:f>'04_checks'!B322</x:f>
        <x:v>P075</x:v>
      </x:c>
      <x:c r="C2245" t="n">
        <x:v>76</x:v>
      </x:c>
      <x:c r="D2245" t="n">
        <x:f>IF('04_checks'!F322="ERROR",1,0)</x:f>
        <x:v>0</x:v>
      </x:c>
      <x:c r="E2245" t="str">
        <x:v>Payment:76:4</x:v>
      </x:c>
      <x:c r="F2245" t="str">
        <x:v>Ошибка расчета</x:v>
      </x:c>
      <x:c r="G2245" t="str">
        <x:v>High</x:v>
      </x:c>
      <x:c r="H2245" t="str">
        <x:v>payment_sum</x:v>
      </x:c>
      <x:c r="I2245" t="str">
        <x:v>Сверить исходные значения и правило расчёта</x:v>
      </x:c>
      <x:c r="J2245" t="n">
        <x:f>IF(D2245=1,K2245,0)</x:f>
        <x:v>0</x:v>
      </x:c>
      <x:c r="K2245" t="n">
        <x:f>D2245+K2244</x:f>
        <x:v>25</x:v>
      </x:c>
    </x:row>
    <x:row r="2246">
      <x:c r="A2246" t="str">
        <x:v>Payment</x:v>
      </x:c>
      <x:c r="B2246" t="str">
        <x:f>'04_checks'!B322</x:f>
        <x:v>P075</x:v>
      </x:c>
      <x:c r="C2246" t="n">
        <x:v>76</x:v>
      </x:c>
      <x:c r="D2246" t="n">
        <x:f>IF('04_checks'!G322="ERROR",1,0)</x:f>
        <x:v>0</x:v>
      </x:c>
      <x:c r="E2246" t="str">
        <x:v>Payment:76:5</x:v>
      </x:c>
      <x:c r="F2246" t="str">
        <x:v>Отрицательная цена</x:v>
      </x:c>
      <x:c r="G2246" t="str">
        <x:v>High</x:v>
      </x:c>
      <x:c r="H2246" t="str">
        <x:v>N/A</x:v>
      </x:c>
      <x:c r="I2246" t="str">
        <x:v>Проверить цену в источнике</x:v>
      </x:c>
      <x:c r="J2246" t="n">
        <x:f>IF(D2246=1,K2246,0)</x:f>
        <x:v>0</x:v>
      </x:c>
      <x:c r="K2246" t="n">
        <x:f>D2246+K2245</x:f>
        <x:v>25</x:v>
      </x:c>
    </x:row>
    <x:row r="2247">
      <x:c r="A2247" t="str">
        <x:v>Payment</x:v>
      </x:c>
      <x:c r="B2247" t="str">
        <x:f>'04_checks'!B322</x:f>
        <x:v>P075</x:v>
      </x:c>
      <x:c r="C2247" t="n">
        <x:v>76</x:v>
      </x:c>
      <x:c r="D2247" t="n">
        <x:f>IF('04_checks'!H322="ERROR",1,0)</x:f>
        <x:v>0</x:v>
      </x:c>
      <x:c r="E2247" t="str">
        <x:v>Payment:76:6</x:v>
      </x:c>
      <x:c r="F2247" t="str">
        <x:v>Дата</x:v>
      </x:c>
      <x:c r="G2247" t="str">
        <x:v>Medium</x:v>
      </x:c>
      <x:c r="H2247" t="str">
        <x:v>payment_date</x:v>
      </x:c>
      <x:c r="I2247" t="str">
        <x:v>Сверить дату со срезом и исходной записью</x:v>
      </x:c>
      <x:c r="J2247" t="n">
        <x:f>IF(D2247=1,K2247,0)</x:f>
        <x:v>0</x:v>
      </x:c>
      <x:c r="K2247" t="n">
        <x:f>D2247+K2246</x:f>
        <x:v>25</x:v>
      </x:c>
    </x:row>
    <x:row r="2248">
      <x:c r="A2248" t="str">
        <x:v>Payment</x:v>
      </x:c>
      <x:c r="B2248" t="str">
        <x:f>'04_checks'!B322</x:f>
        <x:v>P075</x:v>
      </x:c>
      <x:c r="C2248" t="n">
        <x:v>76</x:v>
      </x:c>
      <x:c r="D2248" t="n">
        <x:f>IF('04_checks'!I322="ERROR",1,0)</x:f>
        <x:v>0</x:v>
      </x:c>
      <x:c r="E2248" t="str">
        <x:v>Payment:76:7</x:v>
      </x:c>
      <x:c r="F2248" t="str">
        <x:v>Статус</x:v>
      </x:c>
      <x:c r="G2248" t="str">
        <x:v>Medium</x:v>
      </x:c>
      <x:c r="H2248" t="str">
        <x:v>payment_status</x:v>
      </x:c>
      <x:c r="I2248" t="str">
        <x:v>Выбрать допустимый статус</x:v>
      </x:c>
      <x:c r="J2248" t="n">
        <x:f>IF(D2248=1,K2248,0)</x:f>
        <x:v>0</x:v>
      </x:c>
      <x:c r="K2248" t="n">
        <x:f>D2248+K2247</x:f>
        <x:v>25</x:v>
      </x:c>
    </x:row>
    <x:row r="2249">
      <x:c r="A2249" t="str">
        <x:v>Payment</x:v>
      </x:c>
      <x:c r="B2249" t="str">
        <x:f>'04_checks'!B323</x:f>
        <x:v>P076</x:v>
      </x:c>
      <x:c r="C2249" t="n">
        <x:v>77</x:v>
      </x:c>
      <x:c r="D2249" t="n">
        <x:f>IF('04_checks'!C323="ERROR",1,0)</x:f>
        <x:v>0</x:v>
      </x:c>
      <x:c r="E2249" t="str">
        <x:v>Payment:77:1</x:v>
      </x:c>
      <x:c r="F2249" t="str">
        <x:v>Дубль</x:v>
      </x:c>
      <x:c r="G2249" t="str">
        <x:v>High</x:v>
      </x:c>
      <x:c r="H2249" t="str">
        <x:v>payment_id</x:v>
      </x:c>
      <x:c r="I2249" t="str">
        <x:v>Проверить уникальность ID в источнике; не удалять записи автоматически</x:v>
      </x:c>
      <x:c r="J2249" t="n">
        <x:f>IF(D2249=1,K2249,0)</x:f>
        <x:v>0</x:v>
      </x:c>
      <x:c r="K2249" t="n">
        <x:f>D2249+K2248</x:f>
        <x:v>25</x:v>
      </x:c>
    </x:row>
    <x:row r="2250">
      <x:c r="A2250" t="str">
        <x:v>Payment</x:v>
      </x:c>
      <x:c r="B2250" t="str">
        <x:f>'04_checks'!B323</x:f>
        <x:v>P076</x:v>
      </x:c>
      <x:c r="C2250" t="n">
        <x:v>77</x:v>
      </x:c>
      <x:c r="D2250" t="n">
        <x:f>IF('04_checks'!D323="ERROR",1,0)</x:f>
        <x:v>0</x:v>
      </x:c>
      <x:c r="E2250" t="str">
        <x:v>Payment:77:2</x:v>
      </x:c>
      <x:c r="F2250" t="str">
        <x:v>Пустое поле</x:v>
      </x:c>
      <x:c r="G2250" t="str">
        <x:v>High</x:v>
      </x:c>
      <x:c r="H2250" t="str">
        <x:v>required_fields</x:v>
      </x:c>
      <x:c r="I2250" t="str">
        <x:v>Дополнить обязательные поля в источнике</x:v>
      </x:c>
      <x:c r="J2250" t="n">
        <x:f>IF(D2250=1,K2250,0)</x:f>
        <x:v>0</x:v>
      </x:c>
      <x:c r="K2250" t="n">
        <x:f>D2250+K2249</x:f>
        <x:v>25</x:v>
      </x:c>
    </x:row>
    <x:row r="2251">
      <x:c r="A2251" t="str">
        <x:v>Payment</x:v>
      </x:c>
      <x:c r="B2251" t="str">
        <x:f>'04_checks'!B323</x:f>
        <x:v>P076</x:v>
      </x:c>
      <x:c r="C2251" t="n">
        <x:v>77</x:v>
      </x:c>
      <x:c r="D2251" t="n">
        <x:f>IF('04_checks'!E323="ERROR",1,0)</x:f>
        <x:v>0</x:v>
      </x:c>
      <x:c r="E2251" t="str">
        <x:v>Payment:77:3</x:v>
      </x:c>
      <x:c r="F2251" t="str">
        <x:f>IF(COUNTIF('01_orders_raw'!$A$2:$A$181,'03_payments_raw'!B77)&gt;1,"Неоднозначная связь","Нет связи")</x:f>
        <x:v>Нет связи</x:v>
      </x:c>
      <x:c r="G2251" t="str">
        <x:v>High</x:v>
      </x:c>
      <x:c r="H2251" t="str">
        <x:v>order_id</x:v>
      </x:c>
      <x:c r="I2251" t="str">
        <x:v>Исправить ссылку или разрешить дубли связанного ID</x:v>
      </x:c>
      <x:c r="J2251" t="n">
        <x:f>IF(D2251=1,K2251,0)</x:f>
        <x:v>0</x:v>
      </x:c>
      <x:c r="K2251" t="n">
        <x:f>D2251+K2250</x:f>
        <x:v>25</x:v>
      </x:c>
    </x:row>
    <x:row r="2252">
      <x:c r="A2252" t="str">
        <x:v>Payment</x:v>
      </x:c>
      <x:c r="B2252" t="str">
        <x:f>'04_checks'!B323</x:f>
        <x:v>P076</x:v>
      </x:c>
      <x:c r="C2252" t="n">
        <x:v>77</x:v>
      </x:c>
      <x:c r="D2252" t="n">
        <x:f>IF('04_checks'!F323="ERROR",1,0)</x:f>
        <x:v>0</x:v>
      </x:c>
      <x:c r="E2252" t="str">
        <x:v>Payment:77:4</x:v>
      </x:c>
      <x:c r="F2252" t="str">
        <x:v>Ошибка расчета</x:v>
      </x:c>
      <x:c r="G2252" t="str">
        <x:v>High</x:v>
      </x:c>
      <x:c r="H2252" t="str">
        <x:v>payment_sum</x:v>
      </x:c>
      <x:c r="I2252" t="str">
        <x:v>Сверить исходные значения и правило расчёта</x:v>
      </x:c>
      <x:c r="J2252" t="n">
        <x:f>IF(D2252=1,K2252,0)</x:f>
        <x:v>0</x:v>
      </x:c>
      <x:c r="K2252" t="n">
        <x:f>D2252+K2251</x:f>
        <x:v>25</x:v>
      </x:c>
    </x:row>
    <x:row r="2253">
      <x:c r="A2253" t="str">
        <x:v>Payment</x:v>
      </x:c>
      <x:c r="B2253" t="str">
        <x:f>'04_checks'!B323</x:f>
        <x:v>P076</x:v>
      </x:c>
      <x:c r="C2253" t="n">
        <x:v>77</x:v>
      </x:c>
      <x:c r="D2253" t="n">
        <x:f>IF('04_checks'!G323="ERROR",1,0)</x:f>
        <x:v>0</x:v>
      </x:c>
      <x:c r="E2253" t="str">
        <x:v>Payment:77:5</x:v>
      </x:c>
      <x:c r="F2253" t="str">
        <x:v>Отрицательная цена</x:v>
      </x:c>
      <x:c r="G2253" t="str">
        <x:v>High</x:v>
      </x:c>
      <x:c r="H2253" t="str">
        <x:v>N/A</x:v>
      </x:c>
      <x:c r="I2253" t="str">
        <x:v>Проверить цену в источнике</x:v>
      </x:c>
      <x:c r="J2253" t="n">
        <x:f>IF(D2253=1,K2253,0)</x:f>
        <x:v>0</x:v>
      </x:c>
      <x:c r="K2253" t="n">
        <x:f>D2253+K2252</x:f>
        <x:v>25</x:v>
      </x:c>
    </x:row>
    <x:row r="2254">
      <x:c r="A2254" t="str">
        <x:v>Payment</x:v>
      </x:c>
      <x:c r="B2254" t="str">
        <x:f>'04_checks'!B323</x:f>
        <x:v>P076</x:v>
      </x:c>
      <x:c r="C2254" t="n">
        <x:v>77</x:v>
      </x:c>
      <x:c r="D2254" t="n">
        <x:f>IF('04_checks'!H323="ERROR",1,0)</x:f>
        <x:v>0</x:v>
      </x:c>
      <x:c r="E2254" t="str">
        <x:v>Payment:77:6</x:v>
      </x:c>
      <x:c r="F2254" t="str">
        <x:v>Дата</x:v>
      </x:c>
      <x:c r="G2254" t="str">
        <x:v>Medium</x:v>
      </x:c>
      <x:c r="H2254" t="str">
        <x:v>payment_date</x:v>
      </x:c>
      <x:c r="I2254" t="str">
        <x:v>Сверить дату со срезом и исходной записью</x:v>
      </x:c>
      <x:c r="J2254" t="n">
        <x:f>IF(D2254=1,K2254,0)</x:f>
        <x:v>0</x:v>
      </x:c>
      <x:c r="K2254" t="n">
        <x:f>D2254+K2253</x:f>
        <x:v>25</x:v>
      </x:c>
    </x:row>
    <x:row r="2255">
      <x:c r="A2255" t="str">
        <x:v>Payment</x:v>
      </x:c>
      <x:c r="B2255" t="str">
        <x:f>'04_checks'!B323</x:f>
        <x:v>P076</x:v>
      </x:c>
      <x:c r="C2255" t="n">
        <x:v>77</x:v>
      </x:c>
      <x:c r="D2255" t="n">
        <x:f>IF('04_checks'!I323="ERROR",1,0)</x:f>
        <x:v>0</x:v>
      </x:c>
      <x:c r="E2255" t="str">
        <x:v>Payment:77:7</x:v>
      </x:c>
      <x:c r="F2255" t="str">
        <x:v>Статус</x:v>
      </x:c>
      <x:c r="G2255" t="str">
        <x:v>Medium</x:v>
      </x:c>
      <x:c r="H2255" t="str">
        <x:v>payment_status</x:v>
      </x:c>
      <x:c r="I2255" t="str">
        <x:v>Выбрать допустимый статус</x:v>
      </x:c>
      <x:c r="J2255" t="n">
        <x:f>IF(D2255=1,K2255,0)</x:f>
        <x:v>0</x:v>
      </x:c>
      <x:c r="K2255" t="n">
        <x:f>D2255+K2254</x:f>
        <x:v>25</x:v>
      </x:c>
    </x:row>
    <x:row r="2256">
      <x:c r="A2256" t="str">
        <x:v>Payment</x:v>
      </x:c>
      <x:c r="B2256" t="str">
        <x:f>'04_checks'!B324</x:f>
        <x:v>P077</x:v>
      </x:c>
      <x:c r="C2256" t="n">
        <x:v>78</x:v>
      </x:c>
      <x:c r="D2256" t="n">
        <x:f>IF('04_checks'!C324="ERROR",1,0)</x:f>
        <x:v>0</x:v>
      </x:c>
      <x:c r="E2256" t="str">
        <x:v>Payment:78:1</x:v>
      </x:c>
      <x:c r="F2256" t="str">
        <x:v>Дубль</x:v>
      </x:c>
      <x:c r="G2256" t="str">
        <x:v>High</x:v>
      </x:c>
      <x:c r="H2256" t="str">
        <x:v>payment_id</x:v>
      </x:c>
      <x:c r="I2256" t="str">
        <x:v>Проверить уникальность ID в источнике; не удалять записи автоматически</x:v>
      </x:c>
      <x:c r="J2256" t="n">
        <x:f>IF(D2256=1,K2256,0)</x:f>
        <x:v>0</x:v>
      </x:c>
      <x:c r="K2256" t="n">
        <x:f>D2256+K2255</x:f>
        <x:v>25</x:v>
      </x:c>
    </x:row>
    <x:row r="2257">
      <x:c r="A2257" t="str">
        <x:v>Payment</x:v>
      </x:c>
      <x:c r="B2257" t="str">
        <x:f>'04_checks'!B324</x:f>
        <x:v>P077</x:v>
      </x:c>
      <x:c r="C2257" t="n">
        <x:v>78</x:v>
      </x:c>
      <x:c r="D2257" t="n">
        <x:f>IF('04_checks'!D324="ERROR",1,0)</x:f>
        <x:v>0</x:v>
      </x:c>
      <x:c r="E2257" t="str">
        <x:v>Payment:78:2</x:v>
      </x:c>
      <x:c r="F2257" t="str">
        <x:v>Пустое поле</x:v>
      </x:c>
      <x:c r="G2257" t="str">
        <x:v>High</x:v>
      </x:c>
      <x:c r="H2257" t="str">
        <x:v>required_fields</x:v>
      </x:c>
      <x:c r="I2257" t="str">
        <x:v>Дополнить обязательные поля в источнике</x:v>
      </x:c>
      <x:c r="J2257" t="n">
        <x:f>IF(D2257=1,K2257,0)</x:f>
        <x:v>0</x:v>
      </x:c>
      <x:c r="K2257" t="n">
        <x:f>D2257+K2256</x:f>
        <x:v>25</x:v>
      </x:c>
    </x:row>
    <x:row r="2258">
      <x:c r="A2258" t="str">
        <x:v>Payment</x:v>
      </x:c>
      <x:c r="B2258" t="str">
        <x:f>'04_checks'!B324</x:f>
        <x:v>P077</x:v>
      </x:c>
      <x:c r="C2258" t="n">
        <x:v>78</x:v>
      </x:c>
      <x:c r="D2258" t="n">
        <x:f>IF('04_checks'!E324="ERROR",1,0)</x:f>
        <x:v>0</x:v>
      </x:c>
      <x:c r="E2258" t="str">
        <x:v>Payment:78:3</x:v>
      </x:c>
      <x:c r="F2258" t="str">
        <x:f>IF(COUNTIF('01_orders_raw'!$A$2:$A$181,'03_payments_raw'!B78)&gt;1,"Неоднозначная связь","Нет связи")</x:f>
        <x:v>Нет связи</x:v>
      </x:c>
      <x:c r="G2258" t="str">
        <x:v>High</x:v>
      </x:c>
      <x:c r="H2258" t="str">
        <x:v>order_id</x:v>
      </x:c>
      <x:c r="I2258" t="str">
        <x:v>Исправить ссылку или разрешить дубли связанного ID</x:v>
      </x:c>
      <x:c r="J2258" t="n">
        <x:f>IF(D2258=1,K2258,0)</x:f>
        <x:v>0</x:v>
      </x:c>
      <x:c r="K2258" t="n">
        <x:f>D2258+K2257</x:f>
        <x:v>25</x:v>
      </x:c>
    </x:row>
    <x:row r="2259">
      <x:c r="A2259" t="str">
        <x:v>Payment</x:v>
      </x:c>
      <x:c r="B2259" t="str">
        <x:f>'04_checks'!B324</x:f>
        <x:v>P077</x:v>
      </x:c>
      <x:c r="C2259" t="n">
        <x:v>78</x:v>
      </x:c>
      <x:c r="D2259" t="n">
        <x:f>IF('04_checks'!F324="ERROR",1,0)</x:f>
        <x:v>0</x:v>
      </x:c>
      <x:c r="E2259" t="str">
        <x:v>Payment:78:4</x:v>
      </x:c>
      <x:c r="F2259" t="str">
        <x:v>Ошибка расчета</x:v>
      </x:c>
      <x:c r="G2259" t="str">
        <x:v>High</x:v>
      </x:c>
      <x:c r="H2259" t="str">
        <x:v>payment_sum</x:v>
      </x:c>
      <x:c r="I2259" t="str">
        <x:v>Сверить исходные значения и правило расчёта</x:v>
      </x:c>
      <x:c r="J2259" t="n">
        <x:f>IF(D2259=1,K2259,0)</x:f>
        <x:v>0</x:v>
      </x:c>
      <x:c r="K2259" t="n">
        <x:f>D2259+K2258</x:f>
        <x:v>25</x:v>
      </x:c>
    </x:row>
    <x:row r="2260">
      <x:c r="A2260" t="str">
        <x:v>Payment</x:v>
      </x:c>
      <x:c r="B2260" t="str">
        <x:f>'04_checks'!B324</x:f>
        <x:v>P077</x:v>
      </x:c>
      <x:c r="C2260" t="n">
        <x:v>78</x:v>
      </x:c>
      <x:c r="D2260" t="n">
        <x:f>IF('04_checks'!G324="ERROR",1,0)</x:f>
        <x:v>0</x:v>
      </x:c>
      <x:c r="E2260" t="str">
        <x:v>Payment:78:5</x:v>
      </x:c>
      <x:c r="F2260" t="str">
        <x:v>Отрицательная цена</x:v>
      </x:c>
      <x:c r="G2260" t="str">
        <x:v>High</x:v>
      </x:c>
      <x:c r="H2260" t="str">
        <x:v>N/A</x:v>
      </x:c>
      <x:c r="I2260" t="str">
        <x:v>Проверить цену в источнике</x:v>
      </x:c>
      <x:c r="J2260" t="n">
        <x:f>IF(D2260=1,K2260,0)</x:f>
        <x:v>0</x:v>
      </x:c>
      <x:c r="K2260" t="n">
        <x:f>D2260+K2259</x:f>
        <x:v>25</x:v>
      </x:c>
    </x:row>
    <x:row r="2261">
      <x:c r="A2261" t="str">
        <x:v>Payment</x:v>
      </x:c>
      <x:c r="B2261" t="str">
        <x:f>'04_checks'!B324</x:f>
        <x:v>P077</x:v>
      </x:c>
      <x:c r="C2261" t="n">
        <x:v>78</x:v>
      </x:c>
      <x:c r="D2261" t="n">
        <x:f>IF('04_checks'!H324="ERROR",1,0)</x:f>
        <x:v>0</x:v>
      </x:c>
      <x:c r="E2261" t="str">
        <x:v>Payment:78:6</x:v>
      </x:c>
      <x:c r="F2261" t="str">
        <x:v>Дата</x:v>
      </x:c>
      <x:c r="G2261" t="str">
        <x:v>Medium</x:v>
      </x:c>
      <x:c r="H2261" t="str">
        <x:v>payment_date</x:v>
      </x:c>
      <x:c r="I2261" t="str">
        <x:v>Сверить дату со срезом и исходной записью</x:v>
      </x:c>
      <x:c r="J2261" t="n">
        <x:f>IF(D2261=1,K2261,0)</x:f>
        <x:v>0</x:v>
      </x:c>
      <x:c r="K2261" t="n">
        <x:f>D2261+K2260</x:f>
        <x:v>25</x:v>
      </x:c>
    </x:row>
    <x:row r="2262">
      <x:c r="A2262" t="str">
        <x:v>Payment</x:v>
      </x:c>
      <x:c r="B2262" t="str">
        <x:f>'04_checks'!B324</x:f>
        <x:v>P077</x:v>
      </x:c>
      <x:c r="C2262" t="n">
        <x:v>78</x:v>
      </x:c>
      <x:c r="D2262" t="n">
        <x:f>IF('04_checks'!I324="ERROR",1,0)</x:f>
        <x:v>0</x:v>
      </x:c>
      <x:c r="E2262" t="str">
        <x:v>Payment:78:7</x:v>
      </x:c>
      <x:c r="F2262" t="str">
        <x:v>Статус</x:v>
      </x:c>
      <x:c r="G2262" t="str">
        <x:v>Medium</x:v>
      </x:c>
      <x:c r="H2262" t="str">
        <x:v>payment_status</x:v>
      </x:c>
      <x:c r="I2262" t="str">
        <x:v>Выбрать допустимый статус</x:v>
      </x:c>
      <x:c r="J2262" t="n">
        <x:f>IF(D2262=1,K2262,0)</x:f>
        <x:v>0</x:v>
      </x:c>
      <x:c r="K2262" t="n">
        <x:f>D2262+K2261</x:f>
        <x:v>25</x:v>
      </x:c>
    </x:row>
    <x:row r="2263">
      <x:c r="A2263" t="str">
        <x:v>Payment</x:v>
      </x:c>
      <x:c r="B2263" t="str">
        <x:f>'04_checks'!B325</x:f>
        <x:v>P078</x:v>
      </x:c>
      <x:c r="C2263" t="n">
        <x:v>79</x:v>
      </x:c>
      <x:c r="D2263" t="n">
        <x:f>IF('04_checks'!C325="ERROR",1,0)</x:f>
        <x:v>0</x:v>
      </x:c>
      <x:c r="E2263" t="str">
        <x:v>Payment:79:1</x:v>
      </x:c>
      <x:c r="F2263" t="str">
        <x:v>Дубль</x:v>
      </x:c>
      <x:c r="G2263" t="str">
        <x:v>High</x:v>
      </x:c>
      <x:c r="H2263" t="str">
        <x:v>payment_id</x:v>
      </x:c>
      <x:c r="I2263" t="str">
        <x:v>Проверить уникальность ID в источнике; не удалять записи автоматически</x:v>
      </x:c>
      <x:c r="J2263" t="n">
        <x:f>IF(D2263=1,K2263,0)</x:f>
        <x:v>0</x:v>
      </x:c>
      <x:c r="K2263" t="n">
        <x:f>D2263+K2262</x:f>
        <x:v>25</x:v>
      </x:c>
    </x:row>
    <x:row r="2264">
      <x:c r="A2264" t="str">
        <x:v>Payment</x:v>
      </x:c>
      <x:c r="B2264" t="str">
        <x:f>'04_checks'!B325</x:f>
        <x:v>P078</x:v>
      </x:c>
      <x:c r="C2264" t="n">
        <x:v>79</x:v>
      </x:c>
      <x:c r="D2264" t="n">
        <x:f>IF('04_checks'!D325="ERROR",1,0)</x:f>
        <x:v>0</x:v>
      </x:c>
      <x:c r="E2264" t="str">
        <x:v>Payment:79:2</x:v>
      </x:c>
      <x:c r="F2264" t="str">
        <x:v>Пустое поле</x:v>
      </x:c>
      <x:c r="G2264" t="str">
        <x:v>High</x:v>
      </x:c>
      <x:c r="H2264" t="str">
        <x:v>required_fields</x:v>
      </x:c>
      <x:c r="I2264" t="str">
        <x:v>Дополнить обязательные поля в источнике</x:v>
      </x:c>
      <x:c r="J2264" t="n">
        <x:f>IF(D2264=1,K2264,0)</x:f>
        <x:v>0</x:v>
      </x:c>
      <x:c r="K2264" t="n">
        <x:f>D2264+K2263</x:f>
        <x:v>25</x:v>
      </x:c>
    </x:row>
    <x:row r="2265">
      <x:c r="A2265" t="str">
        <x:v>Payment</x:v>
      </x:c>
      <x:c r="B2265" t="str">
        <x:f>'04_checks'!B325</x:f>
        <x:v>P078</x:v>
      </x:c>
      <x:c r="C2265" t="n">
        <x:v>79</x:v>
      </x:c>
      <x:c r="D2265" t="n">
        <x:f>IF('04_checks'!E325="ERROR",1,0)</x:f>
        <x:v>0</x:v>
      </x:c>
      <x:c r="E2265" t="str">
        <x:v>Payment:79:3</x:v>
      </x:c>
      <x:c r="F2265" t="str">
        <x:f>IF(COUNTIF('01_orders_raw'!$A$2:$A$181,'03_payments_raw'!B79)&gt;1,"Неоднозначная связь","Нет связи")</x:f>
        <x:v>Нет связи</x:v>
      </x:c>
      <x:c r="G2265" t="str">
        <x:v>High</x:v>
      </x:c>
      <x:c r="H2265" t="str">
        <x:v>order_id</x:v>
      </x:c>
      <x:c r="I2265" t="str">
        <x:v>Исправить ссылку или разрешить дубли связанного ID</x:v>
      </x:c>
      <x:c r="J2265" t="n">
        <x:f>IF(D2265=1,K2265,0)</x:f>
        <x:v>0</x:v>
      </x:c>
      <x:c r="K2265" t="n">
        <x:f>D2265+K2264</x:f>
        <x:v>25</x:v>
      </x:c>
    </x:row>
    <x:row r="2266">
      <x:c r="A2266" t="str">
        <x:v>Payment</x:v>
      </x:c>
      <x:c r="B2266" t="str">
        <x:f>'04_checks'!B325</x:f>
        <x:v>P078</x:v>
      </x:c>
      <x:c r="C2266" t="n">
        <x:v>79</x:v>
      </x:c>
      <x:c r="D2266" t="n">
        <x:f>IF('04_checks'!F325="ERROR",1,0)</x:f>
        <x:v>0</x:v>
      </x:c>
      <x:c r="E2266" t="str">
        <x:v>Payment:79:4</x:v>
      </x:c>
      <x:c r="F2266" t="str">
        <x:v>Ошибка расчета</x:v>
      </x:c>
      <x:c r="G2266" t="str">
        <x:v>High</x:v>
      </x:c>
      <x:c r="H2266" t="str">
        <x:v>payment_sum</x:v>
      </x:c>
      <x:c r="I2266" t="str">
        <x:v>Сверить исходные значения и правило расчёта</x:v>
      </x:c>
      <x:c r="J2266" t="n">
        <x:f>IF(D2266=1,K2266,0)</x:f>
        <x:v>0</x:v>
      </x:c>
      <x:c r="K2266" t="n">
        <x:f>D2266+K2265</x:f>
        <x:v>25</x:v>
      </x:c>
    </x:row>
    <x:row r="2267">
      <x:c r="A2267" t="str">
        <x:v>Payment</x:v>
      </x:c>
      <x:c r="B2267" t="str">
        <x:f>'04_checks'!B325</x:f>
        <x:v>P078</x:v>
      </x:c>
      <x:c r="C2267" t="n">
        <x:v>79</x:v>
      </x:c>
      <x:c r="D2267" t="n">
        <x:f>IF('04_checks'!G325="ERROR",1,0)</x:f>
        <x:v>0</x:v>
      </x:c>
      <x:c r="E2267" t="str">
        <x:v>Payment:79:5</x:v>
      </x:c>
      <x:c r="F2267" t="str">
        <x:v>Отрицательная цена</x:v>
      </x:c>
      <x:c r="G2267" t="str">
        <x:v>High</x:v>
      </x:c>
      <x:c r="H2267" t="str">
        <x:v>N/A</x:v>
      </x:c>
      <x:c r="I2267" t="str">
        <x:v>Проверить цену в источнике</x:v>
      </x:c>
      <x:c r="J2267" t="n">
        <x:f>IF(D2267=1,K2267,0)</x:f>
        <x:v>0</x:v>
      </x:c>
      <x:c r="K2267" t="n">
        <x:f>D2267+K2266</x:f>
        <x:v>25</x:v>
      </x:c>
    </x:row>
    <x:row r="2268">
      <x:c r="A2268" t="str">
        <x:v>Payment</x:v>
      </x:c>
      <x:c r="B2268" t="str">
        <x:f>'04_checks'!B325</x:f>
        <x:v>P078</x:v>
      </x:c>
      <x:c r="C2268" t="n">
        <x:v>79</x:v>
      </x:c>
      <x:c r="D2268" t="n">
        <x:f>IF('04_checks'!H325="ERROR",1,0)</x:f>
        <x:v>0</x:v>
      </x:c>
      <x:c r="E2268" t="str">
        <x:v>Payment:79:6</x:v>
      </x:c>
      <x:c r="F2268" t="str">
        <x:v>Дата</x:v>
      </x:c>
      <x:c r="G2268" t="str">
        <x:v>Medium</x:v>
      </x:c>
      <x:c r="H2268" t="str">
        <x:v>payment_date</x:v>
      </x:c>
      <x:c r="I2268" t="str">
        <x:v>Сверить дату со срезом и исходной записью</x:v>
      </x:c>
      <x:c r="J2268" t="n">
        <x:f>IF(D2268=1,K2268,0)</x:f>
        <x:v>0</x:v>
      </x:c>
      <x:c r="K2268" t="n">
        <x:f>D2268+K2267</x:f>
        <x:v>25</x:v>
      </x:c>
    </x:row>
    <x:row r="2269">
      <x:c r="A2269" t="str">
        <x:v>Payment</x:v>
      </x:c>
      <x:c r="B2269" t="str">
        <x:f>'04_checks'!B325</x:f>
        <x:v>P078</x:v>
      </x:c>
      <x:c r="C2269" t="n">
        <x:v>79</x:v>
      </x:c>
      <x:c r="D2269" t="n">
        <x:f>IF('04_checks'!I325="ERROR",1,0)</x:f>
        <x:v>0</x:v>
      </x:c>
      <x:c r="E2269" t="str">
        <x:v>Payment:79:7</x:v>
      </x:c>
      <x:c r="F2269" t="str">
        <x:v>Статус</x:v>
      </x:c>
      <x:c r="G2269" t="str">
        <x:v>Medium</x:v>
      </x:c>
      <x:c r="H2269" t="str">
        <x:v>payment_status</x:v>
      </x:c>
      <x:c r="I2269" t="str">
        <x:v>Выбрать допустимый статус</x:v>
      </x:c>
      <x:c r="J2269" t="n">
        <x:f>IF(D2269=1,K2269,0)</x:f>
        <x:v>0</x:v>
      </x:c>
      <x:c r="K2269" t="n">
        <x:f>D2269+K2268</x:f>
        <x:v>25</x:v>
      </x:c>
    </x:row>
    <x:row r="2270">
      <x:c r="A2270" t="str">
        <x:v>Payment</x:v>
      </x:c>
      <x:c r="B2270" t="str">
        <x:f>'04_checks'!B326</x:f>
        <x:v>P079</x:v>
      </x:c>
      <x:c r="C2270" t="n">
        <x:v>80</x:v>
      </x:c>
      <x:c r="D2270" t="n">
        <x:f>IF('04_checks'!C326="ERROR",1,0)</x:f>
        <x:v>0</x:v>
      </x:c>
      <x:c r="E2270" t="str">
        <x:v>Payment:80:1</x:v>
      </x:c>
      <x:c r="F2270" t="str">
        <x:v>Дубль</x:v>
      </x:c>
      <x:c r="G2270" t="str">
        <x:v>High</x:v>
      </x:c>
      <x:c r="H2270" t="str">
        <x:v>payment_id</x:v>
      </x:c>
      <x:c r="I2270" t="str">
        <x:v>Проверить уникальность ID в источнике; не удалять записи автоматически</x:v>
      </x:c>
      <x:c r="J2270" t="n">
        <x:f>IF(D2270=1,K2270,0)</x:f>
        <x:v>0</x:v>
      </x:c>
      <x:c r="K2270" t="n">
        <x:f>D2270+K2269</x:f>
        <x:v>25</x:v>
      </x:c>
    </x:row>
    <x:row r="2271">
      <x:c r="A2271" t="str">
        <x:v>Payment</x:v>
      </x:c>
      <x:c r="B2271" t="str">
        <x:f>'04_checks'!B326</x:f>
        <x:v>P079</x:v>
      </x:c>
      <x:c r="C2271" t="n">
        <x:v>80</x:v>
      </x:c>
      <x:c r="D2271" t="n">
        <x:f>IF('04_checks'!D326="ERROR",1,0)</x:f>
        <x:v>0</x:v>
      </x:c>
      <x:c r="E2271" t="str">
        <x:v>Payment:80:2</x:v>
      </x:c>
      <x:c r="F2271" t="str">
        <x:v>Пустое поле</x:v>
      </x:c>
      <x:c r="G2271" t="str">
        <x:v>High</x:v>
      </x:c>
      <x:c r="H2271" t="str">
        <x:v>required_fields</x:v>
      </x:c>
      <x:c r="I2271" t="str">
        <x:v>Дополнить обязательные поля в источнике</x:v>
      </x:c>
      <x:c r="J2271" t="n">
        <x:f>IF(D2271=1,K2271,0)</x:f>
        <x:v>0</x:v>
      </x:c>
      <x:c r="K2271" t="n">
        <x:f>D2271+K2270</x:f>
        <x:v>25</x:v>
      </x:c>
    </x:row>
    <x:row r="2272">
      <x:c r="A2272" t="str">
        <x:v>Payment</x:v>
      </x:c>
      <x:c r="B2272" t="str">
        <x:f>'04_checks'!B326</x:f>
        <x:v>P079</x:v>
      </x:c>
      <x:c r="C2272" t="n">
        <x:v>80</x:v>
      </x:c>
      <x:c r="D2272" t="n">
        <x:f>IF('04_checks'!E326="ERROR",1,0)</x:f>
        <x:v>0</x:v>
      </x:c>
      <x:c r="E2272" t="str">
        <x:v>Payment:80:3</x:v>
      </x:c>
      <x:c r="F2272" t="str">
        <x:f>IF(COUNTIF('01_orders_raw'!$A$2:$A$181,'03_payments_raw'!B80)&gt;1,"Неоднозначная связь","Нет связи")</x:f>
        <x:v>Нет связи</x:v>
      </x:c>
      <x:c r="G2272" t="str">
        <x:v>High</x:v>
      </x:c>
      <x:c r="H2272" t="str">
        <x:v>order_id</x:v>
      </x:c>
      <x:c r="I2272" t="str">
        <x:v>Исправить ссылку или разрешить дубли связанного ID</x:v>
      </x:c>
      <x:c r="J2272" t="n">
        <x:f>IF(D2272=1,K2272,0)</x:f>
        <x:v>0</x:v>
      </x:c>
      <x:c r="K2272" t="n">
        <x:f>D2272+K2271</x:f>
        <x:v>25</x:v>
      </x:c>
    </x:row>
    <x:row r="2273">
      <x:c r="A2273" t="str">
        <x:v>Payment</x:v>
      </x:c>
      <x:c r="B2273" t="str">
        <x:f>'04_checks'!B326</x:f>
        <x:v>P079</x:v>
      </x:c>
      <x:c r="C2273" t="n">
        <x:v>80</x:v>
      </x:c>
      <x:c r="D2273" t="n">
        <x:f>IF('04_checks'!F326="ERROR",1,0)</x:f>
        <x:v>0</x:v>
      </x:c>
      <x:c r="E2273" t="str">
        <x:v>Payment:80:4</x:v>
      </x:c>
      <x:c r="F2273" t="str">
        <x:v>Ошибка расчета</x:v>
      </x:c>
      <x:c r="G2273" t="str">
        <x:v>High</x:v>
      </x:c>
      <x:c r="H2273" t="str">
        <x:v>payment_sum</x:v>
      </x:c>
      <x:c r="I2273" t="str">
        <x:v>Сверить исходные значения и правило расчёта</x:v>
      </x:c>
      <x:c r="J2273" t="n">
        <x:f>IF(D2273=1,K2273,0)</x:f>
        <x:v>0</x:v>
      </x:c>
      <x:c r="K2273" t="n">
        <x:f>D2273+K2272</x:f>
        <x:v>25</x:v>
      </x:c>
    </x:row>
    <x:row r="2274">
      <x:c r="A2274" t="str">
        <x:v>Payment</x:v>
      </x:c>
      <x:c r="B2274" t="str">
        <x:f>'04_checks'!B326</x:f>
        <x:v>P079</x:v>
      </x:c>
      <x:c r="C2274" t="n">
        <x:v>80</x:v>
      </x:c>
      <x:c r="D2274" t="n">
        <x:f>IF('04_checks'!G326="ERROR",1,0)</x:f>
        <x:v>0</x:v>
      </x:c>
      <x:c r="E2274" t="str">
        <x:v>Payment:80:5</x:v>
      </x:c>
      <x:c r="F2274" t="str">
        <x:v>Отрицательная цена</x:v>
      </x:c>
      <x:c r="G2274" t="str">
        <x:v>High</x:v>
      </x:c>
      <x:c r="H2274" t="str">
        <x:v>N/A</x:v>
      </x:c>
      <x:c r="I2274" t="str">
        <x:v>Проверить цену в источнике</x:v>
      </x:c>
      <x:c r="J2274" t="n">
        <x:f>IF(D2274=1,K2274,0)</x:f>
        <x:v>0</x:v>
      </x:c>
      <x:c r="K2274" t="n">
        <x:f>D2274+K2273</x:f>
        <x:v>25</x:v>
      </x:c>
    </x:row>
    <x:row r="2275">
      <x:c r="A2275" t="str">
        <x:v>Payment</x:v>
      </x:c>
      <x:c r="B2275" t="str">
        <x:f>'04_checks'!B326</x:f>
        <x:v>P079</x:v>
      </x:c>
      <x:c r="C2275" t="n">
        <x:v>80</x:v>
      </x:c>
      <x:c r="D2275" t="n">
        <x:f>IF('04_checks'!H326="ERROR",1,0)</x:f>
        <x:v>0</x:v>
      </x:c>
      <x:c r="E2275" t="str">
        <x:v>Payment:80:6</x:v>
      </x:c>
      <x:c r="F2275" t="str">
        <x:v>Дата</x:v>
      </x:c>
      <x:c r="G2275" t="str">
        <x:v>Medium</x:v>
      </x:c>
      <x:c r="H2275" t="str">
        <x:v>payment_date</x:v>
      </x:c>
      <x:c r="I2275" t="str">
        <x:v>Сверить дату со срезом и исходной записью</x:v>
      </x:c>
      <x:c r="J2275" t="n">
        <x:f>IF(D2275=1,K2275,0)</x:f>
        <x:v>0</x:v>
      </x:c>
      <x:c r="K2275" t="n">
        <x:f>D2275+K2274</x:f>
        <x:v>25</x:v>
      </x:c>
    </x:row>
    <x:row r="2276">
      <x:c r="A2276" t="str">
        <x:v>Payment</x:v>
      </x:c>
      <x:c r="B2276" t="str">
        <x:f>'04_checks'!B326</x:f>
        <x:v>P079</x:v>
      </x:c>
      <x:c r="C2276" t="n">
        <x:v>80</x:v>
      </x:c>
      <x:c r="D2276" t="n">
        <x:f>IF('04_checks'!I326="ERROR",1,0)</x:f>
        <x:v>0</x:v>
      </x:c>
      <x:c r="E2276" t="str">
        <x:v>Payment:80:7</x:v>
      </x:c>
      <x:c r="F2276" t="str">
        <x:v>Статус</x:v>
      </x:c>
      <x:c r="G2276" t="str">
        <x:v>Medium</x:v>
      </x:c>
      <x:c r="H2276" t="str">
        <x:v>payment_status</x:v>
      </x:c>
      <x:c r="I2276" t="str">
        <x:v>Выбрать допустимый статус</x:v>
      </x:c>
      <x:c r="J2276" t="n">
        <x:f>IF(D2276=1,K2276,0)</x:f>
        <x:v>0</x:v>
      </x:c>
      <x:c r="K2276" t="n">
        <x:f>D2276+K2275</x:f>
        <x:v>25</x:v>
      </x:c>
    </x:row>
    <x:row r="2277">
      <x:c r="A2277" t="str">
        <x:v>Payment</x:v>
      </x:c>
      <x:c r="B2277" t="str">
        <x:f>'04_checks'!B327</x:f>
        <x:v>P080</x:v>
      </x:c>
      <x:c r="C2277" t="n">
        <x:v>81</x:v>
      </x:c>
      <x:c r="D2277" t="n">
        <x:f>IF('04_checks'!C327="ERROR",1,0)</x:f>
        <x:v>0</x:v>
      </x:c>
      <x:c r="E2277" t="str">
        <x:v>Payment:81:1</x:v>
      </x:c>
      <x:c r="F2277" t="str">
        <x:v>Дубль</x:v>
      </x:c>
      <x:c r="G2277" t="str">
        <x:v>High</x:v>
      </x:c>
      <x:c r="H2277" t="str">
        <x:v>payment_id</x:v>
      </x:c>
      <x:c r="I2277" t="str">
        <x:v>Проверить уникальность ID в источнике; не удалять записи автоматически</x:v>
      </x:c>
      <x:c r="J2277" t="n">
        <x:f>IF(D2277=1,K2277,0)</x:f>
        <x:v>0</x:v>
      </x:c>
      <x:c r="K2277" t="n">
        <x:f>D2277+K2276</x:f>
        <x:v>25</x:v>
      </x:c>
    </x:row>
    <x:row r="2278">
      <x:c r="A2278" t="str">
        <x:v>Payment</x:v>
      </x:c>
      <x:c r="B2278" t="str">
        <x:f>'04_checks'!B327</x:f>
        <x:v>P080</x:v>
      </x:c>
      <x:c r="C2278" t="n">
        <x:v>81</x:v>
      </x:c>
      <x:c r="D2278" t="n">
        <x:f>IF('04_checks'!D327="ERROR",1,0)</x:f>
        <x:v>0</x:v>
      </x:c>
      <x:c r="E2278" t="str">
        <x:v>Payment:81:2</x:v>
      </x:c>
      <x:c r="F2278" t="str">
        <x:v>Пустое поле</x:v>
      </x:c>
      <x:c r="G2278" t="str">
        <x:v>High</x:v>
      </x:c>
      <x:c r="H2278" t="str">
        <x:v>required_fields</x:v>
      </x:c>
      <x:c r="I2278" t="str">
        <x:v>Дополнить обязательные поля в источнике</x:v>
      </x:c>
      <x:c r="J2278" t="n">
        <x:f>IF(D2278=1,K2278,0)</x:f>
        <x:v>0</x:v>
      </x:c>
      <x:c r="K2278" t="n">
        <x:f>D2278+K2277</x:f>
        <x:v>25</x:v>
      </x:c>
    </x:row>
    <x:row r="2279">
      <x:c r="A2279" t="str">
        <x:v>Payment</x:v>
      </x:c>
      <x:c r="B2279" t="str">
        <x:f>'04_checks'!B327</x:f>
        <x:v>P080</x:v>
      </x:c>
      <x:c r="C2279" t="n">
        <x:v>81</x:v>
      </x:c>
      <x:c r="D2279" t="n">
        <x:f>IF('04_checks'!E327="ERROR",1,0)</x:f>
        <x:v>0</x:v>
      </x:c>
      <x:c r="E2279" t="str">
        <x:v>Payment:81:3</x:v>
      </x:c>
      <x:c r="F2279" t="str">
        <x:f>IF(COUNTIF('01_orders_raw'!$A$2:$A$181,'03_payments_raw'!B81)&gt;1,"Неоднозначная связь","Нет связи")</x:f>
        <x:v>Нет связи</x:v>
      </x:c>
      <x:c r="G2279" t="str">
        <x:v>High</x:v>
      </x:c>
      <x:c r="H2279" t="str">
        <x:v>order_id</x:v>
      </x:c>
      <x:c r="I2279" t="str">
        <x:v>Исправить ссылку или разрешить дубли связанного ID</x:v>
      </x:c>
      <x:c r="J2279" t="n">
        <x:f>IF(D2279=1,K2279,0)</x:f>
        <x:v>0</x:v>
      </x:c>
      <x:c r="K2279" t="n">
        <x:f>D2279+K2278</x:f>
        <x:v>25</x:v>
      </x:c>
    </x:row>
    <x:row r="2280">
      <x:c r="A2280" t="str">
        <x:v>Payment</x:v>
      </x:c>
      <x:c r="B2280" t="str">
        <x:f>'04_checks'!B327</x:f>
        <x:v>P080</x:v>
      </x:c>
      <x:c r="C2280" t="n">
        <x:v>81</x:v>
      </x:c>
      <x:c r="D2280" t="n">
        <x:f>IF('04_checks'!F327="ERROR",1,0)</x:f>
        <x:v>0</x:v>
      </x:c>
      <x:c r="E2280" t="str">
        <x:v>Payment:81:4</x:v>
      </x:c>
      <x:c r="F2280" t="str">
        <x:v>Ошибка расчета</x:v>
      </x:c>
      <x:c r="G2280" t="str">
        <x:v>High</x:v>
      </x:c>
      <x:c r="H2280" t="str">
        <x:v>payment_sum</x:v>
      </x:c>
      <x:c r="I2280" t="str">
        <x:v>Сверить исходные значения и правило расчёта</x:v>
      </x:c>
      <x:c r="J2280" t="n">
        <x:f>IF(D2280=1,K2280,0)</x:f>
        <x:v>0</x:v>
      </x:c>
      <x:c r="K2280" t="n">
        <x:f>D2280+K2279</x:f>
        <x:v>25</x:v>
      </x:c>
    </x:row>
    <x:row r="2281">
      <x:c r="A2281" t="str">
        <x:v>Payment</x:v>
      </x:c>
      <x:c r="B2281" t="str">
        <x:f>'04_checks'!B327</x:f>
        <x:v>P080</x:v>
      </x:c>
      <x:c r="C2281" t="n">
        <x:v>81</x:v>
      </x:c>
      <x:c r="D2281" t="n">
        <x:f>IF('04_checks'!G327="ERROR",1,0)</x:f>
        <x:v>0</x:v>
      </x:c>
      <x:c r="E2281" t="str">
        <x:v>Payment:81:5</x:v>
      </x:c>
      <x:c r="F2281" t="str">
        <x:v>Отрицательная цена</x:v>
      </x:c>
      <x:c r="G2281" t="str">
        <x:v>High</x:v>
      </x:c>
      <x:c r="H2281" t="str">
        <x:v>N/A</x:v>
      </x:c>
      <x:c r="I2281" t="str">
        <x:v>Проверить цену в источнике</x:v>
      </x:c>
      <x:c r="J2281" t="n">
        <x:f>IF(D2281=1,K2281,0)</x:f>
        <x:v>0</x:v>
      </x:c>
      <x:c r="K2281" t="n">
        <x:f>D2281+K2280</x:f>
        <x:v>25</x:v>
      </x:c>
    </x:row>
    <x:row r="2282">
      <x:c r="A2282" t="str">
        <x:v>Payment</x:v>
      </x:c>
      <x:c r="B2282" t="str">
        <x:f>'04_checks'!B327</x:f>
        <x:v>P080</x:v>
      </x:c>
      <x:c r="C2282" t="n">
        <x:v>81</x:v>
      </x:c>
      <x:c r="D2282" t="n">
        <x:f>IF('04_checks'!H327="ERROR",1,0)</x:f>
        <x:v>0</x:v>
      </x:c>
      <x:c r="E2282" t="str">
        <x:v>Payment:81:6</x:v>
      </x:c>
      <x:c r="F2282" t="str">
        <x:v>Дата</x:v>
      </x:c>
      <x:c r="G2282" t="str">
        <x:v>Medium</x:v>
      </x:c>
      <x:c r="H2282" t="str">
        <x:v>payment_date</x:v>
      </x:c>
      <x:c r="I2282" t="str">
        <x:v>Сверить дату со срезом и исходной записью</x:v>
      </x:c>
      <x:c r="J2282" t="n">
        <x:f>IF(D2282=1,K2282,0)</x:f>
        <x:v>0</x:v>
      </x:c>
      <x:c r="K2282" t="n">
        <x:f>D2282+K2281</x:f>
        <x:v>25</x:v>
      </x:c>
    </x:row>
    <x:row r="2283">
      <x:c r="A2283" t="str">
        <x:v>Payment</x:v>
      </x:c>
      <x:c r="B2283" t="str">
        <x:f>'04_checks'!B327</x:f>
        <x:v>P080</x:v>
      </x:c>
      <x:c r="C2283" t="n">
        <x:v>81</x:v>
      </x:c>
      <x:c r="D2283" t="n">
        <x:f>IF('04_checks'!I327="ERROR",1,0)</x:f>
        <x:v>0</x:v>
      </x:c>
      <x:c r="E2283" t="str">
        <x:v>Payment:81:7</x:v>
      </x:c>
      <x:c r="F2283" t="str">
        <x:v>Статус</x:v>
      </x:c>
      <x:c r="G2283" t="str">
        <x:v>Medium</x:v>
      </x:c>
      <x:c r="H2283" t="str">
        <x:v>payment_status</x:v>
      </x:c>
      <x:c r="I2283" t="str">
        <x:v>Выбрать допустимый статус</x:v>
      </x:c>
      <x:c r="J2283" t="n">
        <x:f>IF(D2283=1,K2283,0)</x:f>
        <x:v>0</x:v>
      </x:c>
      <x:c r="K2283" t="n">
        <x:f>D2283+K2282</x:f>
        <x:v>25</x:v>
      </x:c>
    </x:row>
    <x:row r="2284">
      <x:c r="A2284" t="str">
        <x:v>Payment</x:v>
      </x:c>
      <x:c r="B2284" t="str">
        <x:f>'04_checks'!B328</x:f>
        <x:v>P081</x:v>
      </x:c>
      <x:c r="C2284" t="n">
        <x:v>82</x:v>
      </x:c>
      <x:c r="D2284" t="n">
        <x:f>IF('04_checks'!C328="ERROR",1,0)</x:f>
        <x:v>0</x:v>
      </x:c>
      <x:c r="E2284" t="str">
        <x:v>Payment:82:1</x:v>
      </x:c>
      <x:c r="F2284" t="str">
        <x:v>Дубль</x:v>
      </x:c>
      <x:c r="G2284" t="str">
        <x:v>High</x:v>
      </x:c>
      <x:c r="H2284" t="str">
        <x:v>payment_id</x:v>
      </x:c>
      <x:c r="I2284" t="str">
        <x:v>Проверить уникальность ID в источнике; не удалять записи автоматически</x:v>
      </x:c>
      <x:c r="J2284" t="n">
        <x:f>IF(D2284=1,K2284,0)</x:f>
        <x:v>0</x:v>
      </x:c>
      <x:c r="K2284" t="n">
        <x:f>D2284+K2283</x:f>
        <x:v>25</x:v>
      </x:c>
    </x:row>
    <x:row r="2285">
      <x:c r="A2285" t="str">
        <x:v>Payment</x:v>
      </x:c>
      <x:c r="B2285" t="str">
        <x:f>'04_checks'!B328</x:f>
        <x:v>P081</x:v>
      </x:c>
      <x:c r="C2285" t="n">
        <x:v>82</x:v>
      </x:c>
      <x:c r="D2285" t="n">
        <x:f>IF('04_checks'!D328="ERROR",1,0)</x:f>
        <x:v>0</x:v>
      </x:c>
      <x:c r="E2285" t="str">
        <x:v>Payment:82:2</x:v>
      </x:c>
      <x:c r="F2285" t="str">
        <x:v>Пустое поле</x:v>
      </x:c>
      <x:c r="G2285" t="str">
        <x:v>High</x:v>
      </x:c>
      <x:c r="H2285" t="str">
        <x:v>required_fields</x:v>
      </x:c>
      <x:c r="I2285" t="str">
        <x:v>Дополнить обязательные поля в источнике</x:v>
      </x:c>
      <x:c r="J2285" t="n">
        <x:f>IF(D2285=1,K2285,0)</x:f>
        <x:v>0</x:v>
      </x:c>
      <x:c r="K2285" t="n">
        <x:f>D2285+K2284</x:f>
        <x:v>25</x:v>
      </x:c>
    </x:row>
    <x:row r="2286">
      <x:c r="A2286" t="str">
        <x:v>Payment</x:v>
      </x:c>
      <x:c r="B2286" t="str">
        <x:f>'04_checks'!B328</x:f>
        <x:v>P081</x:v>
      </x:c>
      <x:c r="C2286" t="n">
        <x:v>82</x:v>
      </x:c>
      <x:c r="D2286" t="n">
        <x:f>IF('04_checks'!E328="ERROR",1,0)</x:f>
        <x:v>0</x:v>
      </x:c>
      <x:c r="E2286" t="str">
        <x:v>Payment:82:3</x:v>
      </x:c>
      <x:c r="F2286" t="str">
        <x:f>IF(COUNTIF('01_orders_raw'!$A$2:$A$181,'03_payments_raw'!B82)&gt;1,"Неоднозначная связь","Нет связи")</x:f>
        <x:v>Нет связи</x:v>
      </x:c>
      <x:c r="G2286" t="str">
        <x:v>High</x:v>
      </x:c>
      <x:c r="H2286" t="str">
        <x:v>order_id</x:v>
      </x:c>
      <x:c r="I2286" t="str">
        <x:v>Исправить ссылку или разрешить дубли связанного ID</x:v>
      </x:c>
      <x:c r="J2286" t="n">
        <x:f>IF(D2286=1,K2286,0)</x:f>
        <x:v>0</x:v>
      </x:c>
      <x:c r="K2286" t="n">
        <x:f>D2286+K2285</x:f>
        <x:v>25</x:v>
      </x:c>
    </x:row>
    <x:row r="2287">
      <x:c r="A2287" t="str">
        <x:v>Payment</x:v>
      </x:c>
      <x:c r="B2287" t="str">
        <x:f>'04_checks'!B328</x:f>
        <x:v>P081</x:v>
      </x:c>
      <x:c r="C2287" t="n">
        <x:v>82</x:v>
      </x:c>
      <x:c r="D2287" t="n">
        <x:f>IF('04_checks'!F328="ERROR",1,0)</x:f>
        <x:v>0</x:v>
      </x:c>
      <x:c r="E2287" t="str">
        <x:v>Payment:82:4</x:v>
      </x:c>
      <x:c r="F2287" t="str">
        <x:v>Ошибка расчета</x:v>
      </x:c>
      <x:c r="G2287" t="str">
        <x:v>High</x:v>
      </x:c>
      <x:c r="H2287" t="str">
        <x:v>payment_sum</x:v>
      </x:c>
      <x:c r="I2287" t="str">
        <x:v>Сверить исходные значения и правило расчёта</x:v>
      </x:c>
      <x:c r="J2287" t="n">
        <x:f>IF(D2287=1,K2287,0)</x:f>
        <x:v>0</x:v>
      </x:c>
      <x:c r="K2287" t="n">
        <x:f>D2287+K2286</x:f>
        <x:v>25</x:v>
      </x:c>
    </x:row>
    <x:row r="2288">
      <x:c r="A2288" t="str">
        <x:v>Payment</x:v>
      </x:c>
      <x:c r="B2288" t="str">
        <x:f>'04_checks'!B328</x:f>
        <x:v>P081</x:v>
      </x:c>
      <x:c r="C2288" t="n">
        <x:v>82</x:v>
      </x:c>
      <x:c r="D2288" t="n">
        <x:f>IF('04_checks'!G328="ERROR",1,0)</x:f>
        <x:v>0</x:v>
      </x:c>
      <x:c r="E2288" t="str">
        <x:v>Payment:82:5</x:v>
      </x:c>
      <x:c r="F2288" t="str">
        <x:v>Отрицательная цена</x:v>
      </x:c>
      <x:c r="G2288" t="str">
        <x:v>High</x:v>
      </x:c>
      <x:c r="H2288" t="str">
        <x:v>N/A</x:v>
      </x:c>
      <x:c r="I2288" t="str">
        <x:v>Проверить цену в источнике</x:v>
      </x:c>
      <x:c r="J2288" t="n">
        <x:f>IF(D2288=1,K2288,0)</x:f>
        <x:v>0</x:v>
      </x:c>
      <x:c r="K2288" t="n">
        <x:f>D2288+K2287</x:f>
        <x:v>25</x:v>
      </x:c>
    </x:row>
    <x:row r="2289">
      <x:c r="A2289" t="str">
        <x:v>Payment</x:v>
      </x:c>
      <x:c r="B2289" t="str">
        <x:f>'04_checks'!B328</x:f>
        <x:v>P081</x:v>
      </x:c>
      <x:c r="C2289" t="n">
        <x:v>82</x:v>
      </x:c>
      <x:c r="D2289" t="n">
        <x:f>IF('04_checks'!H328="ERROR",1,0)</x:f>
        <x:v>0</x:v>
      </x:c>
      <x:c r="E2289" t="str">
        <x:v>Payment:82:6</x:v>
      </x:c>
      <x:c r="F2289" t="str">
        <x:v>Дата</x:v>
      </x:c>
      <x:c r="G2289" t="str">
        <x:v>Medium</x:v>
      </x:c>
      <x:c r="H2289" t="str">
        <x:v>payment_date</x:v>
      </x:c>
      <x:c r="I2289" t="str">
        <x:v>Сверить дату со срезом и исходной записью</x:v>
      </x:c>
      <x:c r="J2289" t="n">
        <x:f>IF(D2289=1,K2289,0)</x:f>
        <x:v>0</x:v>
      </x:c>
      <x:c r="K2289" t="n">
        <x:f>D2289+K2288</x:f>
        <x:v>25</x:v>
      </x:c>
    </x:row>
    <x:row r="2290">
      <x:c r="A2290" t="str">
        <x:v>Payment</x:v>
      </x:c>
      <x:c r="B2290" t="str">
        <x:f>'04_checks'!B328</x:f>
        <x:v>P081</x:v>
      </x:c>
      <x:c r="C2290" t="n">
        <x:v>82</x:v>
      </x:c>
      <x:c r="D2290" t="n">
        <x:f>IF('04_checks'!I328="ERROR",1,0)</x:f>
        <x:v>0</x:v>
      </x:c>
      <x:c r="E2290" t="str">
        <x:v>Payment:82:7</x:v>
      </x:c>
      <x:c r="F2290" t="str">
        <x:v>Статус</x:v>
      </x:c>
      <x:c r="G2290" t="str">
        <x:v>Medium</x:v>
      </x:c>
      <x:c r="H2290" t="str">
        <x:v>payment_status</x:v>
      </x:c>
      <x:c r="I2290" t="str">
        <x:v>Выбрать допустимый статус</x:v>
      </x:c>
      <x:c r="J2290" t="n">
        <x:f>IF(D2290=1,K2290,0)</x:f>
        <x:v>0</x:v>
      </x:c>
      <x:c r="K2290" t="n">
        <x:f>D2290+K2289</x:f>
        <x:v>25</x:v>
      </x:c>
    </x:row>
    <x:row r="2291">
      <x:c r="A2291" t="str">
        <x:v>Payment</x:v>
      </x:c>
      <x:c r="B2291" t="str">
        <x:f>'04_checks'!B329</x:f>
        <x:v>P082</x:v>
      </x:c>
      <x:c r="C2291" t="n">
        <x:v>83</x:v>
      </x:c>
      <x:c r="D2291" t="n">
        <x:f>IF('04_checks'!C329="ERROR",1,0)</x:f>
        <x:v>0</x:v>
      </x:c>
      <x:c r="E2291" t="str">
        <x:v>Payment:83:1</x:v>
      </x:c>
      <x:c r="F2291" t="str">
        <x:v>Дубль</x:v>
      </x:c>
      <x:c r="G2291" t="str">
        <x:v>High</x:v>
      </x:c>
      <x:c r="H2291" t="str">
        <x:v>payment_id</x:v>
      </x:c>
      <x:c r="I2291" t="str">
        <x:v>Проверить уникальность ID в источнике; не удалять записи автоматически</x:v>
      </x:c>
      <x:c r="J2291" t="n">
        <x:f>IF(D2291=1,K2291,0)</x:f>
        <x:v>0</x:v>
      </x:c>
      <x:c r="K2291" t="n">
        <x:f>D2291+K2290</x:f>
        <x:v>25</x:v>
      </x:c>
    </x:row>
    <x:row r="2292">
      <x:c r="A2292" t="str">
        <x:v>Payment</x:v>
      </x:c>
      <x:c r="B2292" t="str">
        <x:f>'04_checks'!B329</x:f>
        <x:v>P082</x:v>
      </x:c>
      <x:c r="C2292" t="n">
        <x:v>83</x:v>
      </x:c>
      <x:c r="D2292" t="n">
        <x:f>IF('04_checks'!D329="ERROR",1,0)</x:f>
        <x:v>0</x:v>
      </x:c>
      <x:c r="E2292" t="str">
        <x:v>Payment:83:2</x:v>
      </x:c>
      <x:c r="F2292" t="str">
        <x:v>Пустое поле</x:v>
      </x:c>
      <x:c r="G2292" t="str">
        <x:v>High</x:v>
      </x:c>
      <x:c r="H2292" t="str">
        <x:v>required_fields</x:v>
      </x:c>
      <x:c r="I2292" t="str">
        <x:v>Дополнить обязательные поля в источнике</x:v>
      </x:c>
      <x:c r="J2292" t="n">
        <x:f>IF(D2292=1,K2292,0)</x:f>
        <x:v>0</x:v>
      </x:c>
      <x:c r="K2292" t="n">
        <x:f>D2292+K2291</x:f>
        <x:v>25</x:v>
      </x:c>
    </x:row>
    <x:row r="2293">
      <x:c r="A2293" t="str">
        <x:v>Payment</x:v>
      </x:c>
      <x:c r="B2293" t="str">
        <x:f>'04_checks'!B329</x:f>
        <x:v>P082</x:v>
      </x:c>
      <x:c r="C2293" t="n">
        <x:v>83</x:v>
      </x:c>
      <x:c r="D2293" t="n">
        <x:f>IF('04_checks'!E329="ERROR",1,0)</x:f>
        <x:v>0</x:v>
      </x:c>
      <x:c r="E2293" t="str">
        <x:v>Payment:83:3</x:v>
      </x:c>
      <x:c r="F2293" t="str">
        <x:f>IF(COUNTIF('01_orders_raw'!$A$2:$A$181,'03_payments_raw'!B83)&gt;1,"Неоднозначная связь","Нет связи")</x:f>
        <x:v>Нет связи</x:v>
      </x:c>
      <x:c r="G2293" t="str">
        <x:v>High</x:v>
      </x:c>
      <x:c r="H2293" t="str">
        <x:v>order_id</x:v>
      </x:c>
      <x:c r="I2293" t="str">
        <x:v>Исправить ссылку или разрешить дубли связанного ID</x:v>
      </x:c>
      <x:c r="J2293" t="n">
        <x:f>IF(D2293=1,K2293,0)</x:f>
        <x:v>0</x:v>
      </x:c>
      <x:c r="K2293" t="n">
        <x:f>D2293+K2292</x:f>
        <x:v>25</x:v>
      </x:c>
    </x:row>
    <x:row r="2294">
      <x:c r="A2294" t="str">
        <x:v>Payment</x:v>
      </x:c>
      <x:c r="B2294" t="str">
        <x:f>'04_checks'!B329</x:f>
        <x:v>P082</x:v>
      </x:c>
      <x:c r="C2294" t="n">
        <x:v>83</x:v>
      </x:c>
      <x:c r="D2294" t="n">
        <x:f>IF('04_checks'!F329="ERROR",1,0)</x:f>
        <x:v>0</x:v>
      </x:c>
      <x:c r="E2294" t="str">
        <x:v>Payment:83:4</x:v>
      </x:c>
      <x:c r="F2294" t="str">
        <x:v>Ошибка расчета</x:v>
      </x:c>
      <x:c r="G2294" t="str">
        <x:v>High</x:v>
      </x:c>
      <x:c r="H2294" t="str">
        <x:v>payment_sum</x:v>
      </x:c>
      <x:c r="I2294" t="str">
        <x:v>Сверить исходные значения и правило расчёта</x:v>
      </x:c>
      <x:c r="J2294" t="n">
        <x:f>IF(D2294=1,K2294,0)</x:f>
        <x:v>0</x:v>
      </x:c>
      <x:c r="K2294" t="n">
        <x:f>D2294+K2293</x:f>
        <x:v>25</x:v>
      </x:c>
    </x:row>
    <x:row r="2295">
      <x:c r="A2295" t="str">
        <x:v>Payment</x:v>
      </x:c>
      <x:c r="B2295" t="str">
        <x:f>'04_checks'!B329</x:f>
        <x:v>P082</x:v>
      </x:c>
      <x:c r="C2295" t="n">
        <x:v>83</x:v>
      </x:c>
      <x:c r="D2295" t="n">
        <x:f>IF('04_checks'!G329="ERROR",1,0)</x:f>
        <x:v>0</x:v>
      </x:c>
      <x:c r="E2295" t="str">
        <x:v>Payment:83:5</x:v>
      </x:c>
      <x:c r="F2295" t="str">
        <x:v>Отрицательная цена</x:v>
      </x:c>
      <x:c r="G2295" t="str">
        <x:v>High</x:v>
      </x:c>
      <x:c r="H2295" t="str">
        <x:v>N/A</x:v>
      </x:c>
      <x:c r="I2295" t="str">
        <x:v>Проверить цену в источнике</x:v>
      </x:c>
      <x:c r="J2295" t="n">
        <x:f>IF(D2295=1,K2295,0)</x:f>
        <x:v>0</x:v>
      </x:c>
      <x:c r="K2295" t="n">
        <x:f>D2295+K2294</x:f>
        <x:v>25</x:v>
      </x:c>
    </x:row>
    <x:row r="2296">
      <x:c r="A2296" t="str">
        <x:v>Payment</x:v>
      </x:c>
      <x:c r="B2296" t="str">
        <x:f>'04_checks'!B329</x:f>
        <x:v>P082</x:v>
      </x:c>
      <x:c r="C2296" t="n">
        <x:v>83</x:v>
      </x:c>
      <x:c r="D2296" t="n">
        <x:f>IF('04_checks'!H329="ERROR",1,0)</x:f>
        <x:v>0</x:v>
      </x:c>
      <x:c r="E2296" t="str">
        <x:v>Payment:83:6</x:v>
      </x:c>
      <x:c r="F2296" t="str">
        <x:v>Дата</x:v>
      </x:c>
      <x:c r="G2296" t="str">
        <x:v>Medium</x:v>
      </x:c>
      <x:c r="H2296" t="str">
        <x:v>payment_date</x:v>
      </x:c>
      <x:c r="I2296" t="str">
        <x:v>Сверить дату со срезом и исходной записью</x:v>
      </x:c>
      <x:c r="J2296" t="n">
        <x:f>IF(D2296=1,K2296,0)</x:f>
        <x:v>0</x:v>
      </x:c>
      <x:c r="K2296" t="n">
        <x:f>D2296+K2295</x:f>
        <x:v>25</x:v>
      </x:c>
    </x:row>
    <x:row r="2297">
      <x:c r="A2297" t="str">
        <x:v>Payment</x:v>
      </x:c>
      <x:c r="B2297" t="str">
        <x:f>'04_checks'!B329</x:f>
        <x:v>P082</x:v>
      </x:c>
      <x:c r="C2297" t="n">
        <x:v>83</x:v>
      </x:c>
      <x:c r="D2297" t="n">
        <x:f>IF('04_checks'!I329="ERROR",1,0)</x:f>
        <x:v>0</x:v>
      </x:c>
      <x:c r="E2297" t="str">
        <x:v>Payment:83:7</x:v>
      </x:c>
      <x:c r="F2297" t="str">
        <x:v>Статус</x:v>
      </x:c>
      <x:c r="G2297" t="str">
        <x:v>Medium</x:v>
      </x:c>
      <x:c r="H2297" t="str">
        <x:v>payment_status</x:v>
      </x:c>
      <x:c r="I2297" t="str">
        <x:v>Выбрать допустимый статус</x:v>
      </x:c>
      <x:c r="J2297" t="n">
        <x:f>IF(D2297=1,K2297,0)</x:f>
        <x:v>0</x:v>
      </x:c>
      <x:c r="K2297" t="n">
        <x:f>D2297+K2296</x:f>
        <x:v>25</x:v>
      </x:c>
    </x:row>
    <x:row r="2298">
      <x:c r="A2298" t="str">
        <x:v>Payment</x:v>
      </x:c>
      <x:c r="B2298" t="str">
        <x:f>'04_checks'!B330</x:f>
        <x:v>P083</x:v>
      </x:c>
      <x:c r="C2298" t="n">
        <x:v>84</x:v>
      </x:c>
      <x:c r="D2298" t="n">
        <x:f>IF('04_checks'!C330="ERROR",1,0)</x:f>
        <x:v>0</x:v>
      </x:c>
      <x:c r="E2298" t="str">
        <x:v>Payment:84:1</x:v>
      </x:c>
      <x:c r="F2298" t="str">
        <x:v>Дубль</x:v>
      </x:c>
      <x:c r="G2298" t="str">
        <x:v>High</x:v>
      </x:c>
      <x:c r="H2298" t="str">
        <x:v>payment_id</x:v>
      </x:c>
      <x:c r="I2298" t="str">
        <x:v>Проверить уникальность ID в источнике; не удалять записи автоматически</x:v>
      </x:c>
      <x:c r="J2298" t="n">
        <x:f>IF(D2298=1,K2298,0)</x:f>
        <x:v>0</x:v>
      </x:c>
      <x:c r="K2298" t="n">
        <x:f>D2298+K2297</x:f>
        <x:v>25</x:v>
      </x:c>
    </x:row>
    <x:row r="2299">
      <x:c r="A2299" t="str">
        <x:v>Payment</x:v>
      </x:c>
      <x:c r="B2299" t="str">
        <x:f>'04_checks'!B330</x:f>
        <x:v>P083</x:v>
      </x:c>
      <x:c r="C2299" t="n">
        <x:v>84</x:v>
      </x:c>
      <x:c r="D2299" t="n">
        <x:f>IF('04_checks'!D330="ERROR",1,0)</x:f>
        <x:v>0</x:v>
      </x:c>
      <x:c r="E2299" t="str">
        <x:v>Payment:84:2</x:v>
      </x:c>
      <x:c r="F2299" t="str">
        <x:v>Пустое поле</x:v>
      </x:c>
      <x:c r="G2299" t="str">
        <x:v>High</x:v>
      </x:c>
      <x:c r="H2299" t="str">
        <x:v>required_fields</x:v>
      </x:c>
      <x:c r="I2299" t="str">
        <x:v>Дополнить обязательные поля в источнике</x:v>
      </x:c>
      <x:c r="J2299" t="n">
        <x:f>IF(D2299=1,K2299,0)</x:f>
        <x:v>0</x:v>
      </x:c>
      <x:c r="K2299" t="n">
        <x:f>D2299+K2298</x:f>
        <x:v>25</x:v>
      </x:c>
    </x:row>
    <x:row r="2300">
      <x:c r="A2300" t="str">
        <x:v>Payment</x:v>
      </x:c>
      <x:c r="B2300" t="str">
        <x:f>'04_checks'!B330</x:f>
        <x:v>P083</x:v>
      </x:c>
      <x:c r="C2300" t="n">
        <x:v>84</x:v>
      </x:c>
      <x:c r="D2300" t="n">
        <x:f>IF('04_checks'!E330="ERROR",1,0)</x:f>
        <x:v>0</x:v>
      </x:c>
      <x:c r="E2300" t="str">
        <x:v>Payment:84:3</x:v>
      </x:c>
      <x:c r="F2300" t="str">
        <x:f>IF(COUNTIF('01_orders_raw'!$A$2:$A$181,'03_payments_raw'!B84)&gt;1,"Неоднозначная связь","Нет связи")</x:f>
        <x:v>Нет связи</x:v>
      </x:c>
      <x:c r="G2300" t="str">
        <x:v>High</x:v>
      </x:c>
      <x:c r="H2300" t="str">
        <x:v>order_id</x:v>
      </x:c>
      <x:c r="I2300" t="str">
        <x:v>Исправить ссылку или разрешить дубли связанного ID</x:v>
      </x:c>
      <x:c r="J2300" t="n">
        <x:f>IF(D2300=1,K2300,0)</x:f>
        <x:v>0</x:v>
      </x:c>
      <x:c r="K2300" t="n">
        <x:f>D2300+K2299</x:f>
        <x:v>25</x:v>
      </x:c>
    </x:row>
    <x:row r="2301">
      <x:c r="A2301" t="str">
        <x:v>Payment</x:v>
      </x:c>
      <x:c r="B2301" t="str">
        <x:f>'04_checks'!B330</x:f>
        <x:v>P083</x:v>
      </x:c>
      <x:c r="C2301" t="n">
        <x:v>84</x:v>
      </x:c>
      <x:c r="D2301" t="n">
        <x:f>IF('04_checks'!F330="ERROR",1,0)</x:f>
        <x:v>0</x:v>
      </x:c>
      <x:c r="E2301" t="str">
        <x:v>Payment:84:4</x:v>
      </x:c>
      <x:c r="F2301" t="str">
        <x:v>Ошибка расчета</x:v>
      </x:c>
      <x:c r="G2301" t="str">
        <x:v>High</x:v>
      </x:c>
      <x:c r="H2301" t="str">
        <x:v>payment_sum</x:v>
      </x:c>
      <x:c r="I2301" t="str">
        <x:v>Сверить исходные значения и правило расчёта</x:v>
      </x:c>
      <x:c r="J2301" t="n">
        <x:f>IF(D2301=1,K2301,0)</x:f>
        <x:v>0</x:v>
      </x:c>
      <x:c r="K2301" t="n">
        <x:f>D2301+K2300</x:f>
        <x:v>25</x:v>
      </x:c>
    </x:row>
    <x:row r="2302">
      <x:c r="A2302" t="str">
        <x:v>Payment</x:v>
      </x:c>
      <x:c r="B2302" t="str">
        <x:f>'04_checks'!B330</x:f>
        <x:v>P083</x:v>
      </x:c>
      <x:c r="C2302" t="n">
        <x:v>84</x:v>
      </x:c>
      <x:c r="D2302" t="n">
        <x:f>IF('04_checks'!G330="ERROR",1,0)</x:f>
        <x:v>0</x:v>
      </x:c>
      <x:c r="E2302" t="str">
        <x:v>Payment:84:5</x:v>
      </x:c>
      <x:c r="F2302" t="str">
        <x:v>Отрицательная цена</x:v>
      </x:c>
      <x:c r="G2302" t="str">
        <x:v>High</x:v>
      </x:c>
      <x:c r="H2302" t="str">
        <x:v>N/A</x:v>
      </x:c>
      <x:c r="I2302" t="str">
        <x:v>Проверить цену в источнике</x:v>
      </x:c>
      <x:c r="J2302" t="n">
        <x:f>IF(D2302=1,K2302,0)</x:f>
        <x:v>0</x:v>
      </x:c>
      <x:c r="K2302" t="n">
        <x:f>D2302+K2301</x:f>
        <x:v>25</x:v>
      </x:c>
    </x:row>
    <x:row r="2303">
      <x:c r="A2303" t="str">
        <x:v>Payment</x:v>
      </x:c>
      <x:c r="B2303" t="str">
        <x:f>'04_checks'!B330</x:f>
        <x:v>P083</x:v>
      </x:c>
      <x:c r="C2303" t="n">
        <x:v>84</x:v>
      </x:c>
      <x:c r="D2303" t="n">
        <x:f>IF('04_checks'!H330="ERROR",1,0)</x:f>
        <x:v>0</x:v>
      </x:c>
      <x:c r="E2303" t="str">
        <x:v>Payment:84:6</x:v>
      </x:c>
      <x:c r="F2303" t="str">
        <x:v>Дата</x:v>
      </x:c>
      <x:c r="G2303" t="str">
        <x:v>Medium</x:v>
      </x:c>
      <x:c r="H2303" t="str">
        <x:v>payment_date</x:v>
      </x:c>
      <x:c r="I2303" t="str">
        <x:v>Сверить дату со срезом и исходной записью</x:v>
      </x:c>
      <x:c r="J2303" t="n">
        <x:f>IF(D2303=1,K2303,0)</x:f>
        <x:v>0</x:v>
      </x:c>
      <x:c r="K2303" t="n">
        <x:f>D2303+K2302</x:f>
        <x:v>25</x:v>
      </x:c>
    </x:row>
    <x:row r="2304">
      <x:c r="A2304" t="str">
        <x:v>Payment</x:v>
      </x:c>
      <x:c r="B2304" t="str">
        <x:f>'04_checks'!B330</x:f>
        <x:v>P083</x:v>
      </x:c>
      <x:c r="C2304" t="n">
        <x:v>84</x:v>
      </x:c>
      <x:c r="D2304" t="n">
        <x:f>IF('04_checks'!I330="ERROR",1,0)</x:f>
        <x:v>0</x:v>
      </x:c>
      <x:c r="E2304" t="str">
        <x:v>Payment:84:7</x:v>
      </x:c>
      <x:c r="F2304" t="str">
        <x:v>Статус</x:v>
      </x:c>
      <x:c r="G2304" t="str">
        <x:v>Medium</x:v>
      </x:c>
      <x:c r="H2304" t="str">
        <x:v>payment_status</x:v>
      </x:c>
      <x:c r="I2304" t="str">
        <x:v>Выбрать допустимый статус</x:v>
      </x:c>
      <x:c r="J2304" t="n">
        <x:f>IF(D2304=1,K2304,0)</x:f>
        <x:v>0</x:v>
      </x:c>
      <x:c r="K2304" t="n">
        <x:f>D2304+K2303</x:f>
        <x:v>25</x:v>
      </x:c>
    </x:row>
    <x:row r="2305">
      <x:c r="A2305" t="str">
        <x:v>Payment</x:v>
      </x:c>
      <x:c r="B2305" t="str">
        <x:f>'04_checks'!B331</x:f>
        <x:v>P084</x:v>
      </x:c>
      <x:c r="C2305" t="n">
        <x:v>85</x:v>
      </x:c>
      <x:c r="D2305" t="n">
        <x:f>IF('04_checks'!C331="ERROR",1,0)</x:f>
        <x:v>0</x:v>
      </x:c>
      <x:c r="E2305" t="str">
        <x:v>Payment:85:1</x:v>
      </x:c>
      <x:c r="F2305" t="str">
        <x:v>Дубль</x:v>
      </x:c>
      <x:c r="G2305" t="str">
        <x:v>High</x:v>
      </x:c>
      <x:c r="H2305" t="str">
        <x:v>payment_id</x:v>
      </x:c>
      <x:c r="I2305" t="str">
        <x:v>Проверить уникальность ID в источнике; не удалять записи автоматически</x:v>
      </x:c>
      <x:c r="J2305" t="n">
        <x:f>IF(D2305=1,K2305,0)</x:f>
        <x:v>0</x:v>
      </x:c>
      <x:c r="K2305" t="n">
        <x:f>D2305+K2304</x:f>
        <x:v>25</x:v>
      </x:c>
    </x:row>
    <x:row r="2306">
      <x:c r="A2306" t="str">
        <x:v>Payment</x:v>
      </x:c>
      <x:c r="B2306" t="str">
        <x:f>'04_checks'!B331</x:f>
        <x:v>P084</x:v>
      </x:c>
      <x:c r="C2306" t="n">
        <x:v>85</x:v>
      </x:c>
      <x:c r="D2306" t="n">
        <x:f>IF('04_checks'!D331="ERROR",1,0)</x:f>
        <x:v>0</x:v>
      </x:c>
      <x:c r="E2306" t="str">
        <x:v>Payment:85:2</x:v>
      </x:c>
      <x:c r="F2306" t="str">
        <x:v>Пустое поле</x:v>
      </x:c>
      <x:c r="G2306" t="str">
        <x:v>High</x:v>
      </x:c>
      <x:c r="H2306" t="str">
        <x:v>required_fields</x:v>
      </x:c>
      <x:c r="I2306" t="str">
        <x:v>Дополнить обязательные поля в источнике</x:v>
      </x:c>
      <x:c r="J2306" t="n">
        <x:f>IF(D2306=1,K2306,0)</x:f>
        <x:v>0</x:v>
      </x:c>
      <x:c r="K2306" t="n">
        <x:f>D2306+K2305</x:f>
        <x:v>25</x:v>
      </x:c>
    </x:row>
    <x:row r="2307">
      <x:c r="A2307" t="str">
        <x:v>Payment</x:v>
      </x:c>
      <x:c r="B2307" t="str">
        <x:f>'04_checks'!B331</x:f>
        <x:v>P084</x:v>
      </x:c>
      <x:c r="C2307" t="n">
        <x:v>85</x:v>
      </x:c>
      <x:c r="D2307" t="n">
        <x:f>IF('04_checks'!E331="ERROR",1,0)</x:f>
        <x:v>0</x:v>
      </x:c>
      <x:c r="E2307" t="str">
        <x:v>Payment:85:3</x:v>
      </x:c>
      <x:c r="F2307" t="str">
        <x:f>IF(COUNTIF('01_orders_raw'!$A$2:$A$181,'03_payments_raw'!B85)&gt;1,"Неоднозначная связь","Нет связи")</x:f>
        <x:v>Нет связи</x:v>
      </x:c>
      <x:c r="G2307" t="str">
        <x:v>High</x:v>
      </x:c>
      <x:c r="H2307" t="str">
        <x:v>order_id</x:v>
      </x:c>
      <x:c r="I2307" t="str">
        <x:v>Исправить ссылку или разрешить дубли связанного ID</x:v>
      </x:c>
      <x:c r="J2307" t="n">
        <x:f>IF(D2307=1,K2307,0)</x:f>
        <x:v>0</x:v>
      </x:c>
      <x:c r="K2307" t="n">
        <x:f>D2307+K2306</x:f>
        <x:v>25</x:v>
      </x:c>
    </x:row>
    <x:row r="2308">
      <x:c r="A2308" t="str">
        <x:v>Payment</x:v>
      </x:c>
      <x:c r="B2308" t="str">
        <x:f>'04_checks'!B331</x:f>
        <x:v>P084</x:v>
      </x:c>
      <x:c r="C2308" t="n">
        <x:v>85</x:v>
      </x:c>
      <x:c r="D2308" t="n">
        <x:f>IF('04_checks'!F331="ERROR",1,0)</x:f>
        <x:v>0</x:v>
      </x:c>
      <x:c r="E2308" t="str">
        <x:v>Payment:85:4</x:v>
      </x:c>
      <x:c r="F2308" t="str">
        <x:v>Ошибка расчета</x:v>
      </x:c>
      <x:c r="G2308" t="str">
        <x:v>High</x:v>
      </x:c>
      <x:c r="H2308" t="str">
        <x:v>payment_sum</x:v>
      </x:c>
      <x:c r="I2308" t="str">
        <x:v>Сверить исходные значения и правило расчёта</x:v>
      </x:c>
      <x:c r="J2308" t="n">
        <x:f>IF(D2308=1,K2308,0)</x:f>
        <x:v>0</x:v>
      </x:c>
      <x:c r="K2308" t="n">
        <x:f>D2308+K2307</x:f>
        <x:v>25</x:v>
      </x:c>
    </x:row>
    <x:row r="2309">
      <x:c r="A2309" t="str">
        <x:v>Payment</x:v>
      </x:c>
      <x:c r="B2309" t="str">
        <x:f>'04_checks'!B331</x:f>
        <x:v>P084</x:v>
      </x:c>
      <x:c r="C2309" t="n">
        <x:v>85</x:v>
      </x:c>
      <x:c r="D2309" t="n">
        <x:f>IF('04_checks'!G331="ERROR",1,0)</x:f>
        <x:v>0</x:v>
      </x:c>
      <x:c r="E2309" t="str">
        <x:v>Payment:85:5</x:v>
      </x:c>
      <x:c r="F2309" t="str">
        <x:v>Отрицательная цена</x:v>
      </x:c>
      <x:c r="G2309" t="str">
        <x:v>High</x:v>
      </x:c>
      <x:c r="H2309" t="str">
        <x:v>N/A</x:v>
      </x:c>
      <x:c r="I2309" t="str">
        <x:v>Проверить цену в источнике</x:v>
      </x:c>
      <x:c r="J2309" t="n">
        <x:f>IF(D2309=1,K2309,0)</x:f>
        <x:v>0</x:v>
      </x:c>
      <x:c r="K2309" t="n">
        <x:f>D2309+K2308</x:f>
        <x:v>25</x:v>
      </x:c>
    </x:row>
    <x:row r="2310">
      <x:c r="A2310" t="str">
        <x:v>Payment</x:v>
      </x:c>
      <x:c r="B2310" t="str">
        <x:f>'04_checks'!B331</x:f>
        <x:v>P084</x:v>
      </x:c>
      <x:c r="C2310" t="n">
        <x:v>85</x:v>
      </x:c>
      <x:c r="D2310" t="n">
        <x:f>IF('04_checks'!H331="ERROR",1,0)</x:f>
        <x:v>0</x:v>
      </x:c>
      <x:c r="E2310" t="str">
        <x:v>Payment:85:6</x:v>
      </x:c>
      <x:c r="F2310" t="str">
        <x:v>Дата</x:v>
      </x:c>
      <x:c r="G2310" t="str">
        <x:v>Medium</x:v>
      </x:c>
      <x:c r="H2310" t="str">
        <x:v>payment_date</x:v>
      </x:c>
      <x:c r="I2310" t="str">
        <x:v>Сверить дату со срезом и исходной записью</x:v>
      </x:c>
      <x:c r="J2310" t="n">
        <x:f>IF(D2310=1,K2310,0)</x:f>
        <x:v>0</x:v>
      </x:c>
      <x:c r="K2310" t="n">
        <x:f>D2310+K2309</x:f>
        <x:v>25</x:v>
      </x:c>
    </x:row>
    <x:row r="2311">
      <x:c r="A2311" t="str">
        <x:v>Payment</x:v>
      </x:c>
      <x:c r="B2311" t="str">
        <x:f>'04_checks'!B331</x:f>
        <x:v>P084</x:v>
      </x:c>
      <x:c r="C2311" t="n">
        <x:v>85</x:v>
      </x:c>
      <x:c r="D2311" t="n">
        <x:f>IF('04_checks'!I331="ERROR",1,0)</x:f>
        <x:v>0</x:v>
      </x:c>
      <x:c r="E2311" t="str">
        <x:v>Payment:85:7</x:v>
      </x:c>
      <x:c r="F2311" t="str">
        <x:v>Статус</x:v>
      </x:c>
      <x:c r="G2311" t="str">
        <x:v>Medium</x:v>
      </x:c>
      <x:c r="H2311" t="str">
        <x:v>payment_status</x:v>
      </x:c>
      <x:c r="I2311" t="str">
        <x:v>Выбрать допустимый статус</x:v>
      </x:c>
      <x:c r="J2311" t="n">
        <x:f>IF(D2311=1,K2311,0)</x:f>
        <x:v>0</x:v>
      </x:c>
      <x:c r="K2311" t="n">
        <x:f>D2311+K2310</x:f>
        <x:v>25</x:v>
      </x:c>
    </x:row>
    <x:row r="2312">
      <x:c r="A2312" t="str">
        <x:v>Payment</x:v>
      </x:c>
      <x:c r="B2312" t="str">
        <x:f>'04_checks'!B332</x:f>
        <x:v>P085</x:v>
      </x:c>
      <x:c r="C2312" t="n">
        <x:v>86</x:v>
      </x:c>
      <x:c r="D2312" t="n">
        <x:f>IF('04_checks'!C332="ERROR",1,0)</x:f>
        <x:v>0</x:v>
      </x:c>
      <x:c r="E2312" t="str">
        <x:v>Payment:86:1</x:v>
      </x:c>
      <x:c r="F2312" t="str">
        <x:v>Дубль</x:v>
      </x:c>
      <x:c r="G2312" t="str">
        <x:v>High</x:v>
      </x:c>
      <x:c r="H2312" t="str">
        <x:v>payment_id</x:v>
      </x:c>
      <x:c r="I2312" t="str">
        <x:v>Проверить уникальность ID в источнике; не удалять записи автоматически</x:v>
      </x:c>
      <x:c r="J2312" t="n">
        <x:f>IF(D2312=1,K2312,0)</x:f>
        <x:v>0</x:v>
      </x:c>
      <x:c r="K2312" t="n">
        <x:f>D2312+K2311</x:f>
        <x:v>25</x:v>
      </x:c>
    </x:row>
    <x:row r="2313">
      <x:c r="A2313" t="str">
        <x:v>Payment</x:v>
      </x:c>
      <x:c r="B2313" t="str">
        <x:f>'04_checks'!B332</x:f>
        <x:v>P085</x:v>
      </x:c>
      <x:c r="C2313" t="n">
        <x:v>86</x:v>
      </x:c>
      <x:c r="D2313" t="n">
        <x:f>IF('04_checks'!D332="ERROR",1,0)</x:f>
        <x:v>0</x:v>
      </x:c>
      <x:c r="E2313" t="str">
        <x:v>Payment:86:2</x:v>
      </x:c>
      <x:c r="F2313" t="str">
        <x:v>Пустое поле</x:v>
      </x:c>
      <x:c r="G2313" t="str">
        <x:v>High</x:v>
      </x:c>
      <x:c r="H2313" t="str">
        <x:v>required_fields</x:v>
      </x:c>
      <x:c r="I2313" t="str">
        <x:v>Дополнить обязательные поля в источнике</x:v>
      </x:c>
      <x:c r="J2313" t="n">
        <x:f>IF(D2313=1,K2313,0)</x:f>
        <x:v>0</x:v>
      </x:c>
      <x:c r="K2313" t="n">
        <x:f>D2313+K2312</x:f>
        <x:v>25</x:v>
      </x:c>
    </x:row>
    <x:row r="2314">
      <x:c r="A2314" t="str">
        <x:v>Payment</x:v>
      </x:c>
      <x:c r="B2314" t="str">
        <x:f>'04_checks'!B332</x:f>
        <x:v>P085</x:v>
      </x:c>
      <x:c r="C2314" t="n">
        <x:v>86</x:v>
      </x:c>
      <x:c r="D2314" t="n">
        <x:f>IF('04_checks'!E332="ERROR",1,0)</x:f>
        <x:v>0</x:v>
      </x:c>
      <x:c r="E2314" t="str">
        <x:v>Payment:86:3</x:v>
      </x:c>
      <x:c r="F2314" t="str">
        <x:f>IF(COUNTIF('01_orders_raw'!$A$2:$A$181,'03_payments_raw'!B86)&gt;1,"Неоднозначная связь","Нет связи")</x:f>
        <x:v>Нет связи</x:v>
      </x:c>
      <x:c r="G2314" t="str">
        <x:v>High</x:v>
      </x:c>
      <x:c r="H2314" t="str">
        <x:v>order_id</x:v>
      </x:c>
      <x:c r="I2314" t="str">
        <x:v>Исправить ссылку или разрешить дубли связанного ID</x:v>
      </x:c>
      <x:c r="J2314" t="n">
        <x:f>IF(D2314=1,K2314,0)</x:f>
        <x:v>0</x:v>
      </x:c>
      <x:c r="K2314" t="n">
        <x:f>D2314+K2313</x:f>
        <x:v>25</x:v>
      </x:c>
    </x:row>
    <x:row r="2315">
      <x:c r="A2315" t="str">
        <x:v>Payment</x:v>
      </x:c>
      <x:c r="B2315" t="str">
        <x:f>'04_checks'!B332</x:f>
        <x:v>P085</x:v>
      </x:c>
      <x:c r="C2315" t="n">
        <x:v>86</x:v>
      </x:c>
      <x:c r="D2315" t="n">
        <x:f>IF('04_checks'!F332="ERROR",1,0)</x:f>
        <x:v>0</x:v>
      </x:c>
      <x:c r="E2315" t="str">
        <x:v>Payment:86:4</x:v>
      </x:c>
      <x:c r="F2315" t="str">
        <x:v>Ошибка расчета</x:v>
      </x:c>
      <x:c r="G2315" t="str">
        <x:v>High</x:v>
      </x:c>
      <x:c r="H2315" t="str">
        <x:v>payment_sum</x:v>
      </x:c>
      <x:c r="I2315" t="str">
        <x:v>Сверить исходные значения и правило расчёта</x:v>
      </x:c>
      <x:c r="J2315" t="n">
        <x:f>IF(D2315=1,K2315,0)</x:f>
        <x:v>0</x:v>
      </x:c>
      <x:c r="K2315" t="n">
        <x:f>D2315+K2314</x:f>
        <x:v>25</x:v>
      </x:c>
    </x:row>
    <x:row r="2316">
      <x:c r="A2316" t="str">
        <x:v>Payment</x:v>
      </x:c>
      <x:c r="B2316" t="str">
        <x:f>'04_checks'!B332</x:f>
        <x:v>P085</x:v>
      </x:c>
      <x:c r="C2316" t="n">
        <x:v>86</x:v>
      </x:c>
      <x:c r="D2316" t="n">
        <x:f>IF('04_checks'!G332="ERROR",1,0)</x:f>
        <x:v>0</x:v>
      </x:c>
      <x:c r="E2316" t="str">
        <x:v>Payment:86:5</x:v>
      </x:c>
      <x:c r="F2316" t="str">
        <x:v>Отрицательная цена</x:v>
      </x:c>
      <x:c r="G2316" t="str">
        <x:v>High</x:v>
      </x:c>
      <x:c r="H2316" t="str">
        <x:v>N/A</x:v>
      </x:c>
      <x:c r="I2316" t="str">
        <x:v>Проверить цену в источнике</x:v>
      </x:c>
      <x:c r="J2316" t="n">
        <x:f>IF(D2316=1,K2316,0)</x:f>
        <x:v>0</x:v>
      </x:c>
      <x:c r="K2316" t="n">
        <x:f>D2316+K2315</x:f>
        <x:v>25</x:v>
      </x:c>
    </x:row>
    <x:row r="2317">
      <x:c r="A2317" t="str">
        <x:v>Payment</x:v>
      </x:c>
      <x:c r="B2317" t="str">
        <x:f>'04_checks'!B332</x:f>
        <x:v>P085</x:v>
      </x:c>
      <x:c r="C2317" t="n">
        <x:v>86</x:v>
      </x:c>
      <x:c r="D2317" t="n">
        <x:f>IF('04_checks'!H332="ERROR",1,0)</x:f>
        <x:v>0</x:v>
      </x:c>
      <x:c r="E2317" t="str">
        <x:v>Payment:86:6</x:v>
      </x:c>
      <x:c r="F2317" t="str">
        <x:v>Дата</x:v>
      </x:c>
      <x:c r="G2317" t="str">
        <x:v>Medium</x:v>
      </x:c>
      <x:c r="H2317" t="str">
        <x:v>payment_date</x:v>
      </x:c>
      <x:c r="I2317" t="str">
        <x:v>Сверить дату со срезом и исходной записью</x:v>
      </x:c>
      <x:c r="J2317" t="n">
        <x:f>IF(D2317=1,K2317,0)</x:f>
        <x:v>0</x:v>
      </x:c>
      <x:c r="K2317" t="n">
        <x:f>D2317+K2316</x:f>
        <x:v>25</x:v>
      </x:c>
    </x:row>
    <x:row r="2318">
      <x:c r="A2318" t="str">
        <x:v>Payment</x:v>
      </x:c>
      <x:c r="B2318" t="str">
        <x:f>'04_checks'!B332</x:f>
        <x:v>P085</x:v>
      </x:c>
      <x:c r="C2318" t="n">
        <x:v>86</x:v>
      </x:c>
      <x:c r="D2318" t="n">
        <x:f>IF('04_checks'!I332="ERROR",1,0)</x:f>
        <x:v>0</x:v>
      </x:c>
      <x:c r="E2318" t="str">
        <x:v>Payment:86:7</x:v>
      </x:c>
      <x:c r="F2318" t="str">
        <x:v>Статус</x:v>
      </x:c>
      <x:c r="G2318" t="str">
        <x:v>Medium</x:v>
      </x:c>
      <x:c r="H2318" t="str">
        <x:v>payment_status</x:v>
      </x:c>
      <x:c r="I2318" t="str">
        <x:v>Выбрать допустимый статус</x:v>
      </x:c>
      <x:c r="J2318" t="n">
        <x:f>IF(D2318=1,K2318,0)</x:f>
        <x:v>0</x:v>
      </x:c>
      <x:c r="K2318" t="n">
        <x:f>D2318+K2317</x:f>
        <x:v>25</x:v>
      </x:c>
    </x:row>
    <x:row r="2319">
      <x:c r="A2319" t="str">
        <x:v>Payment</x:v>
      </x:c>
      <x:c r="B2319" t="str">
        <x:f>'04_checks'!B333</x:f>
        <x:v>P086</x:v>
      </x:c>
      <x:c r="C2319" t="n">
        <x:v>87</x:v>
      </x:c>
      <x:c r="D2319" t="n">
        <x:f>IF('04_checks'!C333="ERROR",1,0)</x:f>
        <x:v>0</x:v>
      </x:c>
      <x:c r="E2319" t="str">
        <x:v>Payment:87:1</x:v>
      </x:c>
      <x:c r="F2319" t="str">
        <x:v>Дубль</x:v>
      </x:c>
      <x:c r="G2319" t="str">
        <x:v>High</x:v>
      </x:c>
      <x:c r="H2319" t="str">
        <x:v>payment_id</x:v>
      </x:c>
      <x:c r="I2319" t="str">
        <x:v>Проверить уникальность ID в источнике; не удалять записи автоматически</x:v>
      </x:c>
      <x:c r="J2319" t="n">
        <x:f>IF(D2319=1,K2319,0)</x:f>
        <x:v>0</x:v>
      </x:c>
      <x:c r="K2319" t="n">
        <x:f>D2319+K2318</x:f>
        <x:v>25</x:v>
      </x:c>
    </x:row>
    <x:row r="2320">
      <x:c r="A2320" t="str">
        <x:v>Payment</x:v>
      </x:c>
      <x:c r="B2320" t="str">
        <x:f>'04_checks'!B333</x:f>
        <x:v>P086</x:v>
      </x:c>
      <x:c r="C2320" t="n">
        <x:v>87</x:v>
      </x:c>
      <x:c r="D2320" t="n">
        <x:f>IF('04_checks'!D333="ERROR",1,0)</x:f>
        <x:v>0</x:v>
      </x:c>
      <x:c r="E2320" t="str">
        <x:v>Payment:87:2</x:v>
      </x:c>
      <x:c r="F2320" t="str">
        <x:v>Пустое поле</x:v>
      </x:c>
      <x:c r="G2320" t="str">
        <x:v>High</x:v>
      </x:c>
      <x:c r="H2320" t="str">
        <x:v>required_fields</x:v>
      </x:c>
      <x:c r="I2320" t="str">
        <x:v>Дополнить обязательные поля в источнике</x:v>
      </x:c>
      <x:c r="J2320" t="n">
        <x:f>IF(D2320=1,K2320,0)</x:f>
        <x:v>0</x:v>
      </x:c>
      <x:c r="K2320" t="n">
        <x:f>D2320+K2319</x:f>
        <x:v>25</x:v>
      </x:c>
    </x:row>
    <x:row r="2321">
      <x:c r="A2321" t="str">
        <x:v>Payment</x:v>
      </x:c>
      <x:c r="B2321" t="str">
        <x:f>'04_checks'!B333</x:f>
        <x:v>P086</x:v>
      </x:c>
      <x:c r="C2321" t="n">
        <x:v>87</x:v>
      </x:c>
      <x:c r="D2321" t="n">
        <x:f>IF('04_checks'!E333="ERROR",1,0)</x:f>
        <x:v>0</x:v>
      </x:c>
      <x:c r="E2321" t="str">
        <x:v>Payment:87:3</x:v>
      </x:c>
      <x:c r="F2321" t="str">
        <x:f>IF(COUNTIF('01_orders_raw'!$A$2:$A$181,'03_payments_raw'!B87)&gt;1,"Неоднозначная связь","Нет связи")</x:f>
        <x:v>Нет связи</x:v>
      </x:c>
      <x:c r="G2321" t="str">
        <x:v>High</x:v>
      </x:c>
      <x:c r="H2321" t="str">
        <x:v>order_id</x:v>
      </x:c>
      <x:c r="I2321" t="str">
        <x:v>Исправить ссылку или разрешить дубли связанного ID</x:v>
      </x:c>
      <x:c r="J2321" t="n">
        <x:f>IF(D2321=1,K2321,0)</x:f>
        <x:v>0</x:v>
      </x:c>
      <x:c r="K2321" t="n">
        <x:f>D2321+K2320</x:f>
        <x:v>25</x:v>
      </x:c>
    </x:row>
    <x:row r="2322">
      <x:c r="A2322" t="str">
        <x:v>Payment</x:v>
      </x:c>
      <x:c r="B2322" t="str">
        <x:f>'04_checks'!B333</x:f>
        <x:v>P086</x:v>
      </x:c>
      <x:c r="C2322" t="n">
        <x:v>87</x:v>
      </x:c>
      <x:c r="D2322" t="n">
        <x:f>IF('04_checks'!F333="ERROR",1,0)</x:f>
        <x:v>0</x:v>
      </x:c>
      <x:c r="E2322" t="str">
        <x:v>Payment:87:4</x:v>
      </x:c>
      <x:c r="F2322" t="str">
        <x:v>Ошибка расчета</x:v>
      </x:c>
      <x:c r="G2322" t="str">
        <x:v>High</x:v>
      </x:c>
      <x:c r="H2322" t="str">
        <x:v>payment_sum</x:v>
      </x:c>
      <x:c r="I2322" t="str">
        <x:v>Сверить исходные значения и правило расчёта</x:v>
      </x:c>
      <x:c r="J2322" t="n">
        <x:f>IF(D2322=1,K2322,0)</x:f>
        <x:v>0</x:v>
      </x:c>
      <x:c r="K2322" t="n">
        <x:f>D2322+K2321</x:f>
        <x:v>25</x:v>
      </x:c>
    </x:row>
    <x:row r="2323">
      <x:c r="A2323" t="str">
        <x:v>Payment</x:v>
      </x:c>
      <x:c r="B2323" t="str">
        <x:f>'04_checks'!B333</x:f>
        <x:v>P086</x:v>
      </x:c>
      <x:c r="C2323" t="n">
        <x:v>87</x:v>
      </x:c>
      <x:c r="D2323" t="n">
        <x:f>IF('04_checks'!G333="ERROR",1,0)</x:f>
        <x:v>0</x:v>
      </x:c>
      <x:c r="E2323" t="str">
        <x:v>Payment:87:5</x:v>
      </x:c>
      <x:c r="F2323" t="str">
        <x:v>Отрицательная цена</x:v>
      </x:c>
      <x:c r="G2323" t="str">
        <x:v>High</x:v>
      </x:c>
      <x:c r="H2323" t="str">
        <x:v>N/A</x:v>
      </x:c>
      <x:c r="I2323" t="str">
        <x:v>Проверить цену в источнике</x:v>
      </x:c>
      <x:c r="J2323" t="n">
        <x:f>IF(D2323=1,K2323,0)</x:f>
        <x:v>0</x:v>
      </x:c>
      <x:c r="K2323" t="n">
        <x:f>D2323+K2322</x:f>
        <x:v>25</x:v>
      </x:c>
    </x:row>
    <x:row r="2324">
      <x:c r="A2324" t="str">
        <x:v>Payment</x:v>
      </x:c>
      <x:c r="B2324" t="str">
        <x:f>'04_checks'!B333</x:f>
        <x:v>P086</x:v>
      </x:c>
      <x:c r="C2324" t="n">
        <x:v>87</x:v>
      </x:c>
      <x:c r="D2324" t="n">
        <x:f>IF('04_checks'!H333="ERROR",1,0)</x:f>
        <x:v>0</x:v>
      </x:c>
      <x:c r="E2324" t="str">
        <x:v>Payment:87:6</x:v>
      </x:c>
      <x:c r="F2324" t="str">
        <x:v>Дата</x:v>
      </x:c>
      <x:c r="G2324" t="str">
        <x:v>Medium</x:v>
      </x:c>
      <x:c r="H2324" t="str">
        <x:v>payment_date</x:v>
      </x:c>
      <x:c r="I2324" t="str">
        <x:v>Сверить дату со срезом и исходной записью</x:v>
      </x:c>
      <x:c r="J2324" t="n">
        <x:f>IF(D2324=1,K2324,0)</x:f>
        <x:v>0</x:v>
      </x:c>
      <x:c r="K2324" t="n">
        <x:f>D2324+K2323</x:f>
        <x:v>25</x:v>
      </x:c>
    </x:row>
    <x:row r="2325">
      <x:c r="A2325" t="str">
        <x:v>Payment</x:v>
      </x:c>
      <x:c r="B2325" t="str">
        <x:f>'04_checks'!B333</x:f>
        <x:v>P086</x:v>
      </x:c>
      <x:c r="C2325" t="n">
        <x:v>87</x:v>
      </x:c>
      <x:c r="D2325" t="n">
        <x:f>IF('04_checks'!I333="ERROR",1,0)</x:f>
        <x:v>0</x:v>
      </x:c>
      <x:c r="E2325" t="str">
        <x:v>Payment:87:7</x:v>
      </x:c>
      <x:c r="F2325" t="str">
        <x:v>Статус</x:v>
      </x:c>
      <x:c r="G2325" t="str">
        <x:v>Medium</x:v>
      </x:c>
      <x:c r="H2325" t="str">
        <x:v>payment_status</x:v>
      </x:c>
      <x:c r="I2325" t="str">
        <x:v>Выбрать допустимый статус</x:v>
      </x:c>
      <x:c r="J2325" t="n">
        <x:f>IF(D2325=1,K2325,0)</x:f>
        <x:v>0</x:v>
      </x:c>
      <x:c r="K2325" t="n">
        <x:f>D2325+K2324</x:f>
        <x:v>25</x:v>
      </x:c>
    </x:row>
    <x:row r="2326">
      <x:c r="A2326" t="str">
        <x:v>Payment</x:v>
      </x:c>
      <x:c r="B2326" t="str">
        <x:f>'04_checks'!B334</x:f>
        <x:v>P087</x:v>
      </x:c>
      <x:c r="C2326" t="n">
        <x:v>88</x:v>
      </x:c>
      <x:c r="D2326" t="n">
        <x:f>IF('04_checks'!C334="ERROR",1,0)</x:f>
        <x:v>0</x:v>
      </x:c>
      <x:c r="E2326" t="str">
        <x:v>Payment:88:1</x:v>
      </x:c>
      <x:c r="F2326" t="str">
        <x:v>Дубль</x:v>
      </x:c>
      <x:c r="G2326" t="str">
        <x:v>High</x:v>
      </x:c>
      <x:c r="H2326" t="str">
        <x:v>payment_id</x:v>
      </x:c>
      <x:c r="I2326" t="str">
        <x:v>Проверить уникальность ID в источнике; не удалять записи автоматически</x:v>
      </x:c>
      <x:c r="J2326" t="n">
        <x:f>IF(D2326=1,K2326,0)</x:f>
        <x:v>0</x:v>
      </x:c>
      <x:c r="K2326" t="n">
        <x:f>D2326+K2325</x:f>
        <x:v>25</x:v>
      </x:c>
    </x:row>
    <x:row r="2327">
      <x:c r="A2327" t="str">
        <x:v>Payment</x:v>
      </x:c>
      <x:c r="B2327" t="str">
        <x:f>'04_checks'!B334</x:f>
        <x:v>P087</x:v>
      </x:c>
      <x:c r="C2327" t="n">
        <x:v>88</x:v>
      </x:c>
      <x:c r="D2327" t="n">
        <x:f>IF('04_checks'!D334="ERROR",1,0)</x:f>
        <x:v>0</x:v>
      </x:c>
      <x:c r="E2327" t="str">
        <x:v>Payment:88:2</x:v>
      </x:c>
      <x:c r="F2327" t="str">
        <x:v>Пустое поле</x:v>
      </x:c>
      <x:c r="G2327" t="str">
        <x:v>High</x:v>
      </x:c>
      <x:c r="H2327" t="str">
        <x:v>required_fields</x:v>
      </x:c>
      <x:c r="I2327" t="str">
        <x:v>Дополнить обязательные поля в источнике</x:v>
      </x:c>
      <x:c r="J2327" t="n">
        <x:f>IF(D2327=1,K2327,0)</x:f>
        <x:v>0</x:v>
      </x:c>
      <x:c r="K2327" t="n">
        <x:f>D2327+K2326</x:f>
        <x:v>25</x:v>
      </x:c>
    </x:row>
    <x:row r="2328">
      <x:c r="A2328" t="str">
        <x:v>Payment</x:v>
      </x:c>
      <x:c r="B2328" t="str">
        <x:f>'04_checks'!B334</x:f>
        <x:v>P087</x:v>
      </x:c>
      <x:c r="C2328" t="n">
        <x:v>88</x:v>
      </x:c>
      <x:c r="D2328" t="n">
        <x:f>IF('04_checks'!E334="ERROR",1,0)</x:f>
        <x:v>0</x:v>
      </x:c>
      <x:c r="E2328" t="str">
        <x:v>Payment:88:3</x:v>
      </x:c>
      <x:c r="F2328" t="str">
        <x:f>IF(COUNTIF('01_orders_raw'!$A$2:$A$181,'03_payments_raw'!B88)&gt;1,"Неоднозначная связь","Нет связи")</x:f>
        <x:v>Нет связи</x:v>
      </x:c>
      <x:c r="G2328" t="str">
        <x:v>High</x:v>
      </x:c>
      <x:c r="H2328" t="str">
        <x:v>order_id</x:v>
      </x:c>
      <x:c r="I2328" t="str">
        <x:v>Исправить ссылку или разрешить дубли связанного ID</x:v>
      </x:c>
      <x:c r="J2328" t="n">
        <x:f>IF(D2328=1,K2328,0)</x:f>
        <x:v>0</x:v>
      </x:c>
      <x:c r="K2328" t="n">
        <x:f>D2328+K2327</x:f>
        <x:v>25</x:v>
      </x:c>
    </x:row>
    <x:row r="2329">
      <x:c r="A2329" t="str">
        <x:v>Payment</x:v>
      </x:c>
      <x:c r="B2329" t="str">
        <x:f>'04_checks'!B334</x:f>
        <x:v>P087</x:v>
      </x:c>
      <x:c r="C2329" t="n">
        <x:v>88</x:v>
      </x:c>
      <x:c r="D2329" t="n">
        <x:f>IF('04_checks'!F334="ERROR",1,0)</x:f>
        <x:v>0</x:v>
      </x:c>
      <x:c r="E2329" t="str">
        <x:v>Payment:88:4</x:v>
      </x:c>
      <x:c r="F2329" t="str">
        <x:v>Ошибка расчета</x:v>
      </x:c>
      <x:c r="G2329" t="str">
        <x:v>High</x:v>
      </x:c>
      <x:c r="H2329" t="str">
        <x:v>payment_sum</x:v>
      </x:c>
      <x:c r="I2329" t="str">
        <x:v>Сверить исходные значения и правило расчёта</x:v>
      </x:c>
      <x:c r="J2329" t="n">
        <x:f>IF(D2329=1,K2329,0)</x:f>
        <x:v>0</x:v>
      </x:c>
      <x:c r="K2329" t="n">
        <x:f>D2329+K2328</x:f>
        <x:v>25</x:v>
      </x:c>
    </x:row>
    <x:row r="2330">
      <x:c r="A2330" t="str">
        <x:v>Payment</x:v>
      </x:c>
      <x:c r="B2330" t="str">
        <x:f>'04_checks'!B334</x:f>
        <x:v>P087</x:v>
      </x:c>
      <x:c r="C2330" t="n">
        <x:v>88</x:v>
      </x:c>
      <x:c r="D2330" t="n">
        <x:f>IF('04_checks'!G334="ERROR",1,0)</x:f>
        <x:v>0</x:v>
      </x:c>
      <x:c r="E2330" t="str">
        <x:v>Payment:88:5</x:v>
      </x:c>
      <x:c r="F2330" t="str">
        <x:v>Отрицательная цена</x:v>
      </x:c>
      <x:c r="G2330" t="str">
        <x:v>High</x:v>
      </x:c>
      <x:c r="H2330" t="str">
        <x:v>N/A</x:v>
      </x:c>
      <x:c r="I2330" t="str">
        <x:v>Проверить цену в источнике</x:v>
      </x:c>
      <x:c r="J2330" t="n">
        <x:f>IF(D2330=1,K2330,0)</x:f>
        <x:v>0</x:v>
      </x:c>
      <x:c r="K2330" t="n">
        <x:f>D2330+K2329</x:f>
        <x:v>25</x:v>
      </x:c>
    </x:row>
    <x:row r="2331">
      <x:c r="A2331" t="str">
        <x:v>Payment</x:v>
      </x:c>
      <x:c r="B2331" t="str">
        <x:f>'04_checks'!B334</x:f>
        <x:v>P087</x:v>
      </x:c>
      <x:c r="C2331" t="n">
        <x:v>88</x:v>
      </x:c>
      <x:c r="D2331" t="n">
        <x:f>IF('04_checks'!H334="ERROR",1,0)</x:f>
        <x:v>0</x:v>
      </x:c>
      <x:c r="E2331" t="str">
        <x:v>Payment:88:6</x:v>
      </x:c>
      <x:c r="F2331" t="str">
        <x:v>Дата</x:v>
      </x:c>
      <x:c r="G2331" t="str">
        <x:v>Medium</x:v>
      </x:c>
      <x:c r="H2331" t="str">
        <x:v>payment_date</x:v>
      </x:c>
      <x:c r="I2331" t="str">
        <x:v>Сверить дату со срезом и исходной записью</x:v>
      </x:c>
      <x:c r="J2331" t="n">
        <x:f>IF(D2331=1,K2331,0)</x:f>
        <x:v>0</x:v>
      </x:c>
      <x:c r="K2331" t="n">
        <x:f>D2331+K2330</x:f>
        <x:v>25</x:v>
      </x:c>
    </x:row>
    <x:row r="2332">
      <x:c r="A2332" t="str">
        <x:v>Payment</x:v>
      </x:c>
      <x:c r="B2332" t="str">
        <x:f>'04_checks'!B334</x:f>
        <x:v>P087</x:v>
      </x:c>
      <x:c r="C2332" t="n">
        <x:v>88</x:v>
      </x:c>
      <x:c r="D2332" t="n">
        <x:f>IF('04_checks'!I334="ERROR",1,0)</x:f>
        <x:v>0</x:v>
      </x:c>
      <x:c r="E2332" t="str">
        <x:v>Payment:88:7</x:v>
      </x:c>
      <x:c r="F2332" t="str">
        <x:v>Статус</x:v>
      </x:c>
      <x:c r="G2332" t="str">
        <x:v>Medium</x:v>
      </x:c>
      <x:c r="H2332" t="str">
        <x:v>payment_status</x:v>
      </x:c>
      <x:c r="I2332" t="str">
        <x:v>Выбрать допустимый статус</x:v>
      </x:c>
      <x:c r="J2332" t="n">
        <x:f>IF(D2332=1,K2332,0)</x:f>
        <x:v>0</x:v>
      </x:c>
      <x:c r="K2332" t="n">
        <x:f>D2332+K2331</x:f>
        <x:v>25</x:v>
      </x:c>
    </x:row>
    <x:row r="2333">
      <x:c r="A2333" t="str">
        <x:v>Payment</x:v>
      </x:c>
      <x:c r="B2333" t="str">
        <x:f>'04_checks'!B335</x:f>
        <x:v>P088</x:v>
      </x:c>
      <x:c r="C2333" t="n">
        <x:v>89</x:v>
      </x:c>
      <x:c r="D2333" t="n">
        <x:f>IF('04_checks'!C335="ERROR",1,0)</x:f>
        <x:v>0</x:v>
      </x:c>
      <x:c r="E2333" t="str">
        <x:v>Payment:89:1</x:v>
      </x:c>
      <x:c r="F2333" t="str">
        <x:v>Дубль</x:v>
      </x:c>
      <x:c r="G2333" t="str">
        <x:v>High</x:v>
      </x:c>
      <x:c r="H2333" t="str">
        <x:v>payment_id</x:v>
      </x:c>
      <x:c r="I2333" t="str">
        <x:v>Проверить уникальность ID в источнике; не удалять записи автоматически</x:v>
      </x:c>
      <x:c r="J2333" t="n">
        <x:f>IF(D2333=1,K2333,0)</x:f>
        <x:v>0</x:v>
      </x:c>
      <x:c r="K2333" t="n">
        <x:f>D2333+K2332</x:f>
        <x:v>25</x:v>
      </x:c>
    </x:row>
    <x:row r="2334">
      <x:c r="A2334" t="str">
        <x:v>Payment</x:v>
      </x:c>
      <x:c r="B2334" t="str">
        <x:f>'04_checks'!B335</x:f>
        <x:v>P088</x:v>
      </x:c>
      <x:c r="C2334" t="n">
        <x:v>89</x:v>
      </x:c>
      <x:c r="D2334" t="n">
        <x:f>IF('04_checks'!D335="ERROR",1,0)</x:f>
        <x:v>0</x:v>
      </x:c>
      <x:c r="E2334" t="str">
        <x:v>Payment:89:2</x:v>
      </x:c>
      <x:c r="F2334" t="str">
        <x:v>Пустое поле</x:v>
      </x:c>
      <x:c r="G2334" t="str">
        <x:v>High</x:v>
      </x:c>
      <x:c r="H2334" t="str">
        <x:v>required_fields</x:v>
      </x:c>
      <x:c r="I2334" t="str">
        <x:v>Дополнить обязательные поля в источнике</x:v>
      </x:c>
      <x:c r="J2334" t="n">
        <x:f>IF(D2334=1,K2334,0)</x:f>
        <x:v>0</x:v>
      </x:c>
      <x:c r="K2334" t="n">
        <x:f>D2334+K2333</x:f>
        <x:v>25</x:v>
      </x:c>
    </x:row>
    <x:row r="2335">
      <x:c r="A2335" t="str">
        <x:v>Payment</x:v>
      </x:c>
      <x:c r="B2335" t="str">
        <x:f>'04_checks'!B335</x:f>
        <x:v>P088</x:v>
      </x:c>
      <x:c r="C2335" t="n">
        <x:v>89</x:v>
      </x:c>
      <x:c r="D2335" t="n">
        <x:f>IF('04_checks'!E335="ERROR",1,0)</x:f>
        <x:v>0</x:v>
      </x:c>
      <x:c r="E2335" t="str">
        <x:v>Payment:89:3</x:v>
      </x:c>
      <x:c r="F2335" t="str">
        <x:f>IF(COUNTIF('01_orders_raw'!$A$2:$A$181,'03_payments_raw'!B89)&gt;1,"Неоднозначная связь","Нет связи")</x:f>
        <x:v>Нет связи</x:v>
      </x:c>
      <x:c r="G2335" t="str">
        <x:v>High</x:v>
      </x:c>
      <x:c r="H2335" t="str">
        <x:v>order_id</x:v>
      </x:c>
      <x:c r="I2335" t="str">
        <x:v>Исправить ссылку или разрешить дубли связанного ID</x:v>
      </x:c>
      <x:c r="J2335" t="n">
        <x:f>IF(D2335=1,K2335,0)</x:f>
        <x:v>0</x:v>
      </x:c>
      <x:c r="K2335" t="n">
        <x:f>D2335+K2334</x:f>
        <x:v>25</x:v>
      </x:c>
    </x:row>
    <x:row r="2336">
      <x:c r="A2336" t="str">
        <x:v>Payment</x:v>
      </x:c>
      <x:c r="B2336" t="str">
        <x:f>'04_checks'!B335</x:f>
        <x:v>P088</x:v>
      </x:c>
      <x:c r="C2336" t="n">
        <x:v>89</x:v>
      </x:c>
      <x:c r="D2336" t="n">
        <x:f>IF('04_checks'!F335="ERROR",1,0)</x:f>
        <x:v>0</x:v>
      </x:c>
      <x:c r="E2336" t="str">
        <x:v>Payment:89:4</x:v>
      </x:c>
      <x:c r="F2336" t="str">
        <x:v>Ошибка расчета</x:v>
      </x:c>
      <x:c r="G2336" t="str">
        <x:v>High</x:v>
      </x:c>
      <x:c r="H2336" t="str">
        <x:v>payment_sum</x:v>
      </x:c>
      <x:c r="I2336" t="str">
        <x:v>Сверить исходные значения и правило расчёта</x:v>
      </x:c>
      <x:c r="J2336" t="n">
        <x:f>IF(D2336=1,K2336,0)</x:f>
        <x:v>0</x:v>
      </x:c>
      <x:c r="K2336" t="n">
        <x:f>D2336+K2335</x:f>
        <x:v>25</x:v>
      </x:c>
    </x:row>
    <x:row r="2337">
      <x:c r="A2337" t="str">
        <x:v>Payment</x:v>
      </x:c>
      <x:c r="B2337" t="str">
        <x:f>'04_checks'!B335</x:f>
        <x:v>P088</x:v>
      </x:c>
      <x:c r="C2337" t="n">
        <x:v>89</x:v>
      </x:c>
      <x:c r="D2337" t="n">
        <x:f>IF('04_checks'!G335="ERROR",1,0)</x:f>
        <x:v>0</x:v>
      </x:c>
      <x:c r="E2337" t="str">
        <x:v>Payment:89:5</x:v>
      </x:c>
      <x:c r="F2337" t="str">
        <x:v>Отрицательная цена</x:v>
      </x:c>
      <x:c r="G2337" t="str">
        <x:v>High</x:v>
      </x:c>
      <x:c r="H2337" t="str">
        <x:v>N/A</x:v>
      </x:c>
      <x:c r="I2337" t="str">
        <x:v>Проверить цену в источнике</x:v>
      </x:c>
      <x:c r="J2337" t="n">
        <x:f>IF(D2337=1,K2337,0)</x:f>
        <x:v>0</x:v>
      </x:c>
      <x:c r="K2337" t="n">
        <x:f>D2337+K2336</x:f>
        <x:v>25</x:v>
      </x:c>
    </x:row>
    <x:row r="2338">
      <x:c r="A2338" t="str">
        <x:v>Payment</x:v>
      </x:c>
      <x:c r="B2338" t="str">
        <x:f>'04_checks'!B335</x:f>
        <x:v>P088</x:v>
      </x:c>
      <x:c r="C2338" t="n">
        <x:v>89</x:v>
      </x:c>
      <x:c r="D2338" t="n">
        <x:f>IF('04_checks'!H335="ERROR",1,0)</x:f>
        <x:v>0</x:v>
      </x:c>
      <x:c r="E2338" t="str">
        <x:v>Payment:89:6</x:v>
      </x:c>
      <x:c r="F2338" t="str">
        <x:v>Дата</x:v>
      </x:c>
      <x:c r="G2338" t="str">
        <x:v>Medium</x:v>
      </x:c>
      <x:c r="H2338" t="str">
        <x:v>payment_date</x:v>
      </x:c>
      <x:c r="I2338" t="str">
        <x:v>Сверить дату со срезом и исходной записью</x:v>
      </x:c>
      <x:c r="J2338" t="n">
        <x:f>IF(D2338=1,K2338,0)</x:f>
        <x:v>0</x:v>
      </x:c>
      <x:c r="K2338" t="n">
        <x:f>D2338+K2337</x:f>
        <x:v>25</x:v>
      </x:c>
    </x:row>
    <x:row r="2339">
      <x:c r="A2339" t="str">
        <x:v>Payment</x:v>
      </x:c>
      <x:c r="B2339" t="str">
        <x:f>'04_checks'!B335</x:f>
        <x:v>P088</x:v>
      </x:c>
      <x:c r="C2339" t="n">
        <x:v>89</x:v>
      </x:c>
      <x:c r="D2339" t="n">
        <x:f>IF('04_checks'!I335="ERROR",1,0)</x:f>
        <x:v>0</x:v>
      </x:c>
      <x:c r="E2339" t="str">
        <x:v>Payment:89:7</x:v>
      </x:c>
      <x:c r="F2339" t="str">
        <x:v>Статус</x:v>
      </x:c>
      <x:c r="G2339" t="str">
        <x:v>Medium</x:v>
      </x:c>
      <x:c r="H2339" t="str">
        <x:v>payment_status</x:v>
      </x:c>
      <x:c r="I2339" t="str">
        <x:v>Выбрать допустимый статус</x:v>
      </x:c>
      <x:c r="J2339" t="n">
        <x:f>IF(D2339=1,K2339,0)</x:f>
        <x:v>0</x:v>
      </x:c>
      <x:c r="K2339" t="n">
        <x:f>D2339+K2338</x:f>
        <x:v>25</x:v>
      </x:c>
    </x:row>
    <x:row r="2340">
      <x:c r="A2340" t="str">
        <x:v>Payment</x:v>
      </x:c>
      <x:c r="B2340" t="str">
        <x:f>'04_checks'!B336</x:f>
        <x:v>P089</x:v>
      </x:c>
      <x:c r="C2340" t="n">
        <x:v>90</x:v>
      </x:c>
      <x:c r="D2340" t="n">
        <x:f>IF('04_checks'!C336="ERROR",1,0)</x:f>
        <x:v>0</x:v>
      </x:c>
      <x:c r="E2340" t="str">
        <x:v>Payment:90:1</x:v>
      </x:c>
      <x:c r="F2340" t="str">
        <x:v>Дубль</x:v>
      </x:c>
      <x:c r="G2340" t="str">
        <x:v>High</x:v>
      </x:c>
      <x:c r="H2340" t="str">
        <x:v>payment_id</x:v>
      </x:c>
      <x:c r="I2340" t="str">
        <x:v>Проверить уникальность ID в источнике; не удалять записи автоматически</x:v>
      </x:c>
      <x:c r="J2340" t="n">
        <x:f>IF(D2340=1,K2340,0)</x:f>
        <x:v>0</x:v>
      </x:c>
      <x:c r="K2340" t="n">
        <x:f>D2340+K2339</x:f>
        <x:v>25</x:v>
      </x:c>
    </x:row>
    <x:row r="2341">
      <x:c r="A2341" t="str">
        <x:v>Payment</x:v>
      </x:c>
      <x:c r="B2341" t="str">
        <x:f>'04_checks'!B336</x:f>
        <x:v>P089</x:v>
      </x:c>
      <x:c r="C2341" t="n">
        <x:v>90</x:v>
      </x:c>
      <x:c r="D2341" t="n">
        <x:f>IF('04_checks'!D336="ERROR",1,0)</x:f>
        <x:v>0</x:v>
      </x:c>
      <x:c r="E2341" t="str">
        <x:v>Payment:90:2</x:v>
      </x:c>
      <x:c r="F2341" t="str">
        <x:v>Пустое поле</x:v>
      </x:c>
      <x:c r="G2341" t="str">
        <x:v>High</x:v>
      </x:c>
      <x:c r="H2341" t="str">
        <x:v>required_fields</x:v>
      </x:c>
      <x:c r="I2341" t="str">
        <x:v>Дополнить обязательные поля в источнике</x:v>
      </x:c>
      <x:c r="J2341" t="n">
        <x:f>IF(D2341=1,K2341,0)</x:f>
        <x:v>0</x:v>
      </x:c>
      <x:c r="K2341" t="n">
        <x:f>D2341+K2340</x:f>
        <x:v>25</x:v>
      </x:c>
    </x:row>
    <x:row r="2342">
      <x:c r="A2342" t="str">
        <x:v>Payment</x:v>
      </x:c>
      <x:c r="B2342" t="str">
        <x:f>'04_checks'!B336</x:f>
        <x:v>P089</x:v>
      </x:c>
      <x:c r="C2342" t="n">
        <x:v>90</x:v>
      </x:c>
      <x:c r="D2342" t="n">
        <x:f>IF('04_checks'!E336="ERROR",1,0)</x:f>
        <x:v>0</x:v>
      </x:c>
      <x:c r="E2342" t="str">
        <x:v>Payment:90:3</x:v>
      </x:c>
      <x:c r="F2342" t="str">
        <x:f>IF(COUNTIF('01_orders_raw'!$A$2:$A$181,'03_payments_raw'!B90)&gt;1,"Неоднозначная связь","Нет связи")</x:f>
        <x:v>Нет связи</x:v>
      </x:c>
      <x:c r="G2342" t="str">
        <x:v>High</x:v>
      </x:c>
      <x:c r="H2342" t="str">
        <x:v>order_id</x:v>
      </x:c>
      <x:c r="I2342" t="str">
        <x:v>Исправить ссылку или разрешить дубли связанного ID</x:v>
      </x:c>
      <x:c r="J2342" t="n">
        <x:f>IF(D2342=1,K2342,0)</x:f>
        <x:v>0</x:v>
      </x:c>
      <x:c r="K2342" t="n">
        <x:f>D2342+K2341</x:f>
        <x:v>25</x:v>
      </x:c>
    </x:row>
    <x:row r="2343">
      <x:c r="A2343" t="str">
        <x:v>Payment</x:v>
      </x:c>
      <x:c r="B2343" t="str">
        <x:f>'04_checks'!B336</x:f>
        <x:v>P089</x:v>
      </x:c>
      <x:c r="C2343" t="n">
        <x:v>90</x:v>
      </x:c>
      <x:c r="D2343" t="n">
        <x:f>IF('04_checks'!F336="ERROR",1,0)</x:f>
        <x:v>0</x:v>
      </x:c>
      <x:c r="E2343" t="str">
        <x:v>Payment:90:4</x:v>
      </x:c>
      <x:c r="F2343" t="str">
        <x:v>Ошибка расчета</x:v>
      </x:c>
      <x:c r="G2343" t="str">
        <x:v>High</x:v>
      </x:c>
      <x:c r="H2343" t="str">
        <x:v>payment_sum</x:v>
      </x:c>
      <x:c r="I2343" t="str">
        <x:v>Сверить исходные значения и правило расчёта</x:v>
      </x:c>
      <x:c r="J2343" t="n">
        <x:f>IF(D2343=1,K2343,0)</x:f>
        <x:v>0</x:v>
      </x:c>
      <x:c r="K2343" t="n">
        <x:f>D2343+K2342</x:f>
        <x:v>25</x:v>
      </x:c>
    </x:row>
    <x:row r="2344">
      <x:c r="A2344" t="str">
        <x:v>Payment</x:v>
      </x:c>
      <x:c r="B2344" t="str">
        <x:f>'04_checks'!B336</x:f>
        <x:v>P089</x:v>
      </x:c>
      <x:c r="C2344" t="n">
        <x:v>90</x:v>
      </x:c>
      <x:c r="D2344" t="n">
        <x:f>IF('04_checks'!G336="ERROR",1,0)</x:f>
        <x:v>0</x:v>
      </x:c>
      <x:c r="E2344" t="str">
        <x:v>Payment:90:5</x:v>
      </x:c>
      <x:c r="F2344" t="str">
        <x:v>Отрицательная цена</x:v>
      </x:c>
      <x:c r="G2344" t="str">
        <x:v>High</x:v>
      </x:c>
      <x:c r="H2344" t="str">
        <x:v>N/A</x:v>
      </x:c>
      <x:c r="I2344" t="str">
        <x:v>Проверить цену в источнике</x:v>
      </x:c>
      <x:c r="J2344" t="n">
        <x:f>IF(D2344=1,K2344,0)</x:f>
        <x:v>0</x:v>
      </x:c>
      <x:c r="K2344" t="n">
        <x:f>D2344+K2343</x:f>
        <x:v>25</x:v>
      </x:c>
    </x:row>
    <x:row r="2345">
      <x:c r="A2345" t="str">
        <x:v>Payment</x:v>
      </x:c>
      <x:c r="B2345" t="str">
        <x:f>'04_checks'!B336</x:f>
        <x:v>P089</x:v>
      </x:c>
      <x:c r="C2345" t="n">
        <x:v>90</x:v>
      </x:c>
      <x:c r="D2345" t="n">
        <x:f>IF('04_checks'!H336="ERROR",1,0)</x:f>
        <x:v>0</x:v>
      </x:c>
      <x:c r="E2345" t="str">
        <x:v>Payment:90:6</x:v>
      </x:c>
      <x:c r="F2345" t="str">
        <x:v>Дата</x:v>
      </x:c>
      <x:c r="G2345" t="str">
        <x:v>Medium</x:v>
      </x:c>
      <x:c r="H2345" t="str">
        <x:v>payment_date</x:v>
      </x:c>
      <x:c r="I2345" t="str">
        <x:v>Сверить дату со срезом и исходной записью</x:v>
      </x:c>
      <x:c r="J2345" t="n">
        <x:f>IF(D2345=1,K2345,0)</x:f>
        <x:v>0</x:v>
      </x:c>
      <x:c r="K2345" t="n">
        <x:f>D2345+K2344</x:f>
        <x:v>25</x:v>
      </x:c>
    </x:row>
    <x:row r="2346">
      <x:c r="A2346" t="str">
        <x:v>Payment</x:v>
      </x:c>
      <x:c r="B2346" t="str">
        <x:f>'04_checks'!B336</x:f>
        <x:v>P089</x:v>
      </x:c>
      <x:c r="C2346" t="n">
        <x:v>90</x:v>
      </x:c>
      <x:c r="D2346" t="n">
        <x:f>IF('04_checks'!I336="ERROR",1,0)</x:f>
        <x:v>0</x:v>
      </x:c>
      <x:c r="E2346" t="str">
        <x:v>Payment:90:7</x:v>
      </x:c>
      <x:c r="F2346" t="str">
        <x:v>Статус</x:v>
      </x:c>
      <x:c r="G2346" t="str">
        <x:v>Medium</x:v>
      </x:c>
      <x:c r="H2346" t="str">
        <x:v>payment_status</x:v>
      </x:c>
      <x:c r="I2346" t="str">
        <x:v>Выбрать допустимый статус</x:v>
      </x:c>
      <x:c r="J2346" t="n">
        <x:f>IF(D2346=1,K2346,0)</x:f>
        <x:v>0</x:v>
      </x:c>
      <x:c r="K2346" t="n">
        <x:f>D2346+K2345</x:f>
        <x:v>25</x:v>
      </x:c>
    </x:row>
    <x:row r="2347">
      <x:c r="A2347" t="str">
        <x:v>Payment</x:v>
      </x:c>
      <x:c r="B2347" t="str">
        <x:f>'04_checks'!B337</x:f>
        <x:v>P090</x:v>
      </x:c>
      <x:c r="C2347" t="n">
        <x:v>91</x:v>
      </x:c>
      <x:c r="D2347" t="n">
        <x:f>IF('04_checks'!C337="ERROR",1,0)</x:f>
        <x:v>0</x:v>
      </x:c>
      <x:c r="E2347" t="str">
        <x:v>Payment:91:1</x:v>
      </x:c>
      <x:c r="F2347" t="str">
        <x:v>Дубль</x:v>
      </x:c>
      <x:c r="G2347" t="str">
        <x:v>High</x:v>
      </x:c>
      <x:c r="H2347" t="str">
        <x:v>payment_id</x:v>
      </x:c>
      <x:c r="I2347" t="str">
        <x:v>Проверить уникальность ID в источнике; не удалять записи автоматически</x:v>
      </x:c>
      <x:c r="J2347" t="n">
        <x:f>IF(D2347=1,K2347,0)</x:f>
        <x:v>0</x:v>
      </x:c>
      <x:c r="K2347" t="n">
        <x:f>D2347+K2346</x:f>
        <x:v>25</x:v>
      </x:c>
    </x:row>
    <x:row r="2348">
      <x:c r="A2348" t="str">
        <x:v>Payment</x:v>
      </x:c>
      <x:c r="B2348" t="str">
        <x:f>'04_checks'!B337</x:f>
        <x:v>P090</x:v>
      </x:c>
      <x:c r="C2348" t="n">
        <x:v>91</x:v>
      </x:c>
      <x:c r="D2348" t="n">
        <x:f>IF('04_checks'!D337="ERROR",1,0)</x:f>
        <x:v>0</x:v>
      </x:c>
      <x:c r="E2348" t="str">
        <x:v>Payment:91:2</x:v>
      </x:c>
      <x:c r="F2348" t="str">
        <x:v>Пустое поле</x:v>
      </x:c>
      <x:c r="G2348" t="str">
        <x:v>High</x:v>
      </x:c>
      <x:c r="H2348" t="str">
        <x:v>required_fields</x:v>
      </x:c>
      <x:c r="I2348" t="str">
        <x:v>Дополнить обязательные поля в источнике</x:v>
      </x:c>
      <x:c r="J2348" t="n">
        <x:f>IF(D2348=1,K2348,0)</x:f>
        <x:v>0</x:v>
      </x:c>
      <x:c r="K2348" t="n">
        <x:f>D2348+K2347</x:f>
        <x:v>25</x:v>
      </x:c>
    </x:row>
    <x:row r="2349">
      <x:c r="A2349" t="str">
        <x:v>Payment</x:v>
      </x:c>
      <x:c r="B2349" t="str">
        <x:f>'04_checks'!B337</x:f>
        <x:v>P090</x:v>
      </x:c>
      <x:c r="C2349" t="n">
        <x:v>91</x:v>
      </x:c>
      <x:c r="D2349" t="n">
        <x:f>IF('04_checks'!E337="ERROR",1,0)</x:f>
        <x:v>0</x:v>
      </x:c>
      <x:c r="E2349" t="str">
        <x:v>Payment:91:3</x:v>
      </x:c>
      <x:c r="F2349" t="str">
        <x:f>IF(COUNTIF('01_orders_raw'!$A$2:$A$181,'03_payments_raw'!B91)&gt;1,"Неоднозначная связь","Нет связи")</x:f>
        <x:v>Нет связи</x:v>
      </x:c>
      <x:c r="G2349" t="str">
        <x:v>High</x:v>
      </x:c>
      <x:c r="H2349" t="str">
        <x:v>order_id</x:v>
      </x:c>
      <x:c r="I2349" t="str">
        <x:v>Исправить ссылку или разрешить дубли связанного ID</x:v>
      </x:c>
      <x:c r="J2349" t="n">
        <x:f>IF(D2349=1,K2349,0)</x:f>
        <x:v>0</x:v>
      </x:c>
      <x:c r="K2349" t="n">
        <x:f>D2349+K2348</x:f>
        <x:v>25</x:v>
      </x:c>
    </x:row>
    <x:row r="2350">
      <x:c r="A2350" t="str">
        <x:v>Payment</x:v>
      </x:c>
      <x:c r="B2350" t="str">
        <x:f>'04_checks'!B337</x:f>
        <x:v>P090</x:v>
      </x:c>
      <x:c r="C2350" t="n">
        <x:v>91</x:v>
      </x:c>
      <x:c r="D2350" t="n">
        <x:f>IF('04_checks'!F337="ERROR",1,0)</x:f>
        <x:v>0</x:v>
      </x:c>
      <x:c r="E2350" t="str">
        <x:v>Payment:91:4</x:v>
      </x:c>
      <x:c r="F2350" t="str">
        <x:v>Ошибка расчета</x:v>
      </x:c>
      <x:c r="G2350" t="str">
        <x:v>High</x:v>
      </x:c>
      <x:c r="H2350" t="str">
        <x:v>payment_sum</x:v>
      </x:c>
      <x:c r="I2350" t="str">
        <x:v>Сверить исходные значения и правило расчёта</x:v>
      </x:c>
      <x:c r="J2350" t="n">
        <x:f>IF(D2350=1,K2350,0)</x:f>
        <x:v>0</x:v>
      </x:c>
      <x:c r="K2350" t="n">
        <x:f>D2350+K2349</x:f>
        <x:v>25</x:v>
      </x:c>
    </x:row>
    <x:row r="2351">
      <x:c r="A2351" t="str">
        <x:v>Payment</x:v>
      </x:c>
      <x:c r="B2351" t="str">
        <x:f>'04_checks'!B337</x:f>
        <x:v>P090</x:v>
      </x:c>
      <x:c r="C2351" t="n">
        <x:v>91</x:v>
      </x:c>
      <x:c r="D2351" t="n">
        <x:f>IF('04_checks'!G337="ERROR",1,0)</x:f>
        <x:v>0</x:v>
      </x:c>
      <x:c r="E2351" t="str">
        <x:v>Payment:91:5</x:v>
      </x:c>
      <x:c r="F2351" t="str">
        <x:v>Отрицательная цена</x:v>
      </x:c>
      <x:c r="G2351" t="str">
        <x:v>High</x:v>
      </x:c>
      <x:c r="H2351" t="str">
        <x:v>N/A</x:v>
      </x:c>
      <x:c r="I2351" t="str">
        <x:v>Проверить цену в источнике</x:v>
      </x:c>
      <x:c r="J2351" t="n">
        <x:f>IF(D2351=1,K2351,0)</x:f>
        <x:v>0</x:v>
      </x:c>
      <x:c r="K2351" t="n">
        <x:f>D2351+K2350</x:f>
        <x:v>25</x:v>
      </x:c>
    </x:row>
    <x:row r="2352">
      <x:c r="A2352" t="str">
        <x:v>Payment</x:v>
      </x:c>
      <x:c r="B2352" t="str">
        <x:f>'04_checks'!B337</x:f>
        <x:v>P090</x:v>
      </x:c>
      <x:c r="C2352" t="n">
        <x:v>91</x:v>
      </x:c>
      <x:c r="D2352" t="n">
        <x:f>IF('04_checks'!H337="ERROR",1,0)</x:f>
        <x:v>0</x:v>
      </x:c>
      <x:c r="E2352" t="str">
        <x:v>Payment:91:6</x:v>
      </x:c>
      <x:c r="F2352" t="str">
        <x:v>Дата</x:v>
      </x:c>
      <x:c r="G2352" t="str">
        <x:v>Medium</x:v>
      </x:c>
      <x:c r="H2352" t="str">
        <x:v>payment_date</x:v>
      </x:c>
      <x:c r="I2352" t="str">
        <x:v>Сверить дату со срезом и исходной записью</x:v>
      </x:c>
      <x:c r="J2352" t="n">
        <x:f>IF(D2352=1,K2352,0)</x:f>
        <x:v>0</x:v>
      </x:c>
      <x:c r="K2352" t="n">
        <x:f>D2352+K2351</x:f>
        <x:v>25</x:v>
      </x:c>
    </x:row>
    <x:row r="2353">
      <x:c r="A2353" t="str">
        <x:v>Payment</x:v>
      </x:c>
      <x:c r="B2353" t="str">
        <x:f>'04_checks'!B337</x:f>
        <x:v>P090</x:v>
      </x:c>
      <x:c r="C2353" t="n">
        <x:v>91</x:v>
      </x:c>
      <x:c r="D2353" t="n">
        <x:f>IF('04_checks'!I337="ERROR",1,0)</x:f>
        <x:v>0</x:v>
      </x:c>
      <x:c r="E2353" t="str">
        <x:v>Payment:91:7</x:v>
      </x:c>
      <x:c r="F2353" t="str">
        <x:v>Статус</x:v>
      </x:c>
      <x:c r="G2353" t="str">
        <x:v>Medium</x:v>
      </x:c>
      <x:c r="H2353" t="str">
        <x:v>payment_status</x:v>
      </x:c>
      <x:c r="I2353" t="str">
        <x:v>Выбрать допустимый статус</x:v>
      </x:c>
      <x:c r="J2353" t="n">
        <x:f>IF(D2353=1,K2353,0)</x:f>
        <x:v>0</x:v>
      </x:c>
      <x:c r="K2353" t="n">
        <x:f>D2353+K2352</x:f>
        <x:v>25</x:v>
      </x:c>
    </x:row>
    <x:row r="2354">
      <x:c r="A2354" t="str">
        <x:v>Payment</x:v>
      </x:c>
      <x:c r="B2354" t="str">
        <x:f>'04_checks'!B338</x:f>
        <x:v>P091</x:v>
      </x:c>
      <x:c r="C2354" t="n">
        <x:v>92</x:v>
      </x:c>
      <x:c r="D2354" t="n">
        <x:f>IF('04_checks'!C338="ERROR",1,0)</x:f>
        <x:v>0</x:v>
      </x:c>
      <x:c r="E2354" t="str">
        <x:v>Payment:92:1</x:v>
      </x:c>
      <x:c r="F2354" t="str">
        <x:v>Дубль</x:v>
      </x:c>
      <x:c r="G2354" t="str">
        <x:v>High</x:v>
      </x:c>
      <x:c r="H2354" t="str">
        <x:v>payment_id</x:v>
      </x:c>
      <x:c r="I2354" t="str">
        <x:v>Проверить уникальность ID в источнике; не удалять записи автоматически</x:v>
      </x:c>
      <x:c r="J2354" t="n">
        <x:f>IF(D2354=1,K2354,0)</x:f>
        <x:v>0</x:v>
      </x:c>
      <x:c r="K2354" t="n">
        <x:f>D2354+K2353</x:f>
        <x:v>25</x:v>
      </x:c>
    </x:row>
    <x:row r="2355">
      <x:c r="A2355" t="str">
        <x:v>Payment</x:v>
      </x:c>
      <x:c r="B2355" t="str">
        <x:f>'04_checks'!B338</x:f>
        <x:v>P091</x:v>
      </x:c>
      <x:c r="C2355" t="n">
        <x:v>92</x:v>
      </x:c>
      <x:c r="D2355" t="n">
        <x:f>IF('04_checks'!D338="ERROR",1,0)</x:f>
        <x:v>0</x:v>
      </x:c>
      <x:c r="E2355" t="str">
        <x:v>Payment:92:2</x:v>
      </x:c>
      <x:c r="F2355" t="str">
        <x:v>Пустое поле</x:v>
      </x:c>
      <x:c r="G2355" t="str">
        <x:v>High</x:v>
      </x:c>
      <x:c r="H2355" t="str">
        <x:v>required_fields</x:v>
      </x:c>
      <x:c r="I2355" t="str">
        <x:v>Дополнить обязательные поля в источнике</x:v>
      </x:c>
      <x:c r="J2355" t="n">
        <x:f>IF(D2355=1,K2355,0)</x:f>
        <x:v>0</x:v>
      </x:c>
      <x:c r="K2355" t="n">
        <x:f>D2355+K2354</x:f>
        <x:v>25</x:v>
      </x:c>
    </x:row>
    <x:row r="2356">
      <x:c r="A2356" t="str">
        <x:v>Payment</x:v>
      </x:c>
      <x:c r="B2356" t="str">
        <x:f>'04_checks'!B338</x:f>
        <x:v>P091</x:v>
      </x:c>
      <x:c r="C2356" t="n">
        <x:v>92</x:v>
      </x:c>
      <x:c r="D2356" t="n">
        <x:f>IF('04_checks'!E338="ERROR",1,0)</x:f>
        <x:v>0</x:v>
      </x:c>
      <x:c r="E2356" t="str">
        <x:v>Payment:92:3</x:v>
      </x:c>
      <x:c r="F2356" t="str">
        <x:f>IF(COUNTIF('01_orders_raw'!$A$2:$A$181,'03_payments_raw'!B92)&gt;1,"Неоднозначная связь","Нет связи")</x:f>
        <x:v>Нет связи</x:v>
      </x:c>
      <x:c r="G2356" t="str">
        <x:v>High</x:v>
      </x:c>
      <x:c r="H2356" t="str">
        <x:v>order_id</x:v>
      </x:c>
      <x:c r="I2356" t="str">
        <x:v>Исправить ссылку или разрешить дубли связанного ID</x:v>
      </x:c>
      <x:c r="J2356" t="n">
        <x:f>IF(D2356=1,K2356,0)</x:f>
        <x:v>0</x:v>
      </x:c>
      <x:c r="K2356" t="n">
        <x:f>D2356+K2355</x:f>
        <x:v>25</x:v>
      </x:c>
    </x:row>
    <x:row r="2357">
      <x:c r="A2357" t="str">
        <x:v>Payment</x:v>
      </x:c>
      <x:c r="B2357" t="str">
        <x:f>'04_checks'!B338</x:f>
        <x:v>P091</x:v>
      </x:c>
      <x:c r="C2357" t="n">
        <x:v>92</x:v>
      </x:c>
      <x:c r="D2357" t="n">
        <x:f>IF('04_checks'!F338="ERROR",1,0)</x:f>
        <x:v>0</x:v>
      </x:c>
      <x:c r="E2357" t="str">
        <x:v>Payment:92:4</x:v>
      </x:c>
      <x:c r="F2357" t="str">
        <x:v>Ошибка расчета</x:v>
      </x:c>
      <x:c r="G2357" t="str">
        <x:v>High</x:v>
      </x:c>
      <x:c r="H2357" t="str">
        <x:v>payment_sum</x:v>
      </x:c>
      <x:c r="I2357" t="str">
        <x:v>Сверить исходные значения и правило расчёта</x:v>
      </x:c>
      <x:c r="J2357" t="n">
        <x:f>IF(D2357=1,K2357,0)</x:f>
        <x:v>0</x:v>
      </x:c>
      <x:c r="K2357" t="n">
        <x:f>D2357+K2356</x:f>
        <x:v>25</x:v>
      </x:c>
    </x:row>
    <x:row r="2358">
      <x:c r="A2358" t="str">
        <x:v>Payment</x:v>
      </x:c>
      <x:c r="B2358" t="str">
        <x:f>'04_checks'!B338</x:f>
        <x:v>P091</x:v>
      </x:c>
      <x:c r="C2358" t="n">
        <x:v>92</x:v>
      </x:c>
      <x:c r="D2358" t="n">
        <x:f>IF('04_checks'!G338="ERROR",1,0)</x:f>
        <x:v>0</x:v>
      </x:c>
      <x:c r="E2358" t="str">
        <x:v>Payment:92:5</x:v>
      </x:c>
      <x:c r="F2358" t="str">
        <x:v>Отрицательная цена</x:v>
      </x:c>
      <x:c r="G2358" t="str">
        <x:v>High</x:v>
      </x:c>
      <x:c r="H2358" t="str">
        <x:v>N/A</x:v>
      </x:c>
      <x:c r="I2358" t="str">
        <x:v>Проверить цену в источнике</x:v>
      </x:c>
      <x:c r="J2358" t="n">
        <x:f>IF(D2358=1,K2358,0)</x:f>
        <x:v>0</x:v>
      </x:c>
      <x:c r="K2358" t="n">
        <x:f>D2358+K2357</x:f>
        <x:v>25</x:v>
      </x:c>
    </x:row>
    <x:row r="2359">
      <x:c r="A2359" t="str">
        <x:v>Payment</x:v>
      </x:c>
      <x:c r="B2359" t="str">
        <x:f>'04_checks'!B338</x:f>
        <x:v>P091</x:v>
      </x:c>
      <x:c r="C2359" t="n">
        <x:v>92</x:v>
      </x:c>
      <x:c r="D2359" t="n">
        <x:f>IF('04_checks'!H338="ERROR",1,0)</x:f>
        <x:v>0</x:v>
      </x:c>
      <x:c r="E2359" t="str">
        <x:v>Payment:92:6</x:v>
      </x:c>
      <x:c r="F2359" t="str">
        <x:v>Дата</x:v>
      </x:c>
      <x:c r="G2359" t="str">
        <x:v>Medium</x:v>
      </x:c>
      <x:c r="H2359" t="str">
        <x:v>payment_date</x:v>
      </x:c>
      <x:c r="I2359" t="str">
        <x:v>Сверить дату со срезом и исходной записью</x:v>
      </x:c>
      <x:c r="J2359" t="n">
        <x:f>IF(D2359=1,K2359,0)</x:f>
        <x:v>0</x:v>
      </x:c>
      <x:c r="K2359" t="n">
        <x:f>D2359+K2358</x:f>
        <x:v>25</x:v>
      </x:c>
    </x:row>
    <x:row r="2360">
      <x:c r="A2360" t="str">
        <x:v>Payment</x:v>
      </x:c>
      <x:c r="B2360" t="str">
        <x:f>'04_checks'!B338</x:f>
        <x:v>P091</x:v>
      </x:c>
      <x:c r="C2360" t="n">
        <x:v>92</x:v>
      </x:c>
      <x:c r="D2360" t="n">
        <x:f>IF('04_checks'!I338="ERROR",1,0)</x:f>
        <x:v>0</x:v>
      </x:c>
      <x:c r="E2360" t="str">
        <x:v>Payment:92:7</x:v>
      </x:c>
      <x:c r="F2360" t="str">
        <x:v>Статус</x:v>
      </x:c>
      <x:c r="G2360" t="str">
        <x:v>Medium</x:v>
      </x:c>
      <x:c r="H2360" t="str">
        <x:v>payment_status</x:v>
      </x:c>
      <x:c r="I2360" t="str">
        <x:v>Выбрать допустимый статус</x:v>
      </x:c>
      <x:c r="J2360" t="n">
        <x:f>IF(D2360=1,K2360,0)</x:f>
        <x:v>0</x:v>
      </x:c>
      <x:c r="K2360" t="n">
        <x:f>D2360+K2359</x:f>
        <x:v>25</x:v>
      </x:c>
    </x:row>
    <x:row r="2361">
      <x:c r="A2361" t="str">
        <x:v>Payment</x:v>
      </x:c>
      <x:c r="B2361" t="str">
        <x:f>'04_checks'!B339</x:f>
        <x:v>P092</x:v>
      </x:c>
      <x:c r="C2361" t="n">
        <x:v>93</x:v>
      </x:c>
      <x:c r="D2361" t="n">
        <x:f>IF('04_checks'!C339="ERROR",1,0)</x:f>
        <x:v>0</x:v>
      </x:c>
      <x:c r="E2361" t="str">
        <x:v>Payment:93:1</x:v>
      </x:c>
      <x:c r="F2361" t="str">
        <x:v>Дубль</x:v>
      </x:c>
      <x:c r="G2361" t="str">
        <x:v>High</x:v>
      </x:c>
      <x:c r="H2361" t="str">
        <x:v>payment_id</x:v>
      </x:c>
      <x:c r="I2361" t="str">
        <x:v>Проверить уникальность ID в источнике; не удалять записи автоматически</x:v>
      </x:c>
      <x:c r="J2361" t="n">
        <x:f>IF(D2361=1,K2361,0)</x:f>
        <x:v>0</x:v>
      </x:c>
      <x:c r="K2361" t="n">
        <x:f>D2361+K2360</x:f>
        <x:v>25</x:v>
      </x:c>
    </x:row>
    <x:row r="2362">
      <x:c r="A2362" t="str">
        <x:v>Payment</x:v>
      </x:c>
      <x:c r="B2362" t="str">
        <x:f>'04_checks'!B339</x:f>
        <x:v>P092</x:v>
      </x:c>
      <x:c r="C2362" t="n">
        <x:v>93</x:v>
      </x:c>
      <x:c r="D2362" t="n">
        <x:f>IF('04_checks'!D339="ERROR",1,0)</x:f>
        <x:v>0</x:v>
      </x:c>
      <x:c r="E2362" t="str">
        <x:v>Payment:93:2</x:v>
      </x:c>
      <x:c r="F2362" t="str">
        <x:v>Пустое поле</x:v>
      </x:c>
      <x:c r="G2362" t="str">
        <x:v>High</x:v>
      </x:c>
      <x:c r="H2362" t="str">
        <x:v>required_fields</x:v>
      </x:c>
      <x:c r="I2362" t="str">
        <x:v>Дополнить обязательные поля в источнике</x:v>
      </x:c>
      <x:c r="J2362" t="n">
        <x:f>IF(D2362=1,K2362,0)</x:f>
        <x:v>0</x:v>
      </x:c>
      <x:c r="K2362" t="n">
        <x:f>D2362+K2361</x:f>
        <x:v>25</x:v>
      </x:c>
    </x:row>
    <x:row r="2363">
      <x:c r="A2363" t="str">
        <x:v>Payment</x:v>
      </x:c>
      <x:c r="B2363" t="str">
        <x:f>'04_checks'!B339</x:f>
        <x:v>P092</x:v>
      </x:c>
      <x:c r="C2363" t="n">
        <x:v>93</x:v>
      </x:c>
      <x:c r="D2363" t="n">
        <x:f>IF('04_checks'!E339="ERROR",1,0)</x:f>
        <x:v>0</x:v>
      </x:c>
      <x:c r="E2363" t="str">
        <x:v>Payment:93:3</x:v>
      </x:c>
      <x:c r="F2363" t="str">
        <x:f>IF(COUNTIF('01_orders_raw'!$A$2:$A$181,'03_payments_raw'!B93)&gt;1,"Неоднозначная связь","Нет связи")</x:f>
        <x:v>Нет связи</x:v>
      </x:c>
      <x:c r="G2363" t="str">
        <x:v>High</x:v>
      </x:c>
      <x:c r="H2363" t="str">
        <x:v>order_id</x:v>
      </x:c>
      <x:c r="I2363" t="str">
        <x:v>Исправить ссылку или разрешить дубли связанного ID</x:v>
      </x:c>
      <x:c r="J2363" t="n">
        <x:f>IF(D2363=1,K2363,0)</x:f>
        <x:v>0</x:v>
      </x:c>
      <x:c r="K2363" t="n">
        <x:f>D2363+K2362</x:f>
        <x:v>25</x:v>
      </x:c>
    </x:row>
    <x:row r="2364">
      <x:c r="A2364" t="str">
        <x:v>Payment</x:v>
      </x:c>
      <x:c r="B2364" t="str">
        <x:f>'04_checks'!B339</x:f>
        <x:v>P092</x:v>
      </x:c>
      <x:c r="C2364" t="n">
        <x:v>93</x:v>
      </x:c>
      <x:c r="D2364" t="n">
        <x:f>IF('04_checks'!F339="ERROR",1,0)</x:f>
        <x:v>0</x:v>
      </x:c>
      <x:c r="E2364" t="str">
        <x:v>Payment:93:4</x:v>
      </x:c>
      <x:c r="F2364" t="str">
        <x:v>Ошибка расчета</x:v>
      </x:c>
      <x:c r="G2364" t="str">
        <x:v>High</x:v>
      </x:c>
      <x:c r="H2364" t="str">
        <x:v>payment_sum</x:v>
      </x:c>
      <x:c r="I2364" t="str">
        <x:v>Сверить исходные значения и правило расчёта</x:v>
      </x:c>
      <x:c r="J2364" t="n">
        <x:f>IF(D2364=1,K2364,0)</x:f>
        <x:v>0</x:v>
      </x:c>
      <x:c r="K2364" t="n">
        <x:f>D2364+K2363</x:f>
        <x:v>25</x:v>
      </x:c>
    </x:row>
    <x:row r="2365">
      <x:c r="A2365" t="str">
        <x:v>Payment</x:v>
      </x:c>
      <x:c r="B2365" t="str">
        <x:f>'04_checks'!B339</x:f>
        <x:v>P092</x:v>
      </x:c>
      <x:c r="C2365" t="n">
        <x:v>93</x:v>
      </x:c>
      <x:c r="D2365" t="n">
        <x:f>IF('04_checks'!G339="ERROR",1,0)</x:f>
        <x:v>0</x:v>
      </x:c>
      <x:c r="E2365" t="str">
        <x:v>Payment:93:5</x:v>
      </x:c>
      <x:c r="F2365" t="str">
        <x:v>Отрицательная цена</x:v>
      </x:c>
      <x:c r="G2365" t="str">
        <x:v>High</x:v>
      </x:c>
      <x:c r="H2365" t="str">
        <x:v>N/A</x:v>
      </x:c>
      <x:c r="I2365" t="str">
        <x:v>Проверить цену в источнике</x:v>
      </x:c>
      <x:c r="J2365" t="n">
        <x:f>IF(D2365=1,K2365,0)</x:f>
        <x:v>0</x:v>
      </x:c>
      <x:c r="K2365" t="n">
        <x:f>D2365+K2364</x:f>
        <x:v>25</x:v>
      </x:c>
    </x:row>
    <x:row r="2366">
      <x:c r="A2366" t="str">
        <x:v>Payment</x:v>
      </x:c>
      <x:c r="B2366" t="str">
        <x:f>'04_checks'!B339</x:f>
        <x:v>P092</x:v>
      </x:c>
      <x:c r="C2366" t="n">
        <x:v>93</x:v>
      </x:c>
      <x:c r="D2366" t="n">
        <x:f>IF('04_checks'!H339="ERROR",1,0)</x:f>
        <x:v>0</x:v>
      </x:c>
      <x:c r="E2366" t="str">
        <x:v>Payment:93:6</x:v>
      </x:c>
      <x:c r="F2366" t="str">
        <x:v>Дата</x:v>
      </x:c>
      <x:c r="G2366" t="str">
        <x:v>Medium</x:v>
      </x:c>
      <x:c r="H2366" t="str">
        <x:v>payment_date</x:v>
      </x:c>
      <x:c r="I2366" t="str">
        <x:v>Сверить дату со срезом и исходной записью</x:v>
      </x:c>
      <x:c r="J2366" t="n">
        <x:f>IF(D2366=1,K2366,0)</x:f>
        <x:v>0</x:v>
      </x:c>
      <x:c r="K2366" t="n">
        <x:f>D2366+K2365</x:f>
        <x:v>25</x:v>
      </x:c>
    </x:row>
    <x:row r="2367">
      <x:c r="A2367" t="str">
        <x:v>Payment</x:v>
      </x:c>
      <x:c r="B2367" t="str">
        <x:f>'04_checks'!B339</x:f>
        <x:v>P092</x:v>
      </x:c>
      <x:c r="C2367" t="n">
        <x:v>93</x:v>
      </x:c>
      <x:c r="D2367" t="n">
        <x:f>IF('04_checks'!I339="ERROR",1,0)</x:f>
        <x:v>0</x:v>
      </x:c>
      <x:c r="E2367" t="str">
        <x:v>Payment:93:7</x:v>
      </x:c>
      <x:c r="F2367" t="str">
        <x:v>Статус</x:v>
      </x:c>
      <x:c r="G2367" t="str">
        <x:v>Medium</x:v>
      </x:c>
      <x:c r="H2367" t="str">
        <x:v>payment_status</x:v>
      </x:c>
      <x:c r="I2367" t="str">
        <x:v>Выбрать допустимый статус</x:v>
      </x:c>
      <x:c r="J2367" t="n">
        <x:f>IF(D2367=1,K2367,0)</x:f>
        <x:v>0</x:v>
      </x:c>
      <x:c r="K2367" t="n">
        <x:f>D2367+K2366</x:f>
        <x:v>25</x:v>
      </x:c>
    </x:row>
    <x:row r="2368">
      <x:c r="A2368" t="str">
        <x:v>Payment</x:v>
      </x:c>
      <x:c r="B2368" t="str">
        <x:f>'04_checks'!B340</x:f>
        <x:v>P093</x:v>
      </x:c>
      <x:c r="C2368" t="n">
        <x:v>94</x:v>
      </x:c>
      <x:c r="D2368" t="n">
        <x:f>IF('04_checks'!C340="ERROR",1,0)</x:f>
        <x:v>0</x:v>
      </x:c>
      <x:c r="E2368" t="str">
        <x:v>Payment:94:1</x:v>
      </x:c>
      <x:c r="F2368" t="str">
        <x:v>Дубль</x:v>
      </x:c>
      <x:c r="G2368" t="str">
        <x:v>High</x:v>
      </x:c>
      <x:c r="H2368" t="str">
        <x:v>payment_id</x:v>
      </x:c>
      <x:c r="I2368" t="str">
        <x:v>Проверить уникальность ID в источнике; не удалять записи автоматически</x:v>
      </x:c>
      <x:c r="J2368" t="n">
        <x:f>IF(D2368=1,K2368,0)</x:f>
        <x:v>0</x:v>
      </x:c>
      <x:c r="K2368" t="n">
        <x:f>D2368+K2367</x:f>
        <x:v>25</x:v>
      </x:c>
    </x:row>
    <x:row r="2369">
      <x:c r="A2369" t="str">
        <x:v>Payment</x:v>
      </x:c>
      <x:c r="B2369" t="str">
        <x:f>'04_checks'!B340</x:f>
        <x:v>P093</x:v>
      </x:c>
      <x:c r="C2369" t="n">
        <x:v>94</x:v>
      </x:c>
      <x:c r="D2369" t="n">
        <x:f>IF('04_checks'!D340="ERROR",1,0)</x:f>
        <x:v>0</x:v>
      </x:c>
      <x:c r="E2369" t="str">
        <x:v>Payment:94:2</x:v>
      </x:c>
      <x:c r="F2369" t="str">
        <x:v>Пустое поле</x:v>
      </x:c>
      <x:c r="G2369" t="str">
        <x:v>High</x:v>
      </x:c>
      <x:c r="H2369" t="str">
        <x:v>required_fields</x:v>
      </x:c>
      <x:c r="I2369" t="str">
        <x:v>Дополнить обязательные поля в источнике</x:v>
      </x:c>
      <x:c r="J2369" t="n">
        <x:f>IF(D2369=1,K2369,0)</x:f>
        <x:v>0</x:v>
      </x:c>
      <x:c r="K2369" t="n">
        <x:f>D2369+K2368</x:f>
        <x:v>25</x:v>
      </x:c>
    </x:row>
    <x:row r="2370">
      <x:c r="A2370" t="str">
        <x:v>Payment</x:v>
      </x:c>
      <x:c r="B2370" t="str">
        <x:f>'04_checks'!B340</x:f>
        <x:v>P093</x:v>
      </x:c>
      <x:c r="C2370" t="n">
        <x:v>94</x:v>
      </x:c>
      <x:c r="D2370" t="n">
        <x:f>IF('04_checks'!E340="ERROR",1,0)</x:f>
        <x:v>0</x:v>
      </x:c>
      <x:c r="E2370" t="str">
        <x:v>Payment:94:3</x:v>
      </x:c>
      <x:c r="F2370" t="str">
        <x:f>IF(COUNTIF('01_orders_raw'!$A$2:$A$181,'03_payments_raw'!B94)&gt;1,"Неоднозначная связь","Нет связи")</x:f>
        <x:v>Нет связи</x:v>
      </x:c>
      <x:c r="G2370" t="str">
        <x:v>High</x:v>
      </x:c>
      <x:c r="H2370" t="str">
        <x:v>order_id</x:v>
      </x:c>
      <x:c r="I2370" t="str">
        <x:v>Исправить ссылку или разрешить дубли связанного ID</x:v>
      </x:c>
      <x:c r="J2370" t="n">
        <x:f>IF(D2370=1,K2370,0)</x:f>
        <x:v>0</x:v>
      </x:c>
      <x:c r="K2370" t="n">
        <x:f>D2370+K2369</x:f>
        <x:v>25</x:v>
      </x:c>
    </x:row>
    <x:row r="2371">
      <x:c r="A2371" t="str">
        <x:v>Payment</x:v>
      </x:c>
      <x:c r="B2371" t="str">
        <x:f>'04_checks'!B340</x:f>
        <x:v>P093</x:v>
      </x:c>
      <x:c r="C2371" t="n">
        <x:v>94</x:v>
      </x:c>
      <x:c r="D2371" t="n">
        <x:f>IF('04_checks'!F340="ERROR",1,0)</x:f>
        <x:v>0</x:v>
      </x:c>
      <x:c r="E2371" t="str">
        <x:v>Payment:94:4</x:v>
      </x:c>
      <x:c r="F2371" t="str">
        <x:v>Ошибка расчета</x:v>
      </x:c>
      <x:c r="G2371" t="str">
        <x:v>High</x:v>
      </x:c>
      <x:c r="H2371" t="str">
        <x:v>payment_sum</x:v>
      </x:c>
      <x:c r="I2371" t="str">
        <x:v>Сверить исходные значения и правило расчёта</x:v>
      </x:c>
      <x:c r="J2371" t="n">
        <x:f>IF(D2371=1,K2371,0)</x:f>
        <x:v>0</x:v>
      </x:c>
      <x:c r="K2371" t="n">
        <x:f>D2371+K2370</x:f>
        <x:v>25</x:v>
      </x:c>
    </x:row>
    <x:row r="2372">
      <x:c r="A2372" t="str">
        <x:v>Payment</x:v>
      </x:c>
      <x:c r="B2372" t="str">
        <x:f>'04_checks'!B340</x:f>
        <x:v>P093</x:v>
      </x:c>
      <x:c r="C2372" t="n">
        <x:v>94</x:v>
      </x:c>
      <x:c r="D2372" t="n">
        <x:f>IF('04_checks'!G340="ERROR",1,0)</x:f>
        <x:v>0</x:v>
      </x:c>
      <x:c r="E2372" t="str">
        <x:v>Payment:94:5</x:v>
      </x:c>
      <x:c r="F2372" t="str">
        <x:v>Отрицательная цена</x:v>
      </x:c>
      <x:c r="G2372" t="str">
        <x:v>High</x:v>
      </x:c>
      <x:c r="H2372" t="str">
        <x:v>N/A</x:v>
      </x:c>
      <x:c r="I2372" t="str">
        <x:v>Проверить цену в источнике</x:v>
      </x:c>
      <x:c r="J2372" t="n">
        <x:f>IF(D2372=1,K2372,0)</x:f>
        <x:v>0</x:v>
      </x:c>
      <x:c r="K2372" t="n">
        <x:f>D2372+K2371</x:f>
        <x:v>25</x:v>
      </x:c>
    </x:row>
    <x:row r="2373">
      <x:c r="A2373" t="str">
        <x:v>Payment</x:v>
      </x:c>
      <x:c r="B2373" t="str">
        <x:f>'04_checks'!B340</x:f>
        <x:v>P093</x:v>
      </x:c>
      <x:c r="C2373" t="n">
        <x:v>94</x:v>
      </x:c>
      <x:c r="D2373" t="n">
        <x:f>IF('04_checks'!H340="ERROR",1,0)</x:f>
        <x:v>0</x:v>
      </x:c>
      <x:c r="E2373" t="str">
        <x:v>Payment:94:6</x:v>
      </x:c>
      <x:c r="F2373" t="str">
        <x:v>Дата</x:v>
      </x:c>
      <x:c r="G2373" t="str">
        <x:v>Medium</x:v>
      </x:c>
      <x:c r="H2373" t="str">
        <x:v>payment_date</x:v>
      </x:c>
      <x:c r="I2373" t="str">
        <x:v>Сверить дату со срезом и исходной записью</x:v>
      </x:c>
      <x:c r="J2373" t="n">
        <x:f>IF(D2373=1,K2373,0)</x:f>
        <x:v>0</x:v>
      </x:c>
      <x:c r="K2373" t="n">
        <x:f>D2373+K2372</x:f>
        <x:v>25</x:v>
      </x:c>
    </x:row>
    <x:row r="2374">
      <x:c r="A2374" t="str">
        <x:v>Payment</x:v>
      </x:c>
      <x:c r="B2374" t="str">
        <x:f>'04_checks'!B340</x:f>
        <x:v>P093</x:v>
      </x:c>
      <x:c r="C2374" t="n">
        <x:v>94</x:v>
      </x:c>
      <x:c r="D2374" t="n">
        <x:f>IF('04_checks'!I340="ERROR",1,0)</x:f>
        <x:v>0</x:v>
      </x:c>
      <x:c r="E2374" t="str">
        <x:v>Payment:94:7</x:v>
      </x:c>
      <x:c r="F2374" t="str">
        <x:v>Статус</x:v>
      </x:c>
      <x:c r="G2374" t="str">
        <x:v>Medium</x:v>
      </x:c>
      <x:c r="H2374" t="str">
        <x:v>payment_status</x:v>
      </x:c>
      <x:c r="I2374" t="str">
        <x:v>Выбрать допустимый статус</x:v>
      </x:c>
      <x:c r="J2374" t="n">
        <x:f>IF(D2374=1,K2374,0)</x:f>
        <x:v>0</x:v>
      </x:c>
      <x:c r="K2374" t="n">
        <x:f>D2374+K2373</x:f>
        <x:v>25</x:v>
      </x:c>
    </x:row>
    <x:row r="2375">
      <x:c r="A2375" t="str">
        <x:v>Payment</x:v>
      </x:c>
      <x:c r="B2375" t="str">
        <x:f>'04_checks'!B341</x:f>
        <x:v>P094</x:v>
      </x:c>
      <x:c r="C2375" t="n">
        <x:v>95</x:v>
      </x:c>
      <x:c r="D2375" t="n">
        <x:f>IF('04_checks'!C341="ERROR",1,0)</x:f>
        <x:v>0</x:v>
      </x:c>
      <x:c r="E2375" t="str">
        <x:v>Payment:95:1</x:v>
      </x:c>
      <x:c r="F2375" t="str">
        <x:v>Дубль</x:v>
      </x:c>
      <x:c r="G2375" t="str">
        <x:v>High</x:v>
      </x:c>
      <x:c r="H2375" t="str">
        <x:v>payment_id</x:v>
      </x:c>
      <x:c r="I2375" t="str">
        <x:v>Проверить уникальность ID в источнике; не удалять записи автоматически</x:v>
      </x:c>
      <x:c r="J2375" t="n">
        <x:f>IF(D2375=1,K2375,0)</x:f>
        <x:v>0</x:v>
      </x:c>
      <x:c r="K2375" t="n">
        <x:f>D2375+K2374</x:f>
        <x:v>25</x:v>
      </x:c>
    </x:row>
    <x:row r="2376">
      <x:c r="A2376" t="str">
        <x:v>Payment</x:v>
      </x:c>
      <x:c r="B2376" t="str">
        <x:f>'04_checks'!B341</x:f>
        <x:v>P094</x:v>
      </x:c>
      <x:c r="C2376" t="n">
        <x:v>95</x:v>
      </x:c>
      <x:c r="D2376" t="n">
        <x:f>IF('04_checks'!D341="ERROR",1,0)</x:f>
        <x:v>0</x:v>
      </x:c>
      <x:c r="E2376" t="str">
        <x:v>Payment:95:2</x:v>
      </x:c>
      <x:c r="F2376" t="str">
        <x:v>Пустое поле</x:v>
      </x:c>
      <x:c r="G2376" t="str">
        <x:v>High</x:v>
      </x:c>
      <x:c r="H2376" t="str">
        <x:v>required_fields</x:v>
      </x:c>
      <x:c r="I2376" t="str">
        <x:v>Дополнить обязательные поля в источнике</x:v>
      </x:c>
      <x:c r="J2376" t="n">
        <x:f>IF(D2376=1,K2376,0)</x:f>
        <x:v>0</x:v>
      </x:c>
      <x:c r="K2376" t="n">
        <x:f>D2376+K2375</x:f>
        <x:v>25</x:v>
      </x:c>
    </x:row>
    <x:row r="2377">
      <x:c r="A2377" t="str">
        <x:v>Payment</x:v>
      </x:c>
      <x:c r="B2377" t="str">
        <x:f>'04_checks'!B341</x:f>
        <x:v>P094</x:v>
      </x:c>
      <x:c r="C2377" t="n">
        <x:v>95</x:v>
      </x:c>
      <x:c r="D2377" t="n">
        <x:f>IF('04_checks'!E341="ERROR",1,0)</x:f>
        <x:v>0</x:v>
      </x:c>
      <x:c r="E2377" t="str">
        <x:v>Payment:95:3</x:v>
      </x:c>
      <x:c r="F2377" t="str">
        <x:f>IF(COUNTIF('01_orders_raw'!$A$2:$A$181,'03_payments_raw'!B95)&gt;1,"Неоднозначная связь","Нет связи")</x:f>
        <x:v>Нет связи</x:v>
      </x:c>
      <x:c r="G2377" t="str">
        <x:v>High</x:v>
      </x:c>
      <x:c r="H2377" t="str">
        <x:v>order_id</x:v>
      </x:c>
      <x:c r="I2377" t="str">
        <x:v>Исправить ссылку или разрешить дубли связанного ID</x:v>
      </x:c>
      <x:c r="J2377" t="n">
        <x:f>IF(D2377=1,K2377,0)</x:f>
        <x:v>0</x:v>
      </x:c>
      <x:c r="K2377" t="n">
        <x:f>D2377+K2376</x:f>
        <x:v>25</x:v>
      </x:c>
    </x:row>
    <x:row r="2378">
      <x:c r="A2378" t="str">
        <x:v>Payment</x:v>
      </x:c>
      <x:c r="B2378" t="str">
        <x:f>'04_checks'!B341</x:f>
        <x:v>P094</x:v>
      </x:c>
      <x:c r="C2378" t="n">
        <x:v>95</x:v>
      </x:c>
      <x:c r="D2378" t="n">
        <x:f>IF('04_checks'!F341="ERROR",1,0)</x:f>
        <x:v>0</x:v>
      </x:c>
      <x:c r="E2378" t="str">
        <x:v>Payment:95:4</x:v>
      </x:c>
      <x:c r="F2378" t="str">
        <x:v>Ошибка расчета</x:v>
      </x:c>
      <x:c r="G2378" t="str">
        <x:v>High</x:v>
      </x:c>
      <x:c r="H2378" t="str">
        <x:v>payment_sum</x:v>
      </x:c>
      <x:c r="I2378" t="str">
        <x:v>Сверить исходные значения и правило расчёта</x:v>
      </x:c>
      <x:c r="J2378" t="n">
        <x:f>IF(D2378=1,K2378,0)</x:f>
        <x:v>0</x:v>
      </x:c>
      <x:c r="K2378" t="n">
        <x:f>D2378+K2377</x:f>
        <x:v>25</x:v>
      </x:c>
    </x:row>
    <x:row r="2379">
      <x:c r="A2379" t="str">
        <x:v>Payment</x:v>
      </x:c>
      <x:c r="B2379" t="str">
        <x:f>'04_checks'!B341</x:f>
        <x:v>P094</x:v>
      </x:c>
      <x:c r="C2379" t="n">
        <x:v>95</x:v>
      </x:c>
      <x:c r="D2379" t="n">
        <x:f>IF('04_checks'!G341="ERROR",1,0)</x:f>
        <x:v>0</x:v>
      </x:c>
      <x:c r="E2379" t="str">
        <x:v>Payment:95:5</x:v>
      </x:c>
      <x:c r="F2379" t="str">
        <x:v>Отрицательная цена</x:v>
      </x:c>
      <x:c r="G2379" t="str">
        <x:v>High</x:v>
      </x:c>
      <x:c r="H2379" t="str">
        <x:v>N/A</x:v>
      </x:c>
      <x:c r="I2379" t="str">
        <x:v>Проверить цену в источнике</x:v>
      </x:c>
      <x:c r="J2379" t="n">
        <x:f>IF(D2379=1,K2379,0)</x:f>
        <x:v>0</x:v>
      </x:c>
      <x:c r="K2379" t="n">
        <x:f>D2379+K2378</x:f>
        <x:v>25</x:v>
      </x:c>
    </x:row>
    <x:row r="2380">
      <x:c r="A2380" t="str">
        <x:v>Payment</x:v>
      </x:c>
      <x:c r="B2380" t="str">
        <x:f>'04_checks'!B341</x:f>
        <x:v>P094</x:v>
      </x:c>
      <x:c r="C2380" t="n">
        <x:v>95</x:v>
      </x:c>
      <x:c r="D2380" t="n">
        <x:f>IF('04_checks'!H341="ERROR",1,0)</x:f>
        <x:v>0</x:v>
      </x:c>
      <x:c r="E2380" t="str">
        <x:v>Payment:95:6</x:v>
      </x:c>
      <x:c r="F2380" t="str">
        <x:v>Дата</x:v>
      </x:c>
      <x:c r="G2380" t="str">
        <x:v>Medium</x:v>
      </x:c>
      <x:c r="H2380" t="str">
        <x:v>payment_date</x:v>
      </x:c>
      <x:c r="I2380" t="str">
        <x:v>Сверить дату со срезом и исходной записью</x:v>
      </x:c>
      <x:c r="J2380" t="n">
        <x:f>IF(D2380=1,K2380,0)</x:f>
        <x:v>0</x:v>
      </x:c>
      <x:c r="K2380" t="n">
        <x:f>D2380+K2379</x:f>
        <x:v>25</x:v>
      </x:c>
    </x:row>
    <x:row r="2381">
      <x:c r="A2381" t="str">
        <x:v>Payment</x:v>
      </x:c>
      <x:c r="B2381" t="str">
        <x:f>'04_checks'!B341</x:f>
        <x:v>P094</x:v>
      </x:c>
      <x:c r="C2381" t="n">
        <x:v>95</x:v>
      </x:c>
      <x:c r="D2381" t="n">
        <x:f>IF('04_checks'!I341="ERROR",1,0)</x:f>
        <x:v>0</x:v>
      </x:c>
      <x:c r="E2381" t="str">
        <x:v>Payment:95:7</x:v>
      </x:c>
      <x:c r="F2381" t="str">
        <x:v>Статус</x:v>
      </x:c>
      <x:c r="G2381" t="str">
        <x:v>Medium</x:v>
      </x:c>
      <x:c r="H2381" t="str">
        <x:v>payment_status</x:v>
      </x:c>
      <x:c r="I2381" t="str">
        <x:v>Выбрать допустимый статус</x:v>
      </x:c>
      <x:c r="J2381" t="n">
        <x:f>IF(D2381=1,K2381,0)</x:f>
        <x:v>0</x:v>
      </x:c>
      <x:c r="K2381" t="n">
        <x:f>D2381+K2380</x:f>
        <x:v>25</x:v>
      </x:c>
    </x:row>
    <x:row r="2382">
      <x:c r="A2382" t="str">
        <x:v>Payment</x:v>
      </x:c>
      <x:c r="B2382" t="str">
        <x:f>'04_checks'!B342</x:f>
        <x:v>P095</x:v>
      </x:c>
      <x:c r="C2382" t="n">
        <x:v>96</x:v>
      </x:c>
      <x:c r="D2382" t="n">
        <x:f>IF('04_checks'!C342="ERROR",1,0)</x:f>
        <x:v>0</x:v>
      </x:c>
      <x:c r="E2382" t="str">
        <x:v>Payment:96:1</x:v>
      </x:c>
      <x:c r="F2382" t="str">
        <x:v>Дубль</x:v>
      </x:c>
      <x:c r="G2382" t="str">
        <x:v>High</x:v>
      </x:c>
      <x:c r="H2382" t="str">
        <x:v>payment_id</x:v>
      </x:c>
      <x:c r="I2382" t="str">
        <x:v>Проверить уникальность ID в источнике; не удалять записи автоматически</x:v>
      </x:c>
      <x:c r="J2382" t="n">
        <x:f>IF(D2382=1,K2382,0)</x:f>
        <x:v>0</x:v>
      </x:c>
      <x:c r="K2382" t="n">
        <x:f>D2382+K2381</x:f>
        <x:v>25</x:v>
      </x:c>
    </x:row>
    <x:row r="2383">
      <x:c r="A2383" t="str">
        <x:v>Payment</x:v>
      </x:c>
      <x:c r="B2383" t="str">
        <x:f>'04_checks'!B342</x:f>
        <x:v>P095</x:v>
      </x:c>
      <x:c r="C2383" t="n">
        <x:v>96</x:v>
      </x:c>
      <x:c r="D2383" t="n">
        <x:f>IF('04_checks'!D342="ERROR",1,0)</x:f>
        <x:v>0</x:v>
      </x:c>
      <x:c r="E2383" t="str">
        <x:v>Payment:96:2</x:v>
      </x:c>
      <x:c r="F2383" t="str">
        <x:v>Пустое поле</x:v>
      </x:c>
      <x:c r="G2383" t="str">
        <x:v>High</x:v>
      </x:c>
      <x:c r="H2383" t="str">
        <x:v>required_fields</x:v>
      </x:c>
      <x:c r="I2383" t="str">
        <x:v>Дополнить обязательные поля в источнике</x:v>
      </x:c>
      <x:c r="J2383" t="n">
        <x:f>IF(D2383=1,K2383,0)</x:f>
        <x:v>0</x:v>
      </x:c>
      <x:c r="K2383" t="n">
        <x:f>D2383+K2382</x:f>
        <x:v>25</x:v>
      </x:c>
    </x:row>
    <x:row r="2384">
      <x:c r="A2384" t="str">
        <x:v>Payment</x:v>
      </x:c>
      <x:c r="B2384" t="str">
        <x:f>'04_checks'!B342</x:f>
        <x:v>P095</x:v>
      </x:c>
      <x:c r="C2384" t="n">
        <x:v>96</x:v>
      </x:c>
      <x:c r="D2384" t="n">
        <x:f>IF('04_checks'!E342="ERROR",1,0)</x:f>
        <x:v>0</x:v>
      </x:c>
      <x:c r="E2384" t="str">
        <x:v>Payment:96:3</x:v>
      </x:c>
      <x:c r="F2384" t="str">
        <x:f>IF(COUNTIF('01_orders_raw'!$A$2:$A$181,'03_payments_raw'!B96)&gt;1,"Неоднозначная связь","Нет связи")</x:f>
        <x:v>Нет связи</x:v>
      </x:c>
      <x:c r="G2384" t="str">
        <x:v>High</x:v>
      </x:c>
      <x:c r="H2384" t="str">
        <x:v>order_id</x:v>
      </x:c>
      <x:c r="I2384" t="str">
        <x:v>Исправить ссылку или разрешить дубли связанного ID</x:v>
      </x:c>
      <x:c r="J2384" t="n">
        <x:f>IF(D2384=1,K2384,0)</x:f>
        <x:v>0</x:v>
      </x:c>
      <x:c r="K2384" t="n">
        <x:f>D2384+K2383</x:f>
        <x:v>25</x:v>
      </x:c>
    </x:row>
    <x:row r="2385">
      <x:c r="A2385" t="str">
        <x:v>Payment</x:v>
      </x:c>
      <x:c r="B2385" t="str">
        <x:f>'04_checks'!B342</x:f>
        <x:v>P095</x:v>
      </x:c>
      <x:c r="C2385" t="n">
        <x:v>96</x:v>
      </x:c>
      <x:c r="D2385" t="n">
        <x:f>IF('04_checks'!F342="ERROR",1,0)</x:f>
        <x:v>0</x:v>
      </x:c>
      <x:c r="E2385" t="str">
        <x:v>Payment:96:4</x:v>
      </x:c>
      <x:c r="F2385" t="str">
        <x:v>Ошибка расчета</x:v>
      </x:c>
      <x:c r="G2385" t="str">
        <x:v>High</x:v>
      </x:c>
      <x:c r="H2385" t="str">
        <x:v>payment_sum</x:v>
      </x:c>
      <x:c r="I2385" t="str">
        <x:v>Сверить исходные значения и правило расчёта</x:v>
      </x:c>
      <x:c r="J2385" t="n">
        <x:f>IF(D2385=1,K2385,0)</x:f>
        <x:v>0</x:v>
      </x:c>
      <x:c r="K2385" t="n">
        <x:f>D2385+K2384</x:f>
        <x:v>25</x:v>
      </x:c>
    </x:row>
    <x:row r="2386">
      <x:c r="A2386" t="str">
        <x:v>Payment</x:v>
      </x:c>
      <x:c r="B2386" t="str">
        <x:f>'04_checks'!B342</x:f>
        <x:v>P095</x:v>
      </x:c>
      <x:c r="C2386" t="n">
        <x:v>96</x:v>
      </x:c>
      <x:c r="D2386" t="n">
        <x:f>IF('04_checks'!G342="ERROR",1,0)</x:f>
        <x:v>0</x:v>
      </x:c>
      <x:c r="E2386" t="str">
        <x:v>Payment:96:5</x:v>
      </x:c>
      <x:c r="F2386" t="str">
        <x:v>Отрицательная цена</x:v>
      </x:c>
      <x:c r="G2386" t="str">
        <x:v>High</x:v>
      </x:c>
      <x:c r="H2386" t="str">
        <x:v>N/A</x:v>
      </x:c>
      <x:c r="I2386" t="str">
        <x:v>Проверить цену в источнике</x:v>
      </x:c>
      <x:c r="J2386" t="n">
        <x:f>IF(D2386=1,K2386,0)</x:f>
        <x:v>0</x:v>
      </x:c>
      <x:c r="K2386" t="n">
        <x:f>D2386+K2385</x:f>
        <x:v>25</x:v>
      </x:c>
    </x:row>
    <x:row r="2387">
      <x:c r="A2387" t="str">
        <x:v>Payment</x:v>
      </x:c>
      <x:c r="B2387" t="str">
        <x:f>'04_checks'!B342</x:f>
        <x:v>P095</x:v>
      </x:c>
      <x:c r="C2387" t="n">
        <x:v>96</x:v>
      </x:c>
      <x:c r="D2387" t="n">
        <x:f>IF('04_checks'!H342="ERROR",1,0)</x:f>
        <x:v>0</x:v>
      </x:c>
      <x:c r="E2387" t="str">
        <x:v>Payment:96:6</x:v>
      </x:c>
      <x:c r="F2387" t="str">
        <x:v>Дата</x:v>
      </x:c>
      <x:c r="G2387" t="str">
        <x:v>Medium</x:v>
      </x:c>
      <x:c r="H2387" t="str">
        <x:v>payment_date</x:v>
      </x:c>
      <x:c r="I2387" t="str">
        <x:v>Сверить дату со срезом и исходной записью</x:v>
      </x:c>
      <x:c r="J2387" t="n">
        <x:f>IF(D2387=1,K2387,0)</x:f>
        <x:v>0</x:v>
      </x:c>
      <x:c r="K2387" t="n">
        <x:f>D2387+K2386</x:f>
        <x:v>25</x:v>
      </x:c>
    </x:row>
    <x:row r="2388">
      <x:c r="A2388" t="str">
        <x:v>Payment</x:v>
      </x:c>
      <x:c r="B2388" t="str">
        <x:f>'04_checks'!B342</x:f>
        <x:v>P095</x:v>
      </x:c>
      <x:c r="C2388" t="n">
        <x:v>96</x:v>
      </x:c>
      <x:c r="D2388" t="n">
        <x:f>IF('04_checks'!I342="ERROR",1,0)</x:f>
        <x:v>0</x:v>
      </x:c>
      <x:c r="E2388" t="str">
        <x:v>Payment:96:7</x:v>
      </x:c>
      <x:c r="F2388" t="str">
        <x:v>Статус</x:v>
      </x:c>
      <x:c r="G2388" t="str">
        <x:v>Medium</x:v>
      </x:c>
      <x:c r="H2388" t="str">
        <x:v>payment_status</x:v>
      </x:c>
      <x:c r="I2388" t="str">
        <x:v>Выбрать допустимый статус</x:v>
      </x:c>
      <x:c r="J2388" t="n">
        <x:f>IF(D2388=1,K2388,0)</x:f>
        <x:v>0</x:v>
      </x:c>
      <x:c r="K2388" t="n">
        <x:f>D2388+K2387</x:f>
        <x:v>25</x:v>
      </x:c>
    </x:row>
    <x:row r="2389">
      <x:c r="A2389" t="str">
        <x:v>Payment</x:v>
      </x:c>
      <x:c r="B2389" t="str">
        <x:f>'04_checks'!B343</x:f>
        <x:v>P096</x:v>
      </x:c>
      <x:c r="C2389" t="n">
        <x:v>97</x:v>
      </x:c>
      <x:c r="D2389" t="n">
        <x:f>IF('04_checks'!C343="ERROR",1,0)</x:f>
        <x:v>0</x:v>
      </x:c>
      <x:c r="E2389" t="str">
        <x:v>Payment:97:1</x:v>
      </x:c>
      <x:c r="F2389" t="str">
        <x:v>Дубль</x:v>
      </x:c>
      <x:c r="G2389" t="str">
        <x:v>High</x:v>
      </x:c>
      <x:c r="H2389" t="str">
        <x:v>payment_id</x:v>
      </x:c>
      <x:c r="I2389" t="str">
        <x:v>Проверить уникальность ID в источнике; не удалять записи автоматически</x:v>
      </x:c>
      <x:c r="J2389" t="n">
        <x:f>IF(D2389=1,K2389,0)</x:f>
        <x:v>0</x:v>
      </x:c>
      <x:c r="K2389" t="n">
        <x:f>D2389+K2388</x:f>
        <x:v>25</x:v>
      </x:c>
    </x:row>
    <x:row r="2390">
      <x:c r="A2390" t="str">
        <x:v>Payment</x:v>
      </x:c>
      <x:c r="B2390" t="str">
        <x:f>'04_checks'!B343</x:f>
        <x:v>P096</x:v>
      </x:c>
      <x:c r="C2390" t="n">
        <x:v>97</x:v>
      </x:c>
      <x:c r="D2390" t="n">
        <x:f>IF('04_checks'!D343="ERROR",1,0)</x:f>
        <x:v>0</x:v>
      </x:c>
      <x:c r="E2390" t="str">
        <x:v>Payment:97:2</x:v>
      </x:c>
      <x:c r="F2390" t="str">
        <x:v>Пустое поле</x:v>
      </x:c>
      <x:c r="G2390" t="str">
        <x:v>High</x:v>
      </x:c>
      <x:c r="H2390" t="str">
        <x:v>required_fields</x:v>
      </x:c>
      <x:c r="I2390" t="str">
        <x:v>Дополнить обязательные поля в источнике</x:v>
      </x:c>
      <x:c r="J2390" t="n">
        <x:f>IF(D2390=1,K2390,0)</x:f>
        <x:v>0</x:v>
      </x:c>
      <x:c r="K2390" t="n">
        <x:f>D2390+K2389</x:f>
        <x:v>25</x:v>
      </x:c>
    </x:row>
    <x:row r="2391">
      <x:c r="A2391" t="str">
        <x:v>Payment</x:v>
      </x:c>
      <x:c r="B2391" t="str">
        <x:f>'04_checks'!B343</x:f>
        <x:v>P096</x:v>
      </x:c>
      <x:c r="C2391" t="n">
        <x:v>97</x:v>
      </x:c>
      <x:c r="D2391" t="n">
        <x:f>IF('04_checks'!E343="ERROR",1,0)</x:f>
        <x:v>0</x:v>
      </x:c>
      <x:c r="E2391" t="str">
        <x:v>Payment:97:3</x:v>
      </x:c>
      <x:c r="F2391" t="str">
        <x:f>IF(COUNTIF('01_orders_raw'!$A$2:$A$181,'03_payments_raw'!B97)&gt;1,"Неоднозначная связь","Нет связи")</x:f>
        <x:v>Нет связи</x:v>
      </x:c>
      <x:c r="G2391" t="str">
        <x:v>High</x:v>
      </x:c>
      <x:c r="H2391" t="str">
        <x:v>order_id</x:v>
      </x:c>
      <x:c r="I2391" t="str">
        <x:v>Исправить ссылку или разрешить дубли связанного ID</x:v>
      </x:c>
      <x:c r="J2391" t="n">
        <x:f>IF(D2391=1,K2391,0)</x:f>
        <x:v>0</x:v>
      </x:c>
      <x:c r="K2391" t="n">
        <x:f>D2391+K2390</x:f>
        <x:v>25</x:v>
      </x:c>
    </x:row>
    <x:row r="2392">
      <x:c r="A2392" t="str">
        <x:v>Payment</x:v>
      </x:c>
      <x:c r="B2392" t="str">
        <x:f>'04_checks'!B343</x:f>
        <x:v>P096</x:v>
      </x:c>
      <x:c r="C2392" t="n">
        <x:v>97</x:v>
      </x:c>
      <x:c r="D2392" t="n">
        <x:f>IF('04_checks'!F343="ERROR",1,0)</x:f>
        <x:v>0</x:v>
      </x:c>
      <x:c r="E2392" t="str">
        <x:v>Payment:97:4</x:v>
      </x:c>
      <x:c r="F2392" t="str">
        <x:v>Ошибка расчета</x:v>
      </x:c>
      <x:c r="G2392" t="str">
        <x:v>High</x:v>
      </x:c>
      <x:c r="H2392" t="str">
        <x:v>payment_sum</x:v>
      </x:c>
      <x:c r="I2392" t="str">
        <x:v>Сверить исходные значения и правило расчёта</x:v>
      </x:c>
      <x:c r="J2392" t="n">
        <x:f>IF(D2392=1,K2392,0)</x:f>
        <x:v>0</x:v>
      </x:c>
      <x:c r="K2392" t="n">
        <x:f>D2392+K2391</x:f>
        <x:v>25</x:v>
      </x:c>
    </x:row>
    <x:row r="2393">
      <x:c r="A2393" t="str">
        <x:v>Payment</x:v>
      </x:c>
      <x:c r="B2393" t="str">
        <x:f>'04_checks'!B343</x:f>
        <x:v>P096</x:v>
      </x:c>
      <x:c r="C2393" t="n">
        <x:v>97</x:v>
      </x:c>
      <x:c r="D2393" t="n">
        <x:f>IF('04_checks'!G343="ERROR",1,0)</x:f>
        <x:v>0</x:v>
      </x:c>
      <x:c r="E2393" t="str">
        <x:v>Payment:97:5</x:v>
      </x:c>
      <x:c r="F2393" t="str">
        <x:v>Отрицательная цена</x:v>
      </x:c>
      <x:c r="G2393" t="str">
        <x:v>High</x:v>
      </x:c>
      <x:c r="H2393" t="str">
        <x:v>N/A</x:v>
      </x:c>
      <x:c r="I2393" t="str">
        <x:v>Проверить цену в источнике</x:v>
      </x:c>
      <x:c r="J2393" t="n">
        <x:f>IF(D2393=1,K2393,0)</x:f>
        <x:v>0</x:v>
      </x:c>
      <x:c r="K2393" t="n">
        <x:f>D2393+K2392</x:f>
        <x:v>25</x:v>
      </x:c>
    </x:row>
    <x:row r="2394">
      <x:c r="A2394" t="str">
        <x:v>Payment</x:v>
      </x:c>
      <x:c r="B2394" t="str">
        <x:f>'04_checks'!B343</x:f>
        <x:v>P096</x:v>
      </x:c>
      <x:c r="C2394" t="n">
        <x:v>97</x:v>
      </x:c>
      <x:c r="D2394" t="n">
        <x:f>IF('04_checks'!H343="ERROR",1,0)</x:f>
        <x:v>0</x:v>
      </x:c>
      <x:c r="E2394" t="str">
        <x:v>Payment:97:6</x:v>
      </x:c>
      <x:c r="F2394" t="str">
        <x:v>Дата</x:v>
      </x:c>
      <x:c r="G2394" t="str">
        <x:v>Medium</x:v>
      </x:c>
      <x:c r="H2394" t="str">
        <x:v>payment_date</x:v>
      </x:c>
      <x:c r="I2394" t="str">
        <x:v>Сверить дату со срезом и исходной записью</x:v>
      </x:c>
      <x:c r="J2394" t="n">
        <x:f>IF(D2394=1,K2394,0)</x:f>
        <x:v>0</x:v>
      </x:c>
      <x:c r="K2394" t="n">
        <x:f>D2394+K2393</x:f>
        <x:v>25</x:v>
      </x:c>
    </x:row>
    <x:row r="2395">
      <x:c r="A2395" t="str">
        <x:v>Payment</x:v>
      </x:c>
      <x:c r="B2395" t="str">
        <x:f>'04_checks'!B343</x:f>
        <x:v>P096</x:v>
      </x:c>
      <x:c r="C2395" t="n">
        <x:v>97</x:v>
      </x:c>
      <x:c r="D2395" t="n">
        <x:f>IF('04_checks'!I343="ERROR",1,0)</x:f>
        <x:v>0</x:v>
      </x:c>
      <x:c r="E2395" t="str">
        <x:v>Payment:97:7</x:v>
      </x:c>
      <x:c r="F2395" t="str">
        <x:v>Статус</x:v>
      </x:c>
      <x:c r="G2395" t="str">
        <x:v>Medium</x:v>
      </x:c>
      <x:c r="H2395" t="str">
        <x:v>payment_status</x:v>
      </x:c>
      <x:c r="I2395" t="str">
        <x:v>Выбрать допустимый статус</x:v>
      </x:c>
      <x:c r="J2395" t="n">
        <x:f>IF(D2395=1,K2395,0)</x:f>
        <x:v>0</x:v>
      </x:c>
      <x:c r="K2395" t="n">
        <x:f>D2395+K2394</x:f>
        <x:v>25</x:v>
      </x:c>
    </x:row>
    <x:row r="2396">
      <x:c r="A2396" t="str">
        <x:v>Payment</x:v>
      </x:c>
      <x:c r="B2396" t="str">
        <x:f>'04_checks'!B344</x:f>
        <x:v>P097</x:v>
      </x:c>
      <x:c r="C2396" t="n">
        <x:v>98</x:v>
      </x:c>
      <x:c r="D2396" t="n">
        <x:f>IF('04_checks'!C344="ERROR",1,0)</x:f>
        <x:v>0</x:v>
      </x:c>
      <x:c r="E2396" t="str">
        <x:v>Payment:98:1</x:v>
      </x:c>
      <x:c r="F2396" t="str">
        <x:v>Дубль</x:v>
      </x:c>
      <x:c r="G2396" t="str">
        <x:v>High</x:v>
      </x:c>
      <x:c r="H2396" t="str">
        <x:v>payment_id</x:v>
      </x:c>
      <x:c r="I2396" t="str">
        <x:v>Проверить уникальность ID в источнике; не удалять записи автоматически</x:v>
      </x:c>
      <x:c r="J2396" t="n">
        <x:f>IF(D2396=1,K2396,0)</x:f>
        <x:v>0</x:v>
      </x:c>
      <x:c r="K2396" t="n">
        <x:f>D2396+K2395</x:f>
        <x:v>25</x:v>
      </x:c>
    </x:row>
    <x:row r="2397">
      <x:c r="A2397" t="str">
        <x:v>Payment</x:v>
      </x:c>
      <x:c r="B2397" t="str">
        <x:f>'04_checks'!B344</x:f>
        <x:v>P097</x:v>
      </x:c>
      <x:c r="C2397" t="n">
        <x:v>98</x:v>
      </x:c>
      <x:c r="D2397" t="n">
        <x:f>IF('04_checks'!D344="ERROR",1,0)</x:f>
        <x:v>0</x:v>
      </x:c>
      <x:c r="E2397" t="str">
        <x:v>Payment:98:2</x:v>
      </x:c>
      <x:c r="F2397" t="str">
        <x:v>Пустое поле</x:v>
      </x:c>
      <x:c r="G2397" t="str">
        <x:v>High</x:v>
      </x:c>
      <x:c r="H2397" t="str">
        <x:v>required_fields</x:v>
      </x:c>
      <x:c r="I2397" t="str">
        <x:v>Дополнить обязательные поля в источнике</x:v>
      </x:c>
      <x:c r="J2397" t="n">
        <x:f>IF(D2397=1,K2397,0)</x:f>
        <x:v>0</x:v>
      </x:c>
      <x:c r="K2397" t="n">
        <x:f>D2397+K2396</x:f>
        <x:v>25</x:v>
      </x:c>
    </x:row>
    <x:row r="2398">
      <x:c r="A2398" t="str">
        <x:v>Payment</x:v>
      </x:c>
      <x:c r="B2398" t="str">
        <x:f>'04_checks'!B344</x:f>
        <x:v>P097</x:v>
      </x:c>
      <x:c r="C2398" t="n">
        <x:v>98</x:v>
      </x:c>
      <x:c r="D2398" t="n">
        <x:f>IF('04_checks'!E344="ERROR",1,0)</x:f>
        <x:v>0</x:v>
      </x:c>
      <x:c r="E2398" t="str">
        <x:v>Payment:98:3</x:v>
      </x:c>
      <x:c r="F2398" t="str">
        <x:f>IF(COUNTIF('01_orders_raw'!$A$2:$A$181,'03_payments_raw'!B98)&gt;1,"Неоднозначная связь","Нет связи")</x:f>
        <x:v>Нет связи</x:v>
      </x:c>
      <x:c r="G2398" t="str">
        <x:v>High</x:v>
      </x:c>
      <x:c r="H2398" t="str">
        <x:v>order_id</x:v>
      </x:c>
      <x:c r="I2398" t="str">
        <x:v>Исправить ссылку или разрешить дубли связанного ID</x:v>
      </x:c>
      <x:c r="J2398" t="n">
        <x:f>IF(D2398=1,K2398,0)</x:f>
        <x:v>0</x:v>
      </x:c>
      <x:c r="K2398" t="n">
        <x:f>D2398+K2397</x:f>
        <x:v>25</x:v>
      </x:c>
    </x:row>
    <x:row r="2399">
      <x:c r="A2399" t="str">
        <x:v>Payment</x:v>
      </x:c>
      <x:c r="B2399" t="str">
        <x:f>'04_checks'!B344</x:f>
        <x:v>P097</x:v>
      </x:c>
      <x:c r="C2399" t="n">
        <x:v>98</x:v>
      </x:c>
      <x:c r="D2399" t="n">
        <x:f>IF('04_checks'!F344="ERROR",1,0)</x:f>
        <x:v>0</x:v>
      </x:c>
      <x:c r="E2399" t="str">
        <x:v>Payment:98:4</x:v>
      </x:c>
      <x:c r="F2399" t="str">
        <x:v>Ошибка расчета</x:v>
      </x:c>
      <x:c r="G2399" t="str">
        <x:v>High</x:v>
      </x:c>
      <x:c r="H2399" t="str">
        <x:v>payment_sum</x:v>
      </x:c>
      <x:c r="I2399" t="str">
        <x:v>Сверить исходные значения и правило расчёта</x:v>
      </x:c>
      <x:c r="J2399" t="n">
        <x:f>IF(D2399=1,K2399,0)</x:f>
        <x:v>0</x:v>
      </x:c>
      <x:c r="K2399" t="n">
        <x:f>D2399+K2398</x:f>
        <x:v>25</x:v>
      </x:c>
    </x:row>
    <x:row r="2400">
      <x:c r="A2400" t="str">
        <x:v>Payment</x:v>
      </x:c>
      <x:c r="B2400" t="str">
        <x:f>'04_checks'!B344</x:f>
        <x:v>P097</x:v>
      </x:c>
      <x:c r="C2400" t="n">
        <x:v>98</x:v>
      </x:c>
      <x:c r="D2400" t="n">
        <x:f>IF('04_checks'!G344="ERROR",1,0)</x:f>
        <x:v>0</x:v>
      </x:c>
      <x:c r="E2400" t="str">
        <x:v>Payment:98:5</x:v>
      </x:c>
      <x:c r="F2400" t="str">
        <x:v>Отрицательная цена</x:v>
      </x:c>
      <x:c r="G2400" t="str">
        <x:v>High</x:v>
      </x:c>
      <x:c r="H2400" t="str">
        <x:v>N/A</x:v>
      </x:c>
      <x:c r="I2400" t="str">
        <x:v>Проверить цену в источнике</x:v>
      </x:c>
      <x:c r="J2400" t="n">
        <x:f>IF(D2400=1,K2400,0)</x:f>
        <x:v>0</x:v>
      </x:c>
      <x:c r="K2400" t="n">
        <x:f>D2400+K2399</x:f>
        <x:v>25</x:v>
      </x:c>
    </x:row>
    <x:row r="2401">
      <x:c r="A2401" t="str">
        <x:v>Payment</x:v>
      </x:c>
      <x:c r="B2401" t="str">
        <x:f>'04_checks'!B344</x:f>
        <x:v>P097</x:v>
      </x:c>
      <x:c r="C2401" t="n">
        <x:v>98</x:v>
      </x:c>
      <x:c r="D2401" t="n">
        <x:f>IF('04_checks'!H344="ERROR",1,0)</x:f>
        <x:v>0</x:v>
      </x:c>
      <x:c r="E2401" t="str">
        <x:v>Payment:98:6</x:v>
      </x:c>
      <x:c r="F2401" t="str">
        <x:v>Дата</x:v>
      </x:c>
      <x:c r="G2401" t="str">
        <x:v>Medium</x:v>
      </x:c>
      <x:c r="H2401" t="str">
        <x:v>payment_date</x:v>
      </x:c>
      <x:c r="I2401" t="str">
        <x:v>Сверить дату со срезом и исходной записью</x:v>
      </x:c>
      <x:c r="J2401" t="n">
        <x:f>IF(D2401=1,K2401,0)</x:f>
        <x:v>0</x:v>
      </x:c>
      <x:c r="K2401" t="n">
        <x:f>D2401+K2400</x:f>
        <x:v>25</x:v>
      </x:c>
    </x:row>
    <x:row r="2402">
      <x:c r="A2402" t="str">
        <x:v>Payment</x:v>
      </x:c>
      <x:c r="B2402" t="str">
        <x:f>'04_checks'!B344</x:f>
        <x:v>P097</x:v>
      </x:c>
      <x:c r="C2402" t="n">
        <x:v>98</x:v>
      </x:c>
      <x:c r="D2402" t="n">
        <x:f>IF('04_checks'!I344="ERROR",1,0)</x:f>
        <x:v>0</x:v>
      </x:c>
      <x:c r="E2402" t="str">
        <x:v>Payment:98:7</x:v>
      </x:c>
      <x:c r="F2402" t="str">
        <x:v>Статус</x:v>
      </x:c>
      <x:c r="G2402" t="str">
        <x:v>Medium</x:v>
      </x:c>
      <x:c r="H2402" t="str">
        <x:v>payment_status</x:v>
      </x:c>
      <x:c r="I2402" t="str">
        <x:v>Выбрать допустимый статус</x:v>
      </x:c>
      <x:c r="J2402" t="n">
        <x:f>IF(D2402=1,K2402,0)</x:f>
        <x:v>0</x:v>
      </x:c>
      <x:c r="K2402" t="n">
        <x:f>D2402+K2401</x:f>
        <x:v>25</x:v>
      </x:c>
    </x:row>
    <x:row r="2403">
      <x:c r="A2403" t="str">
        <x:v>Payment</x:v>
      </x:c>
      <x:c r="B2403" t="str">
        <x:f>'04_checks'!B345</x:f>
        <x:v>P098</x:v>
      </x:c>
      <x:c r="C2403" t="n">
        <x:v>99</x:v>
      </x:c>
      <x:c r="D2403" t="n">
        <x:f>IF('04_checks'!C345="ERROR",1,0)</x:f>
        <x:v>0</x:v>
      </x:c>
      <x:c r="E2403" t="str">
        <x:v>Payment:99:1</x:v>
      </x:c>
      <x:c r="F2403" t="str">
        <x:v>Дубль</x:v>
      </x:c>
      <x:c r="G2403" t="str">
        <x:v>High</x:v>
      </x:c>
      <x:c r="H2403" t="str">
        <x:v>payment_id</x:v>
      </x:c>
      <x:c r="I2403" t="str">
        <x:v>Проверить уникальность ID в источнике; не удалять записи автоматически</x:v>
      </x:c>
      <x:c r="J2403" t="n">
        <x:f>IF(D2403=1,K2403,0)</x:f>
        <x:v>0</x:v>
      </x:c>
      <x:c r="K2403" t="n">
        <x:f>D2403+K2402</x:f>
        <x:v>25</x:v>
      </x:c>
    </x:row>
    <x:row r="2404">
      <x:c r="A2404" t="str">
        <x:v>Payment</x:v>
      </x:c>
      <x:c r="B2404" t="str">
        <x:f>'04_checks'!B345</x:f>
        <x:v>P098</x:v>
      </x:c>
      <x:c r="C2404" t="n">
        <x:v>99</x:v>
      </x:c>
      <x:c r="D2404" t="n">
        <x:f>IF('04_checks'!D345="ERROR",1,0)</x:f>
        <x:v>0</x:v>
      </x:c>
      <x:c r="E2404" t="str">
        <x:v>Payment:99:2</x:v>
      </x:c>
      <x:c r="F2404" t="str">
        <x:v>Пустое поле</x:v>
      </x:c>
      <x:c r="G2404" t="str">
        <x:v>High</x:v>
      </x:c>
      <x:c r="H2404" t="str">
        <x:v>required_fields</x:v>
      </x:c>
      <x:c r="I2404" t="str">
        <x:v>Дополнить обязательные поля в источнике</x:v>
      </x:c>
      <x:c r="J2404" t="n">
        <x:f>IF(D2404=1,K2404,0)</x:f>
        <x:v>0</x:v>
      </x:c>
      <x:c r="K2404" t="n">
        <x:f>D2404+K2403</x:f>
        <x:v>25</x:v>
      </x:c>
    </x:row>
    <x:row r="2405">
      <x:c r="A2405" t="str">
        <x:v>Payment</x:v>
      </x:c>
      <x:c r="B2405" t="str">
        <x:f>'04_checks'!B345</x:f>
        <x:v>P098</x:v>
      </x:c>
      <x:c r="C2405" t="n">
        <x:v>99</x:v>
      </x:c>
      <x:c r="D2405" t="n">
        <x:f>IF('04_checks'!E345="ERROR",1,0)</x:f>
        <x:v>0</x:v>
      </x:c>
      <x:c r="E2405" t="str">
        <x:v>Payment:99:3</x:v>
      </x:c>
      <x:c r="F2405" t="str">
        <x:f>IF(COUNTIF('01_orders_raw'!$A$2:$A$181,'03_payments_raw'!B99)&gt;1,"Неоднозначная связь","Нет связи")</x:f>
        <x:v>Нет связи</x:v>
      </x:c>
      <x:c r="G2405" t="str">
        <x:v>High</x:v>
      </x:c>
      <x:c r="H2405" t="str">
        <x:v>order_id</x:v>
      </x:c>
      <x:c r="I2405" t="str">
        <x:v>Исправить ссылку или разрешить дубли связанного ID</x:v>
      </x:c>
      <x:c r="J2405" t="n">
        <x:f>IF(D2405=1,K2405,0)</x:f>
        <x:v>0</x:v>
      </x:c>
      <x:c r="K2405" t="n">
        <x:f>D2405+K2404</x:f>
        <x:v>25</x:v>
      </x:c>
    </x:row>
    <x:row r="2406">
      <x:c r="A2406" t="str">
        <x:v>Payment</x:v>
      </x:c>
      <x:c r="B2406" t="str">
        <x:f>'04_checks'!B345</x:f>
        <x:v>P098</x:v>
      </x:c>
      <x:c r="C2406" t="n">
        <x:v>99</x:v>
      </x:c>
      <x:c r="D2406" t="n">
        <x:f>IF('04_checks'!F345="ERROR",1,0)</x:f>
        <x:v>0</x:v>
      </x:c>
      <x:c r="E2406" t="str">
        <x:v>Payment:99:4</x:v>
      </x:c>
      <x:c r="F2406" t="str">
        <x:v>Ошибка расчета</x:v>
      </x:c>
      <x:c r="G2406" t="str">
        <x:v>High</x:v>
      </x:c>
      <x:c r="H2406" t="str">
        <x:v>payment_sum</x:v>
      </x:c>
      <x:c r="I2406" t="str">
        <x:v>Сверить исходные значения и правило расчёта</x:v>
      </x:c>
      <x:c r="J2406" t="n">
        <x:f>IF(D2406=1,K2406,0)</x:f>
        <x:v>0</x:v>
      </x:c>
      <x:c r="K2406" t="n">
        <x:f>D2406+K2405</x:f>
        <x:v>25</x:v>
      </x:c>
    </x:row>
    <x:row r="2407">
      <x:c r="A2407" t="str">
        <x:v>Payment</x:v>
      </x:c>
      <x:c r="B2407" t="str">
        <x:f>'04_checks'!B345</x:f>
        <x:v>P098</x:v>
      </x:c>
      <x:c r="C2407" t="n">
        <x:v>99</x:v>
      </x:c>
      <x:c r="D2407" t="n">
        <x:f>IF('04_checks'!G345="ERROR",1,0)</x:f>
        <x:v>0</x:v>
      </x:c>
      <x:c r="E2407" t="str">
        <x:v>Payment:99:5</x:v>
      </x:c>
      <x:c r="F2407" t="str">
        <x:v>Отрицательная цена</x:v>
      </x:c>
      <x:c r="G2407" t="str">
        <x:v>High</x:v>
      </x:c>
      <x:c r="H2407" t="str">
        <x:v>N/A</x:v>
      </x:c>
      <x:c r="I2407" t="str">
        <x:v>Проверить цену в источнике</x:v>
      </x:c>
      <x:c r="J2407" t="n">
        <x:f>IF(D2407=1,K2407,0)</x:f>
        <x:v>0</x:v>
      </x:c>
      <x:c r="K2407" t="n">
        <x:f>D2407+K2406</x:f>
        <x:v>25</x:v>
      </x:c>
    </x:row>
    <x:row r="2408">
      <x:c r="A2408" t="str">
        <x:v>Payment</x:v>
      </x:c>
      <x:c r="B2408" t="str">
        <x:f>'04_checks'!B345</x:f>
        <x:v>P098</x:v>
      </x:c>
      <x:c r="C2408" t="n">
        <x:v>99</x:v>
      </x:c>
      <x:c r="D2408" t="n">
        <x:f>IF('04_checks'!H345="ERROR",1,0)</x:f>
        <x:v>0</x:v>
      </x:c>
      <x:c r="E2408" t="str">
        <x:v>Payment:99:6</x:v>
      </x:c>
      <x:c r="F2408" t="str">
        <x:v>Дата</x:v>
      </x:c>
      <x:c r="G2408" t="str">
        <x:v>Medium</x:v>
      </x:c>
      <x:c r="H2408" t="str">
        <x:v>payment_date</x:v>
      </x:c>
      <x:c r="I2408" t="str">
        <x:v>Сверить дату со срезом и исходной записью</x:v>
      </x:c>
      <x:c r="J2408" t="n">
        <x:f>IF(D2408=1,K2408,0)</x:f>
        <x:v>0</x:v>
      </x:c>
      <x:c r="K2408" t="n">
        <x:f>D2408+K2407</x:f>
        <x:v>25</x:v>
      </x:c>
    </x:row>
    <x:row r="2409">
      <x:c r="A2409" t="str">
        <x:v>Payment</x:v>
      </x:c>
      <x:c r="B2409" t="str">
        <x:f>'04_checks'!B345</x:f>
        <x:v>P098</x:v>
      </x:c>
      <x:c r="C2409" t="n">
        <x:v>99</x:v>
      </x:c>
      <x:c r="D2409" t="n">
        <x:f>IF('04_checks'!I345="ERROR",1,0)</x:f>
        <x:v>0</x:v>
      </x:c>
      <x:c r="E2409" t="str">
        <x:v>Payment:99:7</x:v>
      </x:c>
      <x:c r="F2409" t="str">
        <x:v>Статус</x:v>
      </x:c>
      <x:c r="G2409" t="str">
        <x:v>Medium</x:v>
      </x:c>
      <x:c r="H2409" t="str">
        <x:v>payment_status</x:v>
      </x:c>
      <x:c r="I2409" t="str">
        <x:v>Выбрать допустимый статус</x:v>
      </x:c>
      <x:c r="J2409" t="n">
        <x:f>IF(D2409=1,K2409,0)</x:f>
        <x:v>0</x:v>
      </x:c>
      <x:c r="K2409" t="n">
        <x:f>D2409+K2408</x:f>
        <x:v>25</x:v>
      </x:c>
    </x:row>
    <x:row r="2410">
      <x:c r="A2410" t="str">
        <x:v>Payment</x:v>
      </x:c>
      <x:c r="B2410" t="str">
        <x:f>'04_checks'!B346</x:f>
        <x:v>P099</x:v>
      </x:c>
      <x:c r="C2410" t="n">
        <x:v>100</x:v>
      </x:c>
      <x:c r="D2410" t="n">
        <x:f>IF('04_checks'!C346="ERROR",1,0)</x:f>
        <x:v>0</x:v>
      </x:c>
      <x:c r="E2410" t="str">
        <x:v>Payment:100:1</x:v>
      </x:c>
      <x:c r="F2410" t="str">
        <x:v>Дубль</x:v>
      </x:c>
      <x:c r="G2410" t="str">
        <x:v>High</x:v>
      </x:c>
      <x:c r="H2410" t="str">
        <x:v>payment_id</x:v>
      </x:c>
      <x:c r="I2410" t="str">
        <x:v>Проверить уникальность ID в источнике; не удалять записи автоматически</x:v>
      </x:c>
      <x:c r="J2410" t="n">
        <x:f>IF(D2410=1,K2410,0)</x:f>
        <x:v>0</x:v>
      </x:c>
      <x:c r="K2410" t="n">
        <x:f>D2410+K2409</x:f>
        <x:v>25</x:v>
      </x:c>
    </x:row>
    <x:row r="2411">
      <x:c r="A2411" t="str">
        <x:v>Payment</x:v>
      </x:c>
      <x:c r="B2411" t="str">
        <x:f>'04_checks'!B346</x:f>
        <x:v>P099</x:v>
      </x:c>
      <x:c r="C2411" t="n">
        <x:v>100</x:v>
      </x:c>
      <x:c r="D2411" t="n">
        <x:f>IF('04_checks'!D346="ERROR",1,0)</x:f>
        <x:v>0</x:v>
      </x:c>
      <x:c r="E2411" t="str">
        <x:v>Payment:100:2</x:v>
      </x:c>
      <x:c r="F2411" t="str">
        <x:v>Пустое поле</x:v>
      </x:c>
      <x:c r="G2411" t="str">
        <x:v>High</x:v>
      </x:c>
      <x:c r="H2411" t="str">
        <x:v>required_fields</x:v>
      </x:c>
      <x:c r="I2411" t="str">
        <x:v>Дополнить обязательные поля в источнике</x:v>
      </x:c>
      <x:c r="J2411" t="n">
        <x:f>IF(D2411=1,K2411,0)</x:f>
        <x:v>0</x:v>
      </x:c>
      <x:c r="K2411" t="n">
        <x:f>D2411+K2410</x:f>
        <x:v>25</x:v>
      </x:c>
    </x:row>
    <x:row r="2412">
      <x:c r="A2412" t="str">
        <x:v>Payment</x:v>
      </x:c>
      <x:c r="B2412" t="str">
        <x:f>'04_checks'!B346</x:f>
        <x:v>P099</x:v>
      </x:c>
      <x:c r="C2412" t="n">
        <x:v>100</x:v>
      </x:c>
      <x:c r="D2412" t="n">
        <x:f>IF('04_checks'!E346="ERROR",1,0)</x:f>
        <x:v>0</x:v>
      </x:c>
      <x:c r="E2412" t="str">
        <x:v>Payment:100:3</x:v>
      </x:c>
      <x:c r="F2412" t="str">
        <x:f>IF(COUNTIF('01_orders_raw'!$A$2:$A$181,'03_payments_raw'!B100)&gt;1,"Неоднозначная связь","Нет связи")</x:f>
        <x:v>Нет связи</x:v>
      </x:c>
      <x:c r="G2412" t="str">
        <x:v>High</x:v>
      </x:c>
      <x:c r="H2412" t="str">
        <x:v>order_id</x:v>
      </x:c>
      <x:c r="I2412" t="str">
        <x:v>Исправить ссылку или разрешить дубли связанного ID</x:v>
      </x:c>
      <x:c r="J2412" t="n">
        <x:f>IF(D2412=1,K2412,0)</x:f>
        <x:v>0</x:v>
      </x:c>
      <x:c r="K2412" t="n">
        <x:f>D2412+K2411</x:f>
        <x:v>25</x:v>
      </x:c>
    </x:row>
    <x:row r="2413">
      <x:c r="A2413" t="str">
        <x:v>Payment</x:v>
      </x:c>
      <x:c r="B2413" t="str">
        <x:f>'04_checks'!B346</x:f>
        <x:v>P099</x:v>
      </x:c>
      <x:c r="C2413" t="n">
        <x:v>100</x:v>
      </x:c>
      <x:c r="D2413" t="n">
        <x:f>IF('04_checks'!F346="ERROR",1,0)</x:f>
        <x:v>0</x:v>
      </x:c>
      <x:c r="E2413" t="str">
        <x:v>Payment:100:4</x:v>
      </x:c>
      <x:c r="F2413" t="str">
        <x:v>Ошибка расчета</x:v>
      </x:c>
      <x:c r="G2413" t="str">
        <x:v>High</x:v>
      </x:c>
      <x:c r="H2413" t="str">
        <x:v>payment_sum</x:v>
      </x:c>
      <x:c r="I2413" t="str">
        <x:v>Сверить исходные значения и правило расчёта</x:v>
      </x:c>
      <x:c r="J2413" t="n">
        <x:f>IF(D2413=1,K2413,0)</x:f>
        <x:v>0</x:v>
      </x:c>
      <x:c r="K2413" t="n">
        <x:f>D2413+K2412</x:f>
        <x:v>25</x:v>
      </x:c>
    </x:row>
    <x:row r="2414">
      <x:c r="A2414" t="str">
        <x:v>Payment</x:v>
      </x:c>
      <x:c r="B2414" t="str">
        <x:f>'04_checks'!B346</x:f>
        <x:v>P099</x:v>
      </x:c>
      <x:c r="C2414" t="n">
        <x:v>100</x:v>
      </x:c>
      <x:c r="D2414" t="n">
        <x:f>IF('04_checks'!G346="ERROR",1,0)</x:f>
        <x:v>0</x:v>
      </x:c>
      <x:c r="E2414" t="str">
        <x:v>Payment:100:5</x:v>
      </x:c>
      <x:c r="F2414" t="str">
        <x:v>Отрицательная цена</x:v>
      </x:c>
      <x:c r="G2414" t="str">
        <x:v>High</x:v>
      </x:c>
      <x:c r="H2414" t="str">
        <x:v>N/A</x:v>
      </x:c>
      <x:c r="I2414" t="str">
        <x:v>Проверить цену в источнике</x:v>
      </x:c>
      <x:c r="J2414" t="n">
        <x:f>IF(D2414=1,K2414,0)</x:f>
        <x:v>0</x:v>
      </x:c>
      <x:c r="K2414" t="n">
        <x:f>D2414+K2413</x:f>
        <x:v>25</x:v>
      </x:c>
    </x:row>
    <x:row r="2415">
      <x:c r="A2415" t="str">
        <x:v>Payment</x:v>
      </x:c>
      <x:c r="B2415" t="str">
        <x:f>'04_checks'!B346</x:f>
        <x:v>P099</x:v>
      </x:c>
      <x:c r="C2415" t="n">
        <x:v>100</x:v>
      </x:c>
      <x:c r="D2415" t="n">
        <x:f>IF('04_checks'!H346="ERROR",1,0)</x:f>
        <x:v>0</x:v>
      </x:c>
      <x:c r="E2415" t="str">
        <x:v>Payment:100:6</x:v>
      </x:c>
      <x:c r="F2415" t="str">
        <x:v>Дата</x:v>
      </x:c>
      <x:c r="G2415" t="str">
        <x:v>Medium</x:v>
      </x:c>
      <x:c r="H2415" t="str">
        <x:v>payment_date</x:v>
      </x:c>
      <x:c r="I2415" t="str">
        <x:v>Сверить дату со срезом и исходной записью</x:v>
      </x:c>
      <x:c r="J2415" t="n">
        <x:f>IF(D2415=1,K2415,0)</x:f>
        <x:v>0</x:v>
      </x:c>
      <x:c r="K2415" t="n">
        <x:f>D2415+K2414</x:f>
        <x:v>25</x:v>
      </x:c>
    </x:row>
    <x:row r="2416">
      <x:c r="A2416" t="str">
        <x:v>Payment</x:v>
      </x:c>
      <x:c r="B2416" t="str">
        <x:f>'04_checks'!B346</x:f>
        <x:v>P099</x:v>
      </x:c>
      <x:c r="C2416" t="n">
        <x:v>100</x:v>
      </x:c>
      <x:c r="D2416" t="n">
        <x:f>IF('04_checks'!I346="ERROR",1,0)</x:f>
        <x:v>0</x:v>
      </x:c>
      <x:c r="E2416" t="str">
        <x:v>Payment:100:7</x:v>
      </x:c>
      <x:c r="F2416" t="str">
        <x:v>Статус</x:v>
      </x:c>
      <x:c r="G2416" t="str">
        <x:v>Medium</x:v>
      </x:c>
      <x:c r="H2416" t="str">
        <x:v>payment_status</x:v>
      </x:c>
      <x:c r="I2416" t="str">
        <x:v>Выбрать допустимый статус</x:v>
      </x:c>
      <x:c r="J2416" t="n">
        <x:f>IF(D2416=1,K2416,0)</x:f>
        <x:v>0</x:v>
      </x:c>
      <x:c r="K2416" t="n">
        <x:f>D2416+K2415</x:f>
        <x:v>25</x:v>
      </x:c>
    </x:row>
    <x:row r="2417">
      <x:c r="A2417" t="str">
        <x:v>Payment</x:v>
      </x:c>
      <x:c r="B2417" t="str">
        <x:f>'04_checks'!B347</x:f>
        <x:v>P100</x:v>
      </x:c>
      <x:c r="C2417" t="n">
        <x:v>101</x:v>
      </x:c>
      <x:c r="D2417" t="n">
        <x:f>IF('04_checks'!C347="ERROR",1,0)</x:f>
        <x:v>0</x:v>
      </x:c>
      <x:c r="E2417" t="str">
        <x:v>Payment:101:1</x:v>
      </x:c>
      <x:c r="F2417" t="str">
        <x:v>Дубль</x:v>
      </x:c>
      <x:c r="G2417" t="str">
        <x:v>High</x:v>
      </x:c>
      <x:c r="H2417" t="str">
        <x:v>payment_id</x:v>
      </x:c>
      <x:c r="I2417" t="str">
        <x:v>Проверить уникальность ID в источнике; не удалять записи автоматически</x:v>
      </x:c>
      <x:c r="J2417" t="n">
        <x:f>IF(D2417=1,K2417,0)</x:f>
        <x:v>0</x:v>
      </x:c>
      <x:c r="K2417" t="n">
        <x:f>D2417+K2416</x:f>
        <x:v>25</x:v>
      </x:c>
    </x:row>
    <x:row r="2418">
      <x:c r="A2418" t="str">
        <x:v>Payment</x:v>
      </x:c>
      <x:c r="B2418" t="str">
        <x:f>'04_checks'!B347</x:f>
        <x:v>P100</x:v>
      </x:c>
      <x:c r="C2418" t="n">
        <x:v>101</x:v>
      </x:c>
      <x:c r="D2418" t="n">
        <x:f>IF('04_checks'!D347="ERROR",1,0)</x:f>
        <x:v>0</x:v>
      </x:c>
      <x:c r="E2418" t="str">
        <x:v>Payment:101:2</x:v>
      </x:c>
      <x:c r="F2418" t="str">
        <x:v>Пустое поле</x:v>
      </x:c>
      <x:c r="G2418" t="str">
        <x:v>High</x:v>
      </x:c>
      <x:c r="H2418" t="str">
        <x:v>required_fields</x:v>
      </x:c>
      <x:c r="I2418" t="str">
        <x:v>Дополнить обязательные поля в источнике</x:v>
      </x:c>
      <x:c r="J2418" t="n">
        <x:f>IF(D2418=1,K2418,0)</x:f>
        <x:v>0</x:v>
      </x:c>
      <x:c r="K2418" t="n">
        <x:f>D2418+K2417</x:f>
        <x:v>25</x:v>
      </x:c>
    </x:row>
    <x:row r="2419">
      <x:c r="A2419" t="str">
        <x:v>Payment</x:v>
      </x:c>
      <x:c r="B2419" t="str">
        <x:f>'04_checks'!B347</x:f>
        <x:v>P100</x:v>
      </x:c>
      <x:c r="C2419" t="n">
        <x:v>101</x:v>
      </x:c>
      <x:c r="D2419" t="n">
        <x:f>IF('04_checks'!E347="ERROR",1,0)</x:f>
        <x:v>1</x:v>
      </x:c>
      <x:c r="E2419" t="str">
        <x:v>Payment:101:3</x:v>
      </x:c>
      <x:c r="F2419" t="str">
        <x:f>IF(COUNTIF('01_orders_raw'!$A$2:$A$181,'03_payments_raw'!B101)&gt;1,"Неоднозначная связь","Нет связи")</x:f>
        <x:v>Неоднозначная связь</x:v>
      </x:c>
      <x:c r="G2419" t="str">
        <x:v>High</x:v>
      </x:c>
      <x:c r="H2419" t="str">
        <x:v>order_id</x:v>
      </x:c>
      <x:c r="I2419" t="str">
        <x:v>Исправить ссылку или разрешить дубли связанного ID</x:v>
      </x:c>
      <x:c r="J2419" t="n">
        <x:f>IF(D2419=1,K2419,0)</x:f>
        <x:v>26</x:v>
      </x:c>
      <x:c r="K2419" t="n">
        <x:f>D2419+K2418</x:f>
        <x:v>26</x:v>
      </x:c>
    </x:row>
    <x:row r="2420">
      <x:c r="A2420" t="str">
        <x:v>Payment</x:v>
      </x:c>
      <x:c r="B2420" t="str">
        <x:f>'04_checks'!B347</x:f>
        <x:v>P100</x:v>
      </x:c>
      <x:c r="C2420" t="n">
        <x:v>101</x:v>
      </x:c>
      <x:c r="D2420" t="n">
        <x:f>IF('04_checks'!F347="ERROR",1,0)</x:f>
        <x:v>0</x:v>
      </x:c>
      <x:c r="E2420" t="str">
        <x:v>Payment:101:4</x:v>
      </x:c>
      <x:c r="F2420" t="str">
        <x:v>Ошибка расчета</x:v>
      </x:c>
      <x:c r="G2420" t="str">
        <x:v>High</x:v>
      </x:c>
      <x:c r="H2420" t="str">
        <x:v>payment_sum</x:v>
      </x:c>
      <x:c r="I2420" t="str">
        <x:v>Сверить исходные значения и правило расчёта</x:v>
      </x:c>
      <x:c r="J2420" t="n">
        <x:f>IF(D2420=1,K2420,0)</x:f>
        <x:v>0</x:v>
      </x:c>
      <x:c r="K2420" t="n">
        <x:f>D2420+K2419</x:f>
        <x:v>26</x:v>
      </x:c>
    </x:row>
    <x:row r="2421">
      <x:c r="A2421" t="str">
        <x:v>Payment</x:v>
      </x:c>
      <x:c r="B2421" t="str">
        <x:f>'04_checks'!B347</x:f>
        <x:v>P100</x:v>
      </x:c>
      <x:c r="C2421" t="n">
        <x:v>101</x:v>
      </x:c>
      <x:c r="D2421" t="n">
        <x:f>IF('04_checks'!G347="ERROR",1,0)</x:f>
        <x:v>0</x:v>
      </x:c>
      <x:c r="E2421" t="str">
        <x:v>Payment:101:5</x:v>
      </x:c>
      <x:c r="F2421" t="str">
        <x:v>Отрицательная цена</x:v>
      </x:c>
      <x:c r="G2421" t="str">
        <x:v>High</x:v>
      </x:c>
      <x:c r="H2421" t="str">
        <x:v>N/A</x:v>
      </x:c>
      <x:c r="I2421" t="str">
        <x:v>Проверить цену в источнике</x:v>
      </x:c>
      <x:c r="J2421" t="n">
        <x:f>IF(D2421=1,K2421,0)</x:f>
        <x:v>0</x:v>
      </x:c>
      <x:c r="K2421" t="n">
        <x:f>D2421+K2420</x:f>
        <x:v>26</x:v>
      </x:c>
    </x:row>
    <x:row r="2422">
      <x:c r="A2422" t="str">
        <x:v>Payment</x:v>
      </x:c>
      <x:c r="B2422" t="str">
        <x:f>'04_checks'!B347</x:f>
        <x:v>P100</x:v>
      </x:c>
      <x:c r="C2422" t="n">
        <x:v>101</x:v>
      </x:c>
      <x:c r="D2422" t="n">
        <x:f>IF('04_checks'!H347="ERROR",1,0)</x:f>
        <x:v>0</x:v>
      </x:c>
      <x:c r="E2422" t="str">
        <x:v>Payment:101:6</x:v>
      </x:c>
      <x:c r="F2422" t="str">
        <x:v>Дата</x:v>
      </x:c>
      <x:c r="G2422" t="str">
        <x:v>Medium</x:v>
      </x:c>
      <x:c r="H2422" t="str">
        <x:v>payment_date</x:v>
      </x:c>
      <x:c r="I2422" t="str">
        <x:v>Сверить дату со срезом и исходной записью</x:v>
      </x:c>
      <x:c r="J2422" t="n">
        <x:f>IF(D2422=1,K2422,0)</x:f>
        <x:v>0</x:v>
      </x:c>
      <x:c r="K2422" t="n">
        <x:f>D2422+K2421</x:f>
        <x:v>26</x:v>
      </x:c>
    </x:row>
    <x:row r="2423">
      <x:c r="A2423" t="str">
        <x:v>Payment</x:v>
      </x:c>
      <x:c r="B2423" t="str">
        <x:f>'04_checks'!B347</x:f>
        <x:v>P100</x:v>
      </x:c>
      <x:c r="C2423" t="n">
        <x:v>101</x:v>
      </x:c>
      <x:c r="D2423" t="n">
        <x:f>IF('04_checks'!I347="ERROR",1,0)</x:f>
        <x:v>0</x:v>
      </x:c>
      <x:c r="E2423" t="str">
        <x:v>Payment:101:7</x:v>
      </x:c>
      <x:c r="F2423" t="str">
        <x:v>Статус</x:v>
      </x:c>
      <x:c r="G2423" t="str">
        <x:v>Medium</x:v>
      </x:c>
      <x:c r="H2423" t="str">
        <x:v>payment_status</x:v>
      </x:c>
      <x:c r="I2423" t="str">
        <x:v>Выбрать допустимый статус</x:v>
      </x:c>
      <x:c r="J2423" t="n">
        <x:f>IF(D2423=1,K2423,0)</x:f>
        <x:v>0</x:v>
      </x:c>
      <x:c r="K2423" t="n">
        <x:f>D2423+K2422</x:f>
        <x:v>26</x:v>
      </x:c>
    </x:row>
    <x:row r="2424">
      <x:c r="A2424" t="str">
        <x:v>Payment</x:v>
      </x:c>
      <x:c r="B2424" t="str">
        <x:f>'04_checks'!B348</x:f>
        <x:v>P101</x:v>
      </x:c>
      <x:c r="C2424" t="n">
        <x:v>102</x:v>
      </x:c>
      <x:c r="D2424" t="n">
        <x:f>IF('04_checks'!C348="ERROR",1,0)</x:f>
        <x:v>0</x:v>
      </x:c>
      <x:c r="E2424" t="str">
        <x:v>Payment:102:1</x:v>
      </x:c>
      <x:c r="F2424" t="str">
        <x:v>Дубль</x:v>
      </x:c>
      <x:c r="G2424" t="str">
        <x:v>High</x:v>
      </x:c>
      <x:c r="H2424" t="str">
        <x:v>payment_id</x:v>
      </x:c>
      <x:c r="I2424" t="str">
        <x:v>Проверить уникальность ID в источнике; не удалять записи автоматически</x:v>
      </x:c>
      <x:c r="J2424" t="n">
        <x:f>IF(D2424=1,K2424,0)</x:f>
        <x:v>0</x:v>
      </x:c>
      <x:c r="K2424" t="n">
        <x:f>D2424+K2423</x:f>
        <x:v>26</x:v>
      </x:c>
    </x:row>
    <x:row r="2425">
      <x:c r="A2425" t="str">
        <x:v>Payment</x:v>
      </x:c>
      <x:c r="B2425" t="str">
        <x:f>'04_checks'!B348</x:f>
        <x:v>P101</x:v>
      </x:c>
      <x:c r="C2425" t="n">
        <x:v>102</x:v>
      </x:c>
      <x:c r="D2425" t="n">
        <x:f>IF('04_checks'!D348="ERROR",1,0)</x:f>
        <x:v>0</x:v>
      </x:c>
      <x:c r="E2425" t="str">
        <x:v>Payment:102:2</x:v>
      </x:c>
      <x:c r="F2425" t="str">
        <x:v>Пустое поле</x:v>
      </x:c>
      <x:c r="G2425" t="str">
        <x:v>High</x:v>
      </x:c>
      <x:c r="H2425" t="str">
        <x:v>required_fields</x:v>
      </x:c>
      <x:c r="I2425" t="str">
        <x:v>Дополнить обязательные поля в источнике</x:v>
      </x:c>
      <x:c r="J2425" t="n">
        <x:f>IF(D2425=1,K2425,0)</x:f>
        <x:v>0</x:v>
      </x:c>
      <x:c r="K2425" t="n">
        <x:f>D2425+K2424</x:f>
        <x:v>26</x:v>
      </x:c>
    </x:row>
    <x:row r="2426">
      <x:c r="A2426" t="str">
        <x:v>Payment</x:v>
      </x:c>
      <x:c r="B2426" t="str">
        <x:f>'04_checks'!B348</x:f>
        <x:v>P101</x:v>
      </x:c>
      <x:c r="C2426" t="n">
        <x:v>102</x:v>
      </x:c>
      <x:c r="D2426" t="n">
        <x:f>IF('04_checks'!E348="ERROR",1,0)</x:f>
        <x:v>0</x:v>
      </x:c>
      <x:c r="E2426" t="str">
        <x:v>Payment:102:3</x:v>
      </x:c>
      <x:c r="F2426" t="str">
        <x:f>IF(COUNTIF('01_orders_raw'!$A$2:$A$181,'03_payments_raw'!B102)&gt;1,"Неоднозначная связь","Нет связи")</x:f>
        <x:v>Нет связи</x:v>
      </x:c>
      <x:c r="G2426" t="str">
        <x:v>High</x:v>
      </x:c>
      <x:c r="H2426" t="str">
        <x:v>order_id</x:v>
      </x:c>
      <x:c r="I2426" t="str">
        <x:v>Исправить ссылку или разрешить дубли связанного ID</x:v>
      </x:c>
      <x:c r="J2426" t="n">
        <x:f>IF(D2426=1,K2426,0)</x:f>
        <x:v>0</x:v>
      </x:c>
      <x:c r="K2426" t="n">
        <x:f>D2426+K2425</x:f>
        <x:v>26</x:v>
      </x:c>
    </x:row>
    <x:row r="2427">
      <x:c r="A2427" t="str">
        <x:v>Payment</x:v>
      </x:c>
      <x:c r="B2427" t="str">
        <x:f>'04_checks'!B348</x:f>
        <x:v>P101</x:v>
      </x:c>
      <x:c r="C2427" t="n">
        <x:v>102</x:v>
      </x:c>
      <x:c r="D2427" t="n">
        <x:f>IF('04_checks'!F348="ERROR",1,0)</x:f>
        <x:v>0</x:v>
      </x:c>
      <x:c r="E2427" t="str">
        <x:v>Payment:102:4</x:v>
      </x:c>
      <x:c r="F2427" t="str">
        <x:v>Ошибка расчета</x:v>
      </x:c>
      <x:c r="G2427" t="str">
        <x:v>High</x:v>
      </x:c>
      <x:c r="H2427" t="str">
        <x:v>payment_sum</x:v>
      </x:c>
      <x:c r="I2427" t="str">
        <x:v>Сверить исходные значения и правило расчёта</x:v>
      </x:c>
      <x:c r="J2427" t="n">
        <x:f>IF(D2427=1,K2427,0)</x:f>
        <x:v>0</x:v>
      </x:c>
      <x:c r="K2427" t="n">
        <x:f>D2427+K2426</x:f>
        <x:v>26</x:v>
      </x:c>
    </x:row>
    <x:row r="2428">
      <x:c r="A2428" t="str">
        <x:v>Payment</x:v>
      </x:c>
      <x:c r="B2428" t="str">
        <x:f>'04_checks'!B348</x:f>
        <x:v>P101</x:v>
      </x:c>
      <x:c r="C2428" t="n">
        <x:v>102</x:v>
      </x:c>
      <x:c r="D2428" t="n">
        <x:f>IF('04_checks'!G348="ERROR",1,0)</x:f>
        <x:v>0</x:v>
      </x:c>
      <x:c r="E2428" t="str">
        <x:v>Payment:102:5</x:v>
      </x:c>
      <x:c r="F2428" t="str">
        <x:v>Отрицательная цена</x:v>
      </x:c>
      <x:c r="G2428" t="str">
        <x:v>High</x:v>
      </x:c>
      <x:c r="H2428" t="str">
        <x:v>N/A</x:v>
      </x:c>
      <x:c r="I2428" t="str">
        <x:v>Проверить цену в источнике</x:v>
      </x:c>
      <x:c r="J2428" t="n">
        <x:f>IF(D2428=1,K2428,0)</x:f>
        <x:v>0</x:v>
      </x:c>
      <x:c r="K2428" t="n">
        <x:f>D2428+K2427</x:f>
        <x:v>26</x:v>
      </x:c>
    </x:row>
    <x:row r="2429">
      <x:c r="A2429" t="str">
        <x:v>Payment</x:v>
      </x:c>
      <x:c r="B2429" t="str">
        <x:f>'04_checks'!B348</x:f>
        <x:v>P101</x:v>
      </x:c>
      <x:c r="C2429" t="n">
        <x:v>102</x:v>
      </x:c>
      <x:c r="D2429" t="n">
        <x:f>IF('04_checks'!H348="ERROR",1,0)</x:f>
        <x:v>0</x:v>
      </x:c>
      <x:c r="E2429" t="str">
        <x:v>Payment:102:6</x:v>
      </x:c>
      <x:c r="F2429" t="str">
        <x:v>Дата</x:v>
      </x:c>
      <x:c r="G2429" t="str">
        <x:v>Medium</x:v>
      </x:c>
      <x:c r="H2429" t="str">
        <x:v>payment_date</x:v>
      </x:c>
      <x:c r="I2429" t="str">
        <x:v>Сверить дату со срезом и исходной записью</x:v>
      </x:c>
      <x:c r="J2429" t="n">
        <x:f>IF(D2429=1,K2429,0)</x:f>
        <x:v>0</x:v>
      </x:c>
      <x:c r="K2429" t="n">
        <x:f>D2429+K2428</x:f>
        <x:v>26</x:v>
      </x:c>
    </x:row>
    <x:row r="2430">
      <x:c r="A2430" t="str">
        <x:v>Payment</x:v>
      </x:c>
      <x:c r="B2430" t="str">
        <x:f>'04_checks'!B348</x:f>
        <x:v>P101</x:v>
      </x:c>
      <x:c r="C2430" t="n">
        <x:v>102</x:v>
      </x:c>
      <x:c r="D2430" t="n">
        <x:f>IF('04_checks'!I348="ERROR",1,0)</x:f>
        <x:v>0</x:v>
      </x:c>
      <x:c r="E2430" t="str">
        <x:v>Payment:102:7</x:v>
      </x:c>
      <x:c r="F2430" t="str">
        <x:v>Статус</x:v>
      </x:c>
      <x:c r="G2430" t="str">
        <x:v>Medium</x:v>
      </x:c>
      <x:c r="H2430" t="str">
        <x:v>payment_status</x:v>
      </x:c>
      <x:c r="I2430" t="str">
        <x:v>Выбрать допустимый статус</x:v>
      </x:c>
      <x:c r="J2430" t="n">
        <x:f>IF(D2430=1,K2430,0)</x:f>
        <x:v>0</x:v>
      </x:c>
      <x:c r="K2430" t="n">
        <x:f>D2430+K2429</x:f>
        <x:v>26</x:v>
      </x:c>
    </x:row>
    <x:row r="2431">
      <x:c r="A2431" t="str">
        <x:v>Payment</x:v>
      </x:c>
      <x:c r="B2431" t="str">
        <x:f>'04_checks'!B349</x:f>
        <x:v>P102</x:v>
      </x:c>
      <x:c r="C2431" t="n">
        <x:v>103</x:v>
      </x:c>
      <x:c r="D2431" t="n">
        <x:f>IF('04_checks'!C349="ERROR",1,0)</x:f>
        <x:v>0</x:v>
      </x:c>
      <x:c r="E2431" t="str">
        <x:v>Payment:103:1</x:v>
      </x:c>
      <x:c r="F2431" t="str">
        <x:v>Дубль</x:v>
      </x:c>
      <x:c r="G2431" t="str">
        <x:v>High</x:v>
      </x:c>
      <x:c r="H2431" t="str">
        <x:v>payment_id</x:v>
      </x:c>
      <x:c r="I2431" t="str">
        <x:v>Проверить уникальность ID в источнике; не удалять записи автоматически</x:v>
      </x:c>
      <x:c r="J2431" t="n">
        <x:f>IF(D2431=1,K2431,0)</x:f>
        <x:v>0</x:v>
      </x:c>
      <x:c r="K2431" t="n">
        <x:f>D2431+K2430</x:f>
        <x:v>26</x:v>
      </x:c>
    </x:row>
    <x:row r="2432">
      <x:c r="A2432" t="str">
        <x:v>Payment</x:v>
      </x:c>
      <x:c r="B2432" t="str">
        <x:f>'04_checks'!B349</x:f>
        <x:v>P102</x:v>
      </x:c>
      <x:c r="C2432" t="n">
        <x:v>103</x:v>
      </x:c>
      <x:c r="D2432" t="n">
        <x:f>IF('04_checks'!D349="ERROR",1,0)</x:f>
        <x:v>0</x:v>
      </x:c>
      <x:c r="E2432" t="str">
        <x:v>Payment:103:2</x:v>
      </x:c>
      <x:c r="F2432" t="str">
        <x:v>Пустое поле</x:v>
      </x:c>
      <x:c r="G2432" t="str">
        <x:v>High</x:v>
      </x:c>
      <x:c r="H2432" t="str">
        <x:v>required_fields</x:v>
      </x:c>
      <x:c r="I2432" t="str">
        <x:v>Дополнить обязательные поля в источнике</x:v>
      </x:c>
      <x:c r="J2432" t="n">
        <x:f>IF(D2432=1,K2432,0)</x:f>
        <x:v>0</x:v>
      </x:c>
      <x:c r="K2432" t="n">
        <x:f>D2432+K2431</x:f>
        <x:v>26</x:v>
      </x:c>
    </x:row>
    <x:row r="2433">
      <x:c r="A2433" t="str">
        <x:v>Payment</x:v>
      </x:c>
      <x:c r="B2433" t="str">
        <x:f>'04_checks'!B349</x:f>
        <x:v>P102</x:v>
      </x:c>
      <x:c r="C2433" t="n">
        <x:v>103</x:v>
      </x:c>
      <x:c r="D2433" t="n">
        <x:f>IF('04_checks'!E349="ERROR",1,0)</x:f>
        <x:v>0</x:v>
      </x:c>
      <x:c r="E2433" t="str">
        <x:v>Payment:103:3</x:v>
      </x:c>
      <x:c r="F2433" t="str">
        <x:f>IF(COUNTIF('01_orders_raw'!$A$2:$A$181,'03_payments_raw'!B103)&gt;1,"Неоднозначная связь","Нет связи")</x:f>
        <x:v>Нет связи</x:v>
      </x:c>
      <x:c r="G2433" t="str">
        <x:v>High</x:v>
      </x:c>
      <x:c r="H2433" t="str">
        <x:v>order_id</x:v>
      </x:c>
      <x:c r="I2433" t="str">
        <x:v>Исправить ссылку или разрешить дубли связанного ID</x:v>
      </x:c>
      <x:c r="J2433" t="n">
        <x:f>IF(D2433=1,K2433,0)</x:f>
        <x:v>0</x:v>
      </x:c>
      <x:c r="K2433" t="n">
        <x:f>D2433+K2432</x:f>
        <x:v>26</x:v>
      </x:c>
    </x:row>
    <x:row r="2434">
      <x:c r="A2434" t="str">
        <x:v>Payment</x:v>
      </x:c>
      <x:c r="B2434" t="str">
        <x:f>'04_checks'!B349</x:f>
        <x:v>P102</x:v>
      </x:c>
      <x:c r="C2434" t="n">
        <x:v>103</x:v>
      </x:c>
      <x:c r="D2434" t="n">
        <x:f>IF('04_checks'!F349="ERROR",1,0)</x:f>
        <x:v>0</x:v>
      </x:c>
      <x:c r="E2434" t="str">
        <x:v>Payment:103:4</x:v>
      </x:c>
      <x:c r="F2434" t="str">
        <x:v>Ошибка расчета</x:v>
      </x:c>
      <x:c r="G2434" t="str">
        <x:v>High</x:v>
      </x:c>
      <x:c r="H2434" t="str">
        <x:v>payment_sum</x:v>
      </x:c>
      <x:c r="I2434" t="str">
        <x:v>Сверить исходные значения и правило расчёта</x:v>
      </x:c>
      <x:c r="J2434" t="n">
        <x:f>IF(D2434=1,K2434,0)</x:f>
        <x:v>0</x:v>
      </x:c>
      <x:c r="K2434" t="n">
        <x:f>D2434+K2433</x:f>
        <x:v>26</x:v>
      </x:c>
    </x:row>
    <x:row r="2435">
      <x:c r="A2435" t="str">
        <x:v>Payment</x:v>
      </x:c>
      <x:c r="B2435" t="str">
        <x:f>'04_checks'!B349</x:f>
        <x:v>P102</x:v>
      </x:c>
      <x:c r="C2435" t="n">
        <x:v>103</x:v>
      </x:c>
      <x:c r="D2435" t="n">
        <x:f>IF('04_checks'!G349="ERROR",1,0)</x:f>
        <x:v>0</x:v>
      </x:c>
      <x:c r="E2435" t="str">
        <x:v>Payment:103:5</x:v>
      </x:c>
      <x:c r="F2435" t="str">
        <x:v>Отрицательная цена</x:v>
      </x:c>
      <x:c r="G2435" t="str">
        <x:v>High</x:v>
      </x:c>
      <x:c r="H2435" t="str">
        <x:v>N/A</x:v>
      </x:c>
      <x:c r="I2435" t="str">
        <x:v>Проверить цену в источнике</x:v>
      </x:c>
      <x:c r="J2435" t="n">
        <x:f>IF(D2435=1,K2435,0)</x:f>
        <x:v>0</x:v>
      </x:c>
      <x:c r="K2435" t="n">
        <x:f>D2435+K2434</x:f>
        <x:v>26</x:v>
      </x:c>
    </x:row>
    <x:row r="2436">
      <x:c r="A2436" t="str">
        <x:v>Payment</x:v>
      </x:c>
      <x:c r="B2436" t="str">
        <x:f>'04_checks'!B349</x:f>
        <x:v>P102</x:v>
      </x:c>
      <x:c r="C2436" t="n">
        <x:v>103</x:v>
      </x:c>
      <x:c r="D2436" t="n">
        <x:f>IF('04_checks'!H349="ERROR",1,0)</x:f>
        <x:v>0</x:v>
      </x:c>
      <x:c r="E2436" t="str">
        <x:v>Payment:103:6</x:v>
      </x:c>
      <x:c r="F2436" t="str">
        <x:v>Дата</x:v>
      </x:c>
      <x:c r="G2436" t="str">
        <x:v>Medium</x:v>
      </x:c>
      <x:c r="H2436" t="str">
        <x:v>payment_date</x:v>
      </x:c>
      <x:c r="I2436" t="str">
        <x:v>Сверить дату со срезом и исходной записью</x:v>
      </x:c>
      <x:c r="J2436" t="n">
        <x:f>IF(D2436=1,K2436,0)</x:f>
        <x:v>0</x:v>
      </x:c>
      <x:c r="K2436" t="n">
        <x:f>D2436+K2435</x:f>
        <x:v>26</x:v>
      </x:c>
    </x:row>
    <x:row r="2437">
      <x:c r="A2437" t="str">
        <x:v>Payment</x:v>
      </x:c>
      <x:c r="B2437" t="str">
        <x:f>'04_checks'!B349</x:f>
        <x:v>P102</x:v>
      </x:c>
      <x:c r="C2437" t="n">
        <x:v>103</x:v>
      </x:c>
      <x:c r="D2437" t="n">
        <x:f>IF('04_checks'!I349="ERROR",1,0)</x:f>
        <x:v>0</x:v>
      </x:c>
      <x:c r="E2437" t="str">
        <x:v>Payment:103:7</x:v>
      </x:c>
      <x:c r="F2437" t="str">
        <x:v>Статус</x:v>
      </x:c>
      <x:c r="G2437" t="str">
        <x:v>Medium</x:v>
      </x:c>
      <x:c r="H2437" t="str">
        <x:v>payment_status</x:v>
      </x:c>
      <x:c r="I2437" t="str">
        <x:v>Выбрать допустимый статус</x:v>
      </x:c>
      <x:c r="J2437" t="n">
        <x:f>IF(D2437=1,K2437,0)</x:f>
        <x:v>0</x:v>
      </x:c>
      <x:c r="K2437" t="n">
        <x:f>D2437+K2436</x:f>
        <x:v>26</x:v>
      </x:c>
    </x:row>
    <x:row r="2438">
      <x:c r="A2438" t="str">
        <x:v>Payment</x:v>
      </x:c>
      <x:c r="B2438" t="str">
        <x:f>'04_checks'!B350</x:f>
        <x:v>P103</x:v>
      </x:c>
      <x:c r="C2438" t="n">
        <x:v>104</x:v>
      </x:c>
      <x:c r="D2438" t="n">
        <x:f>IF('04_checks'!C350="ERROR",1,0)</x:f>
        <x:v>0</x:v>
      </x:c>
      <x:c r="E2438" t="str">
        <x:v>Payment:104:1</x:v>
      </x:c>
      <x:c r="F2438" t="str">
        <x:v>Дубль</x:v>
      </x:c>
      <x:c r="G2438" t="str">
        <x:v>High</x:v>
      </x:c>
      <x:c r="H2438" t="str">
        <x:v>payment_id</x:v>
      </x:c>
      <x:c r="I2438" t="str">
        <x:v>Проверить уникальность ID в источнике; не удалять записи автоматически</x:v>
      </x:c>
      <x:c r="J2438" t="n">
        <x:f>IF(D2438=1,K2438,0)</x:f>
        <x:v>0</x:v>
      </x:c>
      <x:c r="K2438" t="n">
        <x:f>D2438+K2437</x:f>
        <x:v>26</x:v>
      </x:c>
    </x:row>
    <x:row r="2439">
      <x:c r="A2439" t="str">
        <x:v>Payment</x:v>
      </x:c>
      <x:c r="B2439" t="str">
        <x:f>'04_checks'!B350</x:f>
        <x:v>P103</x:v>
      </x:c>
      <x:c r="C2439" t="n">
        <x:v>104</x:v>
      </x:c>
      <x:c r="D2439" t="n">
        <x:f>IF('04_checks'!D350="ERROR",1,0)</x:f>
        <x:v>0</x:v>
      </x:c>
      <x:c r="E2439" t="str">
        <x:v>Payment:104:2</x:v>
      </x:c>
      <x:c r="F2439" t="str">
        <x:v>Пустое поле</x:v>
      </x:c>
      <x:c r="G2439" t="str">
        <x:v>High</x:v>
      </x:c>
      <x:c r="H2439" t="str">
        <x:v>required_fields</x:v>
      </x:c>
      <x:c r="I2439" t="str">
        <x:v>Дополнить обязательные поля в источнике</x:v>
      </x:c>
      <x:c r="J2439" t="n">
        <x:f>IF(D2439=1,K2439,0)</x:f>
        <x:v>0</x:v>
      </x:c>
      <x:c r="K2439" t="n">
        <x:f>D2439+K2438</x:f>
        <x:v>26</x:v>
      </x:c>
    </x:row>
    <x:row r="2440">
      <x:c r="A2440" t="str">
        <x:v>Payment</x:v>
      </x:c>
      <x:c r="B2440" t="str">
        <x:f>'04_checks'!B350</x:f>
        <x:v>P103</x:v>
      </x:c>
      <x:c r="C2440" t="n">
        <x:v>104</x:v>
      </x:c>
      <x:c r="D2440" t="n">
        <x:f>IF('04_checks'!E350="ERROR",1,0)</x:f>
        <x:v>0</x:v>
      </x:c>
      <x:c r="E2440" t="str">
        <x:v>Payment:104:3</x:v>
      </x:c>
      <x:c r="F2440" t="str">
        <x:f>IF(COUNTIF('01_orders_raw'!$A$2:$A$181,'03_payments_raw'!B104)&gt;1,"Неоднозначная связь","Нет связи")</x:f>
        <x:v>Нет связи</x:v>
      </x:c>
      <x:c r="G2440" t="str">
        <x:v>High</x:v>
      </x:c>
      <x:c r="H2440" t="str">
        <x:v>order_id</x:v>
      </x:c>
      <x:c r="I2440" t="str">
        <x:v>Исправить ссылку или разрешить дубли связанного ID</x:v>
      </x:c>
      <x:c r="J2440" t="n">
        <x:f>IF(D2440=1,K2440,0)</x:f>
        <x:v>0</x:v>
      </x:c>
      <x:c r="K2440" t="n">
        <x:f>D2440+K2439</x:f>
        <x:v>26</x:v>
      </x:c>
    </x:row>
    <x:row r="2441">
      <x:c r="A2441" t="str">
        <x:v>Payment</x:v>
      </x:c>
      <x:c r="B2441" t="str">
        <x:f>'04_checks'!B350</x:f>
        <x:v>P103</x:v>
      </x:c>
      <x:c r="C2441" t="n">
        <x:v>104</x:v>
      </x:c>
      <x:c r="D2441" t="n">
        <x:f>IF('04_checks'!F350="ERROR",1,0)</x:f>
        <x:v>0</x:v>
      </x:c>
      <x:c r="E2441" t="str">
        <x:v>Payment:104:4</x:v>
      </x:c>
      <x:c r="F2441" t="str">
        <x:v>Ошибка расчета</x:v>
      </x:c>
      <x:c r="G2441" t="str">
        <x:v>High</x:v>
      </x:c>
      <x:c r="H2441" t="str">
        <x:v>payment_sum</x:v>
      </x:c>
      <x:c r="I2441" t="str">
        <x:v>Сверить исходные значения и правило расчёта</x:v>
      </x:c>
      <x:c r="J2441" t="n">
        <x:f>IF(D2441=1,K2441,0)</x:f>
        <x:v>0</x:v>
      </x:c>
      <x:c r="K2441" t="n">
        <x:f>D2441+K2440</x:f>
        <x:v>26</x:v>
      </x:c>
    </x:row>
    <x:row r="2442">
      <x:c r="A2442" t="str">
        <x:v>Payment</x:v>
      </x:c>
      <x:c r="B2442" t="str">
        <x:f>'04_checks'!B350</x:f>
        <x:v>P103</x:v>
      </x:c>
      <x:c r="C2442" t="n">
        <x:v>104</x:v>
      </x:c>
      <x:c r="D2442" t="n">
        <x:f>IF('04_checks'!G350="ERROR",1,0)</x:f>
        <x:v>0</x:v>
      </x:c>
      <x:c r="E2442" t="str">
        <x:v>Payment:104:5</x:v>
      </x:c>
      <x:c r="F2442" t="str">
        <x:v>Отрицательная цена</x:v>
      </x:c>
      <x:c r="G2442" t="str">
        <x:v>High</x:v>
      </x:c>
      <x:c r="H2442" t="str">
        <x:v>N/A</x:v>
      </x:c>
      <x:c r="I2442" t="str">
        <x:v>Проверить цену в источнике</x:v>
      </x:c>
      <x:c r="J2442" t="n">
        <x:f>IF(D2442=1,K2442,0)</x:f>
        <x:v>0</x:v>
      </x:c>
      <x:c r="K2442" t="n">
        <x:f>D2442+K2441</x:f>
        <x:v>26</x:v>
      </x:c>
    </x:row>
    <x:row r="2443">
      <x:c r="A2443" t="str">
        <x:v>Payment</x:v>
      </x:c>
      <x:c r="B2443" t="str">
        <x:f>'04_checks'!B350</x:f>
        <x:v>P103</x:v>
      </x:c>
      <x:c r="C2443" t="n">
        <x:v>104</x:v>
      </x:c>
      <x:c r="D2443" t="n">
        <x:f>IF('04_checks'!H350="ERROR",1,0)</x:f>
        <x:v>0</x:v>
      </x:c>
      <x:c r="E2443" t="str">
        <x:v>Payment:104:6</x:v>
      </x:c>
      <x:c r="F2443" t="str">
        <x:v>Дата</x:v>
      </x:c>
      <x:c r="G2443" t="str">
        <x:v>Medium</x:v>
      </x:c>
      <x:c r="H2443" t="str">
        <x:v>payment_date</x:v>
      </x:c>
      <x:c r="I2443" t="str">
        <x:v>Сверить дату со срезом и исходной записью</x:v>
      </x:c>
      <x:c r="J2443" t="n">
        <x:f>IF(D2443=1,K2443,0)</x:f>
        <x:v>0</x:v>
      </x:c>
      <x:c r="K2443" t="n">
        <x:f>D2443+K2442</x:f>
        <x:v>26</x:v>
      </x:c>
    </x:row>
    <x:row r="2444">
      <x:c r="A2444" t="str">
        <x:v>Payment</x:v>
      </x:c>
      <x:c r="B2444" t="str">
        <x:f>'04_checks'!B350</x:f>
        <x:v>P103</x:v>
      </x:c>
      <x:c r="C2444" t="n">
        <x:v>104</x:v>
      </x:c>
      <x:c r="D2444" t="n">
        <x:f>IF('04_checks'!I350="ERROR",1,0)</x:f>
        <x:v>0</x:v>
      </x:c>
      <x:c r="E2444" t="str">
        <x:v>Payment:104:7</x:v>
      </x:c>
      <x:c r="F2444" t="str">
        <x:v>Статус</x:v>
      </x:c>
      <x:c r="G2444" t="str">
        <x:v>Medium</x:v>
      </x:c>
      <x:c r="H2444" t="str">
        <x:v>payment_status</x:v>
      </x:c>
      <x:c r="I2444" t="str">
        <x:v>Выбрать допустимый статус</x:v>
      </x:c>
      <x:c r="J2444" t="n">
        <x:f>IF(D2444=1,K2444,0)</x:f>
        <x:v>0</x:v>
      </x:c>
      <x:c r="K2444" t="n">
        <x:f>D2444+K2443</x:f>
        <x:v>26</x:v>
      </x:c>
    </x:row>
    <x:row r="2445">
      <x:c r="A2445" t="str">
        <x:v>Payment</x:v>
      </x:c>
      <x:c r="B2445" t="str">
        <x:f>'04_checks'!B351</x:f>
        <x:v>P104</x:v>
      </x:c>
      <x:c r="C2445" t="n">
        <x:v>105</x:v>
      </x:c>
      <x:c r="D2445" t="n">
        <x:f>IF('04_checks'!C351="ERROR",1,0)</x:f>
        <x:v>0</x:v>
      </x:c>
      <x:c r="E2445" t="str">
        <x:v>Payment:105:1</x:v>
      </x:c>
      <x:c r="F2445" t="str">
        <x:v>Дубль</x:v>
      </x:c>
      <x:c r="G2445" t="str">
        <x:v>High</x:v>
      </x:c>
      <x:c r="H2445" t="str">
        <x:v>payment_id</x:v>
      </x:c>
      <x:c r="I2445" t="str">
        <x:v>Проверить уникальность ID в источнике; не удалять записи автоматически</x:v>
      </x:c>
      <x:c r="J2445" t="n">
        <x:f>IF(D2445=1,K2445,0)</x:f>
        <x:v>0</x:v>
      </x:c>
      <x:c r="K2445" t="n">
        <x:f>D2445+K2444</x:f>
        <x:v>26</x:v>
      </x:c>
    </x:row>
    <x:row r="2446">
      <x:c r="A2446" t="str">
        <x:v>Payment</x:v>
      </x:c>
      <x:c r="B2446" t="str">
        <x:f>'04_checks'!B351</x:f>
        <x:v>P104</x:v>
      </x:c>
      <x:c r="C2446" t="n">
        <x:v>105</x:v>
      </x:c>
      <x:c r="D2446" t="n">
        <x:f>IF('04_checks'!D351="ERROR",1,0)</x:f>
        <x:v>0</x:v>
      </x:c>
      <x:c r="E2446" t="str">
        <x:v>Payment:105:2</x:v>
      </x:c>
      <x:c r="F2446" t="str">
        <x:v>Пустое поле</x:v>
      </x:c>
      <x:c r="G2446" t="str">
        <x:v>High</x:v>
      </x:c>
      <x:c r="H2446" t="str">
        <x:v>required_fields</x:v>
      </x:c>
      <x:c r="I2446" t="str">
        <x:v>Дополнить обязательные поля в источнике</x:v>
      </x:c>
      <x:c r="J2446" t="n">
        <x:f>IF(D2446=1,K2446,0)</x:f>
        <x:v>0</x:v>
      </x:c>
      <x:c r="K2446" t="n">
        <x:f>D2446+K2445</x:f>
        <x:v>26</x:v>
      </x:c>
    </x:row>
    <x:row r="2447">
      <x:c r="A2447" t="str">
        <x:v>Payment</x:v>
      </x:c>
      <x:c r="B2447" t="str">
        <x:f>'04_checks'!B351</x:f>
        <x:v>P104</x:v>
      </x:c>
      <x:c r="C2447" t="n">
        <x:v>105</x:v>
      </x:c>
      <x:c r="D2447" t="n">
        <x:f>IF('04_checks'!E351="ERROR",1,0)</x:f>
        <x:v>0</x:v>
      </x:c>
      <x:c r="E2447" t="str">
        <x:v>Payment:105:3</x:v>
      </x:c>
      <x:c r="F2447" t="str">
        <x:f>IF(COUNTIF('01_orders_raw'!$A$2:$A$181,'03_payments_raw'!B105)&gt;1,"Неоднозначная связь","Нет связи")</x:f>
        <x:v>Нет связи</x:v>
      </x:c>
      <x:c r="G2447" t="str">
        <x:v>High</x:v>
      </x:c>
      <x:c r="H2447" t="str">
        <x:v>order_id</x:v>
      </x:c>
      <x:c r="I2447" t="str">
        <x:v>Исправить ссылку или разрешить дубли связанного ID</x:v>
      </x:c>
      <x:c r="J2447" t="n">
        <x:f>IF(D2447=1,K2447,0)</x:f>
        <x:v>0</x:v>
      </x:c>
      <x:c r="K2447" t="n">
        <x:f>D2447+K2446</x:f>
        <x:v>26</x:v>
      </x:c>
    </x:row>
    <x:row r="2448">
      <x:c r="A2448" t="str">
        <x:v>Payment</x:v>
      </x:c>
      <x:c r="B2448" t="str">
        <x:f>'04_checks'!B351</x:f>
        <x:v>P104</x:v>
      </x:c>
      <x:c r="C2448" t="n">
        <x:v>105</x:v>
      </x:c>
      <x:c r="D2448" t="n">
        <x:f>IF('04_checks'!F351="ERROR",1,0)</x:f>
        <x:v>0</x:v>
      </x:c>
      <x:c r="E2448" t="str">
        <x:v>Payment:105:4</x:v>
      </x:c>
      <x:c r="F2448" t="str">
        <x:v>Ошибка расчета</x:v>
      </x:c>
      <x:c r="G2448" t="str">
        <x:v>High</x:v>
      </x:c>
      <x:c r="H2448" t="str">
        <x:v>payment_sum</x:v>
      </x:c>
      <x:c r="I2448" t="str">
        <x:v>Сверить исходные значения и правило расчёта</x:v>
      </x:c>
      <x:c r="J2448" t="n">
        <x:f>IF(D2448=1,K2448,0)</x:f>
        <x:v>0</x:v>
      </x:c>
      <x:c r="K2448" t="n">
        <x:f>D2448+K2447</x:f>
        <x:v>26</x:v>
      </x:c>
    </x:row>
    <x:row r="2449">
      <x:c r="A2449" t="str">
        <x:v>Payment</x:v>
      </x:c>
      <x:c r="B2449" t="str">
        <x:f>'04_checks'!B351</x:f>
        <x:v>P104</x:v>
      </x:c>
      <x:c r="C2449" t="n">
        <x:v>105</x:v>
      </x:c>
      <x:c r="D2449" t="n">
        <x:f>IF('04_checks'!G351="ERROR",1,0)</x:f>
        <x:v>0</x:v>
      </x:c>
      <x:c r="E2449" t="str">
        <x:v>Payment:105:5</x:v>
      </x:c>
      <x:c r="F2449" t="str">
        <x:v>Отрицательная цена</x:v>
      </x:c>
      <x:c r="G2449" t="str">
        <x:v>High</x:v>
      </x:c>
      <x:c r="H2449" t="str">
        <x:v>N/A</x:v>
      </x:c>
      <x:c r="I2449" t="str">
        <x:v>Проверить цену в источнике</x:v>
      </x:c>
      <x:c r="J2449" t="n">
        <x:f>IF(D2449=1,K2449,0)</x:f>
        <x:v>0</x:v>
      </x:c>
      <x:c r="K2449" t="n">
        <x:f>D2449+K2448</x:f>
        <x:v>26</x:v>
      </x:c>
    </x:row>
    <x:row r="2450">
      <x:c r="A2450" t="str">
        <x:v>Payment</x:v>
      </x:c>
      <x:c r="B2450" t="str">
        <x:f>'04_checks'!B351</x:f>
        <x:v>P104</x:v>
      </x:c>
      <x:c r="C2450" t="n">
        <x:v>105</x:v>
      </x:c>
      <x:c r="D2450" t="n">
        <x:f>IF('04_checks'!H351="ERROR",1,0)</x:f>
        <x:v>0</x:v>
      </x:c>
      <x:c r="E2450" t="str">
        <x:v>Payment:105:6</x:v>
      </x:c>
      <x:c r="F2450" t="str">
        <x:v>Дата</x:v>
      </x:c>
      <x:c r="G2450" t="str">
        <x:v>Medium</x:v>
      </x:c>
      <x:c r="H2450" t="str">
        <x:v>payment_date</x:v>
      </x:c>
      <x:c r="I2450" t="str">
        <x:v>Сверить дату со срезом и исходной записью</x:v>
      </x:c>
      <x:c r="J2450" t="n">
        <x:f>IF(D2450=1,K2450,0)</x:f>
        <x:v>0</x:v>
      </x:c>
      <x:c r="K2450" t="n">
        <x:f>D2450+K2449</x:f>
        <x:v>26</x:v>
      </x:c>
    </x:row>
    <x:row r="2451">
      <x:c r="A2451" t="str">
        <x:v>Payment</x:v>
      </x:c>
      <x:c r="B2451" t="str">
        <x:f>'04_checks'!B351</x:f>
        <x:v>P104</x:v>
      </x:c>
      <x:c r="C2451" t="n">
        <x:v>105</x:v>
      </x:c>
      <x:c r="D2451" t="n">
        <x:f>IF('04_checks'!I351="ERROR",1,0)</x:f>
        <x:v>0</x:v>
      </x:c>
      <x:c r="E2451" t="str">
        <x:v>Payment:105:7</x:v>
      </x:c>
      <x:c r="F2451" t="str">
        <x:v>Статус</x:v>
      </x:c>
      <x:c r="G2451" t="str">
        <x:v>Medium</x:v>
      </x:c>
      <x:c r="H2451" t="str">
        <x:v>payment_status</x:v>
      </x:c>
      <x:c r="I2451" t="str">
        <x:v>Выбрать допустимый статус</x:v>
      </x:c>
      <x:c r="J2451" t="n">
        <x:f>IF(D2451=1,K2451,0)</x:f>
        <x:v>0</x:v>
      </x:c>
      <x:c r="K2451" t="n">
        <x:f>D2451+K2450</x:f>
        <x:v>26</x:v>
      </x:c>
    </x:row>
    <x:row r="2452">
      <x:c r="A2452" t="str">
        <x:v>Payment</x:v>
      </x:c>
      <x:c r="B2452" t="str">
        <x:f>'04_checks'!B352</x:f>
        <x:v>P105</x:v>
      </x:c>
      <x:c r="C2452" t="n">
        <x:v>106</x:v>
      </x:c>
      <x:c r="D2452" t="n">
        <x:f>IF('04_checks'!C352="ERROR",1,0)</x:f>
        <x:v>0</x:v>
      </x:c>
      <x:c r="E2452" t="str">
        <x:v>Payment:106:1</x:v>
      </x:c>
      <x:c r="F2452" t="str">
        <x:v>Дубль</x:v>
      </x:c>
      <x:c r="G2452" t="str">
        <x:v>High</x:v>
      </x:c>
      <x:c r="H2452" t="str">
        <x:v>payment_id</x:v>
      </x:c>
      <x:c r="I2452" t="str">
        <x:v>Проверить уникальность ID в источнике; не удалять записи автоматически</x:v>
      </x:c>
      <x:c r="J2452" t="n">
        <x:f>IF(D2452=1,K2452,0)</x:f>
        <x:v>0</x:v>
      </x:c>
      <x:c r="K2452" t="n">
        <x:f>D2452+K2451</x:f>
        <x:v>26</x:v>
      </x:c>
    </x:row>
    <x:row r="2453">
      <x:c r="A2453" t="str">
        <x:v>Payment</x:v>
      </x:c>
      <x:c r="B2453" t="str">
        <x:f>'04_checks'!B352</x:f>
        <x:v>P105</x:v>
      </x:c>
      <x:c r="C2453" t="n">
        <x:v>106</x:v>
      </x:c>
      <x:c r="D2453" t="n">
        <x:f>IF('04_checks'!D352="ERROR",1,0)</x:f>
        <x:v>0</x:v>
      </x:c>
      <x:c r="E2453" t="str">
        <x:v>Payment:106:2</x:v>
      </x:c>
      <x:c r="F2453" t="str">
        <x:v>Пустое поле</x:v>
      </x:c>
      <x:c r="G2453" t="str">
        <x:v>High</x:v>
      </x:c>
      <x:c r="H2453" t="str">
        <x:v>required_fields</x:v>
      </x:c>
      <x:c r="I2453" t="str">
        <x:v>Дополнить обязательные поля в источнике</x:v>
      </x:c>
      <x:c r="J2453" t="n">
        <x:f>IF(D2453=1,K2453,0)</x:f>
        <x:v>0</x:v>
      </x:c>
      <x:c r="K2453" t="n">
        <x:f>D2453+K2452</x:f>
        <x:v>26</x:v>
      </x:c>
    </x:row>
    <x:row r="2454">
      <x:c r="A2454" t="str">
        <x:v>Payment</x:v>
      </x:c>
      <x:c r="B2454" t="str">
        <x:f>'04_checks'!B352</x:f>
        <x:v>P105</x:v>
      </x:c>
      <x:c r="C2454" t="n">
        <x:v>106</x:v>
      </x:c>
      <x:c r="D2454" t="n">
        <x:f>IF('04_checks'!E352="ERROR",1,0)</x:f>
        <x:v>0</x:v>
      </x:c>
      <x:c r="E2454" t="str">
        <x:v>Payment:106:3</x:v>
      </x:c>
      <x:c r="F2454" t="str">
        <x:f>IF(COUNTIF('01_orders_raw'!$A$2:$A$181,'03_payments_raw'!B106)&gt;1,"Неоднозначная связь","Нет связи")</x:f>
        <x:v>Нет связи</x:v>
      </x:c>
      <x:c r="G2454" t="str">
        <x:v>High</x:v>
      </x:c>
      <x:c r="H2454" t="str">
        <x:v>order_id</x:v>
      </x:c>
      <x:c r="I2454" t="str">
        <x:v>Исправить ссылку или разрешить дубли связанного ID</x:v>
      </x:c>
      <x:c r="J2454" t="n">
        <x:f>IF(D2454=1,K2454,0)</x:f>
        <x:v>0</x:v>
      </x:c>
      <x:c r="K2454" t="n">
        <x:f>D2454+K2453</x:f>
        <x:v>26</x:v>
      </x:c>
    </x:row>
    <x:row r="2455">
      <x:c r="A2455" t="str">
        <x:v>Payment</x:v>
      </x:c>
      <x:c r="B2455" t="str">
        <x:f>'04_checks'!B352</x:f>
        <x:v>P105</x:v>
      </x:c>
      <x:c r="C2455" t="n">
        <x:v>106</x:v>
      </x:c>
      <x:c r="D2455" t="n">
        <x:f>IF('04_checks'!F352="ERROR",1,0)</x:f>
        <x:v>0</x:v>
      </x:c>
      <x:c r="E2455" t="str">
        <x:v>Payment:106:4</x:v>
      </x:c>
      <x:c r="F2455" t="str">
        <x:v>Ошибка расчета</x:v>
      </x:c>
      <x:c r="G2455" t="str">
        <x:v>High</x:v>
      </x:c>
      <x:c r="H2455" t="str">
        <x:v>payment_sum</x:v>
      </x:c>
      <x:c r="I2455" t="str">
        <x:v>Сверить исходные значения и правило расчёта</x:v>
      </x:c>
      <x:c r="J2455" t="n">
        <x:f>IF(D2455=1,K2455,0)</x:f>
        <x:v>0</x:v>
      </x:c>
      <x:c r="K2455" t="n">
        <x:f>D2455+K2454</x:f>
        <x:v>26</x:v>
      </x:c>
    </x:row>
    <x:row r="2456">
      <x:c r="A2456" t="str">
        <x:v>Payment</x:v>
      </x:c>
      <x:c r="B2456" t="str">
        <x:f>'04_checks'!B352</x:f>
        <x:v>P105</x:v>
      </x:c>
      <x:c r="C2456" t="n">
        <x:v>106</x:v>
      </x:c>
      <x:c r="D2456" t="n">
        <x:f>IF('04_checks'!G352="ERROR",1,0)</x:f>
        <x:v>0</x:v>
      </x:c>
      <x:c r="E2456" t="str">
        <x:v>Payment:106:5</x:v>
      </x:c>
      <x:c r="F2456" t="str">
        <x:v>Отрицательная цена</x:v>
      </x:c>
      <x:c r="G2456" t="str">
        <x:v>High</x:v>
      </x:c>
      <x:c r="H2456" t="str">
        <x:v>N/A</x:v>
      </x:c>
      <x:c r="I2456" t="str">
        <x:v>Проверить цену в источнике</x:v>
      </x:c>
      <x:c r="J2456" t="n">
        <x:f>IF(D2456=1,K2456,0)</x:f>
        <x:v>0</x:v>
      </x:c>
      <x:c r="K2456" t="n">
        <x:f>D2456+K2455</x:f>
        <x:v>26</x:v>
      </x:c>
    </x:row>
    <x:row r="2457">
      <x:c r="A2457" t="str">
        <x:v>Payment</x:v>
      </x:c>
      <x:c r="B2457" t="str">
        <x:f>'04_checks'!B352</x:f>
        <x:v>P105</x:v>
      </x:c>
      <x:c r="C2457" t="n">
        <x:v>106</x:v>
      </x:c>
      <x:c r="D2457" t="n">
        <x:f>IF('04_checks'!H352="ERROR",1,0)</x:f>
        <x:v>0</x:v>
      </x:c>
      <x:c r="E2457" t="str">
        <x:v>Payment:106:6</x:v>
      </x:c>
      <x:c r="F2457" t="str">
        <x:v>Дата</x:v>
      </x:c>
      <x:c r="G2457" t="str">
        <x:v>Medium</x:v>
      </x:c>
      <x:c r="H2457" t="str">
        <x:v>payment_date</x:v>
      </x:c>
      <x:c r="I2457" t="str">
        <x:v>Сверить дату со срезом и исходной записью</x:v>
      </x:c>
      <x:c r="J2457" t="n">
        <x:f>IF(D2457=1,K2457,0)</x:f>
        <x:v>0</x:v>
      </x:c>
      <x:c r="K2457" t="n">
        <x:f>D2457+K2456</x:f>
        <x:v>26</x:v>
      </x:c>
    </x:row>
    <x:row r="2458">
      <x:c r="A2458" t="str">
        <x:v>Payment</x:v>
      </x:c>
      <x:c r="B2458" t="str">
        <x:f>'04_checks'!B352</x:f>
        <x:v>P105</x:v>
      </x:c>
      <x:c r="C2458" t="n">
        <x:v>106</x:v>
      </x:c>
      <x:c r="D2458" t="n">
        <x:f>IF('04_checks'!I352="ERROR",1,0)</x:f>
        <x:v>0</x:v>
      </x:c>
      <x:c r="E2458" t="str">
        <x:v>Payment:106:7</x:v>
      </x:c>
      <x:c r="F2458" t="str">
        <x:v>Статус</x:v>
      </x:c>
      <x:c r="G2458" t="str">
        <x:v>Medium</x:v>
      </x:c>
      <x:c r="H2458" t="str">
        <x:v>payment_status</x:v>
      </x:c>
      <x:c r="I2458" t="str">
        <x:v>Выбрать допустимый статус</x:v>
      </x:c>
      <x:c r="J2458" t="n">
        <x:f>IF(D2458=1,K2458,0)</x:f>
        <x:v>0</x:v>
      </x:c>
      <x:c r="K2458" t="n">
        <x:f>D2458+K2457</x:f>
        <x:v>26</x:v>
      </x:c>
    </x:row>
    <x:row r="2459">
      <x:c r="A2459" t="str">
        <x:v>Payment</x:v>
      </x:c>
      <x:c r="B2459" t="str">
        <x:f>'04_checks'!B353</x:f>
        <x:v>P106</x:v>
      </x:c>
      <x:c r="C2459" t="n">
        <x:v>107</x:v>
      </x:c>
      <x:c r="D2459" t="n">
        <x:f>IF('04_checks'!C353="ERROR",1,0)</x:f>
        <x:v>0</x:v>
      </x:c>
      <x:c r="E2459" t="str">
        <x:v>Payment:107:1</x:v>
      </x:c>
      <x:c r="F2459" t="str">
        <x:v>Дубль</x:v>
      </x:c>
      <x:c r="G2459" t="str">
        <x:v>High</x:v>
      </x:c>
      <x:c r="H2459" t="str">
        <x:v>payment_id</x:v>
      </x:c>
      <x:c r="I2459" t="str">
        <x:v>Проверить уникальность ID в источнике; не удалять записи автоматически</x:v>
      </x:c>
      <x:c r="J2459" t="n">
        <x:f>IF(D2459=1,K2459,0)</x:f>
        <x:v>0</x:v>
      </x:c>
      <x:c r="K2459" t="n">
        <x:f>D2459+K2458</x:f>
        <x:v>26</x:v>
      </x:c>
    </x:row>
    <x:row r="2460">
      <x:c r="A2460" t="str">
        <x:v>Payment</x:v>
      </x:c>
      <x:c r="B2460" t="str">
        <x:f>'04_checks'!B353</x:f>
        <x:v>P106</x:v>
      </x:c>
      <x:c r="C2460" t="n">
        <x:v>107</x:v>
      </x:c>
      <x:c r="D2460" t="n">
        <x:f>IF('04_checks'!D353="ERROR",1,0)</x:f>
        <x:v>0</x:v>
      </x:c>
      <x:c r="E2460" t="str">
        <x:v>Payment:107:2</x:v>
      </x:c>
      <x:c r="F2460" t="str">
        <x:v>Пустое поле</x:v>
      </x:c>
      <x:c r="G2460" t="str">
        <x:v>High</x:v>
      </x:c>
      <x:c r="H2460" t="str">
        <x:v>required_fields</x:v>
      </x:c>
      <x:c r="I2460" t="str">
        <x:v>Дополнить обязательные поля в источнике</x:v>
      </x:c>
      <x:c r="J2460" t="n">
        <x:f>IF(D2460=1,K2460,0)</x:f>
        <x:v>0</x:v>
      </x:c>
      <x:c r="K2460" t="n">
        <x:f>D2460+K2459</x:f>
        <x:v>26</x:v>
      </x:c>
    </x:row>
    <x:row r="2461">
      <x:c r="A2461" t="str">
        <x:v>Payment</x:v>
      </x:c>
      <x:c r="B2461" t="str">
        <x:f>'04_checks'!B353</x:f>
        <x:v>P106</x:v>
      </x:c>
      <x:c r="C2461" t="n">
        <x:v>107</x:v>
      </x:c>
      <x:c r="D2461" t="n">
        <x:f>IF('04_checks'!E353="ERROR",1,0)</x:f>
        <x:v>0</x:v>
      </x:c>
      <x:c r="E2461" t="str">
        <x:v>Payment:107:3</x:v>
      </x:c>
      <x:c r="F2461" t="str">
        <x:f>IF(COUNTIF('01_orders_raw'!$A$2:$A$181,'03_payments_raw'!B107)&gt;1,"Неоднозначная связь","Нет связи")</x:f>
        <x:v>Нет связи</x:v>
      </x:c>
      <x:c r="G2461" t="str">
        <x:v>High</x:v>
      </x:c>
      <x:c r="H2461" t="str">
        <x:v>order_id</x:v>
      </x:c>
      <x:c r="I2461" t="str">
        <x:v>Исправить ссылку или разрешить дубли связанного ID</x:v>
      </x:c>
      <x:c r="J2461" t="n">
        <x:f>IF(D2461=1,K2461,0)</x:f>
        <x:v>0</x:v>
      </x:c>
      <x:c r="K2461" t="n">
        <x:f>D2461+K2460</x:f>
        <x:v>26</x:v>
      </x:c>
    </x:row>
    <x:row r="2462">
      <x:c r="A2462" t="str">
        <x:v>Payment</x:v>
      </x:c>
      <x:c r="B2462" t="str">
        <x:f>'04_checks'!B353</x:f>
        <x:v>P106</x:v>
      </x:c>
      <x:c r="C2462" t="n">
        <x:v>107</x:v>
      </x:c>
      <x:c r="D2462" t="n">
        <x:f>IF('04_checks'!F353="ERROR",1,0)</x:f>
        <x:v>0</x:v>
      </x:c>
      <x:c r="E2462" t="str">
        <x:v>Payment:107:4</x:v>
      </x:c>
      <x:c r="F2462" t="str">
        <x:v>Ошибка расчета</x:v>
      </x:c>
      <x:c r="G2462" t="str">
        <x:v>High</x:v>
      </x:c>
      <x:c r="H2462" t="str">
        <x:v>payment_sum</x:v>
      </x:c>
      <x:c r="I2462" t="str">
        <x:v>Сверить исходные значения и правило расчёта</x:v>
      </x:c>
      <x:c r="J2462" t="n">
        <x:f>IF(D2462=1,K2462,0)</x:f>
        <x:v>0</x:v>
      </x:c>
      <x:c r="K2462" t="n">
        <x:f>D2462+K2461</x:f>
        <x:v>26</x:v>
      </x:c>
    </x:row>
    <x:row r="2463">
      <x:c r="A2463" t="str">
        <x:v>Payment</x:v>
      </x:c>
      <x:c r="B2463" t="str">
        <x:f>'04_checks'!B353</x:f>
        <x:v>P106</x:v>
      </x:c>
      <x:c r="C2463" t="n">
        <x:v>107</x:v>
      </x:c>
      <x:c r="D2463" t="n">
        <x:f>IF('04_checks'!G353="ERROR",1,0)</x:f>
        <x:v>0</x:v>
      </x:c>
      <x:c r="E2463" t="str">
        <x:v>Payment:107:5</x:v>
      </x:c>
      <x:c r="F2463" t="str">
        <x:v>Отрицательная цена</x:v>
      </x:c>
      <x:c r="G2463" t="str">
        <x:v>High</x:v>
      </x:c>
      <x:c r="H2463" t="str">
        <x:v>N/A</x:v>
      </x:c>
      <x:c r="I2463" t="str">
        <x:v>Проверить цену в источнике</x:v>
      </x:c>
      <x:c r="J2463" t="n">
        <x:f>IF(D2463=1,K2463,0)</x:f>
        <x:v>0</x:v>
      </x:c>
      <x:c r="K2463" t="n">
        <x:f>D2463+K2462</x:f>
        <x:v>26</x:v>
      </x:c>
    </x:row>
    <x:row r="2464">
      <x:c r="A2464" t="str">
        <x:v>Payment</x:v>
      </x:c>
      <x:c r="B2464" t="str">
        <x:f>'04_checks'!B353</x:f>
        <x:v>P106</x:v>
      </x:c>
      <x:c r="C2464" t="n">
        <x:v>107</x:v>
      </x:c>
      <x:c r="D2464" t="n">
        <x:f>IF('04_checks'!H353="ERROR",1,0)</x:f>
        <x:v>0</x:v>
      </x:c>
      <x:c r="E2464" t="str">
        <x:v>Payment:107:6</x:v>
      </x:c>
      <x:c r="F2464" t="str">
        <x:v>Дата</x:v>
      </x:c>
      <x:c r="G2464" t="str">
        <x:v>Medium</x:v>
      </x:c>
      <x:c r="H2464" t="str">
        <x:v>payment_date</x:v>
      </x:c>
      <x:c r="I2464" t="str">
        <x:v>Сверить дату со срезом и исходной записью</x:v>
      </x:c>
      <x:c r="J2464" t="n">
        <x:f>IF(D2464=1,K2464,0)</x:f>
        <x:v>0</x:v>
      </x:c>
      <x:c r="K2464" t="n">
        <x:f>D2464+K2463</x:f>
        <x:v>26</x:v>
      </x:c>
    </x:row>
    <x:row r="2465">
      <x:c r="A2465" t="str">
        <x:v>Payment</x:v>
      </x:c>
      <x:c r="B2465" t="str">
        <x:f>'04_checks'!B353</x:f>
        <x:v>P106</x:v>
      </x:c>
      <x:c r="C2465" t="n">
        <x:v>107</x:v>
      </x:c>
      <x:c r="D2465" t="n">
        <x:f>IF('04_checks'!I353="ERROR",1,0)</x:f>
        <x:v>0</x:v>
      </x:c>
      <x:c r="E2465" t="str">
        <x:v>Payment:107:7</x:v>
      </x:c>
      <x:c r="F2465" t="str">
        <x:v>Статус</x:v>
      </x:c>
      <x:c r="G2465" t="str">
        <x:v>Medium</x:v>
      </x:c>
      <x:c r="H2465" t="str">
        <x:v>payment_status</x:v>
      </x:c>
      <x:c r="I2465" t="str">
        <x:v>Выбрать допустимый статус</x:v>
      </x:c>
      <x:c r="J2465" t="n">
        <x:f>IF(D2465=1,K2465,0)</x:f>
        <x:v>0</x:v>
      </x:c>
      <x:c r="K2465" t="n">
        <x:f>D2465+K2464</x:f>
        <x:v>26</x:v>
      </x:c>
    </x:row>
    <x:row r="2466">
      <x:c r="A2466" t="str">
        <x:v>Payment</x:v>
      </x:c>
      <x:c r="B2466" t="str">
        <x:f>'04_checks'!B354</x:f>
        <x:v>P107</x:v>
      </x:c>
      <x:c r="C2466" t="n">
        <x:v>108</x:v>
      </x:c>
      <x:c r="D2466" t="n">
        <x:f>IF('04_checks'!C354="ERROR",1,0)</x:f>
        <x:v>0</x:v>
      </x:c>
      <x:c r="E2466" t="str">
        <x:v>Payment:108:1</x:v>
      </x:c>
      <x:c r="F2466" t="str">
        <x:v>Дубль</x:v>
      </x:c>
      <x:c r="G2466" t="str">
        <x:v>High</x:v>
      </x:c>
      <x:c r="H2466" t="str">
        <x:v>payment_id</x:v>
      </x:c>
      <x:c r="I2466" t="str">
        <x:v>Проверить уникальность ID в источнике; не удалять записи автоматически</x:v>
      </x:c>
      <x:c r="J2466" t="n">
        <x:f>IF(D2466=1,K2466,0)</x:f>
        <x:v>0</x:v>
      </x:c>
      <x:c r="K2466" t="n">
        <x:f>D2466+K2465</x:f>
        <x:v>26</x:v>
      </x:c>
    </x:row>
    <x:row r="2467">
      <x:c r="A2467" t="str">
        <x:v>Payment</x:v>
      </x:c>
      <x:c r="B2467" t="str">
        <x:f>'04_checks'!B354</x:f>
        <x:v>P107</x:v>
      </x:c>
      <x:c r="C2467" t="n">
        <x:v>108</x:v>
      </x:c>
      <x:c r="D2467" t="n">
        <x:f>IF('04_checks'!D354="ERROR",1,0)</x:f>
        <x:v>0</x:v>
      </x:c>
      <x:c r="E2467" t="str">
        <x:v>Payment:108:2</x:v>
      </x:c>
      <x:c r="F2467" t="str">
        <x:v>Пустое поле</x:v>
      </x:c>
      <x:c r="G2467" t="str">
        <x:v>High</x:v>
      </x:c>
      <x:c r="H2467" t="str">
        <x:v>required_fields</x:v>
      </x:c>
      <x:c r="I2467" t="str">
        <x:v>Дополнить обязательные поля в источнике</x:v>
      </x:c>
      <x:c r="J2467" t="n">
        <x:f>IF(D2467=1,K2467,0)</x:f>
        <x:v>0</x:v>
      </x:c>
      <x:c r="K2467" t="n">
        <x:f>D2467+K2466</x:f>
        <x:v>26</x:v>
      </x:c>
    </x:row>
    <x:row r="2468">
      <x:c r="A2468" t="str">
        <x:v>Payment</x:v>
      </x:c>
      <x:c r="B2468" t="str">
        <x:f>'04_checks'!B354</x:f>
        <x:v>P107</x:v>
      </x:c>
      <x:c r="C2468" t="n">
        <x:v>108</x:v>
      </x:c>
      <x:c r="D2468" t="n">
        <x:f>IF('04_checks'!E354="ERROR",1,0)</x:f>
        <x:v>0</x:v>
      </x:c>
      <x:c r="E2468" t="str">
        <x:v>Payment:108:3</x:v>
      </x:c>
      <x:c r="F2468" t="str">
        <x:f>IF(COUNTIF('01_orders_raw'!$A$2:$A$181,'03_payments_raw'!B108)&gt;1,"Неоднозначная связь","Нет связи")</x:f>
        <x:v>Нет связи</x:v>
      </x:c>
      <x:c r="G2468" t="str">
        <x:v>High</x:v>
      </x:c>
      <x:c r="H2468" t="str">
        <x:v>order_id</x:v>
      </x:c>
      <x:c r="I2468" t="str">
        <x:v>Исправить ссылку или разрешить дубли связанного ID</x:v>
      </x:c>
      <x:c r="J2468" t="n">
        <x:f>IF(D2468=1,K2468,0)</x:f>
        <x:v>0</x:v>
      </x:c>
      <x:c r="K2468" t="n">
        <x:f>D2468+K2467</x:f>
        <x:v>26</x:v>
      </x:c>
    </x:row>
    <x:row r="2469">
      <x:c r="A2469" t="str">
        <x:v>Payment</x:v>
      </x:c>
      <x:c r="B2469" t="str">
        <x:f>'04_checks'!B354</x:f>
        <x:v>P107</x:v>
      </x:c>
      <x:c r="C2469" t="n">
        <x:v>108</x:v>
      </x:c>
      <x:c r="D2469" t="n">
        <x:f>IF('04_checks'!F354="ERROR",1,0)</x:f>
        <x:v>0</x:v>
      </x:c>
      <x:c r="E2469" t="str">
        <x:v>Payment:108:4</x:v>
      </x:c>
      <x:c r="F2469" t="str">
        <x:v>Ошибка расчета</x:v>
      </x:c>
      <x:c r="G2469" t="str">
        <x:v>High</x:v>
      </x:c>
      <x:c r="H2469" t="str">
        <x:v>payment_sum</x:v>
      </x:c>
      <x:c r="I2469" t="str">
        <x:v>Сверить исходные значения и правило расчёта</x:v>
      </x:c>
      <x:c r="J2469" t="n">
        <x:f>IF(D2469=1,K2469,0)</x:f>
        <x:v>0</x:v>
      </x:c>
      <x:c r="K2469" t="n">
        <x:f>D2469+K2468</x:f>
        <x:v>26</x:v>
      </x:c>
    </x:row>
    <x:row r="2470">
      <x:c r="A2470" t="str">
        <x:v>Payment</x:v>
      </x:c>
      <x:c r="B2470" t="str">
        <x:f>'04_checks'!B354</x:f>
        <x:v>P107</x:v>
      </x:c>
      <x:c r="C2470" t="n">
        <x:v>108</x:v>
      </x:c>
      <x:c r="D2470" t="n">
        <x:f>IF('04_checks'!G354="ERROR",1,0)</x:f>
        <x:v>0</x:v>
      </x:c>
      <x:c r="E2470" t="str">
        <x:v>Payment:108:5</x:v>
      </x:c>
      <x:c r="F2470" t="str">
        <x:v>Отрицательная цена</x:v>
      </x:c>
      <x:c r="G2470" t="str">
        <x:v>High</x:v>
      </x:c>
      <x:c r="H2470" t="str">
        <x:v>N/A</x:v>
      </x:c>
      <x:c r="I2470" t="str">
        <x:v>Проверить цену в источнике</x:v>
      </x:c>
      <x:c r="J2470" t="n">
        <x:f>IF(D2470=1,K2470,0)</x:f>
        <x:v>0</x:v>
      </x:c>
      <x:c r="K2470" t="n">
        <x:f>D2470+K2469</x:f>
        <x:v>26</x:v>
      </x:c>
    </x:row>
    <x:row r="2471">
      <x:c r="A2471" t="str">
        <x:v>Payment</x:v>
      </x:c>
      <x:c r="B2471" t="str">
        <x:f>'04_checks'!B354</x:f>
        <x:v>P107</x:v>
      </x:c>
      <x:c r="C2471" t="n">
        <x:v>108</x:v>
      </x:c>
      <x:c r="D2471" t="n">
        <x:f>IF('04_checks'!H354="ERROR",1,0)</x:f>
        <x:v>0</x:v>
      </x:c>
      <x:c r="E2471" t="str">
        <x:v>Payment:108:6</x:v>
      </x:c>
      <x:c r="F2471" t="str">
        <x:v>Дата</x:v>
      </x:c>
      <x:c r="G2471" t="str">
        <x:v>Medium</x:v>
      </x:c>
      <x:c r="H2471" t="str">
        <x:v>payment_date</x:v>
      </x:c>
      <x:c r="I2471" t="str">
        <x:v>Сверить дату со срезом и исходной записью</x:v>
      </x:c>
      <x:c r="J2471" t="n">
        <x:f>IF(D2471=1,K2471,0)</x:f>
        <x:v>0</x:v>
      </x:c>
      <x:c r="K2471" t="n">
        <x:f>D2471+K2470</x:f>
        <x:v>26</x:v>
      </x:c>
    </x:row>
    <x:row r="2472">
      <x:c r="A2472" t="str">
        <x:v>Payment</x:v>
      </x:c>
      <x:c r="B2472" t="str">
        <x:f>'04_checks'!B354</x:f>
        <x:v>P107</x:v>
      </x:c>
      <x:c r="C2472" t="n">
        <x:v>108</x:v>
      </x:c>
      <x:c r="D2472" t="n">
        <x:f>IF('04_checks'!I354="ERROR",1,0)</x:f>
        <x:v>0</x:v>
      </x:c>
      <x:c r="E2472" t="str">
        <x:v>Payment:108:7</x:v>
      </x:c>
      <x:c r="F2472" t="str">
        <x:v>Статус</x:v>
      </x:c>
      <x:c r="G2472" t="str">
        <x:v>Medium</x:v>
      </x:c>
      <x:c r="H2472" t="str">
        <x:v>payment_status</x:v>
      </x:c>
      <x:c r="I2472" t="str">
        <x:v>Выбрать допустимый статус</x:v>
      </x:c>
      <x:c r="J2472" t="n">
        <x:f>IF(D2472=1,K2472,0)</x:f>
        <x:v>0</x:v>
      </x:c>
      <x:c r="K2472" t="n">
        <x:f>D2472+K2471</x:f>
        <x:v>26</x:v>
      </x:c>
    </x:row>
    <x:row r="2473">
      <x:c r="A2473" t="str">
        <x:v>Payment</x:v>
      </x:c>
      <x:c r="B2473" t="str">
        <x:f>'04_checks'!B355</x:f>
        <x:v>P108</x:v>
      </x:c>
      <x:c r="C2473" t="n">
        <x:v>109</x:v>
      </x:c>
      <x:c r="D2473" t="n">
        <x:f>IF('04_checks'!C355="ERROR",1,0)</x:f>
        <x:v>0</x:v>
      </x:c>
      <x:c r="E2473" t="str">
        <x:v>Payment:109:1</x:v>
      </x:c>
      <x:c r="F2473" t="str">
        <x:v>Дубль</x:v>
      </x:c>
      <x:c r="G2473" t="str">
        <x:v>High</x:v>
      </x:c>
      <x:c r="H2473" t="str">
        <x:v>payment_id</x:v>
      </x:c>
      <x:c r="I2473" t="str">
        <x:v>Проверить уникальность ID в источнике; не удалять записи автоматически</x:v>
      </x:c>
      <x:c r="J2473" t="n">
        <x:f>IF(D2473=1,K2473,0)</x:f>
        <x:v>0</x:v>
      </x:c>
      <x:c r="K2473" t="n">
        <x:f>D2473+K2472</x:f>
        <x:v>26</x:v>
      </x:c>
    </x:row>
    <x:row r="2474">
      <x:c r="A2474" t="str">
        <x:v>Payment</x:v>
      </x:c>
      <x:c r="B2474" t="str">
        <x:f>'04_checks'!B355</x:f>
        <x:v>P108</x:v>
      </x:c>
      <x:c r="C2474" t="n">
        <x:v>109</x:v>
      </x:c>
      <x:c r="D2474" t="n">
        <x:f>IF('04_checks'!D355="ERROR",1,0)</x:f>
        <x:v>0</x:v>
      </x:c>
      <x:c r="E2474" t="str">
        <x:v>Payment:109:2</x:v>
      </x:c>
      <x:c r="F2474" t="str">
        <x:v>Пустое поле</x:v>
      </x:c>
      <x:c r="G2474" t="str">
        <x:v>High</x:v>
      </x:c>
      <x:c r="H2474" t="str">
        <x:v>required_fields</x:v>
      </x:c>
      <x:c r="I2474" t="str">
        <x:v>Дополнить обязательные поля в источнике</x:v>
      </x:c>
      <x:c r="J2474" t="n">
        <x:f>IF(D2474=1,K2474,0)</x:f>
        <x:v>0</x:v>
      </x:c>
      <x:c r="K2474" t="n">
        <x:f>D2474+K2473</x:f>
        <x:v>26</x:v>
      </x:c>
    </x:row>
    <x:row r="2475">
      <x:c r="A2475" t="str">
        <x:v>Payment</x:v>
      </x:c>
      <x:c r="B2475" t="str">
        <x:f>'04_checks'!B355</x:f>
        <x:v>P108</x:v>
      </x:c>
      <x:c r="C2475" t="n">
        <x:v>109</x:v>
      </x:c>
      <x:c r="D2475" t="n">
        <x:f>IF('04_checks'!E355="ERROR",1,0)</x:f>
        <x:v>0</x:v>
      </x:c>
      <x:c r="E2475" t="str">
        <x:v>Payment:109:3</x:v>
      </x:c>
      <x:c r="F2475" t="str">
        <x:f>IF(COUNTIF('01_orders_raw'!$A$2:$A$181,'03_payments_raw'!B109)&gt;1,"Неоднозначная связь","Нет связи")</x:f>
        <x:v>Нет связи</x:v>
      </x:c>
      <x:c r="G2475" t="str">
        <x:v>High</x:v>
      </x:c>
      <x:c r="H2475" t="str">
        <x:v>order_id</x:v>
      </x:c>
      <x:c r="I2475" t="str">
        <x:v>Исправить ссылку или разрешить дубли связанного ID</x:v>
      </x:c>
      <x:c r="J2475" t="n">
        <x:f>IF(D2475=1,K2475,0)</x:f>
        <x:v>0</x:v>
      </x:c>
      <x:c r="K2475" t="n">
        <x:f>D2475+K2474</x:f>
        <x:v>26</x:v>
      </x:c>
    </x:row>
    <x:row r="2476">
      <x:c r="A2476" t="str">
        <x:v>Payment</x:v>
      </x:c>
      <x:c r="B2476" t="str">
        <x:f>'04_checks'!B355</x:f>
        <x:v>P108</x:v>
      </x:c>
      <x:c r="C2476" t="n">
        <x:v>109</x:v>
      </x:c>
      <x:c r="D2476" t="n">
        <x:f>IF('04_checks'!F355="ERROR",1,0)</x:f>
        <x:v>0</x:v>
      </x:c>
      <x:c r="E2476" t="str">
        <x:v>Payment:109:4</x:v>
      </x:c>
      <x:c r="F2476" t="str">
        <x:v>Ошибка расчета</x:v>
      </x:c>
      <x:c r="G2476" t="str">
        <x:v>High</x:v>
      </x:c>
      <x:c r="H2476" t="str">
        <x:v>payment_sum</x:v>
      </x:c>
      <x:c r="I2476" t="str">
        <x:v>Сверить исходные значения и правило расчёта</x:v>
      </x:c>
      <x:c r="J2476" t="n">
        <x:f>IF(D2476=1,K2476,0)</x:f>
        <x:v>0</x:v>
      </x:c>
      <x:c r="K2476" t="n">
        <x:f>D2476+K2475</x:f>
        <x:v>26</x:v>
      </x:c>
    </x:row>
    <x:row r="2477">
      <x:c r="A2477" t="str">
        <x:v>Payment</x:v>
      </x:c>
      <x:c r="B2477" t="str">
        <x:f>'04_checks'!B355</x:f>
        <x:v>P108</x:v>
      </x:c>
      <x:c r="C2477" t="n">
        <x:v>109</x:v>
      </x:c>
      <x:c r="D2477" t="n">
        <x:f>IF('04_checks'!G355="ERROR",1,0)</x:f>
        <x:v>0</x:v>
      </x:c>
      <x:c r="E2477" t="str">
        <x:v>Payment:109:5</x:v>
      </x:c>
      <x:c r="F2477" t="str">
        <x:v>Отрицательная цена</x:v>
      </x:c>
      <x:c r="G2477" t="str">
        <x:v>High</x:v>
      </x:c>
      <x:c r="H2477" t="str">
        <x:v>N/A</x:v>
      </x:c>
      <x:c r="I2477" t="str">
        <x:v>Проверить цену в источнике</x:v>
      </x:c>
      <x:c r="J2477" t="n">
        <x:f>IF(D2477=1,K2477,0)</x:f>
        <x:v>0</x:v>
      </x:c>
      <x:c r="K2477" t="n">
        <x:f>D2477+K2476</x:f>
        <x:v>26</x:v>
      </x:c>
    </x:row>
    <x:row r="2478">
      <x:c r="A2478" t="str">
        <x:v>Payment</x:v>
      </x:c>
      <x:c r="B2478" t="str">
        <x:f>'04_checks'!B355</x:f>
        <x:v>P108</x:v>
      </x:c>
      <x:c r="C2478" t="n">
        <x:v>109</x:v>
      </x:c>
      <x:c r="D2478" t="n">
        <x:f>IF('04_checks'!H355="ERROR",1,0)</x:f>
        <x:v>0</x:v>
      </x:c>
      <x:c r="E2478" t="str">
        <x:v>Payment:109:6</x:v>
      </x:c>
      <x:c r="F2478" t="str">
        <x:v>Дата</x:v>
      </x:c>
      <x:c r="G2478" t="str">
        <x:v>Medium</x:v>
      </x:c>
      <x:c r="H2478" t="str">
        <x:v>payment_date</x:v>
      </x:c>
      <x:c r="I2478" t="str">
        <x:v>Сверить дату со срезом и исходной записью</x:v>
      </x:c>
      <x:c r="J2478" t="n">
        <x:f>IF(D2478=1,K2478,0)</x:f>
        <x:v>0</x:v>
      </x:c>
      <x:c r="K2478" t="n">
        <x:f>D2478+K2477</x:f>
        <x:v>26</x:v>
      </x:c>
    </x:row>
    <x:row r="2479">
      <x:c r="A2479" t="str">
        <x:v>Payment</x:v>
      </x:c>
      <x:c r="B2479" t="str">
        <x:f>'04_checks'!B355</x:f>
        <x:v>P108</x:v>
      </x:c>
      <x:c r="C2479" t="n">
        <x:v>109</x:v>
      </x:c>
      <x:c r="D2479" t="n">
        <x:f>IF('04_checks'!I355="ERROR",1,0)</x:f>
        <x:v>0</x:v>
      </x:c>
      <x:c r="E2479" t="str">
        <x:v>Payment:109:7</x:v>
      </x:c>
      <x:c r="F2479" t="str">
        <x:v>Статус</x:v>
      </x:c>
      <x:c r="G2479" t="str">
        <x:v>Medium</x:v>
      </x:c>
      <x:c r="H2479" t="str">
        <x:v>payment_status</x:v>
      </x:c>
      <x:c r="I2479" t="str">
        <x:v>Выбрать допустимый статус</x:v>
      </x:c>
      <x:c r="J2479" t="n">
        <x:f>IF(D2479=1,K2479,0)</x:f>
        <x:v>0</x:v>
      </x:c>
      <x:c r="K2479" t="n">
        <x:f>D2479+K2478</x:f>
        <x:v>26</x:v>
      </x:c>
    </x:row>
    <x:row r="2480">
      <x:c r="A2480" t="str">
        <x:v>Payment</x:v>
      </x:c>
      <x:c r="B2480" t="str">
        <x:f>'04_checks'!B356</x:f>
        <x:v>P109</x:v>
      </x:c>
      <x:c r="C2480" t="n">
        <x:v>110</x:v>
      </x:c>
      <x:c r="D2480" t="n">
        <x:f>IF('04_checks'!C356="ERROR",1,0)</x:f>
        <x:v>0</x:v>
      </x:c>
      <x:c r="E2480" t="str">
        <x:v>Payment:110:1</x:v>
      </x:c>
      <x:c r="F2480" t="str">
        <x:v>Дубль</x:v>
      </x:c>
      <x:c r="G2480" t="str">
        <x:v>High</x:v>
      </x:c>
      <x:c r="H2480" t="str">
        <x:v>payment_id</x:v>
      </x:c>
      <x:c r="I2480" t="str">
        <x:v>Проверить уникальность ID в источнике; не удалять записи автоматически</x:v>
      </x:c>
      <x:c r="J2480" t="n">
        <x:f>IF(D2480=1,K2480,0)</x:f>
        <x:v>0</x:v>
      </x:c>
      <x:c r="K2480" t="n">
        <x:f>D2480+K2479</x:f>
        <x:v>26</x:v>
      </x:c>
    </x:row>
    <x:row r="2481">
      <x:c r="A2481" t="str">
        <x:v>Payment</x:v>
      </x:c>
      <x:c r="B2481" t="str">
        <x:f>'04_checks'!B356</x:f>
        <x:v>P109</x:v>
      </x:c>
      <x:c r="C2481" t="n">
        <x:v>110</x:v>
      </x:c>
      <x:c r="D2481" t="n">
        <x:f>IF('04_checks'!D356="ERROR",1,0)</x:f>
        <x:v>0</x:v>
      </x:c>
      <x:c r="E2481" t="str">
        <x:v>Payment:110:2</x:v>
      </x:c>
      <x:c r="F2481" t="str">
        <x:v>Пустое поле</x:v>
      </x:c>
      <x:c r="G2481" t="str">
        <x:v>High</x:v>
      </x:c>
      <x:c r="H2481" t="str">
        <x:v>required_fields</x:v>
      </x:c>
      <x:c r="I2481" t="str">
        <x:v>Дополнить обязательные поля в источнике</x:v>
      </x:c>
      <x:c r="J2481" t="n">
        <x:f>IF(D2481=1,K2481,0)</x:f>
        <x:v>0</x:v>
      </x:c>
      <x:c r="K2481" t="n">
        <x:f>D2481+K2480</x:f>
        <x:v>26</x:v>
      </x:c>
    </x:row>
    <x:row r="2482">
      <x:c r="A2482" t="str">
        <x:v>Payment</x:v>
      </x:c>
      <x:c r="B2482" t="str">
        <x:f>'04_checks'!B356</x:f>
        <x:v>P109</x:v>
      </x:c>
      <x:c r="C2482" t="n">
        <x:v>110</x:v>
      </x:c>
      <x:c r="D2482" t="n">
        <x:f>IF('04_checks'!E356="ERROR",1,0)</x:f>
        <x:v>0</x:v>
      </x:c>
      <x:c r="E2482" t="str">
        <x:v>Payment:110:3</x:v>
      </x:c>
      <x:c r="F2482" t="str">
        <x:f>IF(COUNTIF('01_orders_raw'!$A$2:$A$181,'03_payments_raw'!B110)&gt;1,"Неоднозначная связь","Нет связи")</x:f>
        <x:v>Нет связи</x:v>
      </x:c>
      <x:c r="G2482" t="str">
        <x:v>High</x:v>
      </x:c>
      <x:c r="H2482" t="str">
        <x:v>order_id</x:v>
      </x:c>
      <x:c r="I2482" t="str">
        <x:v>Исправить ссылку или разрешить дубли связанного ID</x:v>
      </x:c>
      <x:c r="J2482" t="n">
        <x:f>IF(D2482=1,K2482,0)</x:f>
        <x:v>0</x:v>
      </x:c>
      <x:c r="K2482" t="n">
        <x:f>D2482+K2481</x:f>
        <x:v>26</x:v>
      </x:c>
    </x:row>
    <x:row r="2483">
      <x:c r="A2483" t="str">
        <x:v>Payment</x:v>
      </x:c>
      <x:c r="B2483" t="str">
        <x:f>'04_checks'!B356</x:f>
        <x:v>P109</x:v>
      </x:c>
      <x:c r="C2483" t="n">
        <x:v>110</x:v>
      </x:c>
      <x:c r="D2483" t="n">
        <x:f>IF('04_checks'!F356="ERROR",1,0)</x:f>
        <x:v>0</x:v>
      </x:c>
      <x:c r="E2483" t="str">
        <x:v>Payment:110:4</x:v>
      </x:c>
      <x:c r="F2483" t="str">
        <x:v>Ошибка расчета</x:v>
      </x:c>
      <x:c r="G2483" t="str">
        <x:v>High</x:v>
      </x:c>
      <x:c r="H2483" t="str">
        <x:v>payment_sum</x:v>
      </x:c>
      <x:c r="I2483" t="str">
        <x:v>Сверить исходные значения и правило расчёта</x:v>
      </x:c>
      <x:c r="J2483" t="n">
        <x:f>IF(D2483=1,K2483,0)</x:f>
        <x:v>0</x:v>
      </x:c>
      <x:c r="K2483" t="n">
        <x:f>D2483+K2482</x:f>
        <x:v>26</x:v>
      </x:c>
    </x:row>
    <x:row r="2484">
      <x:c r="A2484" t="str">
        <x:v>Payment</x:v>
      </x:c>
      <x:c r="B2484" t="str">
        <x:f>'04_checks'!B356</x:f>
        <x:v>P109</x:v>
      </x:c>
      <x:c r="C2484" t="n">
        <x:v>110</x:v>
      </x:c>
      <x:c r="D2484" t="n">
        <x:f>IF('04_checks'!G356="ERROR",1,0)</x:f>
        <x:v>0</x:v>
      </x:c>
      <x:c r="E2484" t="str">
        <x:v>Payment:110:5</x:v>
      </x:c>
      <x:c r="F2484" t="str">
        <x:v>Отрицательная цена</x:v>
      </x:c>
      <x:c r="G2484" t="str">
        <x:v>High</x:v>
      </x:c>
      <x:c r="H2484" t="str">
        <x:v>N/A</x:v>
      </x:c>
      <x:c r="I2484" t="str">
        <x:v>Проверить цену в источнике</x:v>
      </x:c>
      <x:c r="J2484" t="n">
        <x:f>IF(D2484=1,K2484,0)</x:f>
        <x:v>0</x:v>
      </x:c>
      <x:c r="K2484" t="n">
        <x:f>D2484+K2483</x:f>
        <x:v>26</x:v>
      </x:c>
    </x:row>
    <x:row r="2485">
      <x:c r="A2485" t="str">
        <x:v>Payment</x:v>
      </x:c>
      <x:c r="B2485" t="str">
        <x:f>'04_checks'!B356</x:f>
        <x:v>P109</x:v>
      </x:c>
      <x:c r="C2485" t="n">
        <x:v>110</x:v>
      </x:c>
      <x:c r="D2485" t="n">
        <x:f>IF('04_checks'!H356="ERROR",1,0)</x:f>
        <x:v>0</x:v>
      </x:c>
      <x:c r="E2485" t="str">
        <x:v>Payment:110:6</x:v>
      </x:c>
      <x:c r="F2485" t="str">
        <x:v>Дата</x:v>
      </x:c>
      <x:c r="G2485" t="str">
        <x:v>Medium</x:v>
      </x:c>
      <x:c r="H2485" t="str">
        <x:v>payment_date</x:v>
      </x:c>
      <x:c r="I2485" t="str">
        <x:v>Сверить дату со срезом и исходной записью</x:v>
      </x:c>
      <x:c r="J2485" t="n">
        <x:f>IF(D2485=1,K2485,0)</x:f>
        <x:v>0</x:v>
      </x:c>
      <x:c r="K2485" t="n">
        <x:f>D2485+K2484</x:f>
        <x:v>26</x:v>
      </x:c>
    </x:row>
    <x:row r="2486">
      <x:c r="A2486" t="str">
        <x:v>Payment</x:v>
      </x:c>
      <x:c r="B2486" t="str">
        <x:f>'04_checks'!B356</x:f>
        <x:v>P109</x:v>
      </x:c>
      <x:c r="C2486" t="n">
        <x:v>110</x:v>
      </x:c>
      <x:c r="D2486" t="n">
        <x:f>IF('04_checks'!I356="ERROR",1,0)</x:f>
        <x:v>0</x:v>
      </x:c>
      <x:c r="E2486" t="str">
        <x:v>Payment:110:7</x:v>
      </x:c>
      <x:c r="F2486" t="str">
        <x:v>Статус</x:v>
      </x:c>
      <x:c r="G2486" t="str">
        <x:v>Medium</x:v>
      </x:c>
      <x:c r="H2486" t="str">
        <x:v>payment_status</x:v>
      </x:c>
      <x:c r="I2486" t="str">
        <x:v>Выбрать допустимый статус</x:v>
      </x:c>
      <x:c r="J2486" t="n">
        <x:f>IF(D2486=1,K2486,0)</x:f>
        <x:v>0</x:v>
      </x:c>
      <x:c r="K2486" t="n">
        <x:f>D2486+K2485</x:f>
        <x:v>26</x:v>
      </x:c>
    </x:row>
    <x:row r="2487">
      <x:c r="A2487" t="str">
        <x:v>Payment</x:v>
      </x:c>
      <x:c r="B2487" t="str">
        <x:f>'04_checks'!B357</x:f>
        <x:v>P110</x:v>
      </x:c>
      <x:c r="C2487" t="n">
        <x:v>111</x:v>
      </x:c>
      <x:c r="D2487" t="n">
        <x:f>IF('04_checks'!C357="ERROR",1,0)</x:f>
        <x:v>0</x:v>
      </x:c>
      <x:c r="E2487" t="str">
        <x:v>Payment:111:1</x:v>
      </x:c>
      <x:c r="F2487" t="str">
        <x:v>Дубль</x:v>
      </x:c>
      <x:c r="G2487" t="str">
        <x:v>High</x:v>
      </x:c>
      <x:c r="H2487" t="str">
        <x:v>payment_id</x:v>
      </x:c>
      <x:c r="I2487" t="str">
        <x:v>Проверить уникальность ID в источнике; не удалять записи автоматически</x:v>
      </x:c>
      <x:c r="J2487" t="n">
        <x:f>IF(D2487=1,K2487,0)</x:f>
        <x:v>0</x:v>
      </x:c>
      <x:c r="K2487" t="n">
        <x:f>D2487+K2486</x:f>
        <x:v>26</x:v>
      </x:c>
    </x:row>
    <x:row r="2488">
      <x:c r="A2488" t="str">
        <x:v>Payment</x:v>
      </x:c>
      <x:c r="B2488" t="str">
        <x:f>'04_checks'!B357</x:f>
        <x:v>P110</x:v>
      </x:c>
      <x:c r="C2488" t="n">
        <x:v>111</x:v>
      </x:c>
      <x:c r="D2488" t="n">
        <x:f>IF('04_checks'!D357="ERROR",1,0)</x:f>
        <x:v>0</x:v>
      </x:c>
      <x:c r="E2488" t="str">
        <x:v>Payment:111:2</x:v>
      </x:c>
      <x:c r="F2488" t="str">
        <x:v>Пустое поле</x:v>
      </x:c>
      <x:c r="G2488" t="str">
        <x:v>High</x:v>
      </x:c>
      <x:c r="H2488" t="str">
        <x:v>required_fields</x:v>
      </x:c>
      <x:c r="I2488" t="str">
        <x:v>Дополнить обязательные поля в источнике</x:v>
      </x:c>
      <x:c r="J2488" t="n">
        <x:f>IF(D2488=1,K2488,0)</x:f>
        <x:v>0</x:v>
      </x:c>
      <x:c r="K2488" t="n">
        <x:f>D2488+K2487</x:f>
        <x:v>26</x:v>
      </x:c>
    </x:row>
    <x:row r="2489">
      <x:c r="A2489" t="str">
        <x:v>Payment</x:v>
      </x:c>
      <x:c r="B2489" t="str">
        <x:f>'04_checks'!B357</x:f>
        <x:v>P110</x:v>
      </x:c>
      <x:c r="C2489" t="n">
        <x:v>111</x:v>
      </x:c>
      <x:c r="D2489" t="n">
        <x:f>IF('04_checks'!E357="ERROR",1,0)</x:f>
        <x:v>0</x:v>
      </x:c>
      <x:c r="E2489" t="str">
        <x:v>Payment:111:3</x:v>
      </x:c>
      <x:c r="F2489" t="str">
        <x:f>IF(COUNTIF('01_orders_raw'!$A$2:$A$181,'03_payments_raw'!B111)&gt;1,"Неоднозначная связь","Нет связи")</x:f>
        <x:v>Нет связи</x:v>
      </x:c>
      <x:c r="G2489" t="str">
        <x:v>High</x:v>
      </x:c>
      <x:c r="H2489" t="str">
        <x:v>order_id</x:v>
      </x:c>
      <x:c r="I2489" t="str">
        <x:v>Исправить ссылку или разрешить дубли связанного ID</x:v>
      </x:c>
      <x:c r="J2489" t="n">
        <x:f>IF(D2489=1,K2489,0)</x:f>
        <x:v>0</x:v>
      </x:c>
      <x:c r="K2489" t="n">
        <x:f>D2489+K2488</x:f>
        <x:v>26</x:v>
      </x:c>
    </x:row>
    <x:row r="2490">
      <x:c r="A2490" t="str">
        <x:v>Payment</x:v>
      </x:c>
      <x:c r="B2490" t="str">
        <x:f>'04_checks'!B357</x:f>
        <x:v>P110</x:v>
      </x:c>
      <x:c r="C2490" t="n">
        <x:v>111</x:v>
      </x:c>
      <x:c r="D2490" t="n">
        <x:f>IF('04_checks'!F357="ERROR",1,0)</x:f>
        <x:v>0</x:v>
      </x:c>
      <x:c r="E2490" t="str">
        <x:v>Payment:111:4</x:v>
      </x:c>
      <x:c r="F2490" t="str">
        <x:v>Ошибка расчета</x:v>
      </x:c>
      <x:c r="G2490" t="str">
        <x:v>High</x:v>
      </x:c>
      <x:c r="H2490" t="str">
        <x:v>payment_sum</x:v>
      </x:c>
      <x:c r="I2490" t="str">
        <x:v>Сверить исходные значения и правило расчёта</x:v>
      </x:c>
      <x:c r="J2490" t="n">
        <x:f>IF(D2490=1,K2490,0)</x:f>
        <x:v>0</x:v>
      </x:c>
      <x:c r="K2490" t="n">
        <x:f>D2490+K2489</x:f>
        <x:v>26</x:v>
      </x:c>
    </x:row>
    <x:row r="2491">
      <x:c r="A2491" t="str">
        <x:v>Payment</x:v>
      </x:c>
      <x:c r="B2491" t="str">
        <x:f>'04_checks'!B357</x:f>
        <x:v>P110</x:v>
      </x:c>
      <x:c r="C2491" t="n">
        <x:v>111</x:v>
      </x:c>
      <x:c r="D2491" t="n">
        <x:f>IF('04_checks'!G357="ERROR",1,0)</x:f>
        <x:v>0</x:v>
      </x:c>
      <x:c r="E2491" t="str">
        <x:v>Payment:111:5</x:v>
      </x:c>
      <x:c r="F2491" t="str">
        <x:v>Отрицательная цена</x:v>
      </x:c>
      <x:c r="G2491" t="str">
        <x:v>High</x:v>
      </x:c>
      <x:c r="H2491" t="str">
        <x:v>N/A</x:v>
      </x:c>
      <x:c r="I2491" t="str">
        <x:v>Проверить цену в источнике</x:v>
      </x:c>
      <x:c r="J2491" t="n">
        <x:f>IF(D2491=1,K2491,0)</x:f>
        <x:v>0</x:v>
      </x:c>
      <x:c r="K2491" t="n">
        <x:f>D2491+K2490</x:f>
        <x:v>26</x:v>
      </x:c>
    </x:row>
    <x:row r="2492">
      <x:c r="A2492" t="str">
        <x:v>Payment</x:v>
      </x:c>
      <x:c r="B2492" t="str">
        <x:f>'04_checks'!B357</x:f>
        <x:v>P110</x:v>
      </x:c>
      <x:c r="C2492" t="n">
        <x:v>111</x:v>
      </x:c>
      <x:c r="D2492" t="n">
        <x:f>IF('04_checks'!H357="ERROR",1,0)</x:f>
        <x:v>0</x:v>
      </x:c>
      <x:c r="E2492" t="str">
        <x:v>Payment:111:6</x:v>
      </x:c>
      <x:c r="F2492" t="str">
        <x:v>Дата</x:v>
      </x:c>
      <x:c r="G2492" t="str">
        <x:v>Medium</x:v>
      </x:c>
      <x:c r="H2492" t="str">
        <x:v>payment_date</x:v>
      </x:c>
      <x:c r="I2492" t="str">
        <x:v>Сверить дату со срезом и исходной записью</x:v>
      </x:c>
      <x:c r="J2492" t="n">
        <x:f>IF(D2492=1,K2492,0)</x:f>
        <x:v>0</x:v>
      </x:c>
      <x:c r="K2492" t="n">
        <x:f>D2492+K2491</x:f>
        <x:v>26</x:v>
      </x:c>
    </x:row>
    <x:row r="2493">
      <x:c r="A2493" t="str">
        <x:v>Payment</x:v>
      </x:c>
      <x:c r="B2493" t="str">
        <x:f>'04_checks'!B357</x:f>
        <x:v>P110</x:v>
      </x:c>
      <x:c r="C2493" t="n">
        <x:v>111</x:v>
      </x:c>
      <x:c r="D2493" t="n">
        <x:f>IF('04_checks'!I357="ERROR",1,0)</x:f>
        <x:v>0</x:v>
      </x:c>
      <x:c r="E2493" t="str">
        <x:v>Payment:111:7</x:v>
      </x:c>
      <x:c r="F2493" t="str">
        <x:v>Статус</x:v>
      </x:c>
      <x:c r="G2493" t="str">
        <x:v>Medium</x:v>
      </x:c>
      <x:c r="H2493" t="str">
        <x:v>payment_status</x:v>
      </x:c>
      <x:c r="I2493" t="str">
        <x:v>Выбрать допустимый статус</x:v>
      </x:c>
      <x:c r="J2493" t="n">
        <x:f>IF(D2493=1,K2493,0)</x:f>
        <x:v>0</x:v>
      </x:c>
      <x:c r="K2493" t="n">
        <x:f>D2493+K2492</x:f>
        <x:v>26</x:v>
      </x:c>
    </x:row>
    <x:row r="2494">
      <x:c r="A2494" t="str">
        <x:v>Payment</x:v>
      </x:c>
      <x:c r="B2494" t="str">
        <x:f>'04_checks'!B358</x:f>
        <x:v>P111</x:v>
      </x:c>
      <x:c r="C2494" t="n">
        <x:v>112</x:v>
      </x:c>
      <x:c r="D2494" t="n">
        <x:f>IF('04_checks'!C358="ERROR",1,0)</x:f>
        <x:v>0</x:v>
      </x:c>
      <x:c r="E2494" t="str">
        <x:v>Payment:112:1</x:v>
      </x:c>
      <x:c r="F2494" t="str">
        <x:v>Дубль</x:v>
      </x:c>
      <x:c r="G2494" t="str">
        <x:v>High</x:v>
      </x:c>
      <x:c r="H2494" t="str">
        <x:v>payment_id</x:v>
      </x:c>
      <x:c r="I2494" t="str">
        <x:v>Проверить уникальность ID в источнике; не удалять записи автоматически</x:v>
      </x:c>
      <x:c r="J2494" t="n">
        <x:f>IF(D2494=1,K2494,0)</x:f>
        <x:v>0</x:v>
      </x:c>
      <x:c r="K2494" t="n">
        <x:f>D2494+K2493</x:f>
        <x:v>26</x:v>
      </x:c>
    </x:row>
    <x:row r="2495">
      <x:c r="A2495" t="str">
        <x:v>Payment</x:v>
      </x:c>
      <x:c r="B2495" t="str">
        <x:f>'04_checks'!B358</x:f>
        <x:v>P111</x:v>
      </x:c>
      <x:c r="C2495" t="n">
        <x:v>112</x:v>
      </x:c>
      <x:c r="D2495" t="n">
        <x:f>IF('04_checks'!D358="ERROR",1,0)</x:f>
        <x:v>0</x:v>
      </x:c>
      <x:c r="E2495" t="str">
        <x:v>Payment:112:2</x:v>
      </x:c>
      <x:c r="F2495" t="str">
        <x:v>Пустое поле</x:v>
      </x:c>
      <x:c r="G2495" t="str">
        <x:v>High</x:v>
      </x:c>
      <x:c r="H2495" t="str">
        <x:v>required_fields</x:v>
      </x:c>
      <x:c r="I2495" t="str">
        <x:v>Дополнить обязательные поля в источнике</x:v>
      </x:c>
      <x:c r="J2495" t="n">
        <x:f>IF(D2495=1,K2495,0)</x:f>
        <x:v>0</x:v>
      </x:c>
      <x:c r="K2495" t="n">
        <x:f>D2495+K2494</x:f>
        <x:v>26</x:v>
      </x:c>
    </x:row>
    <x:row r="2496">
      <x:c r="A2496" t="str">
        <x:v>Payment</x:v>
      </x:c>
      <x:c r="B2496" t="str">
        <x:f>'04_checks'!B358</x:f>
        <x:v>P111</x:v>
      </x:c>
      <x:c r="C2496" t="n">
        <x:v>112</x:v>
      </x:c>
      <x:c r="D2496" t="n">
        <x:f>IF('04_checks'!E358="ERROR",1,0)</x:f>
        <x:v>0</x:v>
      </x:c>
      <x:c r="E2496" t="str">
        <x:v>Payment:112:3</x:v>
      </x:c>
      <x:c r="F2496" t="str">
        <x:f>IF(COUNTIF('01_orders_raw'!$A$2:$A$181,'03_payments_raw'!B112)&gt;1,"Неоднозначная связь","Нет связи")</x:f>
        <x:v>Нет связи</x:v>
      </x:c>
      <x:c r="G2496" t="str">
        <x:v>High</x:v>
      </x:c>
      <x:c r="H2496" t="str">
        <x:v>order_id</x:v>
      </x:c>
      <x:c r="I2496" t="str">
        <x:v>Исправить ссылку или разрешить дубли связанного ID</x:v>
      </x:c>
      <x:c r="J2496" t="n">
        <x:f>IF(D2496=1,K2496,0)</x:f>
        <x:v>0</x:v>
      </x:c>
      <x:c r="K2496" t="n">
        <x:f>D2496+K2495</x:f>
        <x:v>26</x:v>
      </x:c>
    </x:row>
    <x:row r="2497">
      <x:c r="A2497" t="str">
        <x:v>Payment</x:v>
      </x:c>
      <x:c r="B2497" t="str">
        <x:f>'04_checks'!B358</x:f>
        <x:v>P111</x:v>
      </x:c>
      <x:c r="C2497" t="n">
        <x:v>112</x:v>
      </x:c>
      <x:c r="D2497" t="n">
        <x:f>IF('04_checks'!F358="ERROR",1,0)</x:f>
        <x:v>0</x:v>
      </x:c>
      <x:c r="E2497" t="str">
        <x:v>Payment:112:4</x:v>
      </x:c>
      <x:c r="F2497" t="str">
        <x:v>Ошибка расчета</x:v>
      </x:c>
      <x:c r="G2497" t="str">
        <x:v>High</x:v>
      </x:c>
      <x:c r="H2497" t="str">
        <x:v>payment_sum</x:v>
      </x:c>
      <x:c r="I2497" t="str">
        <x:v>Сверить исходные значения и правило расчёта</x:v>
      </x:c>
      <x:c r="J2497" t="n">
        <x:f>IF(D2497=1,K2497,0)</x:f>
        <x:v>0</x:v>
      </x:c>
      <x:c r="K2497" t="n">
        <x:f>D2497+K2496</x:f>
        <x:v>26</x:v>
      </x:c>
    </x:row>
    <x:row r="2498">
      <x:c r="A2498" t="str">
        <x:v>Payment</x:v>
      </x:c>
      <x:c r="B2498" t="str">
        <x:f>'04_checks'!B358</x:f>
        <x:v>P111</x:v>
      </x:c>
      <x:c r="C2498" t="n">
        <x:v>112</x:v>
      </x:c>
      <x:c r="D2498" t="n">
        <x:f>IF('04_checks'!G358="ERROR",1,0)</x:f>
        <x:v>0</x:v>
      </x:c>
      <x:c r="E2498" t="str">
        <x:v>Payment:112:5</x:v>
      </x:c>
      <x:c r="F2498" t="str">
        <x:v>Отрицательная цена</x:v>
      </x:c>
      <x:c r="G2498" t="str">
        <x:v>High</x:v>
      </x:c>
      <x:c r="H2498" t="str">
        <x:v>N/A</x:v>
      </x:c>
      <x:c r="I2498" t="str">
        <x:v>Проверить цену в источнике</x:v>
      </x:c>
      <x:c r="J2498" t="n">
        <x:f>IF(D2498=1,K2498,0)</x:f>
        <x:v>0</x:v>
      </x:c>
      <x:c r="K2498" t="n">
        <x:f>D2498+K2497</x:f>
        <x:v>26</x:v>
      </x:c>
    </x:row>
    <x:row r="2499">
      <x:c r="A2499" t="str">
        <x:v>Payment</x:v>
      </x:c>
      <x:c r="B2499" t="str">
        <x:f>'04_checks'!B358</x:f>
        <x:v>P111</x:v>
      </x:c>
      <x:c r="C2499" t="n">
        <x:v>112</x:v>
      </x:c>
      <x:c r="D2499" t="n">
        <x:f>IF('04_checks'!H358="ERROR",1,0)</x:f>
        <x:v>0</x:v>
      </x:c>
      <x:c r="E2499" t="str">
        <x:v>Payment:112:6</x:v>
      </x:c>
      <x:c r="F2499" t="str">
        <x:v>Дата</x:v>
      </x:c>
      <x:c r="G2499" t="str">
        <x:v>Medium</x:v>
      </x:c>
      <x:c r="H2499" t="str">
        <x:v>payment_date</x:v>
      </x:c>
      <x:c r="I2499" t="str">
        <x:v>Сверить дату со срезом и исходной записью</x:v>
      </x:c>
      <x:c r="J2499" t="n">
        <x:f>IF(D2499=1,K2499,0)</x:f>
        <x:v>0</x:v>
      </x:c>
      <x:c r="K2499" t="n">
        <x:f>D2499+K2498</x:f>
        <x:v>26</x:v>
      </x:c>
    </x:row>
    <x:row r="2500">
      <x:c r="A2500" t="str">
        <x:v>Payment</x:v>
      </x:c>
      <x:c r="B2500" t="str">
        <x:f>'04_checks'!B358</x:f>
        <x:v>P111</x:v>
      </x:c>
      <x:c r="C2500" t="n">
        <x:v>112</x:v>
      </x:c>
      <x:c r="D2500" t="n">
        <x:f>IF('04_checks'!I358="ERROR",1,0)</x:f>
        <x:v>0</x:v>
      </x:c>
      <x:c r="E2500" t="str">
        <x:v>Payment:112:7</x:v>
      </x:c>
      <x:c r="F2500" t="str">
        <x:v>Статус</x:v>
      </x:c>
      <x:c r="G2500" t="str">
        <x:v>Medium</x:v>
      </x:c>
      <x:c r="H2500" t="str">
        <x:v>payment_status</x:v>
      </x:c>
      <x:c r="I2500" t="str">
        <x:v>Выбрать допустимый статус</x:v>
      </x:c>
      <x:c r="J2500" t="n">
        <x:f>IF(D2500=1,K2500,0)</x:f>
        <x:v>0</x:v>
      </x:c>
      <x:c r="K2500" t="n">
        <x:f>D2500+K2499</x:f>
        <x:v>26</x:v>
      </x:c>
    </x:row>
    <x:row r="2501">
      <x:c r="A2501" t="str">
        <x:v>Payment</x:v>
      </x:c>
      <x:c r="B2501" t="str">
        <x:f>'04_checks'!B359</x:f>
        <x:v>P112</x:v>
      </x:c>
      <x:c r="C2501" t="n">
        <x:v>113</x:v>
      </x:c>
      <x:c r="D2501" t="n">
        <x:f>IF('04_checks'!C359="ERROR",1,0)</x:f>
        <x:v>0</x:v>
      </x:c>
      <x:c r="E2501" t="str">
        <x:v>Payment:113:1</x:v>
      </x:c>
      <x:c r="F2501" t="str">
        <x:v>Дубль</x:v>
      </x:c>
      <x:c r="G2501" t="str">
        <x:v>High</x:v>
      </x:c>
      <x:c r="H2501" t="str">
        <x:v>payment_id</x:v>
      </x:c>
      <x:c r="I2501" t="str">
        <x:v>Проверить уникальность ID в источнике; не удалять записи автоматически</x:v>
      </x:c>
      <x:c r="J2501" t="n">
        <x:f>IF(D2501=1,K2501,0)</x:f>
        <x:v>0</x:v>
      </x:c>
      <x:c r="K2501" t="n">
        <x:f>D2501+K2500</x:f>
        <x:v>26</x:v>
      </x:c>
    </x:row>
    <x:row r="2502">
      <x:c r="A2502" t="str">
        <x:v>Payment</x:v>
      </x:c>
      <x:c r="B2502" t="str">
        <x:f>'04_checks'!B359</x:f>
        <x:v>P112</x:v>
      </x:c>
      <x:c r="C2502" t="n">
        <x:v>113</x:v>
      </x:c>
      <x:c r="D2502" t="n">
        <x:f>IF('04_checks'!D359="ERROR",1,0)</x:f>
        <x:v>0</x:v>
      </x:c>
      <x:c r="E2502" t="str">
        <x:v>Payment:113:2</x:v>
      </x:c>
      <x:c r="F2502" t="str">
        <x:v>Пустое поле</x:v>
      </x:c>
      <x:c r="G2502" t="str">
        <x:v>High</x:v>
      </x:c>
      <x:c r="H2502" t="str">
        <x:v>required_fields</x:v>
      </x:c>
      <x:c r="I2502" t="str">
        <x:v>Дополнить обязательные поля в источнике</x:v>
      </x:c>
      <x:c r="J2502" t="n">
        <x:f>IF(D2502=1,K2502,0)</x:f>
        <x:v>0</x:v>
      </x:c>
      <x:c r="K2502" t="n">
        <x:f>D2502+K2501</x:f>
        <x:v>26</x:v>
      </x:c>
    </x:row>
    <x:row r="2503">
      <x:c r="A2503" t="str">
        <x:v>Payment</x:v>
      </x:c>
      <x:c r="B2503" t="str">
        <x:f>'04_checks'!B359</x:f>
        <x:v>P112</x:v>
      </x:c>
      <x:c r="C2503" t="n">
        <x:v>113</x:v>
      </x:c>
      <x:c r="D2503" t="n">
        <x:f>IF('04_checks'!E359="ERROR",1,0)</x:f>
        <x:v>0</x:v>
      </x:c>
      <x:c r="E2503" t="str">
        <x:v>Payment:113:3</x:v>
      </x:c>
      <x:c r="F2503" t="str">
        <x:f>IF(COUNTIF('01_orders_raw'!$A$2:$A$181,'03_payments_raw'!B113)&gt;1,"Неоднозначная связь","Нет связи")</x:f>
        <x:v>Нет связи</x:v>
      </x:c>
      <x:c r="G2503" t="str">
        <x:v>High</x:v>
      </x:c>
      <x:c r="H2503" t="str">
        <x:v>order_id</x:v>
      </x:c>
      <x:c r="I2503" t="str">
        <x:v>Исправить ссылку или разрешить дубли связанного ID</x:v>
      </x:c>
      <x:c r="J2503" t="n">
        <x:f>IF(D2503=1,K2503,0)</x:f>
        <x:v>0</x:v>
      </x:c>
      <x:c r="K2503" t="n">
        <x:f>D2503+K2502</x:f>
        <x:v>26</x:v>
      </x:c>
    </x:row>
    <x:row r="2504">
      <x:c r="A2504" t="str">
        <x:v>Payment</x:v>
      </x:c>
      <x:c r="B2504" t="str">
        <x:f>'04_checks'!B359</x:f>
        <x:v>P112</x:v>
      </x:c>
      <x:c r="C2504" t="n">
        <x:v>113</x:v>
      </x:c>
      <x:c r="D2504" t="n">
        <x:f>IF('04_checks'!F359="ERROR",1,0)</x:f>
        <x:v>0</x:v>
      </x:c>
      <x:c r="E2504" t="str">
        <x:v>Payment:113:4</x:v>
      </x:c>
      <x:c r="F2504" t="str">
        <x:v>Ошибка расчета</x:v>
      </x:c>
      <x:c r="G2504" t="str">
        <x:v>High</x:v>
      </x:c>
      <x:c r="H2504" t="str">
        <x:v>payment_sum</x:v>
      </x:c>
      <x:c r="I2504" t="str">
        <x:v>Сверить исходные значения и правило расчёта</x:v>
      </x:c>
      <x:c r="J2504" t="n">
        <x:f>IF(D2504=1,K2504,0)</x:f>
        <x:v>0</x:v>
      </x:c>
      <x:c r="K2504" t="n">
        <x:f>D2504+K2503</x:f>
        <x:v>26</x:v>
      </x:c>
    </x:row>
    <x:row r="2505">
      <x:c r="A2505" t="str">
        <x:v>Payment</x:v>
      </x:c>
      <x:c r="B2505" t="str">
        <x:f>'04_checks'!B359</x:f>
        <x:v>P112</x:v>
      </x:c>
      <x:c r="C2505" t="n">
        <x:v>113</x:v>
      </x:c>
      <x:c r="D2505" t="n">
        <x:f>IF('04_checks'!G359="ERROR",1,0)</x:f>
        <x:v>0</x:v>
      </x:c>
      <x:c r="E2505" t="str">
        <x:v>Payment:113:5</x:v>
      </x:c>
      <x:c r="F2505" t="str">
        <x:v>Отрицательная цена</x:v>
      </x:c>
      <x:c r="G2505" t="str">
        <x:v>High</x:v>
      </x:c>
      <x:c r="H2505" t="str">
        <x:v>N/A</x:v>
      </x:c>
      <x:c r="I2505" t="str">
        <x:v>Проверить цену в источнике</x:v>
      </x:c>
      <x:c r="J2505" t="n">
        <x:f>IF(D2505=1,K2505,0)</x:f>
        <x:v>0</x:v>
      </x:c>
      <x:c r="K2505" t="n">
        <x:f>D2505+K2504</x:f>
        <x:v>26</x:v>
      </x:c>
    </x:row>
    <x:row r="2506">
      <x:c r="A2506" t="str">
        <x:v>Payment</x:v>
      </x:c>
      <x:c r="B2506" t="str">
        <x:f>'04_checks'!B359</x:f>
        <x:v>P112</x:v>
      </x:c>
      <x:c r="C2506" t="n">
        <x:v>113</x:v>
      </x:c>
      <x:c r="D2506" t="n">
        <x:f>IF('04_checks'!H359="ERROR",1,0)</x:f>
        <x:v>0</x:v>
      </x:c>
      <x:c r="E2506" t="str">
        <x:v>Payment:113:6</x:v>
      </x:c>
      <x:c r="F2506" t="str">
        <x:v>Дата</x:v>
      </x:c>
      <x:c r="G2506" t="str">
        <x:v>Medium</x:v>
      </x:c>
      <x:c r="H2506" t="str">
        <x:v>payment_date</x:v>
      </x:c>
      <x:c r="I2506" t="str">
        <x:v>Сверить дату со срезом и исходной записью</x:v>
      </x:c>
      <x:c r="J2506" t="n">
        <x:f>IF(D2506=1,K2506,0)</x:f>
        <x:v>0</x:v>
      </x:c>
      <x:c r="K2506" t="n">
        <x:f>D2506+K2505</x:f>
        <x:v>26</x:v>
      </x:c>
    </x:row>
    <x:row r="2507">
      <x:c r="A2507" t="str">
        <x:v>Payment</x:v>
      </x:c>
      <x:c r="B2507" t="str">
        <x:f>'04_checks'!B359</x:f>
        <x:v>P112</x:v>
      </x:c>
      <x:c r="C2507" t="n">
        <x:v>113</x:v>
      </x:c>
      <x:c r="D2507" t="n">
        <x:f>IF('04_checks'!I359="ERROR",1,0)</x:f>
        <x:v>0</x:v>
      </x:c>
      <x:c r="E2507" t="str">
        <x:v>Payment:113:7</x:v>
      </x:c>
      <x:c r="F2507" t="str">
        <x:v>Статус</x:v>
      </x:c>
      <x:c r="G2507" t="str">
        <x:v>Medium</x:v>
      </x:c>
      <x:c r="H2507" t="str">
        <x:v>payment_status</x:v>
      </x:c>
      <x:c r="I2507" t="str">
        <x:v>Выбрать допустимый статус</x:v>
      </x:c>
      <x:c r="J2507" t="n">
        <x:f>IF(D2507=1,K2507,0)</x:f>
        <x:v>0</x:v>
      </x:c>
      <x:c r="K2507" t="n">
        <x:f>D2507+K2506</x:f>
        <x:v>26</x:v>
      </x:c>
    </x:row>
    <x:row r="2508">
      <x:c r="A2508" t="str">
        <x:v>Payment</x:v>
      </x:c>
      <x:c r="B2508" t="str">
        <x:f>'04_checks'!B360</x:f>
        <x:v>P113</x:v>
      </x:c>
      <x:c r="C2508" t="n">
        <x:v>114</x:v>
      </x:c>
      <x:c r="D2508" t="n">
        <x:f>IF('04_checks'!C360="ERROR",1,0)</x:f>
        <x:v>0</x:v>
      </x:c>
      <x:c r="E2508" t="str">
        <x:v>Payment:114:1</x:v>
      </x:c>
      <x:c r="F2508" t="str">
        <x:v>Дубль</x:v>
      </x:c>
      <x:c r="G2508" t="str">
        <x:v>High</x:v>
      </x:c>
      <x:c r="H2508" t="str">
        <x:v>payment_id</x:v>
      </x:c>
      <x:c r="I2508" t="str">
        <x:v>Проверить уникальность ID в источнике; не удалять записи автоматически</x:v>
      </x:c>
      <x:c r="J2508" t="n">
        <x:f>IF(D2508=1,K2508,0)</x:f>
        <x:v>0</x:v>
      </x:c>
      <x:c r="K2508" t="n">
        <x:f>D2508+K2507</x:f>
        <x:v>26</x:v>
      </x:c>
    </x:row>
    <x:row r="2509">
      <x:c r="A2509" t="str">
        <x:v>Payment</x:v>
      </x:c>
      <x:c r="B2509" t="str">
        <x:f>'04_checks'!B360</x:f>
        <x:v>P113</x:v>
      </x:c>
      <x:c r="C2509" t="n">
        <x:v>114</x:v>
      </x:c>
      <x:c r="D2509" t="n">
        <x:f>IF('04_checks'!D360="ERROR",1,0)</x:f>
        <x:v>0</x:v>
      </x:c>
      <x:c r="E2509" t="str">
        <x:v>Payment:114:2</x:v>
      </x:c>
      <x:c r="F2509" t="str">
        <x:v>Пустое поле</x:v>
      </x:c>
      <x:c r="G2509" t="str">
        <x:v>High</x:v>
      </x:c>
      <x:c r="H2509" t="str">
        <x:v>required_fields</x:v>
      </x:c>
      <x:c r="I2509" t="str">
        <x:v>Дополнить обязательные поля в источнике</x:v>
      </x:c>
      <x:c r="J2509" t="n">
        <x:f>IF(D2509=1,K2509,0)</x:f>
        <x:v>0</x:v>
      </x:c>
      <x:c r="K2509" t="n">
        <x:f>D2509+K2508</x:f>
        <x:v>26</x:v>
      </x:c>
    </x:row>
    <x:row r="2510">
      <x:c r="A2510" t="str">
        <x:v>Payment</x:v>
      </x:c>
      <x:c r="B2510" t="str">
        <x:f>'04_checks'!B360</x:f>
        <x:v>P113</x:v>
      </x:c>
      <x:c r="C2510" t="n">
        <x:v>114</x:v>
      </x:c>
      <x:c r="D2510" t="n">
        <x:f>IF('04_checks'!E360="ERROR",1,0)</x:f>
        <x:v>0</x:v>
      </x:c>
      <x:c r="E2510" t="str">
        <x:v>Payment:114:3</x:v>
      </x:c>
      <x:c r="F2510" t="str">
        <x:f>IF(COUNTIF('01_orders_raw'!$A$2:$A$181,'03_payments_raw'!B114)&gt;1,"Неоднозначная связь","Нет связи")</x:f>
        <x:v>Нет связи</x:v>
      </x:c>
      <x:c r="G2510" t="str">
        <x:v>High</x:v>
      </x:c>
      <x:c r="H2510" t="str">
        <x:v>order_id</x:v>
      </x:c>
      <x:c r="I2510" t="str">
        <x:v>Исправить ссылку или разрешить дубли связанного ID</x:v>
      </x:c>
      <x:c r="J2510" t="n">
        <x:f>IF(D2510=1,K2510,0)</x:f>
        <x:v>0</x:v>
      </x:c>
      <x:c r="K2510" t="n">
        <x:f>D2510+K2509</x:f>
        <x:v>26</x:v>
      </x:c>
    </x:row>
    <x:row r="2511">
      <x:c r="A2511" t="str">
        <x:v>Payment</x:v>
      </x:c>
      <x:c r="B2511" t="str">
        <x:f>'04_checks'!B360</x:f>
        <x:v>P113</x:v>
      </x:c>
      <x:c r="C2511" t="n">
        <x:v>114</x:v>
      </x:c>
      <x:c r="D2511" t="n">
        <x:f>IF('04_checks'!F360="ERROR",1,0)</x:f>
        <x:v>0</x:v>
      </x:c>
      <x:c r="E2511" t="str">
        <x:v>Payment:114:4</x:v>
      </x:c>
      <x:c r="F2511" t="str">
        <x:v>Ошибка расчета</x:v>
      </x:c>
      <x:c r="G2511" t="str">
        <x:v>High</x:v>
      </x:c>
      <x:c r="H2511" t="str">
        <x:v>payment_sum</x:v>
      </x:c>
      <x:c r="I2511" t="str">
        <x:v>Сверить исходные значения и правило расчёта</x:v>
      </x:c>
      <x:c r="J2511" t="n">
        <x:f>IF(D2511=1,K2511,0)</x:f>
        <x:v>0</x:v>
      </x:c>
      <x:c r="K2511" t="n">
        <x:f>D2511+K2510</x:f>
        <x:v>26</x:v>
      </x:c>
    </x:row>
    <x:row r="2512">
      <x:c r="A2512" t="str">
        <x:v>Payment</x:v>
      </x:c>
      <x:c r="B2512" t="str">
        <x:f>'04_checks'!B360</x:f>
        <x:v>P113</x:v>
      </x:c>
      <x:c r="C2512" t="n">
        <x:v>114</x:v>
      </x:c>
      <x:c r="D2512" t="n">
        <x:f>IF('04_checks'!G360="ERROR",1,0)</x:f>
        <x:v>0</x:v>
      </x:c>
      <x:c r="E2512" t="str">
        <x:v>Payment:114:5</x:v>
      </x:c>
      <x:c r="F2512" t="str">
        <x:v>Отрицательная цена</x:v>
      </x:c>
      <x:c r="G2512" t="str">
        <x:v>High</x:v>
      </x:c>
      <x:c r="H2512" t="str">
        <x:v>N/A</x:v>
      </x:c>
      <x:c r="I2512" t="str">
        <x:v>Проверить цену в источнике</x:v>
      </x:c>
      <x:c r="J2512" t="n">
        <x:f>IF(D2512=1,K2512,0)</x:f>
        <x:v>0</x:v>
      </x:c>
      <x:c r="K2512" t="n">
        <x:f>D2512+K2511</x:f>
        <x:v>26</x:v>
      </x:c>
    </x:row>
    <x:row r="2513">
      <x:c r="A2513" t="str">
        <x:v>Payment</x:v>
      </x:c>
      <x:c r="B2513" t="str">
        <x:f>'04_checks'!B360</x:f>
        <x:v>P113</x:v>
      </x:c>
      <x:c r="C2513" t="n">
        <x:v>114</x:v>
      </x:c>
      <x:c r="D2513" t="n">
        <x:f>IF('04_checks'!H360="ERROR",1,0)</x:f>
        <x:v>0</x:v>
      </x:c>
      <x:c r="E2513" t="str">
        <x:v>Payment:114:6</x:v>
      </x:c>
      <x:c r="F2513" t="str">
        <x:v>Дата</x:v>
      </x:c>
      <x:c r="G2513" t="str">
        <x:v>Medium</x:v>
      </x:c>
      <x:c r="H2513" t="str">
        <x:v>payment_date</x:v>
      </x:c>
      <x:c r="I2513" t="str">
        <x:v>Сверить дату со срезом и исходной записью</x:v>
      </x:c>
      <x:c r="J2513" t="n">
        <x:f>IF(D2513=1,K2513,0)</x:f>
        <x:v>0</x:v>
      </x:c>
      <x:c r="K2513" t="n">
        <x:f>D2513+K2512</x:f>
        <x:v>26</x:v>
      </x:c>
    </x:row>
    <x:row r="2514">
      <x:c r="A2514" t="str">
        <x:v>Payment</x:v>
      </x:c>
      <x:c r="B2514" t="str">
        <x:f>'04_checks'!B360</x:f>
        <x:v>P113</x:v>
      </x:c>
      <x:c r="C2514" t="n">
        <x:v>114</x:v>
      </x:c>
      <x:c r="D2514" t="n">
        <x:f>IF('04_checks'!I360="ERROR",1,0)</x:f>
        <x:v>0</x:v>
      </x:c>
      <x:c r="E2514" t="str">
        <x:v>Payment:114:7</x:v>
      </x:c>
      <x:c r="F2514" t="str">
        <x:v>Статус</x:v>
      </x:c>
      <x:c r="G2514" t="str">
        <x:v>Medium</x:v>
      </x:c>
      <x:c r="H2514" t="str">
        <x:v>payment_status</x:v>
      </x:c>
      <x:c r="I2514" t="str">
        <x:v>Выбрать допустимый статус</x:v>
      </x:c>
      <x:c r="J2514" t="n">
        <x:f>IF(D2514=1,K2514,0)</x:f>
        <x:v>0</x:v>
      </x:c>
      <x:c r="K2514" t="n">
        <x:f>D2514+K2513</x:f>
        <x:v>26</x:v>
      </x:c>
    </x:row>
    <x:row r="2515">
      <x:c r="A2515" t="str">
        <x:v>Payment</x:v>
      </x:c>
      <x:c r="B2515" t="str">
        <x:f>'04_checks'!B361</x:f>
        <x:v>P114</x:v>
      </x:c>
      <x:c r="C2515" t="n">
        <x:v>115</x:v>
      </x:c>
      <x:c r="D2515" t="n">
        <x:f>IF('04_checks'!C361="ERROR",1,0)</x:f>
        <x:v>0</x:v>
      </x:c>
      <x:c r="E2515" t="str">
        <x:v>Payment:115:1</x:v>
      </x:c>
      <x:c r="F2515" t="str">
        <x:v>Дубль</x:v>
      </x:c>
      <x:c r="G2515" t="str">
        <x:v>High</x:v>
      </x:c>
      <x:c r="H2515" t="str">
        <x:v>payment_id</x:v>
      </x:c>
      <x:c r="I2515" t="str">
        <x:v>Проверить уникальность ID в источнике; не удалять записи автоматически</x:v>
      </x:c>
      <x:c r="J2515" t="n">
        <x:f>IF(D2515=1,K2515,0)</x:f>
        <x:v>0</x:v>
      </x:c>
      <x:c r="K2515" t="n">
        <x:f>D2515+K2514</x:f>
        <x:v>26</x:v>
      </x:c>
    </x:row>
    <x:row r="2516">
      <x:c r="A2516" t="str">
        <x:v>Payment</x:v>
      </x:c>
      <x:c r="B2516" t="str">
        <x:f>'04_checks'!B361</x:f>
        <x:v>P114</x:v>
      </x:c>
      <x:c r="C2516" t="n">
        <x:v>115</x:v>
      </x:c>
      <x:c r="D2516" t="n">
        <x:f>IF('04_checks'!D361="ERROR",1,0)</x:f>
        <x:v>0</x:v>
      </x:c>
      <x:c r="E2516" t="str">
        <x:v>Payment:115:2</x:v>
      </x:c>
      <x:c r="F2516" t="str">
        <x:v>Пустое поле</x:v>
      </x:c>
      <x:c r="G2516" t="str">
        <x:v>High</x:v>
      </x:c>
      <x:c r="H2516" t="str">
        <x:v>required_fields</x:v>
      </x:c>
      <x:c r="I2516" t="str">
        <x:v>Дополнить обязательные поля в источнике</x:v>
      </x:c>
      <x:c r="J2516" t="n">
        <x:f>IF(D2516=1,K2516,0)</x:f>
        <x:v>0</x:v>
      </x:c>
      <x:c r="K2516" t="n">
        <x:f>D2516+K2515</x:f>
        <x:v>26</x:v>
      </x:c>
    </x:row>
    <x:row r="2517">
      <x:c r="A2517" t="str">
        <x:v>Payment</x:v>
      </x:c>
      <x:c r="B2517" t="str">
        <x:f>'04_checks'!B361</x:f>
        <x:v>P114</x:v>
      </x:c>
      <x:c r="C2517" t="n">
        <x:v>115</x:v>
      </x:c>
      <x:c r="D2517" t="n">
        <x:f>IF('04_checks'!E361="ERROR",1,0)</x:f>
        <x:v>0</x:v>
      </x:c>
      <x:c r="E2517" t="str">
        <x:v>Payment:115:3</x:v>
      </x:c>
      <x:c r="F2517" t="str">
        <x:f>IF(COUNTIF('01_orders_raw'!$A$2:$A$181,'03_payments_raw'!B115)&gt;1,"Неоднозначная связь","Нет связи")</x:f>
        <x:v>Нет связи</x:v>
      </x:c>
      <x:c r="G2517" t="str">
        <x:v>High</x:v>
      </x:c>
      <x:c r="H2517" t="str">
        <x:v>order_id</x:v>
      </x:c>
      <x:c r="I2517" t="str">
        <x:v>Исправить ссылку или разрешить дубли связанного ID</x:v>
      </x:c>
      <x:c r="J2517" t="n">
        <x:f>IF(D2517=1,K2517,0)</x:f>
        <x:v>0</x:v>
      </x:c>
      <x:c r="K2517" t="n">
        <x:f>D2517+K2516</x:f>
        <x:v>26</x:v>
      </x:c>
    </x:row>
    <x:row r="2518">
      <x:c r="A2518" t="str">
        <x:v>Payment</x:v>
      </x:c>
      <x:c r="B2518" t="str">
        <x:f>'04_checks'!B361</x:f>
        <x:v>P114</x:v>
      </x:c>
      <x:c r="C2518" t="n">
        <x:v>115</x:v>
      </x:c>
      <x:c r="D2518" t="n">
        <x:f>IF('04_checks'!F361="ERROR",1,0)</x:f>
        <x:v>0</x:v>
      </x:c>
      <x:c r="E2518" t="str">
        <x:v>Payment:115:4</x:v>
      </x:c>
      <x:c r="F2518" t="str">
        <x:v>Ошибка расчета</x:v>
      </x:c>
      <x:c r="G2518" t="str">
        <x:v>High</x:v>
      </x:c>
      <x:c r="H2518" t="str">
        <x:v>payment_sum</x:v>
      </x:c>
      <x:c r="I2518" t="str">
        <x:v>Сверить исходные значения и правило расчёта</x:v>
      </x:c>
      <x:c r="J2518" t="n">
        <x:f>IF(D2518=1,K2518,0)</x:f>
        <x:v>0</x:v>
      </x:c>
      <x:c r="K2518" t="n">
        <x:f>D2518+K2517</x:f>
        <x:v>26</x:v>
      </x:c>
    </x:row>
    <x:row r="2519">
      <x:c r="A2519" t="str">
        <x:v>Payment</x:v>
      </x:c>
      <x:c r="B2519" t="str">
        <x:f>'04_checks'!B361</x:f>
        <x:v>P114</x:v>
      </x:c>
      <x:c r="C2519" t="n">
        <x:v>115</x:v>
      </x:c>
      <x:c r="D2519" t="n">
        <x:f>IF('04_checks'!G361="ERROR",1,0)</x:f>
        <x:v>0</x:v>
      </x:c>
      <x:c r="E2519" t="str">
        <x:v>Payment:115:5</x:v>
      </x:c>
      <x:c r="F2519" t="str">
        <x:v>Отрицательная цена</x:v>
      </x:c>
      <x:c r="G2519" t="str">
        <x:v>High</x:v>
      </x:c>
      <x:c r="H2519" t="str">
        <x:v>N/A</x:v>
      </x:c>
      <x:c r="I2519" t="str">
        <x:v>Проверить цену в источнике</x:v>
      </x:c>
      <x:c r="J2519" t="n">
        <x:f>IF(D2519=1,K2519,0)</x:f>
        <x:v>0</x:v>
      </x:c>
      <x:c r="K2519" t="n">
        <x:f>D2519+K2518</x:f>
        <x:v>26</x:v>
      </x:c>
    </x:row>
    <x:row r="2520">
      <x:c r="A2520" t="str">
        <x:v>Payment</x:v>
      </x:c>
      <x:c r="B2520" t="str">
        <x:f>'04_checks'!B361</x:f>
        <x:v>P114</x:v>
      </x:c>
      <x:c r="C2520" t="n">
        <x:v>115</x:v>
      </x:c>
      <x:c r="D2520" t="n">
        <x:f>IF('04_checks'!H361="ERROR",1,0)</x:f>
        <x:v>0</x:v>
      </x:c>
      <x:c r="E2520" t="str">
        <x:v>Payment:115:6</x:v>
      </x:c>
      <x:c r="F2520" t="str">
        <x:v>Дата</x:v>
      </x:c>
      <x:c r="G2520" t="str">
        <x:v>Medium</x:v>
      </x:c>
      <x:c r="H2520" t="str">
        <x:v>payment_date</x:v>
      </x:c>
      <x:c r="I2520" t="str">
        <x:v>Сверить дату со срезом и исходной записью</x:v>
      </x:c>
      <x:c r="J2520" t="n">
        <x:f>IF(D2520=1,K2520,0)</x:f>
        <x:v>0</x:v>
      </x:c>
      <x:c r="K2520" t="n">
        <x:f>D2520+K2519</x:f>
        <x:v>26</x:v>
      </x:c>
    </x:row>
    <x:row r="2521">
      <x:c r="A2521" t="str">
        <x:v>Payment</x:v>
      </x:c>
      <x:c r="B2521" t="str">
        <x:f>'04_checks'!B361</x:f>
        <x:v>P114</x:v>
      </x:c>
      <x:c r="C2521" t="n">
        <x:v>115</x:v>
      </x:c>
      <x:c r="D2521" t="n">
        <x:f>IF('04_checks'!I361="ERROR",1,0)</x:f>
        <x:v>0</x:v>
      </x:c>
      <x:c r="E2521" t="str">
        <x:v>Payment:115:7</x:v>
      </x:c>
      <x:c r="F2521" t="str">
        <x:v>Статус</x:v>
      </x:c>
      <x:c r="G2521" t="str">
        <x:v>Medium</x:v>
      </x:c>
      <x:c r="H2521" t="str">
        <x:v>payment_status</x:v>
      </x:c>
      <x:c r="I2521" t="str">
        <x:v>Выбрать допустимый статус</x:v>
      </x:c>
      <x:c r="J2521" t="n">
        <x:f>IF(D2521=1,K2521,0)</x:f>
        <x:v>0</x:v>
      </x:c>
      <x:c r="K2521" t="n">
        <x:f>D2521+K2520</x:f>
        <x:v>26</x:v>
      </x:c>
    </x:row>
    <x:row r="2522">
      <x:c r="A2522" t="str">
        <x:v>Payment</x:v>
      </x:c>
      <x:c r="B2522" t="str">
        <x:f>'04_checks'!B362</x:f>
        <x:v>P115</x:v>
      </x:c>
      <x:c r="C2522" t="n">
        <x:v>116</x:v>
      </x:c>
      <x:c r="D2522" t="n">
        <x:f>IF('04_checks'!C362="ERROR",1,0)</x:f>
        <x:v>0</x:v>
      </x:c>
      <x:c r="E2522" t="str">
        <x:v>Payment:116:1</x:v>
      </x:c>
      <x:c r="F2522" t="str">
        <x:v>Дубль</x:v>
      </x:c>
      <x:c r="G2522" t="str">
        <x:v>High</x:v>
      </x:c>
      <x:c r="H2522" t="str">
        <x:v>payment_id</x:v>
      </x:c>
      <x:c r="I2522" t="str">
        <x:v>Проверить уникальность ID в источнике; не удалять записи автоматически</x:v>
      </x:c>
      <x:c r="J2522" t="n">
        <x:f>IF(D2522=1,K2522,0)</x:f>
        <x:v>0</x:v>
      </x:c>
      <x:c r="K2522" t="n">
        <x:f>D2522+K2521</x:f>
        <x:v>26</x:v>
      </x:c>
    </x:row>
    <x:row r="2523">
      <x:c r="A2523" t="str">
        <x:v>Payment</x:v>
      </x:c>
      <x:c r="B2523" t="str">
        <x:f>'04_checks'!B362</x:f>
        <x:v>P115</x:v>
      </x:c>
      <x:c r="C2523" t="n">
        <x:v>116</x:v>
      </x:c>
      <x:c r="D2523" t="n">
        <x:f>IF('04_checks'!D362="ERROR",1,0)</x:f>
        <x:v>0</x:v>
      </x:c>
      <x:c r="E2523" t="str">
        <x:v>Payment:116:2</x:v>
      </x:c>
      <x:c r="F2523" t="str">
        <x:v>Пустое поле</x:v>
      </x:c>
      <x:c r="G2523" t="str">
        <x:v>High</x:v>
      </x:c>
      <x:c r="H2523" t="str">
        <x:v>required_fields</x:v>
      </x:c>
      <x:c r="I2523" t="str">
        <x:v>Дополнить обязательные поля в источнике</x:v>
      </x:c>
      <x:c r="J2523" t="n">
        <x:f>IF(D2523=1,K2523,0)</x:f>
        <x:v>0</x:v>
      </x:c>
      <x:c r="K2523" t="n">
        <x:f>D2523+K2522</x:f>
        <x:v>26</x:v>
      </x:c>
    </x:row>
    <x:row r="2524">
      <x:c r="A2524" t="str">
        <x:v>Payment</x:v>
      </x:c>
      <x:c r="B2524" t="str">
        <x:f>'04_checks'!B362</x:f>
        <x:v>P115</x:v>
      </x:c>
      <x:c r="C2524" t="n">
        <x:v>116</x:v>
      </x:c>
      <x:c r="D2524" t="n">
        <x:f>IF('04_checks'!E362="ERROR",1,0)</x:f>
        <x:v>0</x:v>
      </x:c>
      <x:c r="E2524" t="str">
        <x:v>Payment:116:3</x:v>
      </x:c>
      <x:c r="F2524" t="str">
        <x:f>IF(COUNTIF('01_orders_raw'!$A$2:$A$181,'03_payments_raw'!B116)&gt;1,"Неоднозначная связь","Нет связи")</x:f>
        <x:v>Нет связи</x:v>
      </x:c>
      <x:c r="G2524" t="str">
        <x:v>High</x:v>
      </x:c>
      <x:c r="H2524" t="str">
        <x:v>order_id</x:v>
      </x:c>
      <x:c r="I2524" t="str">
        <x:v>Исправить ссылку или разрешить дубли связанного ID</x:v>
      </x:c>
      <x:c r="J2524" t="n">
        <x:f>IF(D2524=1,K2524,0)</x:f>
        <x:v>0</x:v>
      </x:c>
      <x:c r="K2524" t="n">
        <x:f>D2524+K2523</x:f>
        <x:v>26</x:v>
      </x:c>
    </x:row>
    <x:row r="2525">
      <x:c r="A2525" t="str">
        <x:v>Payment</x:v>
      </x:c>
      <x:c r="B2525" t="str">
        <x:f>'04_checks'!B362</x:f>
        <x:v>P115</x:v>
      </x:c>
      <x:c r="C2525" t="n">
        <x:v>116</x:v>
      </x:c>
      <x:c r="D2525" t="n">
        <x:f>IF('04_checks'!F362="ERROR",1,0)</x:f>
        <x:v>0</x:v>
      </x:c>
      <x:c r="E2525" t="str">
        <x:v>Payment:116:4</x:v>
      </x:c>
      <x:c r="F2525" t="str">
        <x:v>Ошибка расчета</x:v>
      </x:c>
      <x:c r="G2525" t="str">
        <x:v>High</x:v>
      </x:c>
      <x:c r="H2525" t="str">
        <x:v>payment_sum</x:v>
      </x:c>
      <x:c r="I2525" t="str">
        <x:v>Сверить исходные значения и правило расчёта</x:v>
      </x:c>
      <x:c r="J2525" t="n">
        <x:f>IF(D2525=1,K2525,0)</x:f>
        <x:v>0</x:v>
      </x:c>
      <x:c r="K2525" t="n">
        <x:f>D2525+K2524</x:f>
        <x:v>26</x:v>
      </x:c>
    </x:row>
    <x:row r="2526">
      <x:c r="A2526" t="str">
        <x:v>Payment</x:v>
      </x:c>
      <x:c r="B2526" t="str">
        <x:f>'04_checks'!B362</x:f>
        <x:v>P115</x:v>
      </x:c>
      <x:c r="C2526" t="n">
        <x:v>116</x:v>
      </x:c>
      <x:c r="D2526" t="n">
        <x:f>IF('04_checks'!G362="ERROR",1,0)</x:f>
        <x:v>0</x:v>
      </x:c>
      <x:c r="E2526" t="str">
        <x:v>Payment:116:5</x:v>
      </x:c>
      <x:c r="F2526" t="str">
        <x:v>Отрицательная цена</x:v>
      </x:c>
      <x:c r="G2526" t="str">
        <x:v>High</x:v>
      </x:c>
      <x:c r="H2526" t="str">
        <x:v>N/A</x:v>
      </x:c>
      <x:c r="I2526" t="str">
        <x:v>Проверить цену в источнике</x:v>
      </x:c>
      <x:c r="J2526" t="n">
        <x:f>IF(D2526=1,K2526,0)</x:f>
        <x:v>0</x:v>
      </x:c>
      <x:c r="K2526" t="n">
        <x:f>D2526+K2525</x:f>
        <x:v>26</x:v>
      </x:c>
    </x:row>
    <x:row r="2527">
      <x:c r="A2527" t="str">
        <x:v>Payment</x:v>
      </x:c>
      <x:c r="B2527" t="str">
        <x:f>'04_checks'!B362</x:f>
        <x:v>P115</x:v>
      </x:c>
      <x:c r="C2527" t="n">
        <x:v>116</x:v>
      </x:c>
      <x:c r="D2527" t="n">
        <x:f>IF('04_checks'!H362="ERROR",1,0)</x:f>
        <x:v>0</x:v>
      </x:c>
      <x:c r="E2527" t="str">
        <x:v>Payment:116:6</x:v>
      </x:c>
      <x:c r="F2527" t="str">
        <x:v>Дата</x:v>
      </x:c>
      <x:c r="G2527" t="str">
        <x:v>Medium</x:v>
      </x:c>
      <x:c r="H2527" t="str">
        <x:v>payment_date</x:v>
      </x:c>
      <x:c r="I2527" t="str">
        <x:v>Сверить дату со срезом и исходной записью</x:v>
      </x:c>
      <x:c r="J2527" t="n">
        <x:f>IF(D2527=1,K2527,0)</x:f>
        <x:v>0</x:v>
      </x:c>
      <x:c r="K2527" t="n">
        <x:f>D2527+K2526</x:f>
        <x:v>26</x:v>
      </x:c>
    </x:row>
    <x:row r="2528">
      <x:c r="A2528" t="str">
        <x:v>Payment</x:v>
      </x:c>
      <x:c r="B2528" t="str">
        <x:f>'04_checks'!B362</x:f>
        <x:v>P115</x:v>
      </x:c>
      <x:c r="C2528" t="n">
        <x:v>116</x:v>
      </x:c>
      <x:c r="D2528" t="n">
        <x:f>IF('04_checks'!I362="ERROR",1,0)</x:f>
        <x:v>0</x:v>
      </x:c>
      <x:c r="E2528" t="str">
        <x:v>Payment:116:7</x:v>
      </x:c>
      <x:c r="F2528" t="str">
        <x:v>Статус</x:v>
      </x:c>
      <x:c r="G2528" t="str">
        <x:v>Medium</x:v>
      </x:c>
      <x:c r="H2528" t="str">
        <x:v>payment_status</x:v>
      </x:c>
      <x:c r="I2528" t="str">
        <x:v>Выбрать допустимый статус</x:v>
      </x:c>
      <x:c r="J2528" t="n">
        <x:f>IF(D2528=1,K2528,0)</x:f>
        <x:v>0</x:v>
      </x:c>
      <x:c r="K2528" t="n">
        <x:f>D2528+K2527</x:f>
        <x:v>26</x:v>
      </x:c>
    </x:row>
    <x:row r="2529">
      <x:c r="A2529" t="str">
        <x:v>Payment</x:v>
      </x:c>
      <x:c r="B2529" t="str">
        <x:f>'04_checks'!B363</x:f>
        <x:v>P116</x:v>
      </x:c>
      <x:c r="C2529" t="n">
        <x:v>117</x:v>
      </x:c>
      <x:c r="D2529" t="n">
        <x:f>IF('04_checks'!C363="ERROR",1,0)</x:f>
        <x:v>0</x:v>
      </x:c>
      <x:c r="E2529" t="str">
        <x:v>Payment:117:1</x:v>
      </x:c>
      <x:c r="F2529" t="str">
        <x:v>Дубль</x:v>
      </x:c>
      <x:c r="G2529" t="str">
        <x:v>High</x:v>
      </x:c>
      <x:c r="H2529" t="str">
        <x:v>payment_id</x:v>
      </x:c>
      <x:c r="I2529" t="str">
        <x:v>Проверить уникальность ID в источнике; не удалять записи автоматически</x:v>
      </x:c>
      <x:c r="J2529" t="n">
        <x:f>IF(D2529=1,K2529,0)</x:f>
        <x:v>0</x:v>
      </x:c>
      <x:c r="K2529" t="n">
        <x:f>D2529+K2528</x:f>
        <x:v>26</x:v>
      </x:c>
    </x:row>
    <x:row r="2530">
      <x:c r="A2530" t="str">
        <x:v>Payment</x:v>
      </x:c>
      <x:c r="B2530" t="str">
        <x:f>'04_checks'!B363</x:f>
        <x:v>P116</x:v>
      </x:c>
      <x:c r="C2530" t="n">
        <x:v>117</x:v>
      </x:c>
      <x:c r="D2530" t="n">
        <x:f>IF('04_checks'!D363="ERROR",1,0)</x:f>
        <x:v>0</x:v>
      </x:c>
      <x:c r="E2530" t="str">
        <x:v>Payment:117:2</x:v>
      </x:c>
      <x:c r="F2530" t="str">
        <x:v>Пустое поле</x:v>
      </x:c>
      <x:c r="G2530" t="str">
        <x:v>High</x:v>
      </x:c>
      <x:c r="H2530" t="str">
        <x:v>required_fields</x:v>
      </x:c>
      <x:c r="I2530" t="str">
        <x:v>Дополнить обязательные поля в источнике</x:v>
      </x:c>
      <x:c r="J2530" t="n">
        <x:f>IF(D2530=1,K2530,0)</x:f>
        <x:v>0</x:v>
      </x:c>
      <x:c r="K2530" t="n">
        <x:f>D2530+K2529</x:f>
        <x:v>26</x:v>
      </x:c>
    </x:row>
    <x:row r="2531">
      <x:c r="A2531" t="str">
        <x:v>Payment</x:v>
      </x:c>
      <x:c r="B2531" t="str">
        <x:f>'04_checks'!B363</x:f>
        <x:v>P116</x:v>
      </x:c>
      <x:c r="C2531" t="n">
        <x:v>117</x:v>
      </x:c>
      <x:c r="D2531" t="n">
        <x:f>IF('04_checks'!E363="ERROR",1,0)</x:f>
        <x:v>0</x:v>
      </x:c>
      <x:c r="E2531" t="str">
        <x:v>Payment:117:3</x:v>
      </x:c>
      <x:c r="F2531" t="str">
        <x:f>IF(COUNTIF('01_orders_raw'!$A$2:$A$181,'03_payments_raw'!B117)&gt;1,"Неоднозначная связь","Нет связи")</x:f>
        <x:v>Нет связи</x:v>
      </x:c>
      <x:c r="G2531" t="str">
        <x:v>High</x:v>
      </x:c>
      <x:c r="H2531" t="str">
        <x:v>order_id</x:v>
      </x:c>
      <x:c r="I2531" t="str">
        <x:v>Исправить ссылку или разрешить дубли связанного ID</x:v>
      </x:c>
      <x:c r="J2531" t="n">
        <x:f>IF(D2531=1,K2531,0)</x:f>
        <x:v>0</x:v>
      </x:c>
      <x:c r="K2531" t="n">
        <x:f>D2531+K2530</x:f>
        <x:v>26</x:v>
      </x:c>
    </x:row>
    <x:row r="2532">
      <x:c r="A2532" t="str">
        <x:v>Payment</x:v>
      </x:c>
      <x:c r="B2532" t="str">
        <x:f>'04_checks'!B363</x:f>
        <x:v>P116</x:v>
      </x:c>
      <x:c r="C2532" t="n">
        <x:v>117</x:v>
      </x:c>
      <x:c r="D2532" t="n">
        <x:f>IF('04_checks'!F363="ERROR",1,0)</x:f>
        <x:v>0</x:v>
      </x:c>
      <x:c r="E2532" t="str">
        <x:v>Payment:117:4</x:v>
      </x:c>
      <x:c r="F2532" t="str">
        <x:v>Ошибка расчета</x:v>
      </x:c>
      <x:c r="G2532" t="str">
        <x:v>High</x:v>
      </x:c>
      <x:c r="H2532" t="str">
        <x:v>payment_sum</x:v>
      </x:c>
      <x:c r="I2532" t="str">
        <x:v>Сверить исходные значения и правило расчёта</x:v>
      </x:c>
      <x:c r="J2532" t="n">
        <x:f>IF(D2532=1,K2532,0)</x:f>
        <x:v>0</x:v>
      </x:c>
      <x:c r="K2532" t="n">
        <x:f>D2532+K2531</x:f>
        <x:v>26</x:v>
      </x:c>
    </x:row>
    <x:row r="2533">
      <x:c r="A2533" t="str">
        <x:v>Payment</x:v>
      </x:c>
      <x:c r="B2533" t="str">
        <x:f>'04_checks'!B363</x:f>
        <x:v>P116</x:v>
      </x:c>
      <x:c r="C2533" t="n">
        <x:v>117</x:v>
      </x:c>
      <x:c r="D2533" t="n">
        <x:f>IF('04_checks'!G363="ERROR",1,0)</x:f>
        <x:v>0</x:v>
      </x:c>
      <x:c r="E2533" t="str">
        <x:v>Payment:117:5</x:v>
      </x:c>
      <x:c r="F2533" t="str">
        <x:v>Отрицательная цена</x:v>
      </x:c>
      <x:c r="G2533" t="str">
        <x:v>High</x:v>
      </x:c>
      <x:c r="H2533" t="str">
        <x:v>N/A</x:v>
      </x:c>
      <x:c r="I2533" t="str">
        <x:v>Проверить цену в источнике</x:v>
      </x:c>
      <x:c r="J2533" t="n">
        <x:f>IF(D2533=1,K2533,0)</x:f>
        <x:v>0</x:v>
      </x:c>
      <x:c r="K2533" t="n">
        <x:f>D2533+K2532</x:f>
        <x:v>26</x:v>
      </x:c>
    </x:row>
    <x:row r="2534">
      <x:c r="A2534" t="str">
        <x:v>Payment</x:v>
      </x:c>
      <x:c r="B2534" t="str">
        <x:f>'04_checks'!B363</x:f>
        <x:v>P116</x:v>
      </x:c>
      <x:c r="C2534" t="n">
        <x:v>117</x:v>
      </x:c>
      <x:c r="D2534" t="n">
        <x:f>IF('04_checks'!H363="ERROR",1,0)</x:f>
        <x:v>0</x:v>
      </x:c>
      <x:c r="E2534" t="str">
        <x:v>Payment:117:6</x:v>
      </x:c>
      <x:c r="F2534" t="str">
        <x:v>Дата</x:v>
      </x:c>
      <x:c r="G2534" t="str">
        <x:v>Medium</x:v>
      </x:c>
      <x:c r="H2534" t="str">
        <x:v>payment_date</x:v>
      </x:c>
      <x:c r="I2534" t="str">
        <x:v>Сверить дату со срезом и исходной записью</x:v>
      </x:c>
      <x:c r="J2534" t="n">
        <x:f>IF(D2534=1,K2534,0)</x:f>
        <x:v>0</x:v>
      </x:c>
      <x:c r="K2534" t="n">
        <x:f>D2534+K2533</x:f>
        <x:v>26</x:v>
      </x:c>
    </x:row>
    <x:row r="2535">
      <x:c r="A2535" t="str">
        <x:v>Payment</x:v>
      </x:c>
      <x:c r="B2535" t="str">
        <x:f>'04_checks'!B363</x:f>
        <x:v>P116</x:v>
      </x:c>
      <x:c r="C2535" t="n">
        <x:v>117</x:v>
      </x:c>
      <x:c r="D2535" t="n">
        <x:f>IF('04_checks'!I363="ERROR",1,0)</x:f>
        <x:v>0</x:v>
      </x:c>
      <x:c r="E2535" t="str">
        <x:v>Payment:117:7</x:v>
      </x:c>
      <x:c r="F2535" t="str">
        <x:v>Статус</x:v>
      </x:c>
      <x:c r="G2535" t="str">
        <x:v>Medium</x:v>
      </x:c>
      <x:c r="H2535" t="str">
        <x:v>payment_status</x:v>
      </x:c>
      <x:c r="I2535" t="str">
        <x:v>Выбрать допустимый статус</x:v>
      </x:c>
      <x:c r="J2535" t="n">
        <x:f>IF(D2535=1,K2535,0)</x:f>
        <x:v>0</x:v>
      </x:c>
      <x:c r="K2535" t="n">
        <x:f>D2535+K2534</x:f>
        <x:v>26</x:v>
      </x:c>
    </x:row>
    <x:row r="2536">
      <x:c r="A2536" t="str">
        <x:v>Payment</x:v>
      </x:c>
      <x:c r="B2536" t="str">
        <x:f>'04_checks'!B364</x:f>
        <x:v>P117</x:v>
      </x:c>
      <x:c r="C2536" t="n">
        <x:v>118</x:v>
      </x:c>
      <x:c r="D2536" t="n">
        <x:f>IF('04_checks'!C364="ERROR",1,0)</x:f>
        <x:v>0</x:v>
      </x:c>
      <x:c r="E2536" t="str">
        <x:v>Payment:118:1</x:v>
      </x:c>
      <x:c r="F2536" t="str">
        <x:v>Дубль</x:v>
      </x:c>
      <x:c r="G2536" t="str">
        <x:v>High</x:v>
      </x:c>
      <x:c r="H2536" t="str">
        <x:v>payment_id</x:v>
      </x:c>
      <x:c r="I2536" t="str">
        <x:v>Проверить уникальность ID в источнике; не удалять записи автоматически</x:v>
      </x:c>
      <x:c r="J2536" t="n">
        <x:f>IF(D2536=1,K2536,0)</x:f>
        <x:v>0</x:v>
      </x:c>
      <x:c r="K2536" t="n">
        <x:f>D2536+K2535</x:f>
        <x:v>26</x:v>
      </x:c>
    </x:row>
    <x:row r="2537">
      <x:c r="A2537" t="str">
        <x:v>Payment</x:v>
      </x:c>
      <x:c r="B2537" t="str">
        <x:f>'04_checks'!B364</x:f>
        <x:v>P117</x:v>
      </x:c>
      <x:c r="C2537" t="n">
        <x:v>118</x:v>
      </x:c>
      <x:c r="D2537" t="n">
        <x:f>IF('04_checks'!D364="ERROR",1,0)</x:f>
        <x:v>0</x:v>
      </x:c>
      <x:c r="E2537" t="str">
        <x:v>Payment:118:2</x:v>
      </x:c>
      <x:c r="F2537" t="str">
        <x:v>Пустое поле</x:v>
      </x:c>
      <x:c r="G2537" t="str">
        <x:v>High</x:v>
      </x:c>
      <x:c r="H2537" t="str">
        <x:v>required_fields</x:v>
      </x:c>
      <x:c r="I2537" t="str">
        <x:v>Дополнить обязательные поля в источнике</x:v>
      </x:c>
      <x:c r="J2537" t="n">
        <x:f>IF(D2537=1,K2537,0)</x:f>
        <x:v>0</x:v>
      </x:c>
      <x:c r="K2537" t="n">
        <x:f>D2537+K2536</x:f>
        <x:v>26</x:v>
      </x:c>
    </x:row>
    <x:row r="2538">
      <x:c r="A2538" t="str">
        <x:v>Payment</x:v>
      </x:c>
      <x:c r="B2538" t="str">
        <x:f>'04_checks'!B364</x:f>
        <x:v>P117</x:v>
      </x:c>
      <x:c r="C2538" t="n">
        <x:v>118</x:v>
      </x:c>
      <x:c r="D2538" t="n">
        <x:f>IF('04_checks'!E364="ERROR",1,0)</x:f>
        <x:v>0</x:v>
      </x:c>
      <x:c r="E2538" t="str">
        <x:v>Payment:118:3</x:v>
      </x:c>
      <x:c r="F2538" t="str">
        <x:f>IF(COUNTIF('01_orders_raw'!$A$2:$A$181,'03_payments_raw'!B118)&gt;1,"Неоднозначная связь","Нет связи")</x:f>
        <x:v>Нет связи</x:v>
      </x:c>
      <x:c r="G2538" t="str">
        <x:v>High</x:v>
      </x:c>
      <x:c r="H2538" t="str">
        <x:v>order_id</x:v>
      </x:c>
      <x:c r="I2538" t="str">
        <x:v>Исправить ссылку или разрешить дубли связанного ID</x:v>
      </x:c>
      <x:c r="J2538" t="n">
        <x:f>IF(D2538=1,K2538,0)</x:f>
        <x:v>0</x:v>
      </x:c>
      <x:c r="K2538" t="n">
        <x:f>D2538+K2537</x:f>
        <x:v>26</x:v>
      </x:c>
    </x:row>
    <x:row r="2539">
      <x:c r="A2539" t="str">
        <x:v>Payment</x:v>
      </x:c>
      <x:c r="B2539" t="str">
        <x:f>'04_checks'!B364</x:f>
        <x:v>P117</x:v>
      </x:c>
      <x:c r="C2539" t="n">
        <x:v>118</x:v>
      </x:c>
      <x:c r="D2539" t="n">
        <x:f>IF('04_checks'!F364="ERROR",1,0)</x:f>
        <x:v>0</x:v>
      </x:c>
      <x:c r="E2539" t="str">
        <x:v>Payment:118:4</x:v>
      </x:c>
      <x:c r="F2539" t="str">
        <x:v>Ошибка расчета</x:v>
      </x:c>
      <x:c r="G2539" t="str">
        <x:v>High</x:v>
      </x:c>
      <x:c r="H2539" t="str">
        <x:v>payment_sum</x:v>
      </x:c>
      <x:c r="I2539" t="str">
        <x:v>Сверить исходные значения и правило расчёта</x:v>
      </x:c>
      <x:c r="J2539" t="n">
        <x:f>IF(D2539=1,K2539,0)</x:f>
        <x:v>0</x:v>
      </x:c>
      <x:c r="K2539" t="n">
        <x:f>D2539+K2538</x:f>
        <x:v>26</x:v>
      </x:c>
    </x:row>
    <x:row r="2540">
      <x:c r="A2540" t="str">
        <x:v>Payment</x:v>
      </x:c>
      <x:c r="B2540" t="str">
        <x:f>'04_checks'!B364</x:f>
        <x:v>P117</x:v>
      </x:c>
      <x:c r="C2540" t="n">
        <x:v>118</x:v>
      </x:c>
      <x:c r="D2540" t="n">
        <x:f>IF('04_checks'!G364="ERROR",1,0)</x:f>
        <x:v>0</x:v>
      </x:c>
      <x:c r="E2540" t="str">
        <x:v>Payment:118:5</x:v>
      </x:c>
      <x:c r="F2540" t="str">
        <x:v>Отрицательная цена</x:v>
      </x:c>
      <x:c r="G2540" t="str">
        <x:v>High</x:v>
      </x:c>
      <x:c r="H2540" t="str">
        <x:v>N/A</x:v>
      </x:c>
      <x:c r="I2540" t="str">
        <x:v>Проверить цену в источнике</x:v>
      </x:c>
      <x:c r="J2540" t="n">
        <x:f>IF(D2540=1,K2540,0)</x:f>
        <x:v>0</x:v>
      </x:c>
      <x:c r="K2540" t="n">
        <x:f>D2540+K2539</x:f>
        <x:v>26</x:v>
      </x:c>
    </x:row>
    <x:row r="2541">
      <x:c r="A2541" t="str">
        <x:v>Payment</x:v>
      </x:c>
      <x:c r="B2541" t="str">
        <x:f>'04_checks'!B364</x:f>
        <x:v>P117</x:v>
      </x:c>
      <x:c r="C2541" t="n">
        <x:v>118</x:v>
      </x:c>
      <x:c r="D2541" t="n">
        <x:f>IF('04_checks'!H364="ERROR",1,0)</x:f>
        <x:v>0</x:v>
      </x:c>
      <x:c r="E2541" t="str">
        <x:v>Payment:118:6</x:v>
      </x:c>
      <x:c r="F2541" t="str">
        <x:v>Дата</x:v>
      </x:c>
      <x:c r="G2541" t="str">
        <x:v>Medium</x:v>
      </x:c>
      <x:c r="H2541" t="str">
        <x:v>payment_date</x:v>
      </x:c>
      <x:c r="I2541" t="str">
        <x:v>Сверить дату со срезом и исходной записью</x:v>
      </x:c>
      <x:c r="J2541" t="n">
        <x:f>IF(D2541=1,K2541,0)</x:f>
        <x:v>0</x:v>
      </x:c>
      <x:c r="K2541" t="n">
        <x:f>D2541+K2540</x:f>
        <x:v>26</x:v>
      </x:c>
    </x:row>
    <x:row r="2542">
      <x:c r="A2542" t="str">
        <x:v>Payment</x:v>
      </x:c>
      <x:c r="B2542" t="str">
        <x:f>'04_checks'!B364</x:f>
        <x:v>P117</x:v>
      </x:c>
      <x:c r="C2542" t="n">
        <x:v>118</x:v>
      </x:c>
      <x:c r="D2542" t="n">
        <x:f>IF('04_checks'!I364="ERROR",1,0)</x:f>
        <x:v>0</x:v>
      </x:c>
      <x:c r="E2542" t="str">
        <x:v>Payment:118:7</x:v>
      </x:c>
      <x:c r="F2542" t="str">
        <x:v>Статус</x:v>
      </x:c>
      <x:c r="G2542" t="str">
        <x:v>Medium</x:v>
      </x:c>
      <x:c r="H2542" t="str">
        <x:v>payment_status</x:v>
      </x:c>
      <x:c r="I2542" t="str">
        <x:v>Выбрать допустимый статус</x:v>
      </x:c>
      <x:c r="J2542" t="n">
        <x:f>IF(D2542=1,K2542,0)</x:f>
        <x:v>0</x:v>
      </x:c>
      <x:c r="K2542" t="n">
        <x:f>D2542+K2541</x:f>
        <x:v>26</x:v>
      </x:c>
    </x:row>
    <x:row r="2543">
      <x:c r="A2543" t="str">
        <x:v>Payment</x:v>
      </x:c>
      <x:c r="B2543" t="str">
        <x:f>'04_checks'!B365</x:f>
        <x:v>P118</x:v>
      </x:c>
      <x:c r="C2543" t="n">
        <x:v>119</x:v>
      </x:c>
      <x:c r="D2543" t="n">
        <x:f>IF('04_checks'!C365="ERROR",1,0)</x:f>
        <x:v>0</x:v>
      </x:c>
      <x:c r="E2543" t="str">
        <x:v>Payment:119:1</x:v>
      </x:c>
      <x:c r="F2543" t="str">
        <x:v>Дубль</x:v>
      </x:c>
      <x:c r="G2543" t="str">
        <x:v>High</x:v>
      </x:c>
      <x:c r="H2543" t="str">
        <x:v>payment_id</x:v>
      </x:c>
      <x:c r="I2543" t="str">
        <x:v>Проверить уникальность ID в источнике; не удалять записи автоматически</x:v>
      </x:c>
      <x:c r="J2543" t="n">
        <x:f>IF(D2543=1,K2543,0)</x:f>
        <x:v>0</x:v>
      </x:c>
      <x:c r="K2543" t="n">
        <x:f>D2543+K2542</x:f>
        <x:v>26</x:v>
      </x:c>
    </x:row>
    <x:row r="2544">
      <x:c r="A2544" t="str">
        <x:v>Payment</x:v>
      </x:c>
      <x:c r="B2544" t="str">
        <x:f>'04_checks'!B365</x:f>
        <x:v>P118</x:v>
      </x:c>
      <x:c r="C2544" t="n">
        <x:v>119</x:v>
      </x:c>
      <x:c r="D2544" t="n">
        <x:f>IF('04_checks'!D365="ERROR",1,0)</x:f>
        <x:v>0</x:v>
      </x:c>
      <x:c r="E2544" t="str">
        <x:v>Payment:119:2</x:v>
      </x:c>
      <x:c r="F2544" t="str">
        <x:v>Пустое поле</x:v>
      </x:c>
      <x:c r="G2544" t="str">
        <x:v>High</x:v>
      </x:c>
      <x:c r="H2544" t="str">
        <x:v>required_fields</x:v>
      </x:c>
      <x:c r="I2544" t="str">
        <x:v>Дополнить обязательные поля в источнике</x:v>
      </x:c>
      <x:c r="J2544" t="n">
        <x:f>IF(D2544=1,K2544,0)</x:f>
        <x:v>0</x:v>
      </x:c>
      <x:c r="K2544" t="n">
        <x:f>D2544+K2543</x:f>
        <x:v>26</x:v>
      </x:c>
    </x:row>
    <x:row r="2545">
      <x:c r="A2545" t="str">
        <x:v>Payment</x:v>
      </x:c>
      <x:c r="B2545" t="str">
        <x:f>'04_checks'!B365</x:f>
        <x:v>P118</x:v>
      </x:c>
      <x:c r="C2545" t="n">
        <x:v>119</x:v>
      </x:c>
      <x:c r="D2545" t="n">
        <x:f>IF('04_checks'!E365="ERROR",1,0)</x:f>
        <x:v>0</x:v>
      </x:c>
      <x:c r="E2545" t="str">
        <x:v>Payment:119:3</x:v>
      </x:c>
      <x:c r="F2545" t="str">
        <x:f>IF(COUNTIF('01_orders_raw'!$A$2:$A$181,'03_payments_raw'!B119)&gt;1,"Неоднозначная связь","Нет связи")</x:f>
        <x:v>Нет связи</x:v>
      </x:c>
      <x:c r="G2545" t="str">
        <x:v>High</x:v>
      </x:c>
      <x:c r="H2545" t="str">
        <x:v>order_id</x:v>
      </x:c>
      <x:c r="I2545" t="str">
        <x:v>Исправить ссылку или разрешить дубли связанного ID</x:v>
      </x:c>
      <x:c r="J2545" t="n">
        <x:f>IF(D2545=1,K2545,0)</x:f>
        <x:v>0</x:v>
      </x:c>
      <x:c r="K2545" t="n">
        <x:f>D2545+K2544</x:f>
        <x:v>26</x:v>
      </x:c>
    </x:row>
    <x:row r="2546">
      <x:c r="A2546" t="str">
        <x:v>Payment</x:v>
      </x:c>
      <x:c r="B2546" t="str">
        <x:f>'04_checks'!B365</x:f>
        <x:v>P118</x:v>
      </x:c>
      <x:c r="C2546" t="n">
        <x:v>119</x:v>
      </x:c>
      <x:c r="D2546" t="n">
        <x:f>IF('04_checks'!F365="ERROR",1,0)</x:f>
        <x:v>0</x:v>
      </x:c>
      <x:c r="E2546" t="str">
        <x:v>Payment:119:4</x:v>
      </x:c>
      <x:c r="F2546" t="str">
        <x:v>Ошибка расчета</x:v>
      </x:c>
      <x:c r="G2546" t="str">
        <x:v>High</x:v>
      </x:c>
      <x:c r="H2546" t="str">
        <x:v>payment_sum</x:v>
      </x:c>
      <x:c r="I2546" t="str">
        <x:v>Сверить исходные значения и правило расчёта</x:v>
      </x:c>
      <x:c r="J2546" t="n">
        <x:f>IF(D2546=1,K2546,0)</x:f>
        <x:v>0</x:v>
      </x:c>
      <x:c r="K2546" t="n">
        <x:f>D2546+K2545</x:f>
        <x:v>26</x:v>
      </x:c>
    </x:row>
    <x:row r="2547">
      <x:c r="A2547" t="str">
        <x:v>Payment</x:v>
      </x:c>
      <x:c r="B2547" t="str">
        <x:f>'04_checks'!B365</x:f>
        <x:v>P118</x:v>
      </x:c>
      <x:c r="C2547" t="n">
        <x:v>119</x:v>
      </x:c>
      <x:c r="D2547" t="n">
        <x:f>IF('04_checks'!G365="ERROR",1,0)</x:f>
        <x:v>0</x:v>
      </x:c>
      <x:c r="E2547" t="str">
        <x:v>Payment:119:5</x:v>
      </x:c>
      <x:c r="F2547" t="str">
        <x:v>Отрицательная цена</x:v>
      </x:c>
      <x:c r="G2547" t="str">
        <x:v>High</x:v>
      </x:c>
      <x:c r="H2547" t="str">
        <x:v>N/A</x:v>
      </x:c>
      <x:c r="I2547" t="str">
        <x:v>Проверить цену в источнике</x:v>
      </x:c>
      <x:c r="J2547" t="n">
        <x:f>IF(D2547=1,K2547,0)</x:f>
        <x:v>0</x:v>
      </x:c>
      <x:c r="K2547" t="n">
        <x:f>D2547+K2546</x:f>
        <x:v>26</x:v>
      </x:c>
    </x:row>
    <x:row r="2548">
      <x:c r="A2548" t="str">
        <x:v>Payment</x:v>
      </x:c>
      <x:c r="B2548" t="str">
        <x:f>'04_checks'!B365</x:f>
        <x:v>P118</x:v>
      </x:c>
      <x:c r="C2548" t="n">
        <x:v>119</x:v>
      </x:c>
      <x:c r="D2548" t="n">
        <x:f>IF('04_checks'!H365="ERROR",1,0)</x:f>
        <x:v>0</x:v>
      </x:c>
      <x:c r="E2548" t="str">
        <x:v>Payment:119:6</x:v>
      </x:c>
      <x:c r="F2548" t="str">
        <x:v>Дата</x:v>
      </x:c>
      <x:c r="G2548" t="str">
        <x:v>Medium</x:v>
      </x:c>
      <x:c r="H2548" t="str">
        <x:v>payment_date</x:v>
      </x:c>
      <x:c r="I2548" t="str">
        <x:v>Сверить дату со срезом и исходной записью</x:v>
      </x:c>
      <x:c r="J2548" t="n">
        <x:f>IF(D2548=1,K2548,0)</x:f>
        <x:v>0</x:v>
      </x:c>
      <x:c r="K2548" t="n">
        <x:f>D2548+K2547</x:f>
        <x:v>26</x:v>
      </x:c>
    </x:row>
    <x:row r="2549">
      <x:c r="A2549" t="str">
        <x:v>Payment</x:v>
      </x:c>
      <x:c r="B2549" t="str">
        <x:f>'04_checks'!B365</x:f>
        <x:v>P118</x:v>
      </x:c>
      <x:c r="C2549" t="n">
        <x:v>119</x:v>
      </x:c>
      <x:c r="D2549" t="n">
        <x:f>IF('04_checks'!I365="ERROR",1,0)</x:f>
        <x:v>0</x:v>
      </x:c>
      <x:c r="E2549" t="str">
        <x:v>Payment:119:7</x:v>
      </x:c>
      <x:c r="F2549" t="str">
        <x:v>Статус</x:v>
      </x:c>
      <x:c r="G2549" t="str">
        <x:v>Medium</x:v>
      </x:c>
      <x:c r="H2549" t="str">
        <x:v>payment_status</x:v>
      </x:c>
      <x:c r="I2549" t="str">
        <x:v>Выбрать допустимый статус</x:v>
      </x:c>
      <x:c r="J2549" t="n">
        <x:f>IF(D2549=1,K2549,0)</x:f>
        <x:v>0</x:v>
      </x:c>
      <x:c r="K2549" t="n">
        <x:f>D2549+K2548</x:f>
        <x:v>26</x:v>
      </x:c>
    </x:row>
    <x:row r="2550">
      <x:c r="A2550" t="str">
        <x:v>Payment</x:v>
      </x:c>
      <x:c r="B2550" t="str">
        <x:f>'04_checks'!B366</x:f>
        <x:v>P119</x:v>
      </x:c>
      <x:c r="C2550" t="n">
        <x:v>120</x:v>
      </x:c>
      <x:c r="D2550" t="n">
        <x:f>IF('04_checks'!C366="ERROR",1,0)</x:f>
        <x:v>0</x:v>
      </x:c>
      <x:c r="E2550" t="str">
        <x:v>Payment:120:1</x:v>
      </x:c>
      <x:c r="F2550" t="str">
        <x:v>Дубль</x:v>
      </x:c>
      <x:c r="G2550" t="str">
        <x:v>High</x:v>
      </x:c>
      <x:c r="H2550" t="str">
        <x:v>payment_id</x:v>
      </x:c>
      <x:c r="I2550" t="str">
        <x:v>Проверить уникальность ID в источнике; не удалять записи автоматически</x:v>
      </x:c>
      <x:c r="J2550" t="n">
        <x:f>IF(D2550=1,K2550,0)</x:f>
        <x:v>0</x:v>
      </x:c>
      <x:c r="K2550" t="n">
        <x:f>D2550+K2549</x:f>
        <x:v>26</x:v>
      </x:c>
    </x:row>
    <x:row r="2551">
      <x:c r="A2551" t="str">
        <x:v>Payment</x:v>
      </x:c>
      <x:c r="B2551" t="str">
        <x:f>'04_checks'!B366</x:f>
        <x:v>P119</x:v>
      </x:c>
      <x:c r="C2551" t="n">
        <x:v>120</x:v>
      </x:c>
      <x:c r="D2551" t="n">
        <x:f>IF('04_checks'!D366="ERROR",1,0)</x:f>
        <x:v>0</x:v>
      </x:c>
      <x:c r="E2551" t="str">
        <x:v>Payment:120:2</x:v>
      </x:c>
      <x:c r="F2551" t="str">
        <x:v>Пустое поле</x:v>
      </x:c>
      <x:c r="G2551" t="str">
        <x:v>High</x:v>
      </x:c>
      <x:c r="H2551" t="str">
        <x:v>required_fields</x:v>
      </x:c>
      <x:c r="I2551" t="str">
        <x:v>Дополнить обязательные поля в источнике</x:v>
      </x:c>
      <x:c r="J2551" t="n">
        <x:f>IF(D2551=1,K2551,0)</x:f>
        <x:v>0</x:v>
      </x:c>
      <x:c r="K2551" t="n">
        <x:f>D2551+K2550</x:f>
        <x:v>26</x:v>
      </x:c>
    </x:row>
    <x:row r="2552">
      <x:c r="A2552" t="str">
        <x:v>Payment</x:v>
      </x:c>
      <x:c r="B2552" t="str">
        <x:f>'04_checks'!B366</x:f>
        <x:v>P119</x:v>
      </x:c>
      <x:c r="C2552" t="n">
        <x:v>120</x:v>
      </x:c>
      <x:c r="D2552" t="n">
        <x:f>IF('04_checks'!E366="ERROR",1,0)</x:f>
        <x:v>0</x:v>
      </x:c>
      <x:c r="E2552" t="str">
        <x:v>Payment:120:3</x:v>
      </x:c>
      <x:c r="F2552" t="str">
        <x:f>IF(COUNTIF('01_orders_raw'!$A$2:$A$181,'03_payments_raw'!B120)&gt;1,"Неоднозначная связь","Нет связи")</x:f>
        <x:v>Нет связи</x:v>
      </x:c>
      <x:c r="G2552" t="str">
        <x:v>High</x:v>
      </x:c>
      <x:c r="H2552" t="str">
        <x:v>order_id</x:v>
      </x:c>
      <x:c r="I2552" t="str">
        <x:v>Исправить ссылку или разрешить дубли связанного ID</x:v>
      </x:c>
      <x:c r="J2552" t="n">
        <x:f>IF(D2552=1,K2552,0)</x:f>
        <x:v>0</x:v>
      </x:c>
      <x:c r="K2552" t="n">
        <x:f>D2552+K2551</x:f>
        <x:v>26</x:v>
      </x:c>
    </x:row>
    <x:row r="2553">
      <x:c r="A2553" t="str">
        <x:v>Payment</x:v>
      </x:c>
      <x:c r="B2553" t="str">
        <x:f>'04_checks'!B366</x:f>
        <x:v>P119</x:v>
      </x:c>
      <x:c r="C2553" t="n">
        <x:v>120</x:v>
      </x:c>
      <x:c r="D2553" t="n">
        <x:f>IF('04_checks'!F366="ERROR",1,0)</x:f>
        <x:v>0</x:v>
      </x:c>
      <x:c r="E2553" t="str">
        <x:v>Payment:120:4</x:v>
      </x:c>
      <x:c r="F2553" t="str">
        <x:v>Ошибка расчета</x:v>
      </x:c>
      <x:c r="G2553" t="str">
        <x:v>High</x:v>
      </x:c>
      <x:c r="H2553" t="str">
        <x:v>payment_sum</x:v>
      </x:c>
      <x:c r="I2553" t="str">
        <x:v>Сверить исходные значения и правило расчёта</x:v>
      </x:c>
      <x:c r="J2553" t="n">
        <x:f>IF(D2553=1,K2553,0)</x:f>
        <x:v>0</x:v>
      </x:c>
      <x:c r="K2553" t="n">
        <x:f>D2553+K2552</x:f>
        <x:v>26</x:v>
      </x:c>
    </x:row>
    <x:row r="2554">
      <x:c r="A2554" t="str">
        <x:v>Payment</x:v>
      </x:c>
      <x:c r="B2554" t="str">
        <x:f>'04_checks'!B366</x:f>
        <x:v>P119</x:v>
      </x:c>
      <x:c r="C2554" t="n">
        <x:v>120</x:v>
      </x:c>
      <x:c r="D2554" t="n">
        <x:f>IF('04_checks'!G366="ERROR",1,0)</x:f>
        <x:v>0</x:v>
      </x:c>
      <x:c r="E2554" t="str">
        <x:v>Payment:120:5</x:v>
      </x:c>
      <x:c r="F2554" t="str">
        <x:v>Отрицательная цена</x:v>
      </x:c>
      <x:c r="G2554" t="str">
        <x:v>High</x:v>
      </x:c>
      <x:c r="H2554" t="str">
        <x:v>N/A</x:v>
      </x:c>
      <x:c r="I2554" t="str">
        <x:v>Проверить цену в источнике</x:v>
      </x:c>
      <x:c r="J2554" t="n">
        <x:f>IF(D2554=1,K2554,0)</x:f>
        <x:v>0</x:v>
      </x:c>
      <x:c r="K2554" t="n">
        <x:f>D2554+K2553</x:f>
        <x:v>26</x:v>
      </x:c>
    </x:row>
    <x:row r="2555">
      <x:c r="A2555" t="str">
        <x:v>Payment</x:v>
      </x:c>
      <x:c r="B2555" t="str">
        <x:f>'04_checks'!B366</x:f>
        <x:v>P119</x:v>
      </x:c>
      <x:c r="C2555" t="n">
        <x:v>120</x:v>
      </x:c>
      <x:c r="D2555" t="n">
        <x:f>IF('04_checks'!H366="ERROR",1,0)</x:f>
        <x:v>0</x:v>
      </x:c>
      <x:c r="E2555" t="str">
        <x:v>Payment:120:6</x:v>
      </x:c>
      <x:c r="F2555" t="str">
        <x:v>Дата</x:v>
      </x:c>
      <x:c r="G2555" t="str">
        <x:v>Medium</x:v>
      </x:c>
      <x:c r="H2555" t="str">
        <x:v>payment_date</x:v>
      </x:c>
      <x:c r="I2555" t="str">
        <x:v>Сверить дату со срезом и исходной записью</x:v>
      </x:c>
      <x:c r="J2555" t="n">
        <x:f>IF(D2555=1,K2555,0)</x:f>
        <x:v>0</x:v>
      </x:c>
      <x:c r="K2555" t="n">
        <x:f>D2555+K2554</x:f>
        <x:v>26</x:v>
      </x:c>
    </x:row>
    <x:row r="2556">
      <x:c r="A2556" t="str">
        <x:v>Payment</x:v>
      </x:c>
      <x:c r="B2556" t="str">
        <x:f>'04_checks'!B366</x:f>
        <x:v>P119</x:v>
      </x:c>
      <x:c r="C2556" t="n">
        <x:v>120</x:v>
      </x:c>
      <x:c r="D2556" t="n">
        <x:f>IF('04_checks'!I366="ERROR",1,0)</x:f>
        <x:v>0</x:v>
      </x:c>
      <x:c r="E2556" t="str">
        <x:v>Payment:120:7</x:v>
      </x:c>
      <x:c r="F2556" t="str">
        <x:v>Статус</x:v>
      </x:c>
      <x:c r="G2556" t="str">
        <x:v>Medium</x:v>
      </x:c>
      <x:c r="H2556" t="str">
        <x:v>payment_status</x:v>
      </x:c>
      <x:c r="I2556" t="str">
        <x:v>Выбрать допустимый статус</x:v>
      </x:c>
      <x:c r="J2556" t="n">
        <x:f>IF(D2556=1,K2556,0)</x:f>
        <x:v>0</x:v>
      </x:c>
      <x:c r="K2556" t="n">
        <x:f>D2556+K2555</x:f>
        <x:v>26</x:v>
      </x:c>
    </x:row>
    <x:row r="2557">
      <x:c r="A2557" t="str">
        <x:v>Payment</x:v>
      </x:c>
      <x:c r="B2557" t="str">
        <x:f>'04_checks'!B367</x:f>
        <x:v>P120</x:v>
      </x:c>
      <x:c r="C2557" t="n">
        <x:v>121</x:v>
      </x:c>
      <x:c r="D2557" t="n">
        <x:f>IF('04_checks'!C367="ERROR",1,0)</x:f>
        <x:v>0</x:v>
      </x:c>
      <x:c r="E2557" t="str">
        <x:v>Payment:121:1</x:v>
      </x:c>
      <x:c r="F2557" t="str">
        <x:v>Дубль</x:v>
      </x:c>
      <x:c r="G2557" t="str">
        <x:v>High</x:v>
      </x:c>
      <x:c r="H2557" t="str">
        <x:v>payment_id</x:v>
      </x:c>
      <x:c r="I2557" t="str">
        <x:v>Проверить уникальность ID в источнике; не удалять записи автоматически</x:v>
      </x:c>
      <x:c r="J2557" t="n">
        <x:f>IF(D2557=1,K2557,0)</x:f>
        <x:v>0</x:v>
      </x:c>
      <x:c r="K2557" t="n">
        <x:f>D2557+K2556</x:f>
        <x:v>26</x:v>
      </x:c>
    </x:row>
    <x:row r="2558">
      <x:c r="A2558" t="str">
        <x:v>Payment</x:v>
      </x:c>
      <x:c r="B2558" t="str">
        <x:f>'04_checks'!B367</x:f>
        <x:v>P120</x:v>
      </x:c>
      <x:c r="C2558" t="n">
        <x:v>121</x:v>
      </x:c>
      <x:c r="D2558" t="n">
        <x:f>IF('04_checks'!D367="ERROR",1,0)</x:f>
        <x:v>0</x:v>
      </x:c>
      <x:c r="E2558" t="str">
        <x:v>Payment:121:2</x:v>
      </x:c>
      <x:c r="F2558" t="str">
        <x:v>Пустое поле</x:v>
      </x:c>
      <x:c r="G2558" t="str">
        <x:v>High</x:v>
      </x:c>
      <x:c r="H2558" t="str">
        <x:v>required_fields</x:v>
      </x:c>
      <x:c r="I2558" t="str">
        <x:v>Дополнить обязательные поля в источнике</x:v>
      </x:c>
      <x:c r="J2558" t="n">
        <x:f>IF(D2558=1,K2558,0)</x:f>
        <x:v>0</x:v>
      </x:c>
      <x:c r="K2558" t="n">
        <x:f>D2558+K2557</x:f>
        <x:v>26</x:v>
      </x:c>
    </x:row>
    <x:row r="2559">
      <x:c r="A2559" t="str">
        <x:v>Payment</x:v>
      </x:c>
      <x:c r="B2559" t="str">
        <x:f>'04_checks'!B367</x:f>
        <x:v>P120</x:v>
      </x:c>
      <x:c r="C2559" t="n">
        <x:v>121</x:v>
      </x:c>
      <x:c r="D2559" t="n">
        <x:f>IF('04_checks'!E367="ERROR",1,0)</x:f>
        <x:v>0</x:v>
      </x:c>
      <x:c r="E2559" t="str">
        <x:v>Payment:121:3</x:v>
      </x:c>
      <x:c r="F2559" t="str">
        <x:f>IF(COUNTIF('01_orders_raw'!$A$2:$A$181,'03_payments_raw'!B121)&gt;1,"Неоднозначная связь","Нет связи")</x:f>
        <x:v>Нет связи</x:v>
      </x:c>
      <x:c r="G2559" t="str">
        <x:v>High</x:v>
      </x:c>
      <x:c r="H2559" t="str">
        <x:v>order_id</x:v>
      </x:c>
      <x:c r="I2559" t="str">
        <x:v>Исправить ссылку или разрешить дубли связанного ID</x:v>
      </x:c>
      <x:c r="J2559" t="n">
        <x:f>IF(D2559=1,K2559,0)</x:f>
        <x:v>0</x:v>
      </x:c>
      <x:c r="K2559" t="n">
        <x:f>D2559+K2558</x:f>
        <x:v>26</x:v>
      </x:c>
    </x:row>
    <x:row r="2560">
      <x:c r="A2560" t="str">
        <x:v>Payment</x:v>
      </x:c>
      <x:c r="B2560" t="str">
        <x:f>'04_checks'!B367</x:f>
        <x:v>P120</x:v>
      </x:c>
      <x:c r="C2560" t="n">
        <x:v>121</x:v>
      </x:c>
      <x:c r="D2560" t="n">
        <x:f>IF('04_checks'!F367="ERROR",1,0)</x:f>
        <x:v>0</x:v>
      </x:c>
      <x:c r="E2560" t="str">
        <x:v>Payment:121:4</x:v>
      </x:c>
      <x:c r="F2560" t="str">
        <x:v>Ошибка расчета</x:v>
      </x:c>
      <x:c r="G2560" t="str">
        <x:v>High</x:v>
      </x:c>
      <x:c r="H2560" t="str">
        <x:v>payment_sum</x:v>
      </x:c>
      <x:c r="I2560" t="str">
        <x:v>Сверить исходные значения и правило расчёта</x:v>
      </x:c>
      <x:c r="J2560" t="n">
        <x:f>IF(D2560=1,K2560,0)</x:f>
        <x:v>0</x:v>
      </x:c>
      <x:c r="K2560" t="n">
        <x:f>D2560+K2559</x:f>
        <x:v>26</x:v>
      </x:c>
    </x:row>
    <x:row r="2561">
      <x:c r="A2561" t="str">
        <x:v>Payment</x:v>
      </x:c>
      <x:c r="B2561" t="str">
        <x:f>'04_checks'!B367</x:f>
        <x:v>P120</x:v>
      </x:c>
      <x:c r="C2561" t="n">
        <x:v>121</x:v>
      </x:c>
      <x:c r="D2561" t="n">
        <x:f>IF('04_checks'!G367="ERROR",1,0)</x:f>
        <x:v>0</x:v>
      </x:c>
      <x:c r="E2561" t="str">
        <x:v>Payment:121:5</x:v>
      </x:c>
      <x:c r="F2561" t="str">
        <x:v>Отрицательная цена</x:v>
      </x:c>
      <x:c r="G2561" t="str">
        <x:v>High</x:v>
      </x:c>
      <x:c r="H2561" t="str">
        <x:v>N/A</x:v>
      </x:c>
      <x:c r="I2561" t="str">
        <x:v>Проверить цену в источнике</x:v>
      </x:c>
      <x:c r="J2561" t="n">
        <x:f>IF(D2561=1,K2561,0)</x:f>
        <x:v>0</x:v>
      </x:c>
      <x:c r="K2561" t="n">
        <x:f>D2561+K2560</x:f>
        <x:v>26</x:v>
      </x:c>
    </x:row>
    <x:row r="2562">
      <x:c r="A2562" t="str">
        <x:v>Payment</x:v>
      </x:c>
      <x:c r="B2562" t="str">
        <x:f>'04_checks'!B367</x:f>
        <x:v>P120</x:v>
      </x:c>
      <x:c r="C2562" t="n">
        <x:v>121</x:v>
      </x:c>
      <x:c r="D2562" t="n">
        <x:f>IF('04_checks'!H367="ERROR",1,0)</x:f>
        <x:v>0</x:v>
      </x:c>
      <x:c r="E2562" t="str">
        <x:v>Payment:121:6</x:v>
      </x:c>
      <x:c r="F2562" t="str">
        <x:v>Дата</x:v>
      </x:c>
      <x:c r="G2562" t="str">
        <x:v>Medium</x:v>
      </x:c>
      <x:c r="H2562" t="str">
        <x:v>payment_date</x:v>
      </x:c>
      <x:c r="I2562" t="str">
        <x:v>Сверить дату со срезом и исходной записью</x:v>
      </x:c>
      <x:c r="J2562" t="n">
        <x:f>IF(D2562=1,K2562,0)</x:f>
        <x:v>0</x:v>
      </x:c>
      <x:c r="K2562" t="n">
        <x:f>D2562+K2561</x:f>
        <x:v>26</x:v>
      </x:c>
    </x:row>
    <x:row r="2563">
      <x:c r="A2563" t="str">
        <x:v>Payment</x:v>
      </x:c>
      <x:c r="B2563" t="str">
        <x:f>'04_checks'!B367</x:f>
        <x:v>P120</x:v>
      </x:c>
      <x:c r="C2563" t="n">
        <x:v>121</x:v>
      </x:c>
      <x:c r="D2563" t="n">
        <x:f>IF('04_checks'!I367="ERROR",1,0)</x:f>
        <x:v>0</x:v>
      </x:c>
      <x:c r="E2563" t="str">
        <x:v>Payment:121:7</x:v>
      </x:c>
      <x:c r="F2563" t="str">
        <x:v>Статус</x:v>
      </x:c>
      <x:c r="G2563" t="str">
        <x:v>Medium</x:v>
      </x:c>
      <x:c r="H2563" t="str">
        <x:v>payment_status</x:v>
      </x:c>
      <x:c r="I2563" t="str">
        <x:v>Выбрать допустимый статус</x:v>
      </x:c>
      <x:c r="J2563" t="n">
        <x:f>IF(D2563=1,K2563,0)</x:f>
        <x:v>0</x:v>
      </x:c>
      <x:c r="K2563" t="n">
        <x:f>D2563+K2562</x:f>
        <x:v>26</x:v>
      </x:c>
    </x:row>
    <x:row r="2564">
      <x:c r="A2564" t="str">
        <x:v>Payment</x:v>
      </x:c>
      <x:c r="B2564" t="str">
        <x:f>'04_checks'!B368</x:f>
      </x:c>
      <x:c r="C2564" t="n">
        <x:v>122</x:v>
      </x:c>
      <x:c r="D2564" t="n">
        <x:f>IF('04_checks'!C368="ERROR",1,0)</x:f>
        <x:v>0</x:v>
      </x:c>
      <x:c r="E2564" t="str">
        <x:v>Payment:122:1</x:v>
      </x:c>
      <x:c r="F2564" t="str">
        <x:v>Дубль</x:v>
      </x:c>
      <x:c r="G2564" t="str">
        <x:v>High</x:v>
      </x:c>
      <x:c r="H2564" t="str">
        <x:v>payment_id</x:v>
      </x:c>
      <x:c r="I2564" t="str">
        <x:v>Проверить уникальность ID в источнике; не удалять записи автоматически</x:v>
      </x:c>
      <x:c r="J2564" t="n">
        <x:f>IF(D2564=1,K2564,0)</x:f>
        <x:v>0</x:v>
      </x:c>
      <x:c r="K2564" t="n">
        <x:f>D2564+K2563</x:f>
        <x:v>26</x:v>
      </x:c>
    </x:row>
    <x:row r="2565">
      <x:c r="A2565" t="str">
        <x:v>Payment</x:v>
      </x:c>
      <x:c r="B2565" t="str">
        <x:f>'04_checks'!B368</x:f>
      </x:c>
      <x:c r="C2565" t="n">
        <x:v>122</x:v>
      </x:c>
      <x:c r="D2565" t="n">
        <x:f>IF('04_checks'!D368="ERROR",1,0)</x:f>
        <x:v>0</x:v>
      </x:c>
      <x:c r="E2565" t="str">
        <x:v>Payment:122:2</x:v>
      </x:c>
      <x:c r="F2565" t="str">
        <x:v>Пустое поле</x:v>
      </x:c>
      <x:c r="G2565" t="str">
        <x:v>High</x:v>
      </x:c>
      <x:c r="H2565" t="str">
        <x:v>required_fields</x:v>
      </x:c>
      <x:c r="I2565" t="str">
        <x:v>Дополнить обязательные поля в источнике</x:v>
      </x:c>
      <x:c r="J2565" t="n">
        <x:f>IF(D2565=1,K2565,0)</x:f>
        <x:v>0</x:v>
      </x:c>
      <x:c r="K2565" t="n">
        <x:f>D2565+K2564</x:f>
        <x:v>26</x:v>
      </x:c>
    </x:row>
    <x:row r="2566">
      <x:c r="A2566" t="str">
        <x:v>Payment</x:v>
      </x:c>
      <x:c r="B2566" t="str">
        <x:f>'04_checks'!B368</x:f>
      </x:c>
      <x:c r="C2566" t="n">
        <x:v>122</x:v>
      </x:c>
      <x:c r="D2566" t="n">
        <x:f>IF('04_checks'!E368="ERROR",1,0)</x:f>
        <x:v>0</x:v>
      </x:c>
      <x:c r="E2566" t="str">
        <x:v>Payment:122:3</x:v>
      </x:c>
      <x:c r="F2566" t="str">
        <x:f>IF(COUNTIF('01_orders_raw'!$A$2:$A$181,'03_payments_raw'!B122)&gt;1,"Неоднозначная связь","Нет связи")</x:f>
        <x:v>Нет связи</x:v>
      </x:c>
      <x:c r="G2566" t="str">
        <x:v>High</x:v>
      </x:c>
      <x:c r="H2566" t="str">
        <x:v>order_id</x:v>
      </x:c>
      <x:c r="I2566" t="str">
        <x:v>Исправить ссылку или разрешить дубли связанного ID</x:v>
      </x:c>
      <x:c r="J2566" t="n">
        <x:f>IF(D2566=1,K2566,0)</x:f>
        <x:v>0</x:v>
      </x:c>
      <x:c r="K2566" t="n">
        <x:f>D2566+K2565</x:f>
        <x:v>26</x:v>
      </x:c>
    </x:row>
    <x:row r="2567">
      <x:c r="A2567" t="str">
        <x:v>Payment</x:v>
      </x:c>
      <x:c r="B2567" t="str">
        <x:f>'04_checks'!B368</x:f>
      </x:c>
      <x:c r="C2567" t="n">
        <x:v>122</x:v>
      </x:c>
      <x:c r="D2567" t="n">
        <x:f>IF('04_checks'!F368="ERROR",1,0)</x:f>
        <x:v>0</x:v>
      </x:c>
      <x:c r="E2567" t="str">
        <x:v>Payment:122:4</x:v>
      </x:c>
      <x:c r="F2567" t="str">
        <x:v>Ошибка расчета</x:v>
      </x:c>
      <x:c r="G2567" t="str">
        <x:v>High</x:v>
      </x:c>
      <x:c r="H2567" t="str">
        <x:v>payment_sum</x:v>
      </x:c>
      <x:c r="I2567" t="str">
        <x:v>Сверить исходные значения и правило расчёта</x:v>
      </x:c>
      <x:c r="J2567" t="n">
        <x:f>IF(D2567=1,K2567,0)</x:f>
        <x:v>0</x:v>
      </x:c>
      <x:c r="K2567" t="n">
        <x:f>D2567+K2566</x:f>
        <x:v>26</x:v>
      </x:c>
    </x:row>
    <x:row r="2568">
      <x:c r="A2568" t="str">
        <x:v>Payment</x:v>
      </x:c>
      <x:c r="B2568" t="str">
        <x:f>'04_checks'!B368</x:f>
      </x:c>
      <x:c r="C2568" t="n">
        <x:v>122</x:v>
      </x:c>
      <x:c r="D2568" t="n">
        <x:f>IF('04_checks'!G368="ERROR",1,0)</x:f>
        <x:v>0</x:v>
      </x:c>
      <x:c r="E2568" t="str">
        <x:v>Payment:122:5</x:v>
      </x:c>
      <x:c r="F2568" t="str">
        <x:v>Отрицательная цена</x:v>
      </x:c>
      <x:c r="G2568" t="str">
        <x:v>High</x:v>
      </x:c>
      <x:c r="H2568" t="str">
        <x:v>N/A</x:v>
      </x:c>
      <x:c r="I2568" t="str">
        <x:v>Проверить цену в источнике</x:v>
      </x:c>
      <x:c r="J2568" t="n">
        <x:f>IF(D2568=1,K2568,0)</x:f>
        <x:v>0</x:v>
      </x:c>
      <x:c r="K2568" t="n">
        <x:f>D2568+K2567</x:f>
        <x:v>26</x:v>
      </x:c>
    </x:row>
    <x:row r="2569">
      <x:c r="A2569" t="str">
        <x:v>Payment</x:v>
      </x:c>
      <x:c r="B2569" t="str">
        <x:f>'04_checks'!B368</x:f>
      </x:c>
      <x:c r="C2569" t="n">
        <x:v>122</x:v>
      </x:c>
      <x:c r="D2569" t="n">
        <x:f>IF('04_checks'!H368="ERROR",1,0)</x:f>
        <x:v>0</x:v>
      </x:c>
      <x:c r="E2569" t="str">
        <x:v>Payment:122:6</x:v>
      </x:c>
      <x:c r="F2569" t="str">
        <x:v>Дата</x:v>
      </x:c>
      <x:c r="G2569" t="str">
        <x:v>Medium</x:v>
      </x:c>
      <x:c r="H2569" t="str">
        <x:v>payment_date</x:v>
      </x:c>
      <x:c r="I2569" t="str">
        <x:v>Сверить дату со срезом и исходной записью</x:v>
      </x:c>
      <x:c r="J2569" t="n">
        <x:f>IF(D2569=1,K2569,0)</x:f>
        <x:v>0</x:v>
      </x:c>
      <x:c r="K2569" t="n">
        <x:f>D2569+K2568</x:f>
        <x:v>26</x:v>
      </x:c>
    </x:row>
    <x:row r="2570">
      <x:c r="A2570" t="str">
        <x:v>Payment</x:v>
      </x:c>
      <x:c r="B2570" t="str">
        <x:f>'04_checks'!B368</x:f>
      </x:c>
      <x:c r="C2570" t="n">
        <x:v>122</x:v>
      </x:c>
      <x:c r="D2570" t="n">
        <x:f>IF('04_checks'!I368="ERROR",1,0)</x:f>
        <x:v>0</x:v>
      </x:c>
      <x:c r="E2570" t="str">
        <x:v>Payment:122:7</x:v>
      </x:c>
      <x:c r="F2570" t="str">
        <x:v>Статус</x:v>
      </x:c>
      <x:c r="G2570" t="str">
        <x:v>Medium</x:v>
      </x:c>
      <x:c r="H2570" t="str">
        <x:v>payment_status</x:v>
      </x:c>
      <x:c r="I2570" t="str">
        <x:v>Выбрать допустимый статус</x:v>
      </x:c>
      <x:c r="J2570" t="n">
        <x:f>IF(D2570=1,K2570,0)</x:f>
        <x:v>0</x:v>
      </x:c>
      <x:c r="K2570" t="n">
        <x:f>D2570+K2569</x:f>
        <x:v>26</x:v>
      </x:c>
    </x:row>
    <x:row r="2571">
      <x:c r="A2571" t="str">
        <x:v>Payment</x:v>
      </x:c>
      <x:c r="B2571" t="str">
        <x:f>'04_checks'!B369</x:f>
      </x:c>
      <x:c r="C2571" t="n">
        <x:v>123</x:v>
      </x:c>
      <x:c r="D2571" t="n">
        <x:f>IF('04_checks'!C369="ERROR",1,0)</x:f>
        <x:v>0</x:v>
      </x:c>
      <x:c r="E2571" t="str">
        <x:v>Payment:123:1</x:v>
      </x:c>
      <x:c r="F2571" t="str">
        <x:v>Дубль</x:v>
      </x:c>
      <x:c r="G2571" t="str">
        <x:v>High</x:v>
      </x:c>
      <x:c r="H2571" t="str">
        <x:v>payment_id</x:v>
      </x:c>
      <x:c r="I2571" t="str">
        <x:v>Проверить уникальность ID в источнике; не удалять записи автоматически</x:v>
      </x:c>
      <x:c r="J2571" t="n">
        <x:f>IF(D2571=1,K2571,0)</x:f>
        <x:v>0</x:v>
      </x:c>
      <x:c r="K2571" t="n">
        <x:f>D2571+K2570</x:f>
        <x:v>26</x:v>
      </x:c>
    </x:row>
    <x:row r="2572">
      <x:c r="A2572" t="str">
        <x:v>Payment</x:v>
      </x:c>
      <x:c r="B2572" t="str">
        <x:f>'04_checks'!B369</x:f>
      </x:c>
      <x:c r="C2572" t="n">
        <x:v>123</x:v>
      </x:c>
      <x:c r="D2572" t="n">
        <x:f>IF('04_checks'!D369="ERROR",1,0)</x:f>
        <x:v>0</x:v>
      </x:c>
      <x:c r="E2572" t="str">
        <x:v>Payment:123:2</x:v>
      </x:c>
      <x:c r="F2572" t="str">
        <x:v>Пустое поле</x:v>
      </x:c>
      <x:c r="G2572" t="str">
        <x:v>High</x:v>
      </x:c>
      <x:c r="H2572" t="str">
        <x:v>required_fields</x:v>
      </x:c>
      <x:c r="I2572" t="str">
        <x:v>Дополнить обязательные поля в источнике</x:v>
      </x:c>
      <x:c r="J2572" t="n">
        <x:f>IF(D2572=1,K2572,0)</x:f>
        <x:v>0</x:v>
      </x:c>
      <x:c r="K2572" t="n">
        <x:f>D2572+K2571</x:f>
        <x:v>26</x:v>
      </x:c>
    </x:row>
    <x:row r="2573">
      <x:c r="A2573" t="str">
        <x:v>Payment</x:v>
      </x:c>
      <x:c r="B2573" t="str">
        <x:f>'04_checks'!B369</x:f>
      </x:c>
      <x:c r="C2573" t="n">
        <x:v>123</x:v>
      </x:c>
      <x:c r="D2573" t="n">
        <x:f>IF('04_checks'!E369="ERROR",1,0)</x:f>
        <x:v>0</x:v>
      </x:c>
      <x:c r="E2573" t="str">
        <x:v>Payment:123:3</x:v>
      </x:c>
      <x:c r="F2573" t="str">
        <x:f>IF(COUNTIF('01_orders_raw'!$A$2:$A$181,'03_payments_raw'!B123)&gt;1,"Неоднозначная связь","Нет связи")</x:f>
        <x:v>Нет связи</x:v>
      </x:c>
      <x:c r="G2573" t="str">
        <x:v>High</x:v>
      </x:c>
      <x:c r="H2573" t="str">
        <x:v>order_id</x:v>
      </x:c>
      <x:c r="I2573" t="str">
        <x:v>Исправить ссылку или разрешить дубли связанного ID</x:v>
      </x:c>
      <x:c r="J2573" t="n">
        <x:f>IF(D2573=1,K2573,0)</x:f>
        <x:v>0</x:v>
      </x:c>
      <x:c r="K2573" t="n">
        <x:f>D2573+K2572</x:f>
        <x:v>26</x:v>
      </x:c>
    </x:row>
    <x:row r="2574">
      <x:c r="A2574" t="str">
        <x:v>Payment</x:v>
      </x:c>
      <x:c r="B2574" t="str">
        <x:f>'04_checks'!B369</x:f>
      </x:c>
      <x:c r="C2574" t="n">
        <x:v>123</x:v>
      </x:c>
      <x:c r="D2574" t="n">
        <x:f>IF('04_checks'!F369="ERROR",1,0)</x:f>
        <x:v>0</x:v>
      </x:c>
      <x:c r="E2574" t="str">
        <x:v>Payment:123:4</x:v>
      </x:c>
      <x:c r="F2574" t="str">
        <x:v>Ошибка расчета</x:v>
      </x:c>
      <x:c r="G2574" t="str">
        <x:v>High</x:v>
      </x:c>
      <x:c r="H2574" t="str">
        <x:v>payment_sum</x:v>
      </x:c>
      <x:c r="I2574" t="str">
        <x:v>Сверить исходные значения и правило расчёта</x:v>
      </x:c>
      <x:c r="J2574" t="n">
        <x:f>IF(D2574=1,K2574,0)</x:f>
        <x:v>0</x:v>
      </x:c>
      <x:c r="K2574" t="n">
        <x:f>D2574+K2573</x:f>
        <x:v>26</x:v>
      </x:c>
    </x:row>
    <x:row r="2575">
      <x:c r="A2575" t="str">
        <x:v>Payment</x:v>
      </x:c>
      <x:c r="B2575" t="str">
        <x:f>'04_checks'!B369</x:f>
      </x:c>
      <x:c r="C2575" t="n">
        <x:v>123</x:v>
      </x:c>
      <x:c r="D2575" t="n">
        <x:f>IF('04_checks'!G369="ERROR",1,0)</x:f>
        <x:v>0</x:v>
      </x:c>
      <x:c r="E2575" t="str">
        <x:v>Payment:123:5</x:v>
      </x:c>
      <x:c r="F2575" t="str">
        <x:v>Отрицательная цена</x:v>
      </x:c>
      <x:c r="G2575" t="str">
        <x:v>High</x:v>
      </x:c>
      <x:c r="H2575" t="str">
        <x:v>N/A</x:v>
      </x:c>
      <x:c r="I2575" t="str">
        <x:v>Проверить цену в источнике</x:v>
      </x:c>
      <x:c r="J2575" t="n">
        <x:f>IF(D2575=1,K2575,0)</x:f>
        <x:v>0</x:v>
      </x:c>
      <x:c r="K2575" t="n">
        <x:f>D2575+K2574</x:f>
        <x:v>26</x:v>
      </x:c>
    </x:row>
    <x:row r="2576">
      <x:c r="A2576" t="str">
        <x:v>Payment</x:v>
      </x:c>
      <x:c r="B2576" t="str">
        <x:f>'04_checks'!B369</x:f>
      </x:c>
      <x:c r="C2576" t="n">
        <x:v>123</x:v>
      </x:c>
      <x:c r="D2576" t="n">
        <x:f>IF('04_checks'!H369="ERROR",1,0)</x:f>
        <x:v>0</x:v>
      </x:c>
      <x:c r="E2576" t="str">
        <x:v>Payment:123:6</x:v>
      </x:c>
      <x:c r="F2576" t="str">
        <x:v>Дата</x:v>
      </x:c>
      <x:c r="G2576" t="str">
        <x:v>Medium</x:v>
      </x:c>
      <x:c r="H2576" t="str">
        <x:v>payment_date</x:v>
      </x:c>
      <x:c r="I2576" t="str">
        <x:v>Сверить дату со срезом и исходной записью</x:v>
      </x:c>
      <x:c r="J2576" t="n">
        <x:f>IF(D2576=1,K2576,0)</x:f>
        <x:v>0</x:v>
      </x:c>
      <x:c r="K2576" t="n">
        <x:f>D2576+K2575</x:f>
        <x:v>26</x:v>
      </x:c>
    </x:row>
    <x:row r="2577">
      <x:c r="A2577" t="str">
        <x:v>Payment</x:v>
      </x:c>
      <x:c r="B2577" t="str">
        <x:f>'04_checks'!B369</x:f>
      </x:c>
      <x:c r="C2577" t="n">
        <x:v>123</x:v>
      </x:c>
      <x:c r="D2577" t="n">
        <x:f>IF('04_checks'!I369="ERROR",1,0)</x:f>
        <x:v>0</x:v>
      </x:c>
      <x:c r="E2577" t="str">
        <x:v>Payment:123:7</x:v>
      </x:c>
      <x:c r="F2577" t="str">
        <x:v>Статус</x:v>
      </x:c>
      <x:c r="G2577" t="str">
        <x:v>Medium</x:v>
      </x:c>
      <x:c r="H2577" t="str">
        <x:v>payment_status</x:v>
      </x:c>
      <x:c r="I2577" t="str">
        <x:v>Выбрать допустимый статус</x:v>
      </x:c>
      <x:c r="J2577" t="n">
        <x:f>IF(D2577=1,K2577,0)</x:f>
        <x:v>0</x:v>
      </x:c>
      <x:c r="K2577" t="n">
        <x:f>D2577+K2576</x:f>
        <x:v>26</x:v>
      </x:c>
    </x:row>
    <x:row r="2578">
      <x:c r="A2578" t="str">
        <x:v>Payment</x:v>
      </x:c>
      <x:c r="B2578" t="str">
        <x:f>'04_checks'!B370</x:f>
      </x:c>
      <x:c r="C2578" t="n">
        <x:v>124</x:v>
      </x:c>
      <x:c r="D2578" t="n">
        <x:f>IF('04_checks'!C370="ERROR",1,0)</x:f>
        <x:v>0</x:v>
      </x:c>
      <x:c r="E2578" t="str">
        <x:v>Payment:124:1</x:v>
      </x:c>
      <x:c r="F2578" t="str">
        <x:v>Дубль</x:v>
      </x:c>
      <x:c r="G2578" t="str">
        <x:v>High</x:v>
      </x:c>
      <x:c r="H2578" t="str">
        <x:v>payment_id</x:v>
      </x:c>
      <x:c r="I2578" t="str">
        <x:v>Проверить уникальность ID в источнике; не удалять записи автоматически</x:v>
      </x:c>
      <x:c r="J2578" t="n">
        <x:f>IF(D2578=1,K2578,0)</x:f>
        <x:v>0</x:v>
      </x:c>
      <x:c r="K2578" t="n">
        <x:f>D2578+K2577</x:f>
        <x:v>26</x:v>
      </x:c>
    </x:row>
    <x:row r="2579">
      <x:c r="A2579" t="str">
        <x:v>Payment</x:v>
      </x:c>
      <x:c r="B2579" t="str">
        <x:f>'04_checks'!B370</x:f>
      </x:c>
      <x:c r="C2579" t="n">
        <x:v>124</x:v>
      </x:c>
      <x:c r="D2579" t="n">
        <x:f>IF('04_checks'!D370="ERROR",1,0)</x:f>
        <x:v>0</x:v>
      </x:c>
      <x:c r="E2579" t="str">
        <x:v>Payment:124:2</x:v>
      </x:c>
      <x:c r="F2579" t="str">
        <x:v>Пустое поле</x:v>
      </x:c>
      <x:c r="G2579" t="str">
        <x:v>High</x:v>
      </x:c>
      <x:c r="H2579" t="str">
        <x:v>required_fields</x:v>
      </x:c>
      <x:c r="I2579" t="str">
        <x:v>Дополнить обязательные поля в источнике</x:v>
      </x:c>
      <x:c r="J2579" t="n">
        <x:f>IF(D2579=1,K2579,0)</x:f>
        <x:v>0</x:v>
      </x:c>
      <x:c r="K2579" t="n">
        <x:f>D2579+K2578</x:f>
        <x:v>26</x:v>
      </x:c>
    </x:row>
    <x:row r="2580">
      <x:c r="A2580" t="str">
        <x:v>Payment</x:v>
      </x:c>
      <x:c r="B2580" t="str">
        <x:f>'04_checks'!B370</x:f>
      </x:c>
      <x:c r="C2580" t="n">
        <x:v>124</x:v>
      </x:c>
      <x:c r="D2580" t="n">
        <x:f>IF('04_checks'!E370="ERROR",1,0)</x:f>
        <x:v>0</x:v>
      </x:c>
      <x:c r="E2580" t="str">
        <x:v>Payment:124:3</x:v>
      </x:c>
      <x:c r="F2580" t="str">
        <x:f>IF(COUNTIF('01_orders_raw'!$A$2:$A$181,'03_payments_raw'!B124)&gt;1,"Неоднозначная связь","Нет связи")</x:f>
        <x:v>Нет связи</x:v>
      </x:c>
      <x:c r="G2580" t="str">
        <x:v>High</x:v>
      </x:c>
      <x:c r="H2580" t="str">
        <x:v>order_id</x:v>
      </x:c>
      <x:c r="I2580" t="str">
        <x:v>Исправить ссылку или разрешить дубли связанного ID</x:v>
      </x:c>
      <x:c r="J2580" t="n">
        <x:f>IF(D2580=1,K2580,0)</x:f>
        <x:v>0</x:v>
      </x:c>
      <x:c r="K2580" t="n">
        <x:f>D2580+K2579</x:f>
        <x:v>26</x:v>
      </x:c>
    </x:row>
    <x:row r="2581">
      <x:c r="A2581" t="str">
        <x:v>Payment</x:v>
      </x:c>
      <x:c r="B2581" t="str">
        <x:f>'04_checks'!B370</x:f>
      </x:c>
      <x:c r="C2581" t="n">
        <x:v>124</x:v>
      </x:c>
      <x:c r="D2581" t="n">
        <x:f>IF('04_checks'!F370="ERROR",1,0)</x:f>
        <x:v>0</x:v>
      </x:c>
      <x:c r="E2581" t="str">
        <x:v>Payment:124:4</x:v>
      </x:c>
      <x:c r="F2581" t="str">
        <x:v>Ошибка расчета</x:v>
      </x:c>
      <x:c r="G2581" t="str">
        <x:v>High</x:v>
      </x:c>
      <x:c r="H2581" t="str">
        <x:v>payment_sum</x:v>
      </x:c>
      <x:c r="I2581" t="str">
        <x:v>Сверить исходные значения и правило расчёта</x:v>
      </x:c>
      <x:c r="J2581" t="n">
        <x:f>IF(D2581=1,K2581,0)</x:f>
        <x:v>0</x:v>
      </x:c>
      <x:c r="K2581" t="n">
        <x:f>D2581+K2580</x:f>
        <x:v>26</x:v>
      </x:c>
    </x:row>
    <x:row r="2582">
      <x:c r="A2582" t="str">
        <x:v>Payment</x:v>
      </x:c>
      <x:c r="B2582" t="str">
        <x:f>'04_checks'!B370</x:f>
      </x:c>
      <x:c r="C2582" t="n">
        <x:v>124</x:v>
      </x:c>
      <x:c r="D2582" t="n">
        <x:f>IF('04_checks'!G370="ERROR",1,0)</x:f>
        <x:v>0</x:v>
      </x:c>
      <x:c r="E2582" t="str">
        <x:v>Payment:124:5</x:v>
      </x:c>
      <x:c r="F2582" t="str">
        <x:v>Отрицательная цена</x:v>
      </x:c>
      <x:c r="G2582" t="str">
        <x:v>High</x:v>
      </x:c>
      <x:c r="H2582" t="str">
        <x:v>N/A</x:v>
      </x:c>
      <x:c r="I2582" t="str">
        <x:v>Проверить цену в источнике</x:v>
      </x:c>
      <x:c r="J2582" t="n">
        <x:f>IF(D2582=1,K2582,0)</x:f>
        <x:v>0</x:v>
      </x:c>
      <x:c r="K2582" t="n">
        <x:f>D2582+K2581</x:f>
        <x:v>26</x:v>
      </x:c>
    </x:row>
    <x:row r="2583">
      <x:c r="A2583" t="str">
        <x:v>Payment</x:v>
      </x:c>
      <x:c r="B2583" t="str">
        <x:f>'04_checks'!B370</x:f>
      </x:c>
      <x:c r="C2583" t="n">
        <x:v>124</x:v>
      </x:c>
      <x:c r="D2583" t="n">
        <x:f>IF('04_checks'!H370="ERROR",1,0)</x:f>
        <x:v>0</x:v>
      </x:c>
      <x:c r="E2583" t="str">
        <x:v>Payment:124:6</x:v>
      </x:c>
      <x:c r="F2583" t="str">
        <x:v>Дата</x:v>
      </x:c>
      <x:c r="G2583" t="str">
        <x:v>Medium</x:v>
      </x:c>
      <x:c r="H2583" t="str">
        <x:v>payment_date</x:v>
      </x:c>
      <x:c r="I2583" t="str">
        <x:v>Сверить дату со срезом и исходной записью</x:v>
      </x:c>
      <x:c r="J2583" t="n">
        <x:f>IF(D2583=1,K2583,0)</x:f>
        <x:v>0</x:v>
      </x:c>
      <x:c r="K2583" t="n">
        <x:f>D2583+K2582</x:f>
        <x:v>26</x:v>
      </x:c>
    </x:row>
    <x:row r="2584">
      <x:c r="A2584" t="str">
        <x:v>Payment</x:v>
      </x:c>
      <x:c r="B2584" t="str">
        <x:f>'04_checks'!B370</x:f>
      </x:c>
      <x:c r="C2584" t="n">
        <x:v>124</x:v>
      </x:c>
      <x:c r="D2584" t="n">
        <x:f>IF('04_checks'!I370="ERROR",1,0)</x:f>
        <x:v>0</x:v>
      </x:c>
      <x:c r="E2584" t="str">
        <x:v>Payment:124:7</x:v>
      </x:c>
      <x:c r="F2584" t="str">
        <x:v>Статус</x:v>
      </x:c>
      <x:c r="G2584" t="str">
        <x:v>Medium</x:v>
      </x:c>
      <x:c r="H2584" t="str">
        <x:v>payment_status</x:v>
      </x:c>
      <x:c r="I2584" t="str">
        <x:v>Выбрать допустимый статус</x:v>
      </x:c>
      <x:c r="J2584" t="n">
        <x:f>IF(D2584=1,K2584,0)</x:f>
        <x:v>0</x:v>
      </x:c>
      <x:c r="K2584" t="n">
        <x:f>D2584+K2583</x:f>
        <x:v>26</x:v>
      </x:c>
    </x:row>
    <x:row r="2585">
      <x:c r="A2585" t="str">
        <x:v>Payment</x:v>
      </x:c>
      <x:c r="B2585" t="str">
        <x:f>'04_checks'!B371</x:f>
      </x:c>
      <x:c r="C2585" t="n">
        <x:v>125</x:v>
      </x:c>
      <x:c r="D2585" t="n">
        <x:f>IF('04_checks'!C371="ERROR",1,0)</x:f>
        <x:v>0</x:v>
      </x:c>
      <x:c r="E2585" t="str">
        <x:v>Payment:125:1</x:v>
      </x:c>
      <x:c r="F2585" t="str">
        <x:v>Дубль</x:v>
      </x:c>
      <x:c r="G2585" t="str">
        <x:v>High</x:v>
      </x:c>
      <x:c r="H2585" t="str">
        <x:v>payment_id</x:v>
      </x:c>
      <x:c r="I2585" t="str">
        <x:v>Проверить уникальность ID в источнике; не удалять записи автоматически</x:v>
      </x:c>
      <x:c r="J2585" t="n">
        <x:f>IF(D2585=1,K2585,0)</x:f>
        <x:v>0</x:v>
      </x:c>
      <x:c r="K2585" t="n">
        <x:f>D2585+K2584</x:f>
        <x:v>26</x:v>
      </x:c>
    </x:row>
    <x:row r="2586">
      <x:c r="A2586" t="str">
        <x:v>Payment</x:v>
      </x:c>
      <x:c r="B2586" t="str">
        <x:f>'04_checks'!B371</x:f>
      </x:c>
      <x:c r="C2586" t="n">
        <x:v>125</x:v>
      </x:c>
      <x:c r="D2586" t="n">
        <x:f>IF('04_checks'!D371="ERROR",1,0)</x:f>
        <x:v>0</x:v>
      </x:c>
      <x:c r="E2586" t="str">
        <x:v>Payment:125:2</x:v>
      </x:c>
      <x:c r="F2586" t="str">
        <x:v>Пустое поле</x:v>
      </x:c>
      <x:c r="G2586" t="str">
        <x:v>High</x:v>
      </x:c>
      <x:c r="H2586" t="str">
        <x:v>required_fields</x:v>
      </x:c>
      <x:c r="I2586" t="str">
        <x:v>Дополнить обязательные поля в источнике</x:v>
      </x:c>
      <x:c r="J2586" t="n">
        <x:f>IF(D2586=1,K2586,0)</x:f>
        <x:v>0</x:v>
      </x:c>
      <x:c r="K2586" t="n">
        <x:f>D2586+K2585</x:f>
        <x:v>26</x:v>
      </x:c>
    </x:row>
    <x:row r="2587">
      <x:c r="A2587" t="str">
        <x:v>Payment</x:v>
      </x:c>
      <x:c r="B2587" t="str">
        <x:f>'04_checks'!B371</x:f>
      </x:c>
      <x:c r="C2587" t="n">
        <x:v>125</x:v>
      </x:c>
      <x:c r="D2587" t="n">
        <x:f>IF('04_checks'!E371="ERROR",1,0)</x:f>
        <x:v>0</x:v>
      </x:c>
      <x:c r="E2587" t="str">
        <x:v>Payment:125:3</x:v>
      </x:c>
      <x:c r="F2587" t="str">
        <x:f>IF(COUNTIF('01_orders_raw'!$A$2:$A$181,'03_payments_raw'!B125)&gt;1,"Неоднозначная связь","Нет связи")</x:f>
        <x:v>Нет связи</x:v>
      </x:c>
      <x:c r="G2587" t="str">
        <x:v>High</x:v>
      </x:c>
      <x:c r="H2587" t="str">
        <x:v>order_id</x:v>
      </x:c>
      <x:c r="I2587" t="str">
        <x:v>Исправить ссылку или разрешить дубли связанного ID</x:v>
      </x:c>
      <x:c r="J2587" t="n">
        <x:f>IF(D2587=1,K2587,0)</x:f>
        <x:v>0</x:v>
      </x:c>
      <x:c r="K2587" t="n">
        <x:f>D2587+K2586</x:f>
        <x:v>26</x:v>
      </x:c>
    </x:row>
    <x:row r="2588">
      <x:c r="A2588" t="str">
        <x:v>Payment</x:v>
      </x:c>
      <x:c r="B2588" t="str">
        <x:f>'04_checks'!B371</x:f>
      </x:c>
      <x:c r="C2588" t="n">
        <x:v>125</x:v>
      </x:c>
      <x:c r="D2588" t="n">
        <x:f>IF('04_checks'!F371="ERROR",1,0)</x:f>
        <x:v>0</x:v>
      </x:c>
      <x:c r="E2588" t="str">
        <x:v>Payment:125:4</x:v>
      </x:c>
      <x:c r="F2588" t="str">
        <x:v>Ошибка расчета</x:v>
      </x:c>
      <x:c r="G2588" t="str">
        <x:v>High</x:v>
      </x:c>
      <x:c r="H2588" t="str">
        <x:v>payment_sum</x:v>
      </x:c>
      <x:c r="I2588" t="str">
        <x:v>Сверить исходные значения и правило расчёта</x:v>
      </x:c>
      <x:c r="J2588" t="n">
        <x:f>IF(D2588=1,K2588,0)</x:f>
        <x:v>0</x:v>
      </x:c>
      <x:c r="K2588" t="n">
        <x:f>D2588+K2587</x:f>
        <x:v>26</x:v>
      </x:c>
    </x:row>
    <x:row r="2589">
      <x:c r="A2589" t="str">
        <x:v>Payment</x:v>
      </x:c>
      <x:c r="B2589" t="str">
        <x:f>'04_checks'!B371</x:f>
      </x:c>
      <x:c r="C2589" t="n">
        <x:v>125</x:v>
      </x:c>
      <x:c r="D2589" t="n">
        <x:f>IF('04_checks'!G371="ERROR",1,0)</x:f>
        <x:v>0</x:v>
      </x:c>
      <x:c r="E2589" t="str">
        <x:v>Payment:125:5</x:v>
      </x:c>
      <x:c r="F2589" t="str">
        <x:v>Отрицательная цена</x:v>
      </x:c>
      <x:c r="G2589" t="str">
        <x:v>High</x:v>
      </x:c>
      <x:c r="H2589" t="str">
        <x:v>N/A</x:v>
      </x:c>
      <x:c r="I2589" t="str">
        <x:v>Проверить цену в источнике</x:v>
      </x:c>
      <x:c r="J2589" t="n">
        <x:f>IF(D2589=1,K2589,0)</x:f>
        <x:v>0</x:v>
      </x:c>
      <x:c r="K2589" t="n">
        <x:f>D2589+K2588</x:f>
        <x:v>26</x:v>
      </x:c>
    </x:row>
    <x:row r="2590">
      <x:c r="A2590" t="str">
        <x:v>Payment</x:v>
      </x:c>
      <x:c r="B2590" t="str">
        <x:f>'04_checks'!B371</x:f>
      </x:c>
      <x:c r="C2590" t="n">
        <x:v>125</x:v>
      </x:c>
      <x:c r="D2590" t="n">
        <x:f>IF('04_checks'!H371="ERROR",1,0)</x:f>
        <x:v>0</x:v>
      </x:c>
      <x:c r="E2590" t="str">
        <x:v>Payment:125:6</x:v>
      </x:c>
      <x:c r="F2590" t="str">
        <x:v>Дата</x:v>
      </x:c>
      <x:c r="G2590" t="str">
        <x:v>Medium</x:v>
      </x:c>
      <x:c r="H2590" t="str">
        <x:v>payment_date</x:v>
      </x:c>
      <x:c r="I2590" t="str">
        <x:v>Сверить дату со срезом и исходной записью</x:v>
      </x:c>
      <x:c r="J2590" t="n">
        <x:f>IF(D2590=1,K2590,0)</x:f>
        <x:v>0</x:v>
      </x:c>
      <x:c r="K2590" t="n">
        <x:f>D2590+K2589</x:f>
        <x:v>26</x:v>
      </x:c>
    </x:row>
    <x:row r="2591">
      <x:c r="A2591" t="str">
        <x:v>Payment</x:v>
      </x:c>
      <x:c r="B2591" t="str">
        <x:f>'04_checks'!B371</x:f>
      </x:c>
      <x:c r="C2591" t="n">
        <x:v>125</x:v>
      </x:c>
      <x:c r="D2591" t="n">
        <x:f>IF('04_checks'!I371="ERROR",1,0)</x:f>
        <x:v>0</x:v>
      </x:c>
      <x:c r="E2591" t="str">
        <x:v>Payment:125:7</x:v>
      </x:c>
      <x:c r="F2591" t="str">
        <x:v>Статус</x:v>
      </x:c>
      <x:c r="G2591" t="str">
        <x:v>Medium</x:v>
      </x:c>
      <x:c r="H2591" t="str">
        <x:v>payment_status</x:v>
      </x:c>
      <x:c r="I2591" t="str">
        <x:v>Выбрать допустимый статус</x:v>
      </x:c>
      <x:c r="J2591" t="n">
        <x:f>IF(D2591=1,K2591,0)</x:f>
        <x:v>0</x:v>
      </x:c>
      <x:c r="K2591" t="n">
        <x:f>D2591+K2590</x:f>
        <x:v>26</x:v>
      </x:c>
    </x:row>
    <x:row r="2592">
      <x:c r="A2592" t="str">
        <x:v>Payment</x:v>
      </x:c>
      <x:c r="B2592" t="str">
        <x:f>'04_checks'!B372</x:f>
      </x:c>
      <x:c r="C2592" t="n">
        <x:v>126</x:v>
      </x:c>
      <x:c r="D2592" t="n">
        <x:f>IF('04_checks'!C372="ERROR",1,0)</x:f>
        <x:v>0</x:v>
      </x:c>
      <x:c r="E2592" t="str">
        <x:v>Payment:126:1</x:v>
      </x:c>
      <x:c r="F2592" t="str">
        <x:v>Дубль</x:v>
      </x:c>
      <x:c r="G2592" t="str">
        <x:v>High</x:v>
      </x:c>
      <x:c r="H2592" t="str">
        <x:v>payment_id</x:v>
      </x:c>
      <x:c r="I2592" t="str">
        <x:v>Проверить уникальность ID в источнике; не удалять записи автоматически</x:v>
      </x:c>
      <x:c r="J2592" t="n">
        <x:f>IF(D2592=1,K2592,0)</x:f>
        <x:v>0</x:v>
      </x:c>
      <x:c r="K2592" t="n">
        <x:f>D2592+K2591</x:f>
        <x:v>26</x:v>
      </x:c>
    </x:row>
    <x:row r="2593">
      <x:c r="A2593" t="str">
        <x:v>Payment</x:v>
      </x:c>
      <x:c r="B2593" t="str">
        <x:f>'04_checks'!B372</x:f>
      </x:c>
      <x:c r="C2593" t="n">
        <x:v>126</x:v>
      </x:c>
      <x:c r="D2593" t="n">
        <x:f>IF('04_checks'!D372="ERROR",1,0)</x:f>
        <x:v>0</x:v>
      </x:c>
      <x:c r="E2593" t="str">
        <x:v>Payment:126:2</x:v>
      </x:c>
      <x:c r="F2593" t="str">
        <x:v>Пустое поле</x:v>
      </x:c>
      <x:c r="G2593" t="str">
        <x:v>High</x:v>
      </x:c>
      <x:c r="H2593" t="str">
        <x:v>required_fields</x:v>
      </x:c>
      <x:c r="I2593" t="str">
        <x:v>Дополнить обязательные поля в источнике</x:v>
      </x:c>
      <x:c r="J2593" t="n">
        <x:f>IF(D2593=1,K2593,0)</x:f>
        <x:v>0</x:v>
      </x:c>
      <x:c r="K2593" t="n">
        <x:f>D2593+K2592</x:f>
        <x:v>26</x:v>
      </x:c>
    </x:row>
    <x:row r="2594">
      <x:c r="A2594" t="str">
        <x:v>Payment</x:v>
      </x:c>
      <x:c r="B2594" t="str">
        <x:f>'04_checks'!B372</x:f>
      </x:c>
      <x:c r="C2594" t="n">
        <x:v>126</x:v>
      </x:c>
      <x:c r="D2594" t="n">
        <x:f>IF('04_checks'!E372="ERROR",1,0)</x:f>
        <x:v>0</x:v>
      </x:c>
      <x:c r="E2594" t="str">
        <x:v>Payment:126:3</x:v>
      </x:c>
      <x:c r="F2594" t="str">
        <x:f>IF(COUNTIF('01_orders_raw'!$A$2:$A$181,'03_payments_raw'!B126)&gt;1,"Неоднозначная связь","Нет связи")</x:f>
        <x:v>Нет связи</x:v>
      </x:c>
      <x:c r="G2594" t="str">
        <x:v>High</x:v>
      </x:c>
      <x:c r="H2594" t="str">
        <x:v>order_id</x:v>
      </x:c>
      <x:c r="I2594" t="str">
        <x:v>Исправить ссылку или разрешить дубли связанного ID</x:v>
      </x:c>
      <x:c r="J2594" t="n">
        <x:f>IF(D2594=1,K2594,0)</x:f>
        <x:v>0</x:v>
      </x:c>
      <x:c r="K2594" t="n">
        <x:f>D2594+K2593</x:f>
        <x:v>26</x:v>
      </x:c>
    </x:row>
    <x:row r="2595">
      <x:c r="A2595" t="str">
        <x:v>Payment</x:v>
      </x:c>
      <x:c r="B2595" t="str">
        <x:f>'04_checks'!B372</x:f>
      </x:c>
      <x:c r="C2595" t="n">
        <x:v>126</x:v>
      </x:c>
      <x:c r="D2595" t="n">
        <x:f>IF('04_checks'!F372="ERROR",1,0)</x:f>
        <x:v>0</x:v>
      </x:c>
      <x:c r="E2595" t="str">
        <x:v>Payment:126:4</x:v>
      </x:c>
      <x:c r="F2595" t="str">
        <x:v>Ошибка расчета</x:v>
      </x:c>
      <x:c r="G2595" t="str">
        <x:v>High</x:v>
      </x:c>
      <x:c r="H2595" t="str">
        <x:v>payment_sum</x:v>
      </x:c>
      <x:c r="I2595" t="str">
        <x:v>Сверить исходные значения и правило расчёта</x:v>
      </x:c>
      <x:c r="J2595" t="n">
        <x:f>IF(D2595=1,K2595,0)</x:f>
        <x:v>0</x:v>
      </x:c>
      <x:c r="K2595" t="n">
        <x:f>D2595+K2594</x:f>
        <x:v>26</x:v>
      </x:c>
    </x:row>
    <x:row r="2596">
      <x:c r="A2596" t="str">
        <x:v>Payment</x:v>
      </x:c>
      <x:c r="B2596" t="str">
        <x:f>'04_checks'!B372</x:f>
      </x:c>
      <x:c r="C2596" t="n">
        <x:v>126</x:v>
      </x:c>
      <x:c r="D2596" t="n">
        <x:f>IF('04_checks'!G372="ERROR",1,0)</x:f>
        <x:v>0</x:v>
      </x:c>
      <x:c r="E2596" t="str">
        <x:v>Payment:126:5</x:v>
      </x:c>
      <x:c r="F2596" t="str">
        <x:v>Отрицательная цена</x:v>
      </x:c>
      <x:c r="G2596" t="str">
        <x:v>High</x:v>
      </x:c>
      <x:c r="H2596" t="str">
        <x:v>N/A</x:v>
      </x:c>
      <x:c r="I2596" t="str">
        <x:v>Проверить цену в источнике</x:v>
      </x:c>
      <x:c r="J2596" t="n">
        <x:f>IF(D2596=1,K2596,0)</x:f>
        <x:v>0</x:v>
      </x:c>
      <x:c r="K2596" t="n">
        <x:f>D2596+K2595</x:f>
        <x:v>26</x:v>
      </x:c>
    </x:row>
    <x:row r="2597">
      <x:c r="A2597" t="str">
        <x:v>Payment</x:v>
      </x:c>
      <x:c r="B2597" t="str">
        <x:f>'04_checks'!B372</x:f>
      </x:c>
      <x:c r="C2597" t="n">
        <x:v>126</x:v>
      </x:c>
      <x:c r="D2597" t="n">
        <x:f>IF('04_checks'!H372="ERROR",1,0)</x:f>
        <x:v>0</x:v>
      </x:c>
      <x:c r="E2597" t="str">
        <x:v>Payment:126:6</x:v>
      </x:c>
      <x:c r="F2597" t="str">
        <x:v>Дата</x:v>
      </x:c>
      <x:c r="G2597" t="str">
        <x:v>Medium</x:v>
      </x:c>
      <x:c r="H2597" t="str">
        <x:v>payment_date</x:v>
      </x:c>
      <x:c r="I2597" t="str">
        <x:v>Сверить дату со срезом и исходной записью</x:v>
      </x:c>
      <x:c r="J2597" t="n">
        <x:f>IF(D2597=1,K2597,0)</x:f>
        <x:v>0</x:v>
      </x:c>
      <x:c r="K2597" t="n">
        <x:f>D2597+K2596</x:f>
        <x:v>26</x:v>
      </x:c>
    </x:row>
    <x:row r="2598">
      <x:c r="A2598" t="str">
        <x:v>Payment</x:v>
      </x:c>
      <x:c r="B2598" t="str">
        <x:f>'04_checks'!B372</x:f>
      </x:c>
      <x:c r="C2598" t="n">
        <x:v>126</x:v>
      </x:c>
      <x:c r="D2598" t="n">
        <x:f>IF('04_checks'!I372="ERROR",1,0)</x:f>
        <x:v>0</x:v>
      </x:c>
      <x:c r="E2598" t="str">
        <x:v>Payment:126:7</x:v>
      </x:c>
      <x:c r="F2598" t="str">
        <x:v>Статус</x:v>
      </x:c>
      <x:c r="G2598" t="str">
        <x:v>Medium</x:v>
      </x:c>
      <x:c r="H2598" t="str">
        <x:v>payment_status</x:v>
      </x:c>
      <x:c r="I2598" t="str">
        <x:v>Выбрать допустимый статус</x:v>
      </x:c>
      <x:c r="J2598" t="n">
        <x:f>IF(D2598=1,K2598,0)</x:f>
        <x:v>0</x:v>
      </x:c>
      <x:c r="K2598" t="n">
        <x:f>D2598+K2597</x:f>
        <x:v>26</x:v>
      </x:c>
    </x:row>
    <x:row r="2599">
      <x:c r="A2599" t="str">
        <x:v>Payment</x:v>
      </x:c>
      <x:c r="B2599" t="str">
        <x:f>'04_checks'!B373</x:f>
      </x:c>
      <x:c r="C2599" t="n">
        <x:v>127</x:v>
      </x:c>
      <x:c r="D2599" t="n">
        <x:f>IF('04_checks'!C373="ERROR",1,0)</x:f>
        <x:v>0</x:v>
      </x:c>
      <x:c r="E2599" t="str">
        <x:v>Payment:127:1</x:v>
      </x:c>
      <x:c r="F2599" t="str">
        <x:v>Дубль</x:v>
      </x:c>
      <x:c r="G2599" t="str">
        <x:v>High</x:v>
      </x:c>
      <x:c r="H2599" t="str">
        <x:v>payment_id</x:v>
      </x:c>
      <x:c r="I2599" t="str">
        <x:v>Проверить уникальность ID в источнике; не удалять записи автоматически</x:v>
      </x:c>
      <x:c r="J2599" t="n">
        <x:f>IF(D2599=1,K2599,0)</x:f>
        <x:v>0</x:v>
      </x:c>
      <x:c r="K2599" t="n">
        <x:f>D2599+K2598</x:f>
        <x:v>26</x:v>
      </x:c>
    </x:row>
    <x:row r="2600">
      <x:c r="A2600" t="str">
        <x:v>Payment</x:v>
      </x:c>
      <x:c r="B2600" t="str">
        <x:f>'04_checks'!B373</x:f>
      </x:c>
      <x:c r="C2600" t="n">
        <x:v>127</x:v>
      </x:c>
      <x:c r="D2600" t="n">
        <x:f>IF('04_checks'!D373="ERROR",1,0)</x:f>
        <x:v>0</x:v>
      </x:c>
      <x:c r="E2600" t="str">
        <x:v>Payment:127:2</x:v>
      </x:c>
      <x:c r="F2600" t="str">
        <x:v>Пустое поле</x:v>
      </x:c>
      <x:c r="G2600" t="str">
        <x:v>High</x:v>
      </x:c>
      <x:c r="H2600" t="str">
        <x:v>required_fields</x:v>
      </x:c>
      <x:c r="I2600" t="str">
        <x:v>Дополнить обязательные поля в источнике</x:v>
      </x:c>
      <x:c r="J2600" t="n">
        <x:f>IF(D2600=1,K2600,0)</x:f>
        <x:v>0</x:v>
      </x:c>
      <x:c r="K2600" t="n">
        <x:f>D2600+K2599</x:f>
        <x:v>26</x:v>
      </x:c>
    </x:row>
    <x:row r="2601">
      <x:c r="A2601" t="str">
        <x:v>Payment</x:v>
      </x:c>
      <x:c r="B2601" t="str">
        <x:f>'04_checks'!B373</x:f>
      </x:c>
      <x:c r="C2601" t="n">
        <x:v>127</x:v>
      </x:c>
      <x:c r="D2601" t="n">
        <x:f>IF('04_checks'!E373="ERROR",1,0)</x:f>
        <x:v>0</x:v>
      </x:c>
      <x:c r="E2601" t="str">
        <x:v>Payment:127:3</x:v>
      </x:c>
      <x:c r="F2601" t="str">
        <x:f>IF(COUNTIF('01_orders_raw'!$A$2:$A$181,'03_payments_raw'!B127)&gt;1,"Неоднозначная связь","Нет связи")</x:f>
        <x:v>Нет связи</x:v>
      </x:c>
      <x:c r="G2601" t="str">
        <x:v>High</x:v>
      </x:c>
      <x:c r="H2601" t="str">
        <x:v>order_id</x:v>
      </x:c>
      <x:c r="I2601" t="str">
        <x:v>Исправить ссылку или разрешить дубли связанного ID</x:v>
      </x:c>
      <x:c r="J2601" t="n">
        <x:f>IF(D2601=1,K2601,0)</x:f>
        <x:v>0</x:v>
      </x:c>
      <x:c r="K2601" t="n">
        <x:f>D2601+K2600</x:f>
        <x:v>26</x:v>
      </x:c>
    </x:row>
    <x:row r="2602">
      <x:c r="A2602" t="str">
        <x:v>Payment</x:v>
      </x:c>
      <x:c r="B2602" t="str">
        <x:f>'04_checks'!B373</x:f>
      </x:c>
      <x:c r="C2602" t="n">
        <x:v>127</x:v>
      </x:c>
      <x:c r="D2602" t="n">
        <x:f>IF('04_checks'!F373="ERROR",1,0)</x:f>
        <x:v>0</x:v>
      </x:c>
      <x:c r="E2602" t="str">
        <x:v>Payment:127:4</x:v>
      </x:c>
      <x:c r="F2602" t="str">
        <x:v>Ошибка расчета</x:v>
      </x:c>
      <x:c r="G2602" t="str">
        <x:v>High</x:v>
      </x:c>
      <x:c r="H2602" t="str">
        <x:v>payment_sum</x:v>
      </x:c>
      <x:c r="I2602" t="str">
        <x:v>Сверить исходные значения и правило расчёта</x:v>
      </x:c>
      <x:c r="J2602" t="n">
        <x:f>IF(D2602=1,K2602,0)</x:f>
        <x:v>0</x:v>
      </x:c>
      <x:c r="K2602" t="n">
        <x:f>D2602+K2601</x:f>
        <x:v>26</x:v>
      </x:c>
    </x:row>
    <x:row r="2603">
      <x:c r="A2603" t="str">
        <x:v>Payment</x:v>
      </x:c>
      <x:c r="B2603" t="str">
        <x:f>'04_checks'!B373</x:f>
      </x:c>
      <x:c r="C2603" t="n">
        <x:v>127</x:v>
      </x:c>
      <x:c r="D2603" t="n">
        <x:f>IF('04_checks'!G373="ERROR",1,0)</x:f>
        <x:v>0</x:v>
      </x:c>
      <x:c r="E2603" t="str">
        <x:v>Payment:127:5</x:v>
      </x:c>
      <x:c r="F2603" t="str">
        <x:v>Отрицательная цена</x:v>
      </x:c>
      <x:c r="G2603" t="str">
        <x:v>High</x:v>
      </x:c>
      <x:c r="H2603" t="str">
        <x:v>N/A</x:v>
      </x:c>
      <x:c r="I2603" t="str">
        <x:v>Проверить цену в источнике</x:v>
      </x:c>
      <x:c r="J2603" t="n">
        <x:f>IF(D2603=1,K2603,0)</x:f>
        <x:v>0</x:v>
      </x:c>
      <x:c r="K2603" t="n">
        <x:f>D2603+K2602</x:f>
        <x:v>26</x:v>
      </x:c>
    </x:row>
    <x:row r="2604">
      <x:c r="A2604" t="str">
        <x:v>Payment</x:v>
      </x:c>
      <x:c r="B2604" t="str">
        <x:f>'04_checks'!B373</x:f>
      </x:c>
      <x:c r="C2604" t="n">
        <x:v>127</x:v>
      </x:c>
      <x:c r="D2604" t="n">
        <x:f>IF('04_checks'!H373="ERROR",1,0)</x:f>
        <x:v>0</x:v>
      </x:c>
      <x:c r="E2604" t="str">
        <x:v>Payment:127:6</x:v>
      </x:c>
      <x:c r="F2604" t="str">
        <x:v>Дата</x:v>
      </x:c>
      <x:c r="G2604" t="str">
        <x:v>Medium</x:v>
      </x:c>
      <x:c r="H2604" t="str">
        <x:v>payment_date</x:v>
      </x:c>
      <x:c r="I2604" t="str">
        <x:v>Сверить дату со срезом и исходной записью</x:v>
      </x:c>
      <x:c r="J2604" t="n">
        <x:f>IF(D2604=1,K2604,0)</x:f>
        <x:v>0</x:v>
      </x:c>
      <x:c r="K2604" t="n">
        <x:f>D2604+K2603</x:f>
        <x:v>26</x:v>
      </x:c>
    </x:row>
    <x:row r="2605">
      <x:c r="A2605" t="str">
        <x:v>Payment</x:v>
      </x:c>
      <x:c r="B2605" t="str">
        <x:f>'04_checks'!B373</x:f>
      </x:c>
      <x:c r="C2605" t="n">
        <x:v>127</x:v>
      </x:c>
      <x:c r="D2605" t="n">
        <x:f>IF('04_checks'!I373="ERROR",1,0)</x:f>
        <x:v>0</x:v>
      </x:c>
      <x:c r="E2605" t="str">
        <x:v>Payment:127:7</x:v>
      </x:c>
      <x:c r="F2605" t="str">
        <x:v>Статус</x:v>
      </x:c>
      <x:c r="G2605" t="str">
        <x:v>Medium</x:v>
      </x:c>
      <x:c r="H2605" t="str">
        <x:v>payment_status</x:v>
      </x:c>
      <x:c r="I2605" t="str">
        <x:v>Выбрать допустимый статус</x:v>
      </x:c>
      <x:c r="J2605" t="n">
        <x:f>IF(D2605=1,K2605,0)</x:f>
        <x:v>0</x:v>
      </x:c>
      <x:c r="K2605" t="n">
        <x:f>D2605+K2604</x:f>
        <x:v>26</x:v>
      </x:c>
    </x:row>
    <x:row r="2606">
      <x:c r="A2606" t="str">
        <x:v>Payment</x:v>
      </x:c>
      <x:c r="B2606" t="str">
        <x:f>'04_checks'!B374</x:f>
      </x:c>
      <x:c r="C2606" t="n">
        <x:v>128</x:v>
      </x:c>
      <x:c r="D2606" t="n">
        <x:f>IF('04_checks'!C374="ERROR",1,0)</x:f>
        <x:v>0</x:v>
      </x:c>
      <x:c r="E2606" t="str">
        <x:v>Payment:128:1</x:v>
      </x:c>
      <x:c r="F2606" t="str">
        <x:v>Дубль</x:v>
      </x:c>
      <x:c r="G2606" t="str">
        <x:v>High</x:v>
      </x:c>
      <x:c r="H2606" t="str">
        <x:v>payment_id</x:v>
      </x:c>
      <x:c r="I2606" t="str">
        <x:v>Проверить уникальность ID в источнике; не удалять записи автоматически</x:v>
      </x:c>
      <x:c r="J2606" t="n">
        <x:f>IF(D2606=1,K2606,0)</x:f>
        <x:v>0</x:v>
      </x:c>
      <x:c r="K2606" t="n">
        <x:f>D2606+K2605</x:f>
        <x:v>26</x:v>
      </x:c>
    </x:row>
    <x:row r="2607">
      <x:c r="A2607" t="str">
        <x:v>Payment</x:v>
      </x:c>
      <x:c r="B2607" t="str">
        <x:f>'04_checks'!B374</x:f>
      </x:c>
      <x:c r="C2607" t="n">
        <x:v>128</x:v>
      </x:c>
      <x:c r="D2607" t="n">
        <x:f>IF('04_checks'!D374="ERROR",1,0)</x:f>
        <x:v>0</x:v>
      </x:c>
      <x:c r="E2607" t="str">
        <x:v>Payment:128:2</x:v>
      </x:c>
      <x:c r="F2607" t="str">
        <x:v>Пустое поле</x:v>
      </x:c>
      <x:c r="G2607" t="str">
        <x:v>High</x:v>
      </x:c>
      <x:c r="H2607" t="str">
        <x:v>required_fields</x:v>
      </x:c>
      <x:c r="I2607" t="str">
        <x:v>Дополнить обязательные поля в источнике</x:v>
      </x:c>
      <x:c r="J2607" t="n">
        <x:f>IF(D2607=1,K2607,0)</x:f>
        <x:v>0</x:v>
      </x:c>
      <x:c r="K2607" t="n">
        <x:f>D2607+K2606</x:f>
        <x:v>26</x:v>
      </x:c>
    </x:row>
    <x:row r="2608">
      <x:c r="A2608" t="str">
        <x:v>Payment</x:v>
      </x:c>
      <x:c r="B2608" t="str">
        <x:f>'04_checks'!B374</x:f>
      </x:c>
      <x:c r="C2608" t="n">
        <x:v>128</x:v>
      </x:c>
      <x:c r="D2608" t="n">
        <x:f>IF('04_checks'!E374="ERROR",1,0)</x:f>
        <x:v>0</x:v>
      </x:c>
      <x:c r="E2608" t="str">
        <x:v>Payment:128:3</x:v>
      </x:c>
      <x:c r="F2608" t="str">
        <x:f>IF(COUNTIF('01_orders_raw'!$A$2:$A$181,'03_payments_raw'!B128)&gt;1,"Неоднозначная связь","Нет связи")</x:f>
        <x:v>Нет связи</x:v>
      </x:c>
      <x:c r="G2608" t="str">
        <x:v>High</x:v>
      </x:c>
      <x:c r="H2608" t="str">
        <x:v>order_id</x:v>
      </x:c>
      <x:c r="I2608" t="str">
        <x:v>Исправить ссылку или разрешить дубли связанного ID</x:v>
      </x:c>
      <x:c r="J2608" t="n">
        <x:f>IF(D2608=1,K2608,0)</x:f>
        <x:v>0</x:v>
      </x:c>
      <x:c r="K2608" t="n">
        <x:f>D2608+K2607</x:f>
        <x:v>26</x:v>
      </x:c>
    </x:row>
    <x:row r="2609">
      <x:c r="A2609" t="str">
        <x:v>Payment</x:v>
      </x:c>
      <x:c r="B2609" t="str">
        <x:f>'04_checks'!B374</x:f>
      </x:c>
      <x:c r="C2609" t="n">
        <x:v>128</x:v>
      </x:c>
      <x:c r="D2609" t="n">
        <x:f>IF('04_checks'!F374="ERROR",1,0)</x:f>
        <x:v>0</x:v>
      </x:c>
      <x:c r="E2609" t="str">
        <x:v>Payment:128:4</x:v>
      </x:c>
      <x:c r="F2609" t="str">
        <x:v>Ошибка расчета</x:v>
      </x:c>
      <x:c r="G2609" t="str">
        <x:v>High</x:v>
      </x:c>
      <x:c r="H2609" t="str">
        <x:v>payment_sum</x:v>
      </x:c>
      <x:c r="I2609" t="str">
        <x:v>Сверить исходные значения и правило расчёта</x:v>
      </x:c>
      <x:c r="J2609" t="n">
        <x:f>IF(D2609=1,K2609,0)</x:f>
        <x:v>0</x:v>
      </x:c>
      <x:c r="K2609" t="n">
        <x:f>D2609+K2608</x:f>
        <x:v>26</x:v>
      </x:c>
    </x:row>
    <x:row r="2610">
      <x:c r="A2610" t="str">
        <x:v>Payment</x:v>
      </x:c>
      <x:c r="B2610" t="str">
        <x:f>'04_checks'!B374</x:f>
      </x:c>
      <x:c r="C2610" t="n">
        <x:v>128</x:v>
      </x:c>
      <x:c r="D2610" t="n">
        <x:f>IF('04_checks'!G374="ERROR",1,0)</x:f>
        <x:v>0</x:v>
      </x:c>
      <x:c r="E2610" t="str">
        <x:v>Payment:128:5</x:v>
      </x:c>
      <x:c r="F2610" t="str">
        <x:v>Отрицательная цена</x:v>
      </x:c>
      <x:c r="G2610" t="str">
        <x:v>High</x:v>
      </x:c>
      <x:c r="H2610" t="str">
        <x:v>N/A</x:v>
      </x:c>
      <x:c r="I2610" t="str">
        <x:v>Проверить цену в источнике</x:v>
      </x:c>
      <x:c r="J2610" t="n">
        <x:f>IF(D2610=1,K2610,0)</x:f>
        <x:v>0</x:v>
      </x:c>
      <x:c r="K2610" t="n">
        <x:f>D2610+K2609</x:f>
        <x:v>26</x:v>
      </x:c>
    </x:row>
    <x:row r="2611">
      <x:c r="A2611" t="str">
        <x:v>Payment</x:v>
      </x:c>
      <x:c r="B2611" t="str">
        <x:f>'04_checks'!B374</x:f>
      </x:c>
      <x:c r="C2611" t="n">
        <x:v>128</x:v>
      </x:c>
      <x:c r="D2611" t="n">
        <x:f>IF('04_checks'!H374="ERROR",1,0)</x:f>
        <x:v>0</x:v>
      </x:c>
      <x:c r="E2611" t="str">
        <x:v>Payment:128:6</x:v>
      </x:c>
      <x:c r="F2611" t="str">
        <x:v>Дата</x:v>
      </x:c>
      <x:c r="G2611" t="str">
        <x:v>Medium</x:v>
      </x:c>
      <x:c r="H2611" t="str">
        <x:v>payment_date</x:v>
      </x:c>
      <x:c r="I2611" t="str">
        <x:v>Сверить дату со срезом и исходной записью</x:v>
      </x:c>
      <x:c r="J2611" t="n">
        <x:f>IF(D2611=1,K2611,0)</x:f>
        <x:v>0</x:v>
      </x:c>
      <x:c r="K2611" t="n">
        <x:f>D2611+K2610</x:f>
        <x:v>26</x:v>
      </x:c>
    </x:row>
    <x:row r="2612">
      <x:c r="A2612" t="str">
        <x:v>Payment</x:v>
      </x:c>
      <x:c r="B2612" t="str">
        <x:f>'04_checks'!B374</x:f>
      </x:c>
      <x:c r="C2612" t="n">
        <x:v>128</x:v>
      </x:c>
      <x:c r="D2612" t="n">
        <x:f>IF('04_checks'!I374="ERROR",1,0)</x:f>
        <x:v>0</x:v>
      </x:c>
      <x:c r="E2612" t="str">
        <x:v>Payment:128:7</x:v>
      </x:c>
      <x:c r="F2612" t="str">
        <x:v>Статус</x:v>
      </x:c>
      <x:c r="G2612" t="str">
        <x:v>Medium</x:v>
      </x:c>
      <x:c r="H2612" t="str">
        <x:v>payment_status</x:v>
      </x:c>
      <x:c r="I2612" t="str">
        <x:v>Выбрать допустимый статус</x:v>
      </x:c>
      <x:c r="J2612" t="n">
        <x:f>IF(D2612=1,K2612,0)</x:f>
        <x:v>0</x:v>
      </x:c>
      <x:c r="K2612" t="n">
        <x:f>D2612+K2611</x:f>
        <x:v>26</x:v>
      </x:c>
    </x:row>
    <x:row r="2613">
      <x:c r="A2613" t="str">
        <x:v>Payment</x:v>
      </x:c>
      <x:c r="B2613" t="str">
        <x:f>'04_checks'!B375</x:f>
      </x:c>
      <x:c r="C2613" t="n">
        <x:v>129</x:v>
      </x:c>
      <x:c r="D2613" t="n">
        <x:f>IF('04_checks'!C375="ERROR",1,0)</x:f>
        <x:v>0</x:v>
      </x:c>
      <x:c r="E2613" t="str">
        <x:v>Payment:129:1</x:v>
      </x:c>
      <x:c r="F2613" t="str">
        <x:v>Дубль</x:v>
      </x:c>
      <x:c r="G2613" t="str">
        <x:v>High</x:v>
      </x:c>
      <x:c r="H2613" t="str">
        <x:v>payment_id</x:v>
      </x:c>
      <x:c r="I2613" t="str">
        <x:v>Проверить уникальность ID в источнике; не удалять записи автоматически</x:v>
      </x:c>
      <x:c r="J2613" t="n">
        <x:f>IF(D2613=1,K2613,0)</x:f>
        <x:v>0</x:v>
      </x:c>
      <x:c r="K2613" t="n">
        <x:f>D2613+K2612</x:f>
        <x:v>26</x:v>
      </x:c>
    </x:row>
    <x:row r="2614">
      <x:c r="A2614" t="str">
        <x:v>Payment</x:v>
      </x:c>
      <x:c r="B2614" t="str">
        <x:f>'04_checks'!B375</x:f>
      </x:c>
      <x:c r="C2614" t="n">
        <x:v>129</x:v>
      </x:c>
      <x:c r="D2614" t="n">
        <x:f>IF('04_checks'!D375="ERROR",1,0)</x:f>
        <x:v>0</x:v>
      </x:c>
      <x:c r="E2614" t="str">
        <x:v>Payment:129:2</x:v>
      </x:c>
      <x:c r="F2614" t="str">
        <x:v>Пустое поле</x:v>
      </x:c>
      <x:c r="G2614" t="str">
        <x:v>High</x:v>
      </x:c>
      <x:c r="H2614" t="str">
        <x:v>required_fields</x:v>
      </x:c>
      <x:c r="I2614" t="str">
        <x:v>Дополнить обязательные поля в источнике</x:v>
      </x:c>
      <x:c r="J2614" t="n">
        <x:f>IF(D2614=1,K2614,0)</x:f>
        <x:v>0</x:v>
      </x:c>
      <x:c r="K2614" t="n">
        <x:f>D2614+K2613</x:f>
        <x:v>26</x:v>
      </x:c>
    </x:row>
    <x:row r="2615">
      <x:c r="A2615" t="str">
        <x:v>Payment</x:v>
      </x:c>
      <x:c r="B2615" t="str">
        <x:f>'04_checks'!B375</x:f>
      </x:c>
      <x:c r="C2615" t="n">
        <x:v>129</x:v>
      </x:c>
      <x:c r="D2615" t="n">
        <x:f>IF('04_checks'!E375="ERROR",1,0)</x:f>
        <x:v>0</x:v>
      </x:c>
      <x:c r="E2615" t="str">
        <x:v>Payment:129:3</x:v>
      </x:c>
      <x:c r="F2615" t="str">
        <x:f>IF(COUNTIF('01_orders_raw'!$A$2:$A$181,'03_payments_raw'!B129)&gt;1,"Неоднозначная связь","Нет связи")</x:f>
        <x:v>Нет связи</x:v>
      </x:c>
      <x:c r="G2615" t="str">
        <x:v>High</x:v>
      </x:c>
      <x:c r="H2615" t="str">
        <x:v>order_id</x:v>
      </x:c>
      <x:c r="I2615" t="str">
        <x:v>Исправить ссылку или разрешить дубли связанного ID</x:v>
      </x:c>
      <x:c r="J2615" t="n">
        <x:f>IF(D2615=1,K2615,0)</x:f>
        <x:v>0</x:v>
      </x:c>
      <x:c r="K2615" t="n">
        <x:f>D2615+K2614</x:f>
        <x:v>26</x:v>
      </x:c>
    </x:row>
    <x:row r="2616">
      <x:c r="A2616" t="str">
        <x:v>Payment</x:v>
      </x:c>
      <x:c r="B2616" t="str">
        <x:f>'04_checks'!B375</x:f>
      </x:c>
      <x:c r="C2616" t="n">
        <x:v>129</x:v>
      </x:c>
      <x:c r="D2616" t="n">
        <x:f>IF('04_checks'!F375="ERROR",1,0)</x:f>
        <x:v>0</x:v>
      </x:c>
      <x:c r="E2616" t="str">
        <x:v>Payment:129:4</x:v>
      </x:c>
      <x:c r="F2616" t="str">
        <x:v>Ошибка расчета</x:v>
      </x:c>
      <x:c r="G2616" t="str">
        <x:v>High</x:v>
      </x:c>
      <x:c r="H2616" t="str">
        <x:v>payment_sum</x:v>
      </x:c>
      <x:c r="I2616" t="str">
        <x:v>Сверить исходные значения и правило расчёта</x:v>
      </x:c>
      <x:c r="J2616" t="n">
        <x:f>IF(D2616=1,K2616,0)</x:f>
        <x:v>0</x:v>
      </x:c>
      <x:c r="K2616" t="n">
        <x:f>D2616+K2615</x:f>
        <x:v>26</x:v>
      </x:c>
    </x:row>
    <x:row r="2617">
      <x:c r="A2617" t="str">
        <x:v>Payment</x:v>
      </x:c>
      <x:c r="B2617" t="str">
        <x:f>'04_checks'!B375</x:f>
      </x:c>
      <x:c r="C2617" t="n">
        <x:v>129</x:v>
      </x:c>
      <x:c r="D2617" t="n">
        <x:f>IF('04_checks'!G375="ERROR",1,0)</x:f>
        <x:v>0</x:v>
      </x:c>
      <x:c r="E2617" t="str">
        <x:v>Payment:129:5</x:v>
      </x:c>
      <x:c r="F2617" t="str">
        <x:v>Отрицательная цена</x:v>
      </x:c>
      <x:c r="G2617" t="str">
        <x:v>High</x:v>
      </x:c>
      <x:c r="H2617" t="str">
        <x:v>N/A</x:v>
      </x:c>
      <x:c r="I2617" t="str">
        <x:v>Проверить цену в источнике</x:v>
      </x:c>
      <x:c r="J2617" t="n">
        <x:f>IF(D2617=1,K2617,0)</x:f>
        <x:v>0</x:v>
      </x:c>
      <x:c r="K2617" t="n">
        <x:f>D2617+K2616</x:f>
        <x:v>26</x:v>
      </x:c>
    </x:row>
    <x:row r="2618">
      <x:c r="A2618" t="str">
        <x:v>Payment</x:v>
      </x:c>
      <x:c r="B2618" t="str">
        <x:f>'04_checks'!B375</x:f>
      </x:c>
      <x:c r="C2618" t="n">
        <x:v>129</x:v>
      </x:c>
      <x:c r="D2618" t="n">
        <x:f>IF('04_checks'!H375="ERROR",1,0)</x:f>
        <x:v>0</x:v>
      </x:c>
      <x:c r="E2618" t="str">
        <x:v>Payment:129:6</x:v>
      </x:c>
      <x:c r="F2618" t="str">
        <x:v>Дата</x:v>
      </x:c>
      <x:c r="G2618" t="str">
        <x:v>Medium</x:v>
      </x:c>
      <x:c r="H2618" t="str">
        <x:v>payment_date</x:v>
      </x:c>
      <x:c r="I2618" t="str">
        <x:v>Сверить дату со срезом и исходной записью</x:v>
      </x:c>
      <x:c r="J2618" t="n">
        <x:f>IF(D2618=1,K2618,0)</x:f>
        <x:v>0</x:v>
      </x:c>
      <x:c r="K2618" t="n">
        <x:f>D2618+K2617</x:f>
        <x:v>26</x:v>
      </x:c>
    </x:row>
    <x:row r="2619">
      <x:c r="A2619" t="str">
        <x:v>Payment</x:v>
      </x:c>
      <x:c r="B2619" t="str">
        <x:f>'04_checks'!B375</x:f>
      </x:c>
      <x:c r="C2619" t="n">
        <x:v>129</x:v>
      </x:c>
      <x:c r="D2619" t="n">
        <x:f>IF('04_checks'!I375="ERROR",1,0)</x:f>
        <x:v>0</x:v>
      </x:c>
      <x:c r="E2619" t="str">
        <x:v>Payment:129:7</x:v>
      </x:c>
      <x:c r="F2619" t="str">
        <x:v>Статус</x:v>
      </x:c>
      <x:c r="G2619" t="str">
        <x:v>Medium</x:v>
      </x:c>
      <x:c r="H2619" t="str">
        <x:v>payment_status</x:v>
      </x:c>
      <x:c r="I2619" t="str">
        <x:v>Выбрать допустимый статус</x:v>
      </x:c>
      <x:c r="J2619" t="n">
        <x:f>IF(D2619=1,K2619,0)</x:f>
        <x:v>0</x:v>
      </x:c>
      <x:c r="K2619" t="n">
        <x:f>D2619+K2618</x:f>
        <x:v>26</x:v>
      </x:c>
    </x:row>
    <x:row r="2620">
      <x:c r="A2620" t="str">
        <x:v>Payment</x:v>
      </x:c>
      <x:c r="B2620" t="str">
        <x:f>'04_checks'!B376</x:f>
      </x:c>
      <x:c r="C2620" t="n">
        <x:v>130</x:v>
      </x:c>
      <x:c r="D2620" t="n">
        <x:f>IF('04_checks'!C376="ERROR",1,0)</x:f>
        <x:v>0</x:v>
      </x:c>
      <x:c r="E2620" t="str">
        <x:v>Payment:130:1</x:v>
      </x:c>
      <x:c r="F2620" t="str">
        <x:v>Дубль</x:v>
      </x:c>
      <x:c r="G2620" t="str">
        <x:v>High</x:v>
      </x:c>
      <x:c r="H2620" t="str">
        <x:v>payment_id</x:v>
      </x:c>
      <x:c r="I2620" t="str">
        <x:v>Проверить уникальность ID в источнике; не удалять записи автоматически</x:v>
      </x:c>
      <x:c r="J2620" t="n">
        <x:f>IF(D2620=1,K2620,0)</x:f>
        <x:v>0</x:v>
      </x:c>
      <x:c r="K2620" t="n">
        <x:f>D2620+K2619</x:f>
        <x:v>26</x:v>
      </x:c>
    </x:row>
    <x:row r="2621">
      <x:c r="A2621" t="str">
        <x:v>Payment</x:v>
      </x:c>
      <x:c r="B2621" t="str">
        <x:f>'04_checks'!B376</x:f>
      </x:c>
      <x:c r="C2621" t="n">
        <x:v>130</x:v>
      </x:c>
      <x:c r="D2621" t="n">
        <x:f>IF('04_checks'!D376="ERROR",1,0)</x:f>
        <x:v>0</x:v>
      </x:c>
      <x:c r="E2621" t="str">
        <x:v>Payment:130:2</x:v>
      </x:c>
      <x:c r="F2621" t="str">
        <x:v>Пустое поле</x:v>
      </x:c>
      <x:c r="G2621" t="str">
        <x:v>High</x:v>
      </x:c>
      <x:c r="H2621" t="str">
        <x:v>required_fields</x:v>
      </x:c>
      <x:c r="I2621" t="str">
        <x:v>Дополнить обязательные поля в источнике</x:v>
      </x:c>
      <x:c r="J2621" t="n">
        <x:f>IF(D2621=1,K2621,0)</x:f>
        <x:v>0</x:v>
      </x:c>
      <x:c r="K2621" t="n">
        <x:f>D2621+K2620</x:f>
        <x:v>26</x:v>
      </x:c>
    </x:row>
    <x:row r="2622">
      <x:c r="A2622" t="str">
        <x:v>Payment</x:v>
      </x:c>
      <x:c r="B2622" t="str">
        <x:f>'04_checks'!B376</x:f>
      </x:c>
      <x:c r="C2622" t="n">
        <x:v>130</x:v>
      </x:c>
      <x:c r="D2622" t="n">
        <x:f>IF('04_checks'!E376="ERROR",1,0)</x:f>
        <x:v>0</x:v>
      </x:c>
      <x:c r="E2622" t="str">
        <x:v>Payment:130:3</x:v>
      </x:c>
      <x:c r="F2622" t="str">
        <x:f>IF(COUNTIF('01_orders_raw'!$A$2:$A$181,'03_payments_raw'!B130)&gt;1,"Неоднозначная связь","Нет связи")</x:f>
        <x:v>Нет связи</x:v>
      </x:c>
      <x:c r="G2622" t="str">
        <x:v>High</x:v>
      </x:c>
      <x:c r="H2622" t="str">
        <x:v>order_id</x:v>
      </x:c>
      <x:c r="I2622" t="str">
        <x:v>Исправить ссылку или разрешить дубли связанного ID</x:v>
      </x:c>
      <x:c r="J2622" t="n">
        <x:f>IF(D2622=1,K2622,0)</x:f>
        <x:v>0</x:v>
      </x:c>
      <x:c r="K2622" t="n">
        <x:f>D2622+K2621</x:f>
        <x:v>26</x:v>
      </x:c>
    </x:row>
    <x:row r="2623">
      <x:c r="A2623" t="str">
        <x:v>Payment</x:v>
      </x:c>
      <x:c r="B2623" t="str">
        <x:f>'04_checks'!B376</x:f>
      </x:c>
      <x:c r="C2623" t="n">
        <x:v>130</x:v>
      </x:c>
      <x:c r="D2623" t="n">
        <x:f>IF('04_checks'!F376="ERROR",1,0)</x:f>
        <x:v>0</x:v>
      </x:c>
      <x:c r="E2623" t="str">
        <x:v>Payment:130:4</x:v>
      </x:c>
      <x:c r="F2623" t="str">
        <x:v>Ошибка расчета</x:v>
      </x:c>
      <x:c r="G2623" t="str">
        <x:v>High</x:v>
      </x:c>
      <x:c r="H2623" t="str">
        <x:v>payment_sum</x:v>
      </x:c>
      <x:c r="I2623" t="str">
        <x:v>Сверить исходные значения и правило расчёта</x:v>
      </x:c>
      <x:c r="J2623" t="n">
        <x:f>IF(D2623=1,K2623,0)</x:f>
        <x:v>0</x:v>
      </x:c>
      <x:c r="K2623" t="n">
        <x:f>D2623+K2622</x:f>
        <x:v>26</x:v>
      </x:c>
    </x:row>
    <x:row r="2624">
      <x:c r="A2624" t="str">
        <x:v>Payment</x:v>
      </x:c>
      <x:c r="B2624" t="str">
        <x:f>'04_checks'!B376</x:f>
      </x:c>
      <x:c r="C2624" t="n">
        <x:v>130</x:v>
      </x:c>
      <x:c r="D2624" t="n">
        <x:f>IF('04_checks'!G376="ERROR",1,0)</x:f>
        <x:v>0</x:v>
      </x:c>
      <x:c r="E2624" t="str">
        <x:v>Payment:130:5</x:v>
      </x:c>
      <x:c r="F2624" t="str">
        <x:v>Отрицательная цена</x:v>
      </x:c>
      <x:c r="G2624" t="str">
        <x:v>High</x:v>
      </x:c>
      <x:c r="H2624" t="str">
        <x:v>N/A</x:v>
      </x:c>
      <x:c r="I2624" t="str">
        <x:v>Проверить цену в источнике</x:v>
      </x:c>
      <x:c r="J2624" t="n">
        <x:f>IF(D2624=1,K2624,0)</x:f>
        <x:v>0</x:v>
      </x:c>
      <x:c r="K2624" t="n">
        <x:f>D2624+K2623</x:f>
        <x:v>26</x:v>
      </x:c>
    </x:row>
    <x:row r="2625">
      <x:c r="A2625" t="str">
        <x:v>Payment</x:v>
      </x:c>
      <x:c r="B2625" t="str">
        <x:f>'04_checks'!B376</x:f>
      </x:c>
      <x:c r="C2625" t="n">
        <x:v>130</x:v>
      </x:c>
      <x:c r="D2625" t="n">
        <x:f>IF('04_checks'!H376="ERROR",1,0)</x:f>
        <x:v>0</x:v>
      </x:c>
      <x:c r="E2625" t="str">
        <x:v>Payment:130:6</x:v>
      </x:c>
      <x:c r="F2625" t="str">
        <x:v>Дата</x:v>
      </x:c>
      <x:c r="G2625" t="str">
        <x:v>Medium</x:v>
      </x:c>
      <x:c r="H2625" t="str">
        <x:v>payment_date</x:v>
      </x:c>
      <x:c r="I2625" t="str">
        <x:v>Сверить дату со срезом и исходной записью</x:v>
      </x:c>
      <x:c r="J2625" t="n">
        <x:f>IF(D2625=1,K2625,0)</x:f>
        <x:v>0</x:v>
      </x:c>
      <x:c r="K2625" t="n">
        <x:f>D2625+K2624</x:f>
        <x:v>26</x:v>
      </x:c>
    </x:row>
    <x:row r="2626">
      <x:c r="A2626" t="str">
        <x:v>Payment</x:v>
      </x:c>
      <x:c r="B2626" t="str">
        <x:f>'04_checks'!B376</x:f>
      </x:c>
      <x:c r="C2626" t="n">
        <x:v>130</x:v>
      </x:c>
      <x:c r="D2626" t="n">
        <x:f>IF('04_checks'!I376="ERROR",1,0)</x:f>
        <x:v>0</x:v>
      </x:c>
      <x:c r="E2626" t="str">
        <x:v>Payment:130:7</x:v>
      </x:c>
      <x:c r="F2626" t="str">
        <x:v>Статус</x:v>
      </x:c>
      <x:c r="G2626" t="str">
        <x:v>Medium</x:v>
      </x:c>
      <x:c r="H2626" t="str">
        <x:v>payment_status</x:v>
      </x:c>
      <x:c r="I2626" t="str">
        <x:v>Выбрать допустимый статус</x:v>
      </x:c>
      <x:c r="J2626" t="n">
        <x:f>IF(D2626=1,K2626,0)</x:f>
        <x:v>0</x:v>
      </x:c>
      <x:c r="K2626" t="n">
        <x:f>D2626+K2625</x:f>
        <x:v>26</x:v>
      </x:c>
    </x:row>
    <x:row r="2627">
      <x:c r="A2627" t="str">
        <x:v>Payment</x:v>
      </x:c>
      <x:c r="B2627" t="str">
        <x:f>'04_checks'!B377</x:f>
      </x:c>
      <x:c r="C2627" t="n">
        <x:v>131</x:v>
      </x:c>
      <x:c r="D2627" t="n">
        <x:f>IF('04_checks'!C377="ERROR",1,0)</x:f>
        <x:v>0</x:v>
      </x:c>
      <x:c r="E2627" t="str">
        <x:v>Payment:131:1</x:v>
      </x:c>
      <x:c r="F2627" t="str">
        <x:v>Дубль</x:v>
      </x:c>
      <x:c r="G2627" t="str">
        <x:v>High</x:v>
      </x:c>
      <x:c r="H2627" t="str">
        <x:v>payment_id</x:v>
      </x:c>
      <x:c r="I2627" t="str">
        <x:v>Проверить уникальность ID в источнике; не удалять записи автоматически</x:v>
      </x:c>
      <x:c r="J2627" t="n">
        <x:f>IF(D2627=1,K2627,0)</x:f>
        <x:v>0</x:v>
      </x:c>
      <x:c r="K2627" t="n">
        <x:f>D2627+K2626</x:f>
        <x:v>26</x:v>
      </x:c>
    </x:row>
    <x:row r="2628">
      <x:c r="A2628" t="str">
        <x:v>Payment</x:v>
      </x:c>
      <x:c r="B2628" t="str">
        <x:f>'04_checks'!B377</x:f>
      </x:c>
      <x:c r="C2628" t="n">
        <x:v>131</x:v>
      </x:c>
      <x:c r="D2628" t="n">
        <x:f>IF('04_checks'!D377="ERROR",1,0)</x:f>
        <x:v>0</x:v>
      </x:c>
      <x:c r="E2628" t="str">
        <x:v>Payment:131:2</x:v>
      </x:c>
      <x:c r="F2628" t="str">
        <x:v>Пустое поле</x:v>
      </x:c>
      <x:c r="G2628" t="str">
        <x:v>High</x:v>
      </x:c>
      <x:c r="H2628" t="str">
        <x:v>required_fields</x:v>
      </x:c>
      <x:c r="I2628" t="str">
        <x:v>Дополнить обязательные поля в источнике</x:v>
      </x:c>
      <x:c r="J2628" t="n">
        <x:f>IF(D2628=1,K2628,0)</x:f>
        <x:v>0</x:v>
      </x:c>
      <x:c r="K2628" t="n">
        <x:f>D2628+K2627</x:f>
        <x:v>26</x:v>
      </x:c>
    </x:row>
    <x:row r="2629">
      <x:c r="A2629" t="str">
        <x:v>Payment</x:v>
      </x:c>
      <x:c r="B2629" t="str">
        <x:f>'04_checks'!B377</x:f>
      </x:c>
      <x:c r="C2629" t="n">
        <x:v>131</x:v>
      </x:c>
      <x:c r="D2629" t="n">
        <x:f>IF('04_checks'!E377="ERROR",1,0)</x:f>
        <x:v>0</x:v>
      </x:c>
      <x:c r="E2629" t="str">
        <x:v>Payment:131:3</x:v>
      </x:c>
      <x:c r="F2629" t="str">
        <x:f>IF(COUNTIF('01_orders_raw'!$A$2:$A$181,'03_payments_raw'!B131)&gt;1,"Неоднозначная связь","Нет связи")</x:f>
        <x:v>Нет связи</x:v>
      </x:c>
      <x:c r="G2629" t="str">
        <x:v>High</x:v>
      </x:c>
      <x:c r="H2629" t="str">
        <x:v>order_id</x:v>
      </x:c>
      <x:c r="I2629" t="str">
        <x:v>Исправить ссылку или разрешить дубли связанного ID</x:v>
      </x:c>
      <x:c r="J2629" t="n">
        <x:f>IF(D2629=1,K2629,0)</x:f>
        <x:v>0</x:v>
      </x:c>
      <x:c r="K2629" t="n">
        <x:f>D2629+K2628</x:f>
        <x:v>26</x:v>
      </x:c>
    </x:row>
    <x:row r="2630">
      <x:c r="A2630" t="str">
        <x:v>Payment</x:v>
      </x:c>
      <x:c r="B2630" t="str">
        <x:f>'04_checks'!B377</x:f>
      </x:c>
      <x:c r="C2630" t="n">
        <x:v>131</x:v>
      </x:c>
      <x:c r="D2630" t="n">
        <x:f>IF('04_checks'!F377="ERROR",1,0)</x:f>
        <x:v>0</x:v>
      </x:c>
      <x:c r="E2630" t="str">
        <x:v>Payment:131:4</x:v>
      </x:c>
      <x:c r="F2630" t="str">
        <x:v>Ошибка расчета</x:v>
      </x:c>
      <x:c r="G2630" t="str">
        <x:v>High</x:v>
      </x:c>
      <x:c r="H2630" t="str">
        <x:v>payment_sum</x:v>
      </x:c>
      <x:c r="I2630" t="str">
        <x:v>Сверить исходные значения и правило расчёта</x:v>
      </x:c>
      <x:c r="J2630" t="n">
        <x:f>IF(D2630=1,K2630,0)</x:f>
        <x:v>0</x:v>
      </x:c>
      <x:c r="K2630" t="n">
        <x:f>D2630+K2629</x:f>
        <x:v>26</x:v>
      </x:c>
    </x:row>
    <x:row r="2631">
      <x:c r="A2631" t="str">
        <x:v>Payment</x:v>
      </x:c>
      <x:c r="B2631" t="str">
        <x:f>'04_checks'!B377</x:f>
      </x:c>
      <x:c r="C2631" t="n">
        <x:v>131</x:v>
      </x:c>
      <x:c r="D2631" t="n">
        <x:f>IF('04_checks'!G377="ERROR",1,0)</x:f>
        <x:v>0</x:v>
      </x:c>
      <x:c r="E2631" t="str">
        <x:v>Payment:131:5</x:v>
      </x:c>
      <x:c r="F2631" t="str">
        <x:v>Отрицательная цена</x:v>
      </x:c>
      <x:c r="G2631" t="str">
        <x:v>High</x:v>
      </x:c>
      <x:c r="H2631" t="str">
        <x:v>N/A</x:v>
      </x:c>
      <x:c r="I2631" t="str">
        <x:v>Проверить цену в источнике</x:v>
      </x:c>
      <x:c r="J2631" t="n">
        <x:f>IF(D2631=1,K2631,0)</x:f>
        <x:v>0</x:v>
      </x:c>
      <x:c r="K2631" t="n">
        <x:f>D2631+K2630</x:f>
        <x:v>26</x:v>
      </x:c>
    </x:row>
    <x:row r="2632">
      <x:c r="A2632" t="str">
        <x:v>Payment</x:v>
      </x:c>
      <x:c r="B2632" t="str">
        <x:f>'04_checks'!B377</x:f>
      </x:c>
      <x:c r="C2632" t="n">
        <x:v>131</x:v>
      </x:c>
      <x:c r="D2632" t="n">
        <x:f>IF('04_checks'!H377="ERROR",1,0)</x:f>
        <x:v>0</x:v>
      </x:c>
      <x:c r="E2632" t="str">
        <x:v>Payment:131:6</x:v>
      </x:c>
      <x:c r="F2632" t="str">
        <x:v>Дата</x:v>
      </x:c>
      <x:c r="G2632" t="str">
        <x:v>Medium</x:v>
      </x:c>
      <x:c r="H2632" t="str">
        <x:v>payment_date</x:v>
      </x:c>
      <x:c r="I2632" t="str">
        <x:v>Сверить дату со срезом и исходной записью</x:v>
      </x:c>
      <x:c r="J2632" t="n">
        <x:f>IF(D2632=1,K2632,0)</x:f>
        <x:v>0</x:v>
      </x:c>
      <x:c r="K2632" t="n">
        <x:f>D2632+K2631</x:f>
        <x:v>26</x:v>
      </x:c>
    </x:row>
    <x:row r="2633">
      <x:c r="A2633" t="str">
        <x:v>Payment</x:v>
      </x:c>
      <x:c r="B2633" t="str">
        <x:f>'04_checks'!B377</x:f>
      </x:c>
      <x:c r="C2633" t="n">
        <x:v>131</x:v>
      </x:c>
      <x:c r="D2633" t="n">
        <x:f>IF('04_checks'!I377="ERROR",1,0)</x:f>
        <x:v>0</x:v>
      </x:c>
      <x:c r="E2633" t="str">
        <x:v>Payment:131:7</x:v>
      </x:c>
      <x:c r="F2633" t="str">
        <x:v>Статус</x:v>
      </x:c>
      <x:c r="G2633" t="str">
        <x:v>Medium</x:v>
      </x:c>
      <x:c r="H2633" t="str">
        <x:v>payment_status</x:v>
      </x:c>
      <x:c r="I2633" t="str">
        <x:v>Выбрать допустимый статус</x:v>
      </x:c>
      <x:c r="J2633" t="n">
        <x:f>IF(D2633=1,K2633,0)</x:f>
        <x:v>0</x:v>
      </x:c>
      <x:c r="K2633" t="n">
        <x:f>D2633+K2632</x:f>
        <x:v>26</x:v>
      </x:c>
    </x:row>
    <x:row r="2634">
      <x:c r="A2634" t="str">
        <x:v>Payment</x:v>
      </x:c>
      <x:c r="B2634" t="str">
        <x:f>'04_checks'!B378</x:f>
      </x:c>
      <x:c r="C2634" t="n">
        <x:v>132</x:v>
      </x:c>
      <x:c r="D2634" t="n">
        <x:f>IF('04_checks'!C378="ERROR",1,0)</x:f>
        <x:v>0</x:v>
      </x:c>
      <x:c r="E2634" t="str">
        <x:v>Payment:132:1</x:v>
      </x:c>
      <x:c r="F2634" t="str">
        <x:v>Дубль</x:v>
      </x:c>
      <x:c r="G2634" t="str">
        <x:v>High</x:v>
      </x:c>
      <x:c r="H2634" t="str">
        <x:v>payment_id</x:v>
      </x:c>
      <x:c r="I2634" t="str">
        <x:v>Проверить уникальность ID в источнике; не удалять записи автоматически</x:v>
      </x:c>
      <x:c r="J2634" t="n">
        <x:f>IF(D2634=1,K2634,0)</x:f>
        <x:v>0</x:v>
      </x:c>
      <x:c r="K2634" t="n">
        <x:f>D2634+K2633</x:f>
        <x:v>26</x:v>
      </x:c>
    </x:row>
    <x:row r="2635">
      <x:c r="A2635" t="str">
        <x:v>Payment</x:v>
      </x:c>
      <x:c r="B2635" t="str">
        <x:f>'04_checks'!B378</x:f>
      </x:c>
      <x:c r="C2635" t="n">
        <x:v>132</x:v>
      </x:c>
      <x:c r="D2635" t="n">
        <x:f>IF('04_checks'!D378="ERROR",1,0)</x:f>
        <x:v>0</x:v>
      </x:c>
      <x:c r="E2635" t="str">
        <x:v>Payment:132:2</x:v>
      </x:c>
      <x:c r="F2635" t="str">
        <x:v>Пустое поле</x:v>
      </x:c>
      <x:c r="G2635" t="str">
        <x:v>High</x:v>
      </x:c>
      <x:c r="H2635" t="str">
        <x:v>required_fields</x:v>
      </x:c>
      <x:c r="I2635" t="str">
        <x:v>Дополнить обязательные поля в источнике</x:v>
      </x:c>
      <x:c r="J2635" t="n">
        <x:f>IF(D2635=1,K2635,0)</x:f>
        <x:v>0</x:v>
      </x:c>
      <x:c r="K2635" t="n">
        <x:f>D2635+K2634</x:f>
        <x:v>26</x:v>
      </x:c>
    </x:row>
    <x:row r="2636">
      <x:c r="A2636" t="str">
        <x:v>Payment</x:v>
      </x:c>
      <x:c r="B2636" t="str">
        <x:f>'04_checks'!B378</x:f>
      </x:c>
      <x:c r="C2636" t="n">
        <x:v>132</x:v>
      </x:c>
      <x:c r="D2636" t="n">
        <x:f>IF('04_checks'!E378="ERROR",1,0)</x:f>
        <x:v>0</x:v>
      </x:c>
      <x:c r="E2636" t="str">
        <x:v>Payment:132:3</x:v>
      </x:c>
      <x:c r="F2636" t="str">
        <x:f>IF(COUNTIF('01_orders_raw'!$A$2:$A$181,'03_payments_raw'!B132)&gt;1,"Неоднозначная связь","Нет связи")</x:f>
        <x:v>Нет связи</x:v>
      </x:c>
      <x:c r="G2636" t="str">
        <x:v>High</x:v>
      </x:c>
      <x:c r="H2636" t="str">
        <x:v>order_id</x:v>
      </x:c>
      <x:c r="I2636" t="str">
        <x:v>Исправить ссылку или разрешить дубли связанного ID</x:v>
      </x:c>
      <x:c r="J2636" t="n">
        <x:f>IF(D2636=1,K2636,0)</x:f>
        <x:v>0</x:v>
      </x:c>
      <x:c r="K2636" t="n">
        <x:f>D2636+K2635</x:f>
        <x:v>26</x:v>
      </x:c>
    </x:row>
    <x:row r="2637">
      <x:c r="A2637" t="str">
        <x:v>Payment</x:v>
      </x:c>
      <x:c r="B2637" t="str">
        <x:f>'04_checks'!B378</x:f>
      </x:c>
      <x:c r="C2637" t="n">
        <x:v>132</x:v>
      </x:c>
      <x:c r="D2637" t="n">
        <x:f>IF('04_checks'!F378="ERROR",1,0)</x:f>
        <x:v>0</x:v>
      </x:c>
      <x:c r="E2637" t="str">
        <x:v>Payment:132:4</x:v>
      </x:c>
      <x:c r="F2637" t="str">
        <x:v>Ошибка расчета</x:v>
      </x:c>
      <x:c r="G2637" t="str">
        <x:v>High</x:v>
      </x:c>
      <x:c r="H2637" t="str">
        <x:v>payment_sum</x:v>
      </x:c>
      <x:c r="I2637" t="str">
        <x:v>Сверить исходные значения и правило расчёта</x:v>
      </x:c>
      <x:c r="J2637" t="n">
        <x:f>IF(D2637=1,K2637,0)</x:f>
        <x:v>0</x:v>
      </x:c>
      <x:c r="K2637" t="n">
        <x:f>D2637+K2636</x:f>
        <x:v>26</x:v>
      </x:c>
    </x:row>
    <x:row r="2638">
      <x:c r="A2638" t="str">
        <x:v>Payment</x:v>
      </x:c>
      <x:c r="B2638" t="str">
        <x:f>'04_checks'!B378</x:f>
      </x:c>
      <x:c r="C2638" t="n">
        <x:v>132</x:v>
      </x:c>
      <x:c r="D2638" t="n">
        <x:f>IF('04_checks'!G378="ERROR",1,0)</x:f>
        <x:v>0</x:v>
      </x:c>
      <x:c r="E2638" t="str">
        <x:v>Payment:132:5</x:v>
      </x:c>
      <x:c r="F2638" t="str">
        <x:v>Отрицательная цена</x:v>
      </x:c>
      <x:c r="G2638" t="str">
        <x:v>High</x:v>
      </x:c>
      <x:c r="H2638" t="str">
        <x:v>N/A</x:v>
      </x:c>
      <x:c r="I2638" t="str">
        <x:v>Проверить цену в источнике</x:v>
      </x:c>
      <x:c r="J2638" t="n">
        <x:f>IF(D2638=1,K2638,0)</x:f>
        <x:v>0</x:v>
      </x:c>
      <x:c r="K2638" t="n">
        <x:f>D2638+K2637</x:f>
        <x:v>26</x:v>
      </x:c>
    </x:row>
    <x:row r="2639">
      <x:c r="A2639" t="str">
        <x:v>Payment</x:v>
      </x:c>
      <x:c r="B2639" t="str">
        <x:f>'04_checks'!B378</x:f>
      </x:c>
      <x:c r="C2639" t="n">
        <x:v>132</x:v>
      </x:c>
      <x:c r="D2639" t="n">
        <x:f>IF('04_checks'!H378="ERROR",1,0)</x:f>
        <x:v>0</x:v>
      </x:c>
      <x:c r="E2639" t="str">
        <x:v>Payment:132:6</x:v>
      </x:c>
      <x:c r="F2639" t="str">
        <x:v>Дата</x:v>
      </x:c>
      <x:c r="G2639" t="str">
        <x:v>Medium</x:v>
      </x:c>
      <x:c r="H2639" t="str">
        <x:v>payment_date</x:v>
      </x:c>
      <x:c r="I2639" t="str">
        <x:v>Сверить дату со срезом и исходной записью</x:v>
      </x:c>
      <x:c r="J2639" t="n">
        <x:f>IF(D2639=1,K2639,0)</x:f>
        <x:v>0</x:v>
      </x:c>
      <x:c r="K2639" t="n">
        <x:f>D2639+K2638</x:f>
        <x:v>26</x:v>
      </x:c>
    </x:row>
    <x:row r="2640">
      <x:c r="A2640" t="str">
        <x:v>Payment</x:v>
      </x:c>
      <x:c r="B2640" t="str">
        <x:f>'04_checks'!B378</x:f>
      </x:c>
      <x:c r="C2640" t="n">
        <x:v>132</x:v>
      </x:c>
      <x:c r="D2640" t="n">
        <x:f>IF('04_checks'!I378="ERROR",1,0)</x:f>
        <x:v>0</x:v>
      </x:c>
      <x:c r="E2640" t="str">
        <x:v>Payment:132:7</x:v>
      </x:c>
      <x:c r="F2640" t="str">
        <x:v>Статус</x:v>
      </x:c>
      <x:c r="G2640" t="str">
        <x:v>Medium</x:v>
      </x:c>
      <x:c r="H2640" t="str">
        <x:v>payment_status</x:v>
      </x:c>
      <x:c r="I2640" t="str">
        <x:v>Выбрать допустимый статус</x:v>
      </x:c>
      <x:c r="J2640" t="n">
        <x:f>IF(D2640=1,K2640,0)</x:f>
        <x:v>0</x:v>
      </x:c>
      <x:c r="K2640" t="n">
        <x:f>D2640+K2639</x:f>
        <x:v>26</x:v>
      </x:c>
    </x:row>
    <x:row r="2641">
      <x:c r="A2641" t="str">
        <x:v>Payment</x:v>
      </x:c>
      <x:c r="B2641" t="str">
        <x:f>'04_checks'!B379</x:f>
      </x:c>
      <x:c r="C2641" t="n">
        <x:v>133</x:v>
      </x:c>
      <x:c r="D2641" t="n">
        <x:f>IF('04_checks'!C379="ERROR",1,0)</x:f>
        <x:v>0</x:v>
      </x:c>
      <x:c r="E2641" t="str">
        <x:v>Payment:133:1</x:v>
      </x:c>
      <x:c r="F2641" t="str">
        <x:v>Дубль</x:v>
      </x:c>
      <x:c r="G2641" t="str">
        <x:v>High</x:v>
      </x:c>
      <x:c r="H2641" t="str">
        <x:v>payment_id</x:v>
      </x:c>
      <x:c r="I2641" t="str">
        <x:v>Проверить уникальность ID в источнике; не удалять записи автоматически</x:v>
      </x:c>
      <x:c r="J2641" t="n">
        <x:f>IF(D2641=1,K2641,0)</x:f>
        <x:v>0</x:v>
      </x:c>
      <x:c r="K2641" t="n">
        <x:f>D2641+K2640</x:f>
        <x:v>26</x:v>
      </x:c>
    </x:row>
    <x:row r="2642">
      <x:c r="A2642" t="str">
        <x:v>Payment</x:v>
      </x:c>
      <x:c r="B2642" t="str">
        <x:f>'04_checks'!B379</x:f>
      </x:c>
      <x:c r="C2642" t="n">
        <x:v>133</x:v>
      </x:c>
      <x:c r="D2642" t="n">
        <x:f>IF('04_checks'!D379="ERROR",1,0)</x:f>
        <x:v>0</x:v>
      </x:c>
      <x:c r="E2642" t="str">
        <x:v>Payment:133:2</x:v>
      </x:c>
      <x:c r="F2642" t="str">
        <x:v>Пустое поле</x:v>
      </x:c>
      <x:c r="G2642" t="str">
        <x:v>High</x:v>
      </x:c>
      <x:c r="H2642" t="str">
        <x:v>required_fields</x:v>
      </x:c>
      <x:c r="I2642" t="str">
        <x:v>Дополнить обязательные поля в источнике</x:v>
      </x:c>
      <x:c r="J2642" t="n">
        <x:f>IF(D2642=1,K2642,0)</x:f>
        <x:v>0</x:v>
      </x:c>
      <x:c r="K2642" t="n">
        <x:f>D2642+K2641</x:f>
        <x:v>26</x:v>
      </x:c>
    </x:row>
    <x:row r="2643">
      <x:c r="A2643" t="str">
        <x:v>Payment</x:v>
      </x:c>
      <x:c r="B2643" t="str">
        <x:f>'04_checks'!B379</x:f>
      </x:c>
      <x:c r="C2643" t="n">
        <x:v>133</x:v>
      </x:c>
      <x:c r="D2643" t="n">
        <x:f>IF('04_checks'!E379="ERROR",1,0)</x:f>
        <x:v>0</x:v>
      </x:c>
      <x:c r="E2643" t="str">
        <x:v>Payment:133:3</x:v>
      </x:c>
      <x:c r="F2643" t="str">
        <x:f>IF(COUNTIF('01_orders_raw'!$A$2:$A$181,'03_payments_raw'!B133)&gt;1,"Неоднозначная связь","Нет связи")</x:f>
        <x:v>Нет связи</x:v>
      </x:c>
      <x:c r="G2643" t="str">
        <x:v>High</x:v>
      </x:c>
      <x:c r="H2643" t="str">
        <x:v>order_id</x:v>
      </x:c>
      <x:c r="I2643" t="str">
        <x:v>Исправить ссылку или разрешить дубли связанного ID</x:v>
      </x:c>
      <x:c r="J2643" t="n">
        <x:f>IF(D2643=1,K2643,0)</x:f>
        <x:v>0</x:v>
      </x:c>
      <x:c r="K2643" t="n">
        <x:f>D2643+K2642</x:f>
        <x:v>26</x:v>
      </x:c>
    </x:row>
    <x:row r="2644">
      <x:c r="A2644" t="str">
        <x:v>Payment</x:v>
      </x:c>
      <x:c r="B2644" t="str">
        <x:f>'04_checks'!B379</x:f>
      </x:c>
      <x:c r="C2644" t="n">
        <x:v>133</x:v>
      </x:c>
      <x:c r="D2644" t="n">
        <x:f>IF('04_checks'!F379="ERROR",1,0)</x:f>
        <x:v>0</x:v>
      </x:c>
      <x:c r="E2644" t="str">
        <x:v>Payment:133:4</x:v>
      </x:c>
      <x:c r="F2644" t="str">
        <x:v>Ошибка расчета</x:v>
      </x:c>
      <x:c r="G2644" t="str">
        <x:v>High</x:v>
      </x:c>
      <x:c r="H2644" t="str">
        <x:v>payment_sum</x:v>
      </x:c>
      <x:c r="I2644" t="str">
        <x:v>Сверить исходные значения и правило расчёта</x:v>
      </x:c>
      <x:c r="J2644" t="n">
        <x:f>IF(D2644=1,K2644,0)</x:f>
        <x:v>0</x:v>
      </x:c>
      <x:c r="K2644" t="n">
        <x:f>D2644+K2643</x:f>
        <x:v>26</x:v>
      </x:c>
    </x:row>
    <x:row r="2645">
      <x:c r="A2645" t="str">
        <x:v>Payment</x:v>
      </x:c>
      <x:c r="B2645" t="str">
        <x:f>'04_checks'!B379</x:f>
      </x:c>
      <x:c r="C2645" t="n">
        <x:v>133</x:v>
      </x:c>
      <x:c r="D2645" t="n">
        <x:f>IF('04_checks'!G379="ERROR",1,0)</x:f>
        <x:v>0</x:v>
      </x:c>
      <x:c r="E2645" t="str">
        <x:v>Payment:133:5</x:v>
      </x:c>
      <x:c r="F2645" t="str">
        <x:v>Отрицательная цена</x:v>
      </x:c>
      <x:c r="G2645" t="str">
        <x:v>High</x:v>
      </x:c>
      <x:c r="H2645" t="str">
        <x:v>N/A</x:v>
      </x:c>
      <x:c r="I2645" t="str">
        <x:v>Проверить цену в источнике</x:v>
      </x:c>
      <x:c r="J2645" t="n">
        <x:f>IF(D2645=1,K2645,0)</x:f>
        <x:v>0</x:v>
      </x:c>
      <x:c r="K2645" t="n">
        <x:f>D2645+K2644</x:f>
        <x:v>26</x:v>
      </x:c>
    </x:row>
    <x:row r="2646">
      <x:c r="A2646" t="str">
        <x:v>Payment</x:v>
      </x:c>
      <x:c r="B2646" t="str">
        <x:f>'04_checks'!B379</x:f>
      </x:c>
      <x:c r="C2646" t="n">
        <x:v>133</x:v>
      </x:c>
      <x:c r="D2646" t="n">
        <x:f>IF('04_checks'!H379="ERROR",1,0)</x:f>
        <x:v>0</x:v>
      </x:c>
      <x:c r="E2646" t="str">
        <x:v>Payment:133:6</x:v>
      </x:c>
      <x:c r="F2646" t="str">
        <x:v>Дата</x:v>
      </x:c>
      <x:c r="G2646" t="str">
        <x:v>Medium</x:v>
      </x:c>
      <x:c r="H2646" t="str">
        <x:v>payment_date</x:v>
      </x:c>
      <x:c r="I2646" t="str">
        <x:v>Сверить дату со срезом и исходной записью</x:v>
      </x:c>
      <x:c r="J2646" t="n">
        <x:f>IF(D2646=1,K2646,0)</x:f>
        <x:v>0</x:v>
      </x:c>
      <x:c r="K2646" t="n">
        <x:f>D2646+K2645</x:f>
        <x:v>26</x:v>
      </x:c>
    </x:row>
    <x:row r="2647">
      <x:c r="A2647" t="str">
        <x:v>Payment</x:v>
      </x:c>
      <x:c r="B2647" t="str">
        <x:f>'04_checks'!B379</x:f>
      </x:c>
      <x:c r="C2647" t="n">
        <x:v>133</x:v>
      </x:c>
      <x:c r="D2647" t="n">
        <x:f>IF('04_checks'!I379="ERROR",1,0)</x:f>
        <x:v>0</x:v>
      </x:c>
      <x:c r="E2647" t="str">
        <x:v>Payment:133:7</x:v>
      </x:c>
      <x:c r="F2647" t="str">
        <x:v>Статус</x:v>
      </x:c>
      <x:c r="G2647" t="str">
        <x:v>Medium</x:v>
      </x:c>
      <x:c r="H2647" t="str">
        <x:v>payment_status</x:v>
      </x:c>
      <x:c r="I2647" t="str">
        <x:v>Выбрать допустимый статус</x:v>
      </x:c>
      <x:c r="J2647" t="n">
        <x:f>IF(D2647=1,K2647,0)</x:f>
        <x:v>0</x:v>
      </x:c>
      <x:c r="K2647" t="n">
        <x:f>D2647+K2646</x:f>
        <x:v>26</x:v>
      </x:c>
    </x:row>
    <x:row r="2648">
      <x:c r="A2648" t="str">
        <x:v>Payment</x:v>
      </x:c>
      <x:c r="B2648" t="str">
        <x:f>'04_checks'!B380</x:f>
      </x:c>
      <x:c r="C2648" t="n">
        <x:v>134</x:v>
      </x:c>
      <x:c r="D2648" t="n">
        <x:f>IF('04_checks'!C380="ERROR",1,0)</x:f>
        <x:v>0</x:v>
      </x:c>
      <x:c r="E2648" t="str">
        <x:v>Payment:134:1</x:v>
      </x:c>
      <x:c r="F2648" t="str">
        <x:v>Дубль</x:v>
      </x:c>
      <x:c r="G2648" t="str">
        <x:v>High</x:v>
      </x:c>
      <x:c r="H2648" t="str">
        <x:v>payment_id</x:v>
      </x:c>
      <x:c r="I2648" t="str">
        <x:v>Проверить уникальность ID в источнике; не удалять записи автоматически</x:v>
      </x:c>
      <x:c r="J2648" t="n">
        <x:f>IF(D2648=1,K2648,0)</x:f>
        <x:v>0</x:v>
      </x:c>
      <x:c r="K2648" t="n">
        <x:f>D2648+K2647</x:f>
        <x:v>26</x:v>
      </x:c>
    </x:row>
    <x:row r="2649">
      <x:c r="A2649" t="str">
        <x:v>Payment</x:v>
      </x:c>
      <x:c r="B2649" t="str">
        <x:f>'04_checks'!B380</x:f>
      </x:c>
      <x:c r="C2649" t="n">
        <x:v>134</x:v>
      </x:c>
      <x:c r="D2649" t="n">
        <x:f>IF('04_checks'!D380="ERROR",1,0)</x:f>
        <x:v>0</x:v>
      </x:c>
      <x:c r="E2649" t="str">
        <x:v>Payment:134:2</x:v>
      </x:c>
      <x:c r="F2649" t="str">
        <x:v>Пустое поле</x:v>
      </x:c>
      <x:c r="G2649" t="str">
        <x:v>High</x:v>
      </x:c>
      <x:c r="H2649" t="str">
        <x:v>required_fields</x:v>
      </x:c>
      <x:c r="I2649" t="str">
        <x:v>Дополнить обязательные поля в источнике</x:v>
      </x:c>
      <x:c r="J2649" t="n">
        <x:f>IF(D2649=1,K2649,0)</x:f>
        <x:v>0</x:v>
      </x:c>
      <x:c r="K2649" t="n">
        <x:f>D2649+K2648</x:f>
        <x:v>26</x:v>
      </x:c>
    </x:row>
    <x:row r="2650">
      <x:c r="A2650" t="str">
        <x:v>Payment</x:v>
      </x:c>
      <x:c r="B2650" t="str">
        <x:f>'04_checks'!B380</x:f>
      </x:c>
      <x:c r="C2650" t="n">
        <x:v>134</x:v>
      </x:c>
      <x:c r="D2650" t="n">
        <x:f>IF('04_checks'!E380="ERROR",1,0)</x:f>
        <x:v>0</x:v>
      </x:c>
      <x:c r="E2650" t="str">
        <x:v>Payment:134:3</x:v>
      </x:c>
      <x:c r="F2650" t="str">
        <x:f>IF(COUNTIF('01_orders_raw'!$A$2:$A$181,'03_payments_raw'!B134)&gt;1,"Неоднозначная связь","Нет связи")</x:f>
        <x:v>Нет связи</x:v>
      </x:c>
      <x:c r="G2650" t="str">
        <x:v>High</x:v>
      </x:c>
      <x:c r="H2650" t="str">
        <x:v>order_id</x:v>
      </x:c>
      <x:c r="I2650" t="str">
        <x:v>Исправить ссылку или разрешить дубли связанного ID</x:v>
      </x:c>
      <x:c r="J2650" t="n">
        <x:f>IF(D2650=1,K2650,0)</x:f>
        <x:v>0</x:v>
      </x:c>
      <x:c r="K2650" t="n">
        <x:f>D2650+K2649</x:f>
        <x:v>26</x:v>
      </x:c>
    </x:row>
    <x:row r="2651">
      <x:c r="A2651" t="str">
        <x:v>Payment</x:v>
      </x:c>
      <x:c r="B2651" t="str">
        <x:f>'04_checks'!B380</x:f>
      </x:c>
      <x:c r="C2651" t="n">
        <x:v>134</x:v>
      </x:c>
      <x:c r="D2651" t="n">
        <x:f>IF('04_checks'!F380="ERROR",1,0)</x:f>
        <x:v>0</x:v>
      </x:c>
      <x:c r="E2651" t="str">
        <x:v>Payment:134:4</x:v>
      </x:c>
      <x:c r="F2651" t="str">
        <x:v>Ошибка расчета</x:v>
      </x:c>
      <x:c r="G2651" t="str">
        <x:v>High</x:v>
      </x:c>
      <x:c r="H2651" t="str">
        <x:v>payment_sum</x:v>
      </x:c>
      <x:c r="I2651" t="str">
        <x:v>Сверить исходные значения и правило расчёта</x:v>
      </x:c>
      <x:c r="J2651" t="n">
        <x:f>IF(D2651=1,K2651,0)</x:f>
        <x:v>0</x:v>
      </x:c>
      <x:c r="K2651" t="n">
        <x:f>D2651+K2650</x:f>
        <x:v>26</x:v>
      </x:c>
    </x:row>
    <x:row r="2652">
      <x:c r="A2652" t="str">
        <x:v>Payment</x:v>
      </x:c>
      <x:c r="B2652" t="str">
        <x:f>'04_checks'!B380</x:f>
      </x:c>
      <x:c r="C2652" t="n">
        <x:v>134</x:v>
      </x:c>
      <x:c r="D2652" t="n">
        <x:f>IF('04_checks'!G380="ERROR",1,0)</x:f>
        <x:v>0</x:v>
      </x:c>
      <x:c r="E2652" t="str">
        <x:v>Payment:134:5</x:v>
      </x:c>
      <x:c r="F2652" t="str">
        <x:v>Отрицательная цена</x:v>
      </x:c>
      <x:c r="G2652" t="str">
        <x:v>High</x:v>
      </x:c>
      <x:c r="H2652" t="str">
        <x:v>N/A</x:v>
      </x:c>
      <x:c r="I2652" t="str">
        <x:v>Проверить цену в источнике</x:v>
      </x:c>
      <x:c r="J2652" t="n">
        <x:f>IF(D2652=1,K2652,0)</x:f>
        <x:v>0</x:v>
      </x:c>
      <x:c r="K2652" t="n">
        <x:f>D2652+K2651</x:f>
        <x:v>26</x:v>
      </x:c>
    </x:row>
    <x:row r="2653">
      <x:c r="A2653" t="str">
        <x:v>Payment</x:v>
      </x:c>
      <x:c r="B2653" t="str">
        <x:f>'04_checks'!B380</x:f>
      </x:c>
      <x:c r="C2653" t="n">
        <x:v>134</x:v>
      </x:c>
      <x:c r="D2653" t="n">
        <x:f>IF('04_checks'!H380="ERROR",1,0)</x:f>
        <x:v>0</x:v>
      </x:c>
      <x:c r="E2653" t="str">
        <x:v>Payment:134:6</x:v>
      </x:c>
      <x:c r="F2653" t="str">
        <x:v>Дата</x:v>
      </x:c>
      <x:c r="G2653" t="str">
        <x:v>Medium</x:v>
      </x:c>
      <x:c r="H2653" t="str">
        <x:v>payment_date</x:v>
      </x:c>
      <x:c r="I2653" t="str">
        <x:v>Сверить дату со срезом и исходной записью</x:v>
      </x:c>
      <x:c r="J2653" t="n">
        <x:f>IF(D2653=1,K2653,0)</x:f>
        <x:v>0</x:v>
      </x:c>
      <x:c r="K2653" t="n">
        <x:f>D2653+K2652</x:f>
        <x:v>26</x:v>
      </x:c>
    </x:row>
    <x:row r="2654">
      <x:c r="A2654" t="str">
        <x:v>Payment</x:v>
      </x:c>
      <x:c r="B2654" t="str">
        <x:f>'04_checks'!B380</x:f>
      </x:c>
      <x:c r="C2654" t="n">
        <x:v>134</x:v>
      </x:c>
      <x:c r="D2654" t="n">
        <x:f>IF('04_checks'!I380="ERROR",1,0)</x:f>
        <x:v>0</x:v>
      </x:c>
      <x:c r="E2654" t="str">
        <x:v>Payment:134:7</x:v>
      </x:c>
      <x:c r="F2654" t="str">
        <x:v>Статус</x:v>
      </x:c>
      <x:c r="G2654" t="str">
        <x:v>Medium</x:v>
      </x:c>
      <x:c r="H2654" t="str">
        <x:v>payment_status</x:v>
      </x:c>
      <x:c r="I2654" t="str">
        <x:v>Выбрать допустимый статус</x:v>
      </x:c>
      <x:c r="J2654" t="n">
        <x:f>IF(D2654=1,K2654,0)</x:f>
        <x:v>0</x:v>
      </x:c>
      <x:c r="K2654" t="n">
        <x:f>D2654+K2653</x:f>
        <x:v>26</x:v>
      </x:c>
    </x:row>
    <x:row r="2655">
      <x:c r="A2655" t="str">
        <x:v>Payment</x:v>
      </x:c>
      <x:c r="B2655" t="str">
        <x:f>'04_checks'!B381</x:f>
      </x:c>
      <x:c r="C2655" t="n">
        <x:v>135</x:v>
      </x:c>
      <x:c r="D2655" t="n">
        <x:f>IF('04_checks'!C381="ERROR",1,0)</x:f>
        <x:v>0</x:v>
      </x:c>
      <x:c r="E2655" t="str">
        <x:v>Payment:135:1</x:v>
      </x:c>
      <x:c r="F2655" t="str">
        <x:v>Дубль</x:v>
      </x:c>
      <x:c r="G2655" t="str">
        <x:v>High</x:v>
      </x:c>
      <x:c r="H2655" t="str">
        <x:v>payment_id</x:v>
      </x:c>
      <x:c r="I2655" t="str">
        <x:v>Проверить уникальность ID в источнике; не удалять записи автоматически</x:v>
      </x:c>
      <x:c r="J2655" t="n">
        <x:f>IF(D2655=1,K2655,0)</x:f>
        <x:v>0</x:v>
      </x:c>
      <x:c r="K2655" t="n">
        <x:f>D2655+K2654</x:f>
        <x:v>26</x:v>
      </x:c>
    </x:row>
    <x:row r="2656">
      <x:c r="A2656" t="str">
        <x:v>Payment</x:v>
      </x:c>
      <x:c r="B2656" t="str">
        <x:f>'04_checks'!B381</x:f>
      </x:c>
      <x:c r="C2656" t="n">
        <x:v>135</x:v>
      </x:c>
      <x:c r="D2656" t="n">
        <x:f>IF('04_checks'!D381="ERROR",1,0)</x:f>
        <x:v>0</x:v>
      </x:c>
      <x:c r="E2656" t="str">
        <x:v>Payment:135:2</x:v>
      </x:c>
      <x:c r="F2656" t="str">
        <x:v>Пустое поле</x:v>
      </x:c>
      <x:c r="G2656" t="str">
        <x:v>High</x:v>
      </x:c>
      <x:c r="H2656" t="str">
        <x:v>required_fields</x:v>
      </x:c>
      <x:c r="I2656" t="str">
        <x:v>Дополнить обязательные поля в источнике</x:v>
      </x:c>
      <x:c r="J2656" t="n">
        <x:f>IF(D2656=1,K2656,0)</x:f>
        <x:v>0</x:v>
      </x:c>
      <x:c r="K2656" t="n">
        <x:f>D2656+K2655</x:f>
        <x:v>26</x:v>
      </x:c>
    </x:row>
    <x:row r="2657">
      <x:c r="A2657" t="str">
        <x:v>Payment</x:v>
      </x:c>
      <x:c r="B2657" t="str">
        <x:f>'04_checks'!B381</x:f>
      </x:c>
      <x:c r="C2657" t="n">
        <x:v>135</x:v>
      </x:c>
      <x:c r="D2657" t="n">
        <x:f>IF('04_checks'!E381="ERROR",1,0)</x:f>
        <x:v>0</x:v>
      </x:c>
      <x:c r="E2657" t="str">
        <x:v>Payment:135:3</x:v>
      </x:c>
      <x:c r="F2657" t="str">
        <x:f>IF(COUNTIF('01_orders_raw'!$A$2:$A$181,'03_payments_raw'!B135)&gt;1,"Неоднозначная связь","Нет связи")</x:f>
        <x:v>Нет связи</x:v>
      </x:c>
      <x:c r="G2657" t="str">
        <x:v>High</x:v>
      </x:c>
      <x:c r="H2657" t="str">
        <x:v>order_id</x:v>
      </x:c>
      <x:c r="I2657" t="str">
        <x:v>Исправить ссылку или разрешить дубли связанного ID</x:v>
      </x:c>
      <x:c r="J2657" t="n">
        <x:f>IF(D2657=1,K2657,0)</x:f>
        <x:v>0</x:v>
      </x:c>
      <x:c r="K2657" t="n">
        <x:f>D2657+K2656</x:f>
        <x:v>26</x:v>
      </x:c>
    </x:row>
    <x:row r="2658">
      <x:c r="A2658" t="str">
        <x:v>Payment</x:v>
      </x:c>
      <x:c r="B2658" t="str">
        <x:f>'04_checks'!B381</x:f>
      </x:c>
      <x:c r="C2658" t="n">
        <x:v>135</x:v>
      </x:c>
      <x:c r="D2658" t="n">
        <x:f>IF('04_checks'!F381="ERROR",1,0)</x:f>
        <x:v>0</x:v>
      </x:c>
      <x:c r="E2658" t="str">
        <x:v>Payment:135:4</x:v>
      </x:c>
      <x:c r="F2658" t="str">
        <x:v>Ошибка расчета</x:v>
      </x:c>
      <x:c r="G2658" t="str">
        <x:v>High</x:v>
      </x:c>
      <x:c r="H2658" t="str">
        <x:v>payment_sum</x:v>
      </x:c>
      <x:c r="I2658" t="str">
        <x:v>Сверить исходные значения и правило расчёта</x:v>
      </x:c>
      <x:c r="J2658" t="n">
        <x:f>IF(D2658=1,K2658,0)</x:f>
        <x:v>0</x:v>
      </x:c>
      <x:c r="K2658" t="n">
        <x:f>D2658+K2657</x:f>
        <x:v>26</x:v>
      </x:c>
    </x:row>
    <x:row r="2659">
      <x:c r="A2659" t="str">
        <x:v>Payment</x:v>
      </x:c>
      <x:c r="B2659" t="str">
        <x:f>'04_checks'!B381</x:f>
      </x:c>
      <x:c r="C2659" t="n">
        <x:v>135</x:v>
      </x:c>
      <x:c r="D2659" t="n">
        <x:f>IF('04_checks'!G381="ERROR",1,0)</x:f>
        <x:v>0</x:v>
      </x:c>
      <x:c r="E2659" t="str">
        <x:v>Payment:135:5</x:v>
      </x:c>
      <x:c r="F2659" t="str">
        <x:v>Отрицательная цена</x:v>
      </x:c>
      <x:c r="G2659" t="str">
        <x:v>High</x:v>
      </x:c>
      <x:c r="H2659" t="str">
        <x:v>N/A</x:v>
      </x:c>
      <x:c r="I2659" t="str">
        <x:v>Проверить цену в источнике</x:v>
      </x:c>
      <x:c r="J2659" t="n">
        <x:f>IF(D2659=1,K2659,0)</x:f>
        <x:v>0</x:v>
      </x:c>
      <x:c r="K2659" t="n">
        <x:f>D2659+K2658</x:f>
        <x:v>26</x:v>
      </x:c>
    </x:row>
    <x:row r="2660">
      <x:c r="A2660" t="str">
        <x:v>Payment</x:v>
      </x:c>
      <x:c r="B2660" t="str">
        <x:f>'04_checks'!B381</x:f>
      </x:c>
      <x:c r="C2660" t="n">
        <x:v>135</x:v>
      </x:c>
      <x:c r="D2660" t="n">
        <x:f>IF('04_checks'!H381="ERROR",1,0)</x:f>
        <x:v>0</x:v>
      </x:c>
      <x:c r="E2660" t="str">
        <x:v>Payment:135:6</x:v>
      </x:c>
      <x:c r="F2660" t="str">
        <x:v>Дата</x:v>
      </x:c>
      <x:c r="G2660" t="str">
        <x:v>Medium</x:v>
      </x:c>
      <x:c r="H2660" t="str">
        <x:v>payment_date</x:v>
      </x:c>
      <x:c r="I2660" t="str">
        <x:v>Сверить дату со срезом и исходной записью</x:v>
      </x:c>
      <x:c r="J2660" t="n">
        <x:f>IF(D2660=1,K2660,0)</x:f>
        <x:v>0</x:v>
      </x:c>
      <x:c r="K2660" t="n">
        <x:f>D2660+K2659</x:f>
        <x:v>26</x:v>
      </x:c>
    </x:row>
    <x:row r="2661">
      <x:c r="A2661" t="str">
        <x:v>Payment</x:v>
      </x:c>
      <x:c r="B2661" t="str">
        <x:f>'04_checks'!B381</x:f>
      </x:c>
      <x:c r="C2661" t="n">
        <x:v>135</x:v>
      </x:c>
      <x:c r="D2661" t="n">
        <x:f>IF('04_checks'!I381="ERROR",1,0)</x:f>
        <x:v>0</x:v>
      </x:c>
      <x:c r="E2661" t="str">
        <x:v>Payment:135:7</x:v>
      </x:c>
      <x:c r="F2661" t="str">
        <x:v>Статус</x:v>
      </x:c>
      <x:c r="G2661" t="str">
        <x:v>Medium</x:v>
      </x:c>
      <x:c r="H2661" t="str">
        <x:v>payment_status</x:v>
      </x:c>
      <x:c r="I2661" t="str">
        <x:v>Выбрать допустимый статус</x:v>
      </x:c>
      <x:c r="J2661" t="n">
        <x:f>IF(D2661=1,K2661,0)</x:f>
        <x:v>0</x:v>
      </x:c>
      <x:c r="K2661" t="n">
        <x:f>D2661+K2660</x:f>
        <x:v>26</x:v>
      </x:c>
    </x:row>
    <x:row r="2662">
      <x:c r="A2662" t="str">
        <x:v>Payment</x:v>
      </x:c>
      <x:c r="B2662" t="str">
        <x:f>'04_checks'!B382</x:f>
      </x:c>
      <x:c r="C2662" t="n">
        <x:v>136</x:v>
      </x:c>
      <x:c r="D2662" t="n">
        <x:f>IF('04_checks'!C382="ERROR",1,0)</x:f>
        <x:v>0</x:v>
      </x:c>
      <x:c r="E2662" t="str">
        <x:v>Payment:136:1</x:v>
      </x:c>
      <x:c r="F2662" t="str">
        <x:v>Дубль</x:v>
      </x:c>
      <x:c r="G2662" t="str">
        <x:v>High</x:v>
      </x:c>
      <x:c r="H2662" t="str">
        <x:v>payment_id</x:v>
      </x:c>
      <x:c r="I2662" t="str">
        <x:v>Проверить уникальность ID в источнике; не удалять записи автоматически</x:v>
      </x:c>
      <x:c r="J2662" t="n">
        <x:f>IF(D2662=1,K2662,0)</x:f>
        <x:v>0</x:v>
      </x:c>
      <x:c r="K2662" t="n">
        <x:f>D2662+K2661</x:f>
        <x:v>26</x:v>
      </x:c>
    </x:row>
    <x:row r="2663">
      <x:c r="A2663" t="str">
        <x:v>Payment</x:v>
      </x:c>
      <x:c r="B2663" t="str">
        <x:f>'04_checks'!B382</x:f>
      </x:c>
      <x:c r="C2663" t="n">
        <x:v>136</x:v>
      </x:c>
      <x:c r="D2663" t="n">
        <x:f>IF('04_checks'!D382="ERROR",1,0)</x:f>
        <x:v>0</x:v>
      </x:c>
      <x:c r="E2663" t="str">
        <x:v>Payment:136:2</x:v>
      </x:c>
      <x:c r="F2663" t="str">
        <x:v>Пустое поле</x:v>
      </x:c>
      <x:c r="G2663" t="str">
        <x:v>High</x:v>
      </x:c>
      <x:c r="H2663" t="str">
        <x:v>required_fields</x:v>
      </x:c>
      <x:c r="I2663" t="str">
        <x:v>Дополнить обязательные поля в источнике</x:v>
      </x:c>
      <x:c r="J2663" t="n">
        <x:f>IF(D2663=1,K2663,0)</x:f>
        <x:v>0</x:v>
      </x:c>
      <x:c r="K2663" t="n">
        <x:f>D2663+K2662</x:f>
        <x:v>26</x:v>
      </x:c>
    </x:row>
    <x:row r="2664">
      <x:c r="A2664" t="str">
        <x:v>Payment</x:v>
      </x:c>
      <x:c r="B2664" t="str">
        <x:f>'04_checks'!B382</x:f>
      </x:c>
      <x:c r="C2664" t="n">
        <x:v>136</x:v>
      </x:c>
      <x:c r="D2664" t="n">
        <x:f>IF('04_checks'!E382="ERROR",1,0)</x:f>
        <x:v>0</x:v>
      </x:c>
      <x:c r="E2664" t="str">
        <x:v>Payment:136:3</x:v>
      </x:c>
      <x:c r="F2664" t="str">
        <x:f>IF(COUNTIF('01_orders_raw'!$A$2:$A$181,'03_payments_raw'!B136)&gt;1,"Неоднозначная связь","Нет связи")</x:f>
        <x:v>Нет связи</x:v>
      </x:c>
      <x:c r="G2664" t="str">
        <x:v>High</x:v>
      </x:c>
      <x:c r="H2664" t="str">
        <x:v>order_id</x:v>
      </x:c>
      <x:c r="I2664" t="str">
        <x:v>Исправить ссылку или разрешить дубли связанного ID</x:v>
      </x:c>
      <x:c r="J2664" t="n">
        <x:f>IF(D2664=1,K2664,0)</x:f>
        <x:v>0</x:v>
      </x:c>
      <x:c r="K2664" t="n">
        <x:f>D2664+K2663</x:f>
        <x:v>26</x:v>
      </x:c>
    </x:row>
    <x:row r="2665">
      <x:c r="A2665" t="str">
        <x:v>Payment</x:v>
      </x:c>
      <x:c r="B2665" t="str">
        <x:f>'04_checks'!B382</x:f>
      </x:c>
      <x:c r="C2665" t="n">
        <x:v>136</x:v>
      </x:c>
      <x:c r="D2665" t="n">
        <x:f>IF('04_checks'!F382="ERROR",1,0)</x:f>
        <x:v>0</x:v>
      </x:c>
      <x:c r="E2665" t="str">
        <x:v>Payment:136:4</x:v>
      </x:c>
      <x:c r="F2665" t="str">
        <x:v>Ошибка расчета</x:v>
      </x:c>
      <x:c r="G2665" t="str">
        <x:v>High</x:v>
      </x:c>
      <x:c r="H2665" t="str">
        <x:v>payment_sum</x:v>
      </x:c>
      <x:c r="I2665" t="str">
        <x:v>Сверить исходные значения и правило расчёта</x:v>
      </x:c>
      <x:c r="J2665" t="n">
        <x:f>IF(D2665=1,K2665,0)</x:f>
        <x:v>0</x:v>
      </x:c>
      <x:c r="K2665" t="n">
        <x:f>D2665+K2664</x:f>
        <x:v>26</x:v>
      </x:c>
    </x:row>
    <x:row r="2666">
      <x:c r="A2666" t="str">
        <x:v>Payment</x:v>
      </x:c>
      <x:c r="B2666" t="str">
        <x:f>'04_checks'!B382</x:f>
      </x:c>
      <x:c r="C2666" t="n">
        <x:v>136</x:v>
      </x:c>
      <x:c r="D2666" t="n">
        <x:f>IF('04_checks'!G382="ERROR",1,0)</x:f>
        <x:v>0</x:v>
      </x:c>
      <x:c r="E2666" t="str">
        <x:v>Payment:136:5</x:v>
      </x:c>
      <x:c r="F2666" t="str">
        <x:v>Отрицательная цена</x:v>
      </x:c>
      <x:c r="G2666" t="str">
        <x:v>High</x:v>
      </x:c>
      <x:c r="H2666" t="str">
        <x:v>N/A</x:v>
      </x:c>
      <x:c r="I2666" t="str">
        <x:v>Проверить цену в источнике</x:v>
      </x:c>
      <x:c r="J2666" t="n">
        <x:f>IF(D2666=1,K2666,0)</x:f>
        <x:v>0</x:v>
      </x:c>
      <x:c r="K2666" t="n">
        <x:f>D2666+K2665</x:f>
        <x:v>26</x:v>
      </x:c>
    </x:row>
    <x:row r="2667">
      <x:c r="A2667" t="str">
        <x:v>Payment</x:v>
      </x:c>
      <x:c r="B2667" t="str">
        <x:f>'04_checks'!B382</x:f>
      </x:c>
      <x:c r="C2667" t="n">
        <x:v>136</x:v>
      </x:c>
      <x:c r="D2667" t="n">
        <x:f>IF('04_checks'!H382="ERROR",1,0)</x:f>
        <x:v>0</x:v>
      </x:c>
      <x:c r="E2667" t="str">
        <x:v>Payment:136:6</x:v>
      </x:c>
      <x:c r="F2667" t="str">
        <x:v>Дата</x:v>
      </x:c>
      <x:c r="G2667" t="str">
        <x:v>Medium</x:v>
      </x:c>
      <x:c r="H2667" t="str">
        <x:v>payment_date</x:v>
      </x:c>
      <x:c r="I2667" t="str">
        <x:v>Сверить дату со срезом и исходной записью</x:v>
      </x:c>
      <x:c r="J2667" t="n">
        <x:f>IF(D2667=1,K2667,0)</x:f>
        <x:v>0</x:v>
      </x:c>
      <x:c r="K2667" t="n">
        <x:f>D2667+K2666</x:f>
        <x:v>26</x:v>
      </x:c>
    </x:row>
    <x:row r="2668">
      <x:c r="A2668" t="str">
        <x:v>Payment</x:v>
      </x:c>
      <x:c r="B2668" t="str">
        <x:f>'04_checks'!B382</x:f>
      </x:c>
      <x:c r="C2668" t="n">
        <x:v>136</x:v>
      </x:c>
      <x:c r="D2668" t="n">
        <x:f>IF('04_checks'!I382="ERROR",1,0)</x:f>
        <x:v>0</x:v>
      </x:c>
      <x:c r="E2668" t="str">
        <x:v>Payment:136:7</x:v>
      </x:c>
      <x:c r="F2668" t="str">
        <x:v>Статус</x:v>
      </x:c>
      <x:c r="G2668" t="str">
        <x:v>Medium</x:v>
      </x:c>
      <x:c r="H2668" t="str">
        <x:v>payment_status</x:v>
      </x:c>
      <x:c r="I2668" t="str">
        <x:v>Выбрать допустимый статус</x:v>
      </x:c>
      <x:c r="J2668" t="n">
        <x:f>IF(D2668=1,K2668,0)</x:f>
        <x:v>0</x:v>
      </x:c>
      <x:c r="K2668" t="n">
        <x:f>D2668+K2667</x:f>
        <x:v>26</x:v>
      </x:c>
    </x:row>
    <x:row r="2669">
      <x:c r="A2669" t="str">
        <x:v>Payment</x:v>
      </x:c>
      <x:c r="B2669" t="str">
        <x:f>'04_checks'!B383</x:f>
      </x:c>
      <x:c r="C2669" t="n">
        <x:v>137</x:v>
      </x:c>
      <x:c r="D2669" t="n">
        <x:f>IF('04_checks'!C383="ERROR",1,0)</x:f>
        <x:v>0</x:v>
      </x:c>
      <x:c r="E2669" t="str">
        <x:v>Payment:137:1</x:v>
      </x:c>
      <x:c r="F2669" t="str">
        <x:v>Дубль</x:v>
      </x:c>
      <x:c r="G2669" t="str">
        <x:v>High</x:v>
      </x:c>
      <x:c r="H2669" t="str">
        <x:v>payment_id</x:v>
      </x:c>
      <x:c r="I2669" t="str">
        <x:v>Проверить уникальность ID в источнике; не удалять записи автоматически</x:v>
      </x:c>
      <x:c r="J2669" t="n">
        <x:f>IF(D2669=1,K2669,0)</x:f>
        <x:v>0</x:v>
      </x:c>
      <x:c r="K2669" t="n">
        <x:f>D2669+K2668</x:f>
        <x:v>26</x:v>
      </x:c>
    </x:row>
    <x:row r="2670">
      <x:c r="A2670" t="str">
        <x:v>Payment</x:v>
      </x:c>
      <x:c r="B2670" t="str">
        <x:f>'04_checks'!B383</x:f>
      </x:c>
      <x:c r="C2670" t="n">
        <x:v>137</x:v>
      </x:c>
      <x:c r="D2670" t="n">
        <x:f>IF('04_checks'!D383="ERROR",1,0)</x:f>
        <x:v>0</x:v>
      </x:c>
      <x:c r="E2670" t="str">
        <x:v>Payment:137:2</x:v>
      </x:c>
      <x:c r="F2670" t="str">
        <x:v>Пустое поле</x:v>
      </x:c>
      <x:c r="G2670" t="str">
        <x:v>High</x:v>
      </x:c>
      <x:c r="H2670" t="str">
        <x:v>required_fields</x:v>
      </x:c>
      <x:c r="I2670" t="str">
        <x:v>Дополнить обязательные поля в источнике</x:v>
      </x:c>
      <x:c r="J2670" t="n">
        <x:f>IF(D2670=1,K2670,0)</x:f>
        <x:v>0</x:v>
      </x:c>
      <x:c r="K2670" t="n">
        <x:f>D2670+K2669</x:f>
        <x:v>26</x:v>
      </x:c>
    </x:row>
    <x:row r="2671">
      <x:c r="A2671" t="str">
        <x:v>Payment</x:v>
      </x:c>
      <x:c r="B2671" t="str">
        <x:f>'04_checks'!B383</x:f>
      </x:c>
      <x:c r="C2671" t="n">
        <x:v>137</x:v>
      </x:c>
      <x:c r="D2671" t="n">
        <x:f>IF('04_checks'!E383="ERROR",1,0)</x:f>
        <x:v>0</x:v>
      </x:c>
      <x:c r="E2671" t="str">
        <x:v>Payment:137:3</x:v>
      </x:c>
      <x:c r="F2671" t="str">
        <x:f>IF(COUNTIF('01_orders_raw'!$A$2:$A$181,'03_payments_raw'!B137)&gt;1,"Неоднозначная связь","Нет связи")</x:f>
        <x:v>Нет связи</x:v>
      </x:c>
      <x:c r="G2671" t="str">
        <x:v>High</x:v>
      </x:c>
      <x:c r="H2671" t="str">
        <x:v>order_id</x:v>
      </x:c>
      <x:c r="I2671" t="str">
        <x:v>Исправить ссылку или разрешить дубли связанного ID</x:v>
      </x:c>
      <x:c r="J2671" t="n">
        <x:f>IF(D2671=1,K2671,0)</x:f>
        <x:v>0</x:v>
      </x:c>
      <x:c r="K2671" t="n">
        <x:f>D2671+K2670</x:f>
        <x:v>26</x:v>
      </x:c>
    </x:row>
    <x:row r="2672">
      <x:c r="A2672" t="str">
        <x:v>Payment</x:v>
      </x:c>
      <x:c r="B2672" t="str">
        <x:f>'04_checks'!B383</x:f>
      </x:c>
      <x:c r="C2672" t="n">
        <x:v>137</x:v>
      </x:c>
      <x:c r="D2672" t="n">
        <x:f>IF('04_checks'!F383="ERROR",1,0)</x:f>
        <x:v>0</x:v>
      </x:c>
      <x:c r="E2672" t="str">
        <x:v>Payment:137:4</x:v>
      </x:c>
      <x:c r="F2672" t="str">
        <x:v>Ошибка расчета</x:v>
      </x:c>
      <x:c r="G2672" t="str">
        <x:v>High</x:v>
      </x:c>
      <x:c r="H2672" t="str">
        <x:v>payment_sum</x:v>
      </x:c>
      <x:c r="I2672" t="str">
        <x:v>Сверить исходные значения и правило расчёта</x:v>
      </x:c>
      <x:c r="J2672" t="n">
        <x:f>IF(D2672=1,K2672,0)</x:f>
        <x:v>0</x:v>
      </x:c>
      <x:c r="K2672" t="n">
        <x:f>D2672+K2671</x:f>
        <x:v>26</x:v>
      </x:c>
    </x:row>
    <x:row r="2673">
      <x:c r="A2673" t="str">
        <x:v>Payment</x:v>
      </x:c>
      <x:c r="B2673" t="str">
        <x:f>'04_checks'!B383</x:f>
      </x:c>
      <x:c r="C2673" t="n">
        <x:v>137</x:v>
      </x:c>
      <x:c r="D2673" t="n">
        <x:f>IF('04_checks'!G383="ERROR",1,0)</x:f>
        <x:v>0</x:v>
      </x:c>
      <x:c r="E2673" t="str">
        <x:v>Payment:137:5</x:v>
      </x:c>
      <x:c r="F2673" t="str">
        <x:v>Отрицательная цена</x:v>
      </x:c>
      <x:c r="G2673" t="str">
        <x:v>High</x:v>
      </x:c>
      <x:c r="H2673" t="str">
        <x:v>N/A</x:v>
      </x:c>
      <x:c r="I2673" t="str">
        <x:v>Проверить цену в источнике</x:v>
      </x:c>
      <x:c r="J2673" t="n">
        <x:f>IF(D2673=1,K2673,0)</x:f>
        <x:v>0</x:v>
      </x:c>
      <x:c r="K2673" t="n">
        <x:f>D2673+K2672</x:f>
        <x:v>26</x:v>
      </x:c>
    </x:row>
    <x:row r="2674">
      <x:c r="A2674" t="str">
        <x:v>Payment</x:v>
      </x:c>
      <x:c r="B2674" t="str">
        <x:f>'04_checks'!B383</x:f>
      </x:c>
      <x:c r="C2674" t="n">
        <x:v>137</x:v>
      </x:c>
      <x:c r="D2674" t="n">
        <x:f>IF('04_checks'!H383="ERROR",1,0)</x:f>
        <x:v>0</x:v>
      </x:c>
      <x:c r="E2674" t="str">
        <x:v>Payment:137:6</x:v>
      </x:c>
      <x:c r="F2674" t="str">
        <x:v>Дата</x:v>
      </x:c>
      <x:c r="G2674" t="str">
        <x:v>Medium</x:v>
      </x:c>
      <x:c r="H2674" t="str">
        <x:v>payment_date</x:v>
      </x:c>
      <x:c r="I2674" t="str">
        <x:v>Сверить дату со срезом и исходной записью</x:v>
      </x:c>
      <x:c r="J2674" t="n">
        <x:f>IF(D2674=1,K2674,0)</x:f>
        <x:v>0</x:v>
      </x:c>
      <x:c r="K2674" t="n">
        <x:f>D2674+K2673</x:f>
        <x:v>26</x:v>
      </x:c>
    </x:row>
    <x:row r="2675">
      <x:c r="A2675" t="str">
        <x:v>Payment</x:v>
      </x:c>
      <x:c r="B2675" t="str">
        <x:f>'04_checks'!B383</x:f>
      </x:c>
      <x:c r="C2675" t="n">
        <x:v>137</x:v>
      </x:c>
      <x:c r="D2675" t="n">
        <x:f>IF('04_checks'!I383="ERROR",1,0)</x:f>
        <x:v>0</x:v>
      </x:c>
      <x:c r="E2675" t="str">
        <x:v>Payment:137:7</x:v>
      </x:c>
      <x:c r="F2675" t="str">
        <x:v>Статус</x:v>
      </x:c>
      <x:c r="G2675" t="str">
        <x:v>Medium</x:v>
      </x:c>
      <x:c r="H2675" t="str">
        <x:v>payment_status</x:v>
      </x:c>
      <x:c r="I2675" t="str">
        <x:v>Выбрать допустимый статус</x:v>
      </x:c>
      <x:c r="J2675" t="n">
        <x:f>IF(D2675=1,K2675,0)</x:f>
        <x:v>0</x:v>
      </x:c>
      <x:c r="K2675" t="n">
        <x:f>D2675+K2674</x:f>
        <x:v>26</x:v>
      </x:c>
    </x:row>
    <x:row r="2676">
      <x:c r="A2676" t="str">
        <x:v>Payment</x:v>
      </x:c>
      <x:c r="B2676" t="str">
        <x:f>'04_checks'!B384</x:f>
      </x:c>
      <x:c r="C2676" t="n">
        <x:v>138</x:v>
      </x:c>
      <x:c r="D2676" t="n">
        <x:f>IF('04_checks'!C384="ERROR",1,0)</x:f>
        <x:v>0</x:v>
      </x:c>
      <x:c r="E2676" t="str">
        <x:v>Payment:138:1</x:v>
      </x:c>
      <x:c r="F2676" t="str">
        <x:v>Дубль</x:v>
      </x:c>
      <x:c r="G2676" t="str">
        <x:v>High</x:v>
      </x:c>
      <x:c r="H2676" t="str">
        <x:v>payment_id</x:v>
      </x:c>
      <x:c r="I2676" t="str">
        <x:v>Проверить уникальность ID в источнике; не удалять записи автоматически</x:v>
      </x:c>
      <x:c r="J2676" t="n">
        <x:f>IF(D2676=1,K2676,0)</x:f>
        <x:v>0</x:v>
      </x:c>
      <x:c r="K2676" t="n">
        <x:f>D2676+K2675</x:f>
        <x:v>26</x:v>
      </x:c>
    </x:row>
    <x:row r="2677">
      <x:c r="A2677" t="str">
        <x:v>Payment</x:v>
      </x:c>
      <x:c r="B2677" t="str">
        <x:f>'04_checks'!B384</x:f>
      </x:c>
      <x:c r="C2677" t="n">
        <x:v>138</x:v>
      </x:c>
      <x:c r="D2677" t="n">
        <x:f>IF('04_checks'!D384="ERROR",1,0)</x:f>
        <x:v>0</x:v>
      </x:c>
      <x:c r="E2677" t="str">
        <x:v>Payment:138:2</x:v>
      </x:c>
      <x:c r="F2677" t="str">
        <x:v>Пустое поле</x:v>
      </x:c>
      <x:c r="G2677" t="str">
        <x:v>High</x:v>
      </x:c>
      <x:c r="H2677" t="str">
        <x:v>required_fields</x:v>
      </x:c>
      <x:c r="I2677" t="str">
        <x:v>Дополнить обязательные поля в источнике</x:v>
      </x:c>
      <x:c r="J2677" t="n">
        <x:f>IF(D2677=1,K2677,0)</x:f>
        <x:v>0</x:v>
      </x:c>
      <x:c r="K2677" t="n">
        <x:f>D2677+K2676</x:f>
        <x:v>26</x:v>
      </x:c>
    </x:row>
    <x:row r="2678">
      <x:c r="A2678" t="str">
        <x:v>Payment</x:v>
      </x:c>
      <x:c r="B2678" t="str">
        <x:f>'04_checks'!B384</x:f>
      </x:c>
      <x:c r="C2678" t="n">
        <x:v>138</x:v>
      </x:c>
      <x:c r="D2678" t="n">
        <x:f>IF('04_checks'!E384="ERROR",1,0)</x:f>
        <x:v>0</x:v>
      </x:c>
      <x:c r="E2678" t="str">
        <x:v>Payment:138:3</x:v>
      </x:c>
      <x:c r="F2678" t="str">
        <x:f>IF(COUNTIF('01_orders_raw'!$A$2:$A$181,'03_payments_raw'!B138)&gt;1,"Неоднозначная связь","Нет связи")</x:f>
        <x:v>Нет связи</x:v>
      </x:c>
      <x:c r="G2678" t="str">
        <x:v>High</x:v>
      </x:c>
      <x:c r="H2678" t="str">
        <x:v>order_id</x:v>
      </x:c>
      <x:c r="I2678" t="str">
        <x:v>Исправить ссылку или разрешить дубли связанного ID</x:v>
      </x:c>
      <x:c r="J2678" t="n">
        <x:f>IF(D2678=1,K2678,0)</x:f>
        <x:v>0</x:v>
      </x:c>
      <x:c r="K2678" t="n">
        <x:f>D2678+K2677</x:f>
        <x:v>26</x:v>
      </x:c>
    </x:row>
    <x:row r="2679">
      <x:c r="A2679" t="str">
        <x:v>Payment</x:v>
      </x:c>
      <x:c r="B2679" t="str">
        <x:f>'04_checks'!B384</x:f>
      </x:c>
      <x:c r="C2679" t="n">
        <x:v>138</x:v>
      </x:c>
      <x:c r="D2679" t="n">
        <x:f>IF('04_checks'!F384="ERROR",1,0)</x:f>
        <x:v>0</x:v>
      </x:c>
      <x:c r="E2679" t="str">
        <x:v>Payment:138:4</x:v>
      </x:c>
      <x:c r="F2679" t="str">
        <x:v>Ошибка расчета</x:v>
      </x:c>
      <x:c r="G2679" t="str">
        <x:v>High</x:v>
      </x:c>
      <x:c r="H2679" t="str">
        <x:v>payment_sum</x:v>
      </x:c>
      <x:c r="I2679" t="str">
        <x:v>Сверить исходные значения и правило расчёта</x:v>
      </x:c>
      <x:c r="J2679" t="n">
        <x:f>IF(D2679=1,K2679,0)</x:f>
        <x:v>0</x:v>
      </x:c>
      <x:c r="K2679" t="n">
        <x:f>D2679+K2678</x:f>
        <x:v>26</x:v>
      </x:c>
    </x:row>
    <x:row r="2680">
      <x:c r="A2680" t="str">
        <x:v>Payment</x:v>
      </x:c>
      <x:c r="B2680" t="str">
        <x:f>'04_checks'!B384</x:f>
      </x:c>
      <x:c r="C2680" t="n">
        <x:v>138</x:v>
      </x:c>
      <x:c r="D2680" t="n">
        <x:f>IF('04_checks'!G384="ERROR",1,0)</x:f>
        <x:v>0</x:v>
      </x:c>
      <x:c r="E2680" t="str">
        <x:v>Payment:138:5</x:v>
      </x:c>
      <x:c r="F2680" t="str">
        <x:v>Отрицательная цена</x:v>
      </x:c>
      <x:c r="G2680" t="str">
        <x:v>High</x:v>
      </x:c>
      <x:c r="H2680" t="str">
        <x:v>N/A</x:v>
      </x:c>
      <x:c r="I2680" t="str">
        <x:v>Проверить цену в источнике</x:v>
      </x:c>
      <x:c r="J2680" t="n">
        <x:f>IF(D2680=1,K2680,0)</x:f>
        <x:v>0</x:v>
      </x:c>
      <x:c r="K2680" t="n">
        <x:f>D2680+K2679</x:f>
        <x:v>26</x:v>
      </x:c>
    </x:row>
    <x:row r="2681">
      <x:c r="A2681" t="str">
        <x:v>Payment</x:v>
      </x:c>
      <x:c r="B2681" t="str">
        <x:f>'04_checks'!B384</x:f>
      </x:c>
      <x:c r="C2681" t="n">
        <x:v>138</x:v>
      </x:c>
      <x:c r="D2681" t="n">
        <x:f>IF('04_checks'!H384="ERROR",1,0)</x:f>
        <x:v>0</x:v>
      </x:c>
      <x:c r="E2681" t="str">
        <x:v>Payment:138:6</x:v>
      </x:c>
      <x:c r="F2681" t="str">
        <x:v>Дата</x:v>
      </x:c>
      <x:c r="G2681" t="str">
        <x:v>Medium</x:v>
      </x:c>
      <x:c r="H2681" t="str">
        <x:v>payment_date</x:v>
      </x:c>
      <x:c r="I2681" t="str">
        <x:v>Сверить дату со срезом и исходной записью</x:v>
      </x:c>
      <x:c r="J2681" t="n">
        <x:f>IF(D2681=1,K2681,0)</x:f>
        <x:v>0</x:v>
      </x:c>
      <x:c r="K2681" t="n">
        <x:f>D2681+K2680</x:f>
        <x:v>26</x:v>
      </x:c>
    </x:row>
    <x:row r="2682">
      <x:c r="A2682" t="str">
        <x:v>Payment</x:v>
      </x:c>
      <x:c r="B2682" t="str">
        <x:f>'04_checks'!B384</x:f>
      </x:c>
      <x:c r="C2682" t="n">
        <x:v>138</x:v>
      </x:c>
      <x:c r="D2682" t="n">
        <x:f>IF('04_checks'!I384="ERROR",1,0)</x:f>
        <x:v>0</x:v>
      </x:c>
      <x:c r="E2682" t="str">
        <x:v>Payment:138:7</x:v>
      </x:c>
      <x:c r="F2682" t="str">
        <x:v>Статус</x:v>
      </x:c>
      <x:c r="G2682" t="str">
        <x:v>Medium</x:v>
      </x:c>
      <x:c r="H2682" t="str">
        <x:v>payment_status</x:v>
      </x:c>
      <x:c r="I2682" t="str">
        <x:v>Выбрать допустимый статус</x:v>
      </x:c>
      <x:c r="J2682" t="n">
        <x:f>IF(D2682=1,K2682,0)</x:f>
        <x:v>0</x:v>
      </x:c>
      <x:c r="K2682" t="n">
        <x:f>D2682+K2681</x:f>
        <x:v>26</x:v>
      </x:c>
    </x:row>
    <x:row r="2683">
      <x:c r="A2683" t="str">
        <x:v>Payment</x:v>
      </x:c>
      <x:c r="B2683" t="str">
        <x:f>'04_checks'!B385</x:f>
      </x:c>
      <x:c r="C2683" t="n">
        <x:v>139</x:v>
      </x:c>
      <x:c r="D2683" t="n">
        <x:f>IF('04_checks'!C385="ERROR",1,0)</x:f>
        <x:v>0</x:v>
      </x:c>
      <x:c r="E2683" t="str">
        <x:v>Payment:139:1</x:v>
      </x:c>
      <x:c r="F2683" t="str">
        <x:v>Дубль</x:v>
      </x:c>
      <x:c r="G2683" t="str">
        <x:v>High</x:v>
      </x:c>
      <x:c r="H2683" t="str">
        <x:v>payment_id</x:v>
      </x:c>
      <x:c r="I2683" t="str">
        <x:v>Проверить уникальность ID в источнике; не удалять записи автоматически</x:v>
      </x:c>
      <x:c r="J2683" t="n">
        <x:f>IF(D2683=1,K2683,0)</x:f>
        <x:v>0</x:v>
      </x:c>
      <x:c r="K2683" t="n">
        <x:f>D2683+K2682</x:f>
        <x:v>26</x:v>
      </x:c>
    </x:row>
    <x:row r="2684">
      <x:c r="A2684" t="str">
        <x:v>Payment</x:v>
      </x:c>
      <x:c r="B2684" t="str">
        <x:f>'04_checks'!B385</x:f>
      </x:c>
      <x:c r="C2684" t="n">
        <x:v>139</x:v>
      </x:c>
      <x:c r="D2684" t="n">
        <x:f>IF('04_checks'!D385="ERROR",1,0)</x:f>
        <x:v>0</x:v>
      </x:c>
      <x:c r="E2684" t="str">
        <x:v>Payment:139:2</x:v>
      </x:c>
      <x:c r="F2684" t="str">
        <x:v>Пустое поле</x:v>
      </x:c>
      <x:c r="G2684" t="str">
        <x:v>High</x:v>
      </x:c>
      <x:c r="H2684" t="str">
        <x:v>required_fields</x:v>
      </x:c>
      <x:c r="I2684" t="str">
        <x:v>Дополнить обязательные поля в источнике</x:v>
      </x:c>
      <x:c r="J2684" t="n">
        <x:f>IF(D2684=1,K2684,0)</x:f>
        <x:v>0</x:v>
      </x:c>
      <x:c r="K2684" t="n">
        <x:f>D2684+K2683</x:f>
        <x:v>26</x:v>
      </x:c>
    </x:row>
    <x:row r="2685">
      <x:c r="A2685" t="str">
        <x:v>Payment</x:v>
      </x:c>
      <x:c r="B2685" t="str">
        <x:f>'04_checks'!B385</x:f>
      </x:c>
      <x:c r="C2685" t="n">
        <x:v>139</x:v>
      </x:c>
      <x:c r="D2685" t="n">
        <x:f>IF('04_checks'!E385="ERROR",1,0)</x:f>
        <x:v>0</x:v>
      </x:c>
      <x:c r="E2685" t="str">
        <x:v>Payment:139:3</x:v>
      </x:c>
      <x:c r="F2685" t="str">
        <x:f>IF(COUNTIF('01_orders_raw'!$A$2:$A$181,'03_payments_raw'!B139)&gt;1,"Неоднозначная связь","Нет связи")</x:f>
        <x:v>Нет связи</x:v>
      </x:c>
      <x:c r="G2685" t="str">
        <x:v>High</x:v>
      </x:c>
      <x:c r="H2685" t="str">
        <x:v>order_id</x:v>
      </x:c>
      <x:c r="I2685" t="str">
        <x:v>Исправить ссылку или разрешить дубли связанного ID</x:v>
      </x:c>
      <x:c r="J2685" t="n">
        <x:f>IF(D2685=1,K2685,0)</x:f>
        <x:v>0</x:v>
      </x:c>
      <x:c r="K2685" t="n">
        <x:f>D2685+K2684</x:f>
        <x:v>26</x:v>
      </x:c>
    </x:row>
    <x:row r="2686">
      <x:c r="A2686" t="str">
        <x:v>Payment</x:v>
      </x:c>
      <x:c r="B2686" t="str">
        <x:f>'04_checks'!B385</x:f>
      </x:c>
      <x:c r="C2686" t="n">
        <x:v>139</x:v>
      </x:c>
      <x:c r="D2686" t="n">
        <x:f>IF('04_checks'!F385="ERROR",1,0)</x:f>
        <x:v>0</x:v>
      </x:c>
      <x:c r="E2686" t="str">
        <x:v>Payment:139:4</x:v>
      </x:c>
      <x:c r="F2686" t="str">
        <x:v>Ошибка расчета</x:v>
      </x:c>
      <x:c r="G2686" t="str">
        <x:v>High</x:v>
      </x:c>
      <x:c r="H2686" t="str">
        <x:v>payment_sum</x:v>
      </x:c>
      <x:c r="I2686" t="str">
        <x:v>Сверить исходные значения и правило расчёта</x:v>
      </x:c>
      <x:c r="J2686" t="n">
        <x:f>IF(D2686=1,K2686,0)</x:f>
        <x:v>0</x:v>
      </x:c>
      <x:c r="K2686" t="n">
        <x:f>D2686+K2685</x:f>
        <x:v>26</x:v>
      </x:c>
    </x:row>
    <x:row r="2687">
      <x:c r="A2687" t="str">
        <x:v>Payment</x:v>
      </x:c>
      <x:c r="B2687" t="str">
        <x:f>'04_checks'!B385</x:f>
      </x:c>
      <x:c r="C2687" t="n">
        <x:v>139</x:v>
      </x:c>
      <x:c r="D2687" t="n">
        <x:f>IF('04_checks'!G385="ERROR",1,0)</x:f>
        <x:v>0</x:v>
      </x:c>
      <x:c r="E2687" t="str">
        <x:v>Payment:139:5</x:v>
      </x:c>
      <x:c r="F2687" t="str">
        <x:v>Отрицательная цена</x:v>
      </x:c>
      <x:c r="G2687" t="str">
        <x:v>High</x:v>
      </x:c>
      <x:c r="H2687" t="str">
        <x:v>N/A</x:v>
      </x:c>
      <x:c r="I2687" t="str">
        <x:v>Проверить цену в источнике</x:v>
      </x:c>
      <x:c r="J2687" t="n">
        <x:f>IF(D2687=1,K2687,0)</x:f>
        <x:v>0</x:v>
      </x:c>
      <x:c r="K2687" t="n">
        <x:f>D2687+K2686</x:f>
        <x:v>26</x:v>
      </x:c>
    </x:row>
    <x:row r="2688">
      <x:c r="A2688" t="str">
        <x:v>Payment</x:v>
      </x:c>
      <x:c r="B2688" t="str">
        <x:f>'04_checks'!B385</x:f>
      </x:c>
      <x:c r="C2688" t="n">
        <x:v>139</x:v>
      </x:c>
      <x:c r="D2688" t="n">
        <x:f>IF('04_checks'!H385="ERROR",1,0)</x:f>
        <x:v>0</x:v>
      </x:c>
      <x:c r="E2688" t="str">
        <x:v>Payment:139:6</x:v>
      </x:c>
      <x:c r="F2688" t="str">
        <x:v>Дата</x:v>
      </x:c>
      <x:c r="G2688" t="str">
        <x:v>Medium</x:v>
      </x:c>
      <x:c r="H2688" t="str">
        <x:v>payment_date</x:v>
      </x:c>
      <x:c r="I2688" t="str">
        <x:v>Сверить дату со срезом и исходной записью</x:v>
      </x:c>
      <x:c r="J2688" t="n">
        <x:f>IF(D2688=1,K2688,0)</x:f>
        <x:v>0</x:v>
      </x:c>
      <x:c r="K2688" t="n">
        <x:f>D2688+K2687</x:f>
        <x:v>26</x:v>
      </x:c>
    </x:row>
    <x:row r="2689">
      <x:c r="A2689" t="str">
        <x:v>Payment</x:v>
      </x:c>
      <x:c r="B2689" t="str">
        <x:f>'04_checks'!B385</x:f>
      </x:c>
      <x:c r="C2689" t="n">
        <x:v>139</x:v>
      </x:c>
      <x:c r="D2689" t="n">
        <x:f>IF('04_checks'!I385="ERROR",1,0)</x:f>
        <x:v>0</x:v>
      </x:c>
      <x:c r="E2689" t="str">
        <x:v>Payment:139:7</x:v>
      </x:c>
      <x:c r="F2689" t="str">
        <x:v>Статус</x:v>
      </x:c>
      <x:c r="G2689" t="str">
        <x:v>Medium</x:v>
      </x:c>
      <x:c r="H2689" t="str">
        <x:v>payment_status</x:v>
      </x:c>
      <x:c r="I2689" t="str">
        <x:v>Выбрать допустимый статус</x:v>
      </x:c>
      <x:c r="J2689" t="n">
        <x:f>IF(D2689=1,K2689,0)</x:f>
        <x:v>0</x:v>
      </x:c>
      <x:c r="K2689" t="n">
        <x:f>D2689+K2688</x:f>
        <x:v>26</x:v>
      </x:c>
    </x:row>
    <x:row r="2690">
      <x:c r="A2690" t="str">
        <x:v>Payment</x:v>
      </x:c>
      <x:c r="B2690" t="str">
        <x:f>'04_checks'!B386</x:f>
      </x:c>
      <x:c r="C2690" t="n">
        <x:v>140</x:v>
      </x:c>
      <x:c r="D2690" t="n">
        <x:f>IF('04_checks'!C386="ERROR",1,0)</x:f>
        <x:v>0</x:v>
      </x:c>
      <x:c r="E2690" t="str">
        <x:v>Payment:140:1</x:v>
      </x:c>
      <x:c r="F2690" t="str">
        <x:v>Дубль</x:v>
      </x:c>
      <x:c r="G2690" t="str">
        <x:v>High</x:v>
      </x:c>
      <x:c r="H2690" t="str">
        <x:v>payment_id</x:v>
      </x:c>
      <x:c r="I2690" t="str">
        <x:v>Проверить уникальность ID в источнике; не удалять записи автоматически</x:v>
      </x:c>
      <x:c r="J2690" t="n">
        <x:f>IF(D2690=1,K2690,0)</x:f>
        <x:v>0</x:v>
      </x:c>
      <x:c r="K2690" t="n">
        <x:f>D2690+K2689</x:f>
        <x:v>26</x:v>
      </x:c>
    </x:row>
    <x:row r="2691">
      <x:c r="A2691" t="str">
        <x:v>Payment</x:v>
      </x:c>
      <x:c r="B2691" t="str">
        <x:f>'04_checks'!B386</x:f>
      </x:c>
      <x:c r="C2691" t="n">
        <x:v>140</x:v>
      </x:c>
      <x:c r="D2691" t="n">
        <x:f>IF('04_checks'!D386="ERROR",1,0)</x:f>
        <x:v>0</x:v>
      </x:c>
      <x:c r="E2691" t="str">
        <x:v>Payment:140:2</x:v>
      </x:c>
      <x:c r="F2691" t="str">
        <x:v>Пустое поле</x:v>
      </x:c>
      <x:c r="G2691" t="str">
        <x:v>High</x:v>
      </x:c>
      <x:c r="H2691" t="str">
        <x:v>required_fields</x:v>
      </x:c>
      <x:c r="I2691" t="str">
        <x:v>Дополнить обязательные поля в источнике</x:v>
      </x:c>
      <x:c r="J2691" t="n">
        <x:f>IF(D2691=1,K2691,0)</x:f>
        <x:v>0</x:v>
      </x:c>
      <x:c r="K2691" t="n">
        <x:f>D2691+K2690</x:f>
        <x:v>26</x:v>
      </x:c>
    </x:row>
    <x:row r="2692">
      <x:c r="A2692" t="str">
        <x:v>Payment</x:v>
      </x:c>
      <x:c r="B2692" t="str">
        <x:f>'04_checks'!B386</x:f>
      </x:c>
      <x:c r="C2692" t="n">
        <x:v>140</x:v>
      </x:c>
      <x:c r="D2692" t="n">
        <x:f>IF('04_checks'!E386="ERROR",1,0)</x:f>
        <x:v>0</x:v>
      </x:c>
      <x:c r="E2692" t="str">
        <x:v>Payment:140:3</x:v>
      </x:c>
      <x:c r="F2692" t="str">
        <x:f>IF(COUNTIF('01_orders_raw'!$A$2:$A$181,'03_payments_raw'!B140)&gt;1,"Неоднозначная связь","Нет связи")</x:f>
        <x:v>Нет связи</x:v>
      </x:c>
      <x:c r="G2692" t="str">
        <x:v>High</x:v>
      </x:c>
      <x:c r="H2692" t="str">
        <x:v>order_id</x:v>
      </x:c>
      <x:c r="I2692" t="str">
        <x:v>Исправить ссылку или разрешить дубли связанного ID</x:v>
      </x:c>
      <x:c r="J2692" t="n">
        <x:f>IF(D2692=1,K2692,0)</x:f>
        <x:v>0</x:v>
      </x:c>
      <x:c r="K2692" t="n">
        <x:f>D2692+K2691</x:f>
        <x:v>26</x:v>
      </x:c>
    </x:row>
    <x:row r="2693">
      <x:c r="A2693" t="str">
        <x:v>Payment</x:v>
      </x:c>
      <x:c r="B2693" t="str">
        <x:f>'04_checks'!B386</x:f>
      </x:c>
      <x:c r="C2693" t="n">
        <x:v>140</x:v>
      </x:c>
      <x:c r="D2693" t="n">
        <x:f>IF('04_checks'!F386="ERROR",1,0)</x:f>
        <x:v>0</x:v>
      </x:c>
      <x:c r="E2693" t="str">
        <x:v>Payment:140:4</x:v>
      </x:c>
      <x:c r="F2693" t="str">
        <x:v>Ошибка расчета</x:v>
      </x:c>
      <x:c r="G2693" t="str">
        <x:v>High</x:v>
      </x:c>
      <x:c r="H2693" t="str">
        <x:v>payment_sum</x:v>
      </x:c>
      <x:c r="I2693" t="str">
        <x:v>Сверить исходные значения и правило расчёта</x:v>
      </x:c>
      <x:c r="J2693" t="n">
        <x:f>IF(D2693=1,K2693,0)</x:f>
        <x:v>0</x:v>
      </x:c>
      <x:c r="K2693" t="n">
        <x:f>D2693+K2692</x:f>
        <x:v>26</x:v>
      </x:c>
    </x:row>
    <x:row r="2694">
      <x:c r="A2694" t="str">
        <x:v>Payment</x:v>
      </x:c>
      <x:c r="B2694" t="str">
        <x:f>'04_checks'!B386</x:f>
      </x:c>
      <x:c r="C2694" t="n">
        <x:v>140</x:v>
      </x:c>
      <x:c r="D2694" t="n">
        <x:f>IF('04_checks'!G386="ERROR",1,0)</x:f>
        <x:v>0</x:v>
      </x:c>
      <x:c r="E2694" t="str">
        <x:v>Payment:140:5</x:v>
      </x:c>
      <x:c r="F2694" t="str">
        <x:v>Отрицательная цена</x:v>
      </x:c>
      <x:c r="G2694" t="str">
        <x:v>High</x:v>
      </x:c>
      <x:c r="H2694" t="str">
        <x:v>N/A</x:v>
      </x:c>
      <x:c r="I2694" t="str">
        <x:v>Проверить цену в источнике</x:v>
      </x:c>
      <x:c r="J2694" t="n">
        <x:f>IF(D2694=1,K2694,0)</x:f>
        <x:v>0</x:v>
      </x:c>
      <x:c r="K2694" t="n">
        <x:f>D2694+K2693</x:f>
        <x:v>26</x:v>
      </x:c>
    </x:row>
    <x:row r="2695">
      <x:c r="A2695" t="str">
        <x:v>Payment</x:v>
      </x:c>
      <x:c r="B2695" t="str">
        <x:f>'04_checks'!B386</x:f>
      </x:c>
      <x:c r="C2695" t="n">
        <x:v>140</x:v>
      </x:c>
      <x:c r="D2695" t="n">
        <x:f>IF('04_checks'!H386="ERROR",1,0)</x:f>
        <x:v>0</x:v>
      </x:c>
      <x:c r="E2695" t="str">
        <x:v>Payment:140:6</x:v>
      </x:c>
      <x:c r="F2695" t="str">
        <x:v>Дата</x:v>
      </x:c>
      <x:c r="G2695" t="str">
        <x:v>Medium</x:v>
      </x:c>
      <x:c r="H2695" t="str">
        <x:v>payment_date</x:v>
      </x:c>
      <x:c r="I2695" t="str">
        <x:v>Сверить дату со срезом и исходной записью</x:v>
      </x:c>
      <x:c r="J2695" t="n">
        <x:f>IF(D2695=1,K2695,0)</x:f>
        <x:v>0</x:v>
      </x:c>
      <x:c r="K2695" t="n">
        <x:f>D2695+K2694</x:f>
        <x:v>26</x:v>
      </x:c>
    </x:row>
    <x:row r="2696">
      <x:c r="A2696" t="str">
        <x:v>Payment</x:v>
      </x:c>
      <x:c r="B2696" t="str">
        <x:f>'04_checks'!B386</x:f>
      </x:c>
      <x:c r="C2696" t="n">
        <x:v>140</x:v>
      </x:c>
      <x:c r="D2696" t="n">
        <x:f>IF('04_checks'!I386="ERROR",1,0)</x:f>
        <x:v>0</x:v>
      </x:c>
      <x:c r="E2696" t="str">
        <x:v>Payment:140:7</x:v>
      </x:c>
      <x:c r="F2696" t="str">
        <x:v>Статус</x:v>
      </x:c>
      <x:c r="G2696" t="str">
        <x:v>Medium</x:v>
      </x:c>
      <x:c r="H2696" t="str">
        <x:v>payment_status</x:v>
      </x:c>
      <x:c r="I2696" t="str">
        <x:v>Выбрать допустимый статус</x:v>
      </x:c>
      <x:c r="J2696" t="n">
        <x:f>IF(D2696=1,K2696,0)</x:f>
        <x:v>0</x:v>
      </x:c>
      <x:c r="K2696" t="n">
        <x:f>D2696+K2695</x:f>
        <x:v>26</x:v>
      </x:c>
    </x:row>
    <x:row r="2697">
      <x:c r="A2697" t="str">
        <x:v>Payment</x:v>
      </x:c>
      <x:c r="B2697" t="n">
        <x:f>'04_checks'!B387</x:f>
        <x:v>0</x:v>
      </x:c>
      <x:c r="C2697" t="n">
        <x:v>141</x:v>
      </x:c>
      <x:c r="D2697" t="n">
        <x:f>IF('04_checks'!C387="ERROR",1,0)</x:f>
        <x:v>0</x:v>
      </x:c>
      <x:c r="E2697" t="str">
        <x:v>Payment:141:1</x:v>
      </x:c>
      <x:c r="F2697" t="str">
        <x:v>Дубль</x:v>
      </x:c>
      <x:c r="G2697" t="str">
        <x:v>High</x:v>
      </x:c>
      <x:c r="H2697" t="str">
        <x:v>payment_id</x:v>
      </x:c>
      <x:c r="I2697" t="str">
        <x:v>Проверить уникальность ID в источнике; не удалять записи автоматически</x:v>
      </x:c>
      <x:c r="J2697" t="n">
        <x:f>IF(D2697=1,K2697,0)</x:f>
        <x:v>0</x:v>
      </x:c>
      <x:c r="K2697" t="n">
        <x:f>D2697+K2696</x:f>
        <x:v>26</x:v>
      </x:c>
    </x:row>
    <x:row r="2698">
      <x:c r="A2698" t="str">
        <x:v>Payment</x:v>
      </x:c>
      <x:c r="B2698" t="n">
        <x:f>'04_checks'!B387</x:f>
        <x:v>0</x:v>
      </x:c>
      <x:c r="C2698" t="n">
        <x:v>141</x:v>
      </x:c>
      <x:c r="D2698" t="n">
        <x:f>IF('04_checks'!D387="ERROR",1,0)</x:f>
        <x:v>0</x:v>
      </x:c>
      <x:c r="E2698" t="str">
        <x:v>Payment:141:2</x:v>
      </x:c>
      <x:c r="F2698" t="str">
        <x:v>Пустое поле</x:v>
      </x:c>
      <x:c r="G2698" t="str">
        <x:v>High</x:v>
      </x:c>
      <x:c r="H2698" t="str">
        <x:v>required_fields</x:v>
      </x:c>
      <x:c r="I2698" t="str">
        <x:v>Дополнить обязательные поля в источнике</x:v>
      </x:c>
      <x:c r="J2698" t="n">
        <x:f>IF(D2698=1,K2698,0)</x:f>
        <x:v>0</x:v>
      </x:c>
      <x:c r="K2698" t="n">
        <x:f>D2698+K2697</x:f>
        <x:v>26</x:v>
      </x:c>
    </x:row>
    <x:row r="2699">
      <x:c r="A2699" t="str">
        <x:v>Payment</x:v>
      </x:c>
      <x:c r="B2699" t="n">
        <x:f>'04_checks'!B387</x:f>
        <x:v>0</x:v>
      </x:c>
      <x:c r="C2699" t="n">
        <x:v>141</x:v>
      </x:c>
      <x:c r="D2699" t="n">
        <x:f>IF('04_checks'!E387="ERROR",1,0)</x:f>
        <x:v>0</x:v>
      </x:c>
      <x:c r="E2699" t="str">
        <x:v>Payment:141:3</x:v>
      </x:c>
      <x:c r="F2699" t="str">
        <x:f>IF(COUNTIF('01_orders_raw'!$A$2:$A$181,'03_payments_raw'!B141)&gt;1,"Неоднозначная связь","Нет связи")</x:f>
        <x:v>Нет связи</x:v>
      </x:c>
      <x:c r="G2699" t="str">
        <x:v>High</x:v>
      </x:c>
      <x:c r="H2699" t="str">
        <x:v>order_id</x:v>
      </x:c>
      <x:c r="I2699" t="str">
        <x:v>Исправить ссылку или разрешить дубли связанного ID</x:v>
      </x:c>
      <x:c r="J2699" t="n">
        <x:f>IF(D2699=1,K2699,0)</x:f>
        <x:v>0</x:v>
      </x:c>
      <x:c r="K2699" t="n">
        <x:f>D2699+K2698</x:f>
        <x:v>26</x:v>
      </x:c>
    </x:row>
    <x:row r="2700">
      <x:c r="A2700" t="str">
        <x:v>Payment</x:v>
      </x:c>
      <x:c r="B2700" t="n">
        <x:f>'04_checks'!B387</x:f>
        <x:v>0</x:v>
      </x:c>
      <x:c r="C2700" t="n">
        <x:v>141</x:v>
      </x:c>
      <x:c r="D2700" t="n">
        <x:f>IF('04_checks'!F387="ERROR",1,0)</x:f>
        <x:v>0</x:v>
      </x:c>
      <x:c r="E2700" t="str">
        <x:v>Payment:141:4</x:v>
      </x:c>
      <x:c r="F2700" t="str">
        <x:v>Ошибка расчета</x:v>
      </x:c>
      <x:c r="G2700" t="str">
        <x:v>High</x:v>
      </x:c>
      <x:c r="H2700" t="str">
        <x:v>payment_sum</x:v>
      </x:c>
      <x:c r="I2700" t="str">
        <x:v>Сверить исходные значения и правило расчёта</x:v>
      </x:c>
      <x:c r="J2700" t="n">
        <x:f>IF(D2700=1,K2700,0)</x:f>
        <x:v>0</x:v>
      </x:c>
      <x:c r="K2700" t="n">
        <x:f>D2700+K2699</x:f>
        <x:v>26</x:v>
      </x:c>
    </x:row>
    <x:row r="2701">
      <x:c r="A2701" t="str">
        <x:v>Payment</x:v>
      </x:c>
      <x:c r="B2701" t="n">
        <x:f>'04_checks'!B387</x:f>
        <x:v>0</x:v>
      </x:c>
      <x:c r="C2701" t="n">
        <x:v>141</x:v>
      </x:c>
      <x:c r="D2701" t="n">
        <x:f>IF('04_checks'!G387="ERROR",1,0)</x:f>
        <x:v>0</x:v>
      </x:c>
      <x:c r="E2701" t="str">
        <x:v>Payment:141:5</x:v>
      </x:c>
      <x:c r="F2701" t="str">
        <x:v>Отрицательная цена</x:v>
      </x:c>
      <x:c r="G2701" t="str">
        <x:v>High</x:v>
      </x:c>
      <x:c r="H2701" t="str">
        <x:v>N/A</x:v>
      </x:c>
      <x:c r="I2701" t="str">
        <x:v>Проверить цену в источнике</x:v>
      </x:c>
      <x:c r="J2701" t="n">
        <x:f>IF(D2701=1,K2701,0)</x:f>
        <x:v>0</x:v>
      </x:c>
      <x:c r="K2701" t="n">
        <x:f>D2701+K2700</x:f>
        <x:v>26</x:v>
      </x:c>
    </x:row>
    <x:row r="2702">
      <x:c r="A2702" t="str">
        <x:v>Payment</x:v>
      </x:c>
      <x:c r="B2702" t="n">
        <x:f>'04_checks'!B387</x:f>
        <x:v>0</x:v>
      </x:c>
      <x:c r="C2702" t="n">
        <x:v>141</x:v>
      </x:c>
      <x:c r="D2702" t="n">
        <x:f>IF('04_checks'!H387="ERROR",1,0)</x:f>
        <x:v>0</x:v>
      </x:c>
      <x:c r="E2702" t="str">
        <x:v>Payment:141:6</x:v>
      </x:c>
      <x:c r="F2702" t="str">
        <x:v>Дата</x:v>
      </x:c>
      <x:c r="G2702" t="str">
        <x:v>Medium</x:v>
      </x:c>
      <x:c r="H2702" t="str">
        <x:v>payment_date</x:v>
      </x:c>
      <x:c r="I2702" t="str">
        <x:v>Сверить дату со срезом и исходной записью</x:v>
      </x:c>
      <x:c r="J2702" t="n">
        <x:f>IF(D2702=1,K2702,0)</x:f>
        <x:v>0</x:v>
      </x:c>
      <x:c r="K2702" t="n">
        <x:f>D2702+K2701</x:f>
        <x:v>26</x:v>
      </x:c>
    </x:row>
    <x:row r="2703">
      <x:c r="A2703" t="str">
        <x:v>Payment</x:v>
      </x:c>
      <x:c r="B2703" t="n">
        <x:f>'04_checks'!B387</x:f>
        <x:v>0</x:v>
      </x:c>
      <x:c r="C2703" t="n">
        <x:v>141</x:v>
      </x:c>
      <x:c r="D2703" t="n">
        <x:f>IF('04_checks'!I387="ERROR",1,0)</x:f>
        <x:v>0</x:v>
      </x:c>
      <x:c r="E2703" t="str">
        <x:v>Payment:141:7</x:v>
      </x:c>
      <x:c r="F2703" t="str">
        <x:v>Статус</x:v>
      </x:c>
      <x:c r="G2703" t="str">
        <x:v>Medium</x:v>
      </x:c>
      <x:c r="H2703" t="str">
        <x:v>payment_status</x:v>
      </x:c>
      <x:c r="I2703" t="str">
        <x:v>Выбрать допустимый статус</x:v>
      </x:c>
      <x:c r="J2703" t="n">
        <x:f>IF(D2703=1,K2703,0)</x:f>
        <x:v>0</x:v>
      </x:c>
      <x:c r="K2703" t="n">
        <x:f>D2703+K2702</x:f>
        <x:v>26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2" hidden="0" customWidth="1"/>
  </x:cols>
  <x:sheetData>
    <x:row r="1" ht="42" customHeight="1">
      <x:c r="A1" s="15" t="str">
        <x:v>Параметр</x:v>
      </x:c>
      <x:c r="B1" s="15" t="str">
        <x:v>Значение</x:v>
      </x:c>
      <x:c r="C1" s="15"/>
      <x:c r="D1" s="15"/>
      <x:c r="E1" s="15"/>
      <x:c r="F1" s="15"/>
      <x:c r="G1" s="15"/>
      <x:c r="H1" s="15"/>
      <x:c r="I1" s="15"/>
      <x:c r="J1" s="15"/>
      <x:c r="K1" s="15"/>
    </x:row>
    <x:row r="2">
      <x:c r="A2" s="16" t="str">
        <x:v>Дата среза</x:v>
      </x:c>
      <x:c r="B2" s="17" t="n">
        <x:v>46198</x:v>
      </x:c>
    </x:row>
    <x:row r="3">
      <x:c r="A3" s="16" t="str">
        <x:v>Допуск суммы, руб.</x:v>
      </x:c>
      <x:c r="B3" s="16" t="n">
        <x:v>0.01</x:v>
      </x:c>
    </x:row>
    <x:row r="4">
      <x:c r="A4" s="16" t="str">
        <x:v>Вместимость реестра</x:v>
      </x:c>
      <x:c r="B4" s="16" t="n">
        <x:v>512</x:v>
      </x:c>
    </x:row>
    <x:row r="5">
      <x:c r="A5" s="16" t="str">
        <x:v>Проверенные строки</x:v>
      </x:c>
      <x:c r="B5" s="16" t="n">
        <x:f>SUM('06_summary'!B4,'06_summary'!B6,'06_summary'!B7)</x:f>
        <x:v>326</x:v>
      </x:c>
    </x:row>
    <x:row r="6">
      <x:c r="A6" s="16" t="str">
        <x:v>Состояние реестра</x:v>
      </x:c>
      <x:c r="B6" s="16" t="str">
        <x:f>IF('10_events'!K2703&gt;B4,"OVERFLOW: увеличьте вместимость реестра","OK")</x:f>
        <x:v>OK</x:v>
      </x:c>
    </x:row>
    <x:row r="7">
      <x:c r="A7" s="16"/>
      <x:c r="B7" s="16"/>
    </x:row>
    <x:row r="8">
      <x:c r="A8" s="16" t="str">
        <x:v>Источник</x:v>
      </x:c>
      <x:c r="B8" s="16" t="str">
        <x:v>Максимум строк</x:v>
      </x:c>
    </x:row>
    <x:row r="9">
      <x:c r="A9" s="16" t="str">
        <x:v>orders</x:v>
      </x:c>
      <x:c r="B9" s="16" t="n">
        <x:v>180</x:v>
      </x:c>
    </x:row>
    <x:row r="10">
      <x:c r="A10" s="16" t="str">
        <x:v>clients</x:v>
      </x:c>
      <x:c r="B10" s="16" t="n">
        <x:v>66</x:v>
      </x:c>
    </x:row>
    <x:row r="11">
      <x:c r="A11" s="16" t="str">
        <x:v>payments</x:v>
      </x:c>
      <x:c r="B11" s="16" t="n">
        <x:v>140</x:v>
      </x:c>
    </x:row>
    <x:row r="12">
      <x:c r="A12" s="16" t="str">
        <x:v>Важно</x:v>
      </x:c>
      <x:c r="B12" s="16" t="str">
        <x:v>Добавляйте строки только в выделенную вместимость; для большего объёма пересоберите книгу.</x:v>
      </x:c>
    </x:row>
    <x:row r="13">
      <x:c r="A13" s="16"/>
      <x:c r="B13" s="16"/>
    </x:row>
    <x:row r="14">
      <x:c r="A14" s="16" t="str">
        <x:v>Источник данных</x:v>
      </x:c>
      <x:c r="B14" s="16" t="str">
        <x:v>Выгрузки предоставлены автором проекта</x:v>
      </x:c>
    </x:row>
    <x:row r="15">
      <x:c r="A15" s="16" t="str">
        <x:v>SKIP</x:v>
      </x:c>
      <x:c r="B15" s="16" t="str">
        <x:v>Зависимая проверка пропущена, если исходные поля пусты или связь не однозначна</x:v>
      </x:c>
    </x:row>
    <x:row r="16">
      <x:c r="A16" s="16" t="str">
        <x:v>ИНН</x:v>
      </x:c>
      <x:c r="B16" s="16" t="str">
        <x:v>Проверяется только цифровой формат и длина 10/12; контрольная сумма не проверяется</x:v>
      </x:c>
    </x:row>
  </x:sheetData>
  <x:pageMargins left="0.7" right="0.7" top="0.75" bottom="0.75" header="0.3" footer="0.3"/>
</x:worksheet>
</file>