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1_orders_raw" sheetId="1" r:id="rId1"/>
    <sheet name="02_clients_raw" sheetId="2" r:id="rId2"/>
    <sheet name="03_payments_raw" sheetId="3" r:id="rId3"/>
    <sheet name="04_checks" sheetId="4" r:id="rId4"/>
    <sheet name="05_errors" sheetId="5" r:id="rId5"/>
    <sheet name="06_summary" sheetId="6" r:id="rId6"/>
    <sheet name="07_dashboard" sheetId="7" r:id="rId7"/>
    <sheet name="08_action_plan" sheetId="8" r:id="rId8"/>
  </sheets>
  <definedNames>
    <definedName name="_xlnm._FilterDatabase" localSheetId="0" hidden="1">'01_orders_raw'!$A$1:$J$161</definedName>
    <definedName name="_xlnm._FilterDatabase" localSheetId="1" hidden="1">'02_clients_raw'!$A$1:$F$47</definedName>
    <definedName name="_xlnm._FilterDatabase" localSheetId="2" hidden="1">'03_payments_raw'!$A$1:$E$121</definedName>
    <definedName name="_xlnm._FilterDatabase" localSheetId="3" hidden="1">'04_checks'!$A$1:$K$327</definedName>
    <definedName name="_xlnm._FilterDatabase" localSheetId="4" hidden="1">'05_errors'!$A$1:$G$25</definedName>
    <definedName name="_xlnm._FilterDatabase" localSheetId="7" hidden="1">'08_action_plan'!$A$3:$F$8</definedName>
  </definedNames>
  <calcPr calcId="124519" fullCalcOnLoad="1"/>
</workbook>
</file>

<file path=xl/sharedStrings.xml><?xml version="1.0" encoding="utf-8"?>
<sst xmlns="http://schemas.openxmlformats.org/spreadsheetml/2006/main" count="1529" uniqueCount="413">
  <si>
    <t>order_id</t>
  </si>
  <si>
    <t>order_date</t>
  </si>
  <si>
    <t>client_id</t>
  </si>
  <si>
    <t>manager</t>
  </si>
  <si>
    <t>product_category</t>
  </si>
  <si>
    <t>product_name</t>
  </si>
  <si>
    <t>quantity</t>
  </si>
  <si>
    <t>price</t>
  </si>
  <si>
    <t>order_sum</t>
  </si>
  <si>
    <t>status</t>
  </si>
  <si>
    <t>C003</t>
  </si>
  <si>
    <t>Кузнецова</t>
  </si>
  <si>
    <t>Мониторы</t>
  </si>
  <si>
    <t>AOC 24</t>
  </si>
  <si>
    <t>Выполнен</t>
  </si>
  <si>
    <t>C019</t>
  </si>
  <si>
    <t>Петрова</t>
  </si>
  <si>
    <t>Ноутбуки</t>
  </si>
  <si>
    <t>HP Pavilion</t>
  </si>
  <si>
    <t>В работе</t>
  </si>
  <si>
    <t>C007</t>
  </si>
  <si>
    <t>Сидорова</t>
  </si>
  <si>
    <t>ПО</t>
  </si>
  <si>
    <t>Antivirus Pro</t>
  </si>
  <si>
    <t>Samsung 27</t>
  </si>
  <si>
    <t>C015</t>
  </si>
  <si>
    <t>Смирнова</t>
  </si>
  <si>
    <t>LG UltraFine</t>
  </si>
  <si>
    <t>Ожидает оплаты</t>
  </si>
  <si>
    <t>C025</t>
  </si>
  <si>
    <t>Иванова</t>
  </si>
  <si>
    <t>Lenovo IdeaPad</t>
  </si>
  <si>
    <t>C021</t>
  </si>
  <si>
    <t>Периферия</t>
  </si>
  <si>
    <t>Logitech Mouse</t>
  </si>
  <si>
    <t>C011</t>
  </si>
  <si>
    <t>Сервис</t>
  </si>
  <si>
    <t>Training Session</t>
  </si>
  <si>
    <t>C027</t>
  </si>
  <si>
    <t>ASUS VivoBook</t>
  </si>
  <si>
    <t>C031</t>
  </si>
  <si>
    <t>Keychron K2</t>
  </si>
  <si>
    <t>C012</t>
  </si>
  <si>
    <t>Орлова</t>
  </si>
  <si>
    <t>BI Connector</t>
  </si>
  <si>
    <t>C032</t>
  </si>
  <si>
    <t>Dell P2422H</t>
  </si>
  <si>
    <t>C010</t>
  </si>
  <si>
    <t>Отменен</t>
  </si>
  <si>
    <t>C028</t>
  </si>
  <si>
    <t>Setup Service</t>
  </si>
  <si>
    <t>C016</t>
  </si>
  <si>
    <t>C001</t>
  </si>
  <si>
    <t>C038</t>
  </si>
  <si>
    <t>C043</t>
  </si>
  <si>
    <t>Acer Aspire</t>
  </si>
  <si>
    <t>C005</t>
  </si>
  <si>
    <t>C023</t>
  </si>
  <si>
    <t>C006</t>
  </si>
  <si>
    <t>Office Suite</t>
  </si>
  <si>
    <t>C020</t>
  </si>
  <si>
    <t>Canon Scanner</t>
  </si>
  <si>
    <t>C029</t>
  </si>
  <si>
    <t>C026</t>
  </si>
  <si>
    <t>C033</t>
  </si>
  <si>
    <t>Jabra Headset</t>
  </si>
  <si>
    <t>C040</t>
  </si>
  <si>
    <t>C014</t>
  </si>
  <si>
    <t>C009</t>
  </si>
  <si>
    <t>Maintenance Pack</t>
  </si>
  <si>
    <t>C008</t>
  </si>
  <si>
    <t>C030</t>
  </si>
  <si>
    <t>C024</t>
  </si>
  <si>
    <t>C002</t>
  </si>
  <si>
    <t>C018</t>
  </si>
  <si>
    <t>C037</t>
  </si>
  <si>
    <t>C041</t>
  </si>
  <si>
    <t>C044</t>
  </si>
  <si>
    <t>C042</t>
  </si>
  <si>
    <t>C039</t>
  </si>
  <si>
    <t>C035</t>
  </si>
  <si>
    <t>Data Migration</t>
  </si>
  <si>
    <t>CRM License</t>
  </si>
  <si>
    <t>C004</t>
  </si>
  <si>
    <t>Выполен</t>
  </si>
  <si>
    <t>C017</t>
  </si>
  <si>
    <t>C999</t>
  </si>
  <si>
    <t>C036</t>
  </si>
  <si>
    <t>C013</t>
  </si>
  <si>
    <t>client_name</t>
  </si>
  <si>
    <t>inn</t>
  </si>
  <si>
    <t>city</t>
  </si>
  <si>
    <t>registration_date</t>
  </si>
  <si>
    <t>client_segment</t>
  </si>
  <si>
    <t>Клиент 001</t>
  </si>
  <si>
    <t>7700000001</t>
  </si>
  <si>
    <t>Казань</t>
  </si>
  <si>
    <t>B2C</t>
  </si>
  <si>
    <t>Клиент 002</t>
  </si>
  <si>
    <t>7700000002</t>
  </si>
  <si>
    <t>B2B</t>
  </si>
  <si>
    <t>Клиент 003</t>
  </si>
  <si>
    <t>7700000003</t>
  </si>
  <si>
    <t>Москва</t>
  </si>
  <si>
    <t>Клиент 004</t>
  </si>
  <si>
    <t>7700000004</t>
  </si>
  <si>
    <t>Самара</t>
  </si>
  <si>
    <t>Клиент 005</t>
  </si>
  <si>
    <t>Краснодар</t>
  </si>
  <si>
    <t>Клиент 006</t>
  </si>
  <si>
    <t>7700000006</t>
  </si>
  <si>
    <t>Клиент 007</t>
  </si>
  <si>
    <t>7700000007</t>
  </si>
  <si>
    <t>Санкт-Петербург</t>
  </si>
  <si>
    <t>SMB</t>
  </si>
  <si>
    <t>Клиент 008</t>
  </si>
  <si>
    <t>7700000008</t>
  </si>
  <si>
    <t>Екатеринбург</t>
  </si>
  <si>
    <t>Клиент 009</t>
  </si>
  <si>
    <t>7700000009</t>
  </si>
  <si>
    <t>Клиент 010</t>
  </si>
  <si>
    <t>7700000010</t>
  </si>
  <si>
    <t>Клиент 011</t>
  </si>
  <si>
    <t>7700000011</t>
  </si>
  <si>
    <t>Клиент 012</t>
  </si>
  <si>
    <t>77000012</t>
  </si>
  <si>
    <t>Клиент 013</t>
  </si>
  <si>
    <t>7700000013</t>
  </si>
  <si>
    <t>Enterprise</t>
  </si>
  <si>
    <t>Клиент 014</t>
  </si>
  <si>
    <t>7700000014</t>
  </si>
  <si>
    <t>Клиент 015</t>
  </si>
  <si>
    <t>7700000015</t>
  </si>
  <si>
    <t>Клиент 016</t>
  </si>
  <si>
    <t>7700000016</t>
  </si>
  <si>
    <t>Клиент 017</t>
  </si>
  <si>
    <t>7700000017</t>
  </si>
  <si>
    <t>Клиент 018</t>
  </si>
  <si>
    <t>7700000018</t>
  </si>
  <si>
    <t>Клиент 019</t>
  </si>
  <si>
    <t>7700000019</t>
  </si>
  <si>
    <t>Клиент 020</t>
  </si>
  <si>
    <t>7700000020</t>
  </si>
  <si>
    <t>Клиент 021</t>
  </si>
  <si>
    <t>7700000021</t>
  </si>
  <si>
    <t>C022</t>
  </si>
  <si>
    <t>Клиент 022</t>
  </si>
  <si>
    <t>7700000022</t>
  </si>
  <si>
    <t>Клиент 023</t>
  </si>
  <si>
    <t>7700000023</t>
  </si>
  <si>
    <t>Клиент 024</t>
  </si>
  <si>
    <t>7700000024</t>
  </si>
  <si>
    <t>Клиент 025</t>
  </si>
  <si>
    <t>7700000025</t>
  </si>
  <si>
    <t>Клиент 026</t>
  </si>
  <si>
    <t>7700000026</t>
  </si>
  <si>
    <t>Клиент 027</t>
  </si>
  <si>
    <t>7700000027</t>
  </si>
  <si>
    <t>Клиент 028</t>
  </si>
  <si>
    <t>7700000028</t>
  </si>
  <si>
    <t>Клиент 029</t>
  </si>
  <si>
    <t>7700000029</t>
  </si>
  <si>
    <t>Новосибирск</t>
  </si>
  <si>
    <t>Клиент 030</t>
  </si>
  <si>
    <t>7700000030</t>
  </si>
  <si>
    <t>Клиент 031</t>
  </si>
  <si>
    <t>7700000031</t>
  </si>
  <si>
    <t>Клиент 032</t>
  </si>
  <si>
    <t>7700000032</t>
  </si>
  <si>
    <t>Клиент 033</t>
  </si>
  <si>
    <t>7700000033</t>
  </si>
  <si>
    <t>C034</t>
  </si>
  <si>
    <t>Клиент 034</t>
  </si>
  <si>
    <t>7700000034</t>
  </si>
  <si>
    <t>Клиент 035</t>
  </si>
  <si>
    <t>7700000035</t>
  </si>
  <si>
    <t>Клиент 036</t>
  </si>
  <si>
    <t>7700000036</t>
  </si>
  <si>
    <t>Клиент 037</t>
  </si>
  <si>
    <t>7700000037</t>
  </si>
  <si>
    <t>Клиент 038</t>
  </si>
  <si>
    <t>7700000038</t>
  </si>
  <si>
    <t>Клиент 039</t>
  </si>
  <si>
    <t>7700000039</t>
  </si>
  <si>
    <t>Клиент 040</t>
  </si>
  <si>
    <t>7700000040</t>
  </si>
  <si>
    <t>Клиент 041</t>
  </si>
  <si>
    <t>7700000041</t>
  </si>
  <si>
    <t>Клиент 042</t>
  </si>
  <si>
    <t>7700000042</t>
  </si>
  <si>
    <t>Клиент 043</t>
  </si>
  <si>
    <t>7700000043</t>
  </si>
  <si>
    <t>Клиент 044</t>
  </si>
  <si>
    <t>7700000044</t>
  </si>
  <si>
    <t>C045</t>
  </si>
  <si>
    <t>Клиент 045</t>
  </si>
  <si>
    <t>7700000045</t>
  </si>
  <si>
    <t>Клиент 009 дубль</t>
  </si>
  <si>
    <t>payment_id</t>
  </si>
  <si>
    <t>payment_date</t>
  </si>
  <si>
    <t>payment_sum</t>
  </si>
  <si>
    <t>payment_status</t>
  </si>
  <si>
    <t>P001</t>
  </si>
  <si>
    <t>Не оплачено</t>
  </si>
  <si>
    <t>P002</t>
  </si>
  <si>
    <t>Частично оплачено</t>
  </si>
  <si>
    <t>P003</t>
  </si>
  <si>
    <t>Оплачено</t>
  </si>
  <si>
    <t>P004</t>
  </si>
  <si>
    <t>P005</t>
  </si>
  <si>
    <t>P006</t>
  </si>
  <si>
    <t>P007</t>
  </si>
  <si>
    <t>P008</t>
  </si>
  <si>
    <t>P009</t>
  </si>
  <si>
    <t>P010</t>
  </si>
  <si>
    <t>P011</t>
  </si>
  <si>
    <t>P012</t>
  </si>
  <si>
    <t>P013</t>
  </si>
  <si>
    <t>P014</t>
  </si>
  <si>
    <t>P015</t>
  </si>
  <si>
    <t>P016</t>
  </si>
  <si>
    <t>P017</t>
  </si>
  <si>
    <t>P018</t>
  </si>
  <si>
    <t>P019</t>
  </si>
  <si>
    <t>P020</t>
  </si>
  <si>
    <t>P021</t>
  </si>
  <si>
    <t>P022</t>
  </si>
  <si>
    <t>P023</t>
  </si>
  <si>
    <t>P024</t>
  </si>
  <si>
    <t>P025</t>
  </si>
  <si>
    <t>P026</t>
  </si>
  <si>
    <t>P027</t>
  </si>
  <si>
    <t>P028</t>
  </si>
  <si>
    <t>P029</t>
  </si>
  <si>
    <t>P030</t>
  </si>
  <si>
    <t>P031</t>
  </si>
  <si>
    <t>P032</t>
  </si>
  <si>
    <t>P033</t>
  </si>
  <si>
    <t>P034</t>
  </si>
  <si>
    <t>P035</t>
  </si>
  <si>
    <t>P036</t>
  </si>
  <si>
    <t>P037</t>
  </si>
  <si>
    <t>P038</t>
  </si>
  <si>
    <t>P039</t>
  </si>
  <si>
    <t>P040</t>
  </si>
  <si>
    <t>P041</t>
  </si>
  <si>
    <t>P042</t>
  </si>
  <si>
    <t>P043</t>
  </si>
  <si>
    <t>P044</t>
  </si>
  <si>
    <t>P045</t>
  </si>
  <si>
    <t>P046</t>
  </si>
  <si>
    <t>P047</t>
  </si>
  <si>
    <t>P048</t>
  </si>
  <si>
    <t>P049</t>
  </si>
  <si>
    <t>P050</t>
  </si>
  <si>
    <t>P051</t>
  </si>
  <si>
    <t>P052</t>
  </si>
  <si>
    <t>P053</t>
  </si>
  <si>
    <t>P054</t>
  </si>
  <si>
    <t>P055</t>
  </si>
  <si>
    <t>P056</t>
  </si>
  <si>
    <t>P057</t>
  </si>
  <si>
    <t>P058</t>
  </si>
  <si>
    <t>P059</t>
  </si>
  <si>
    <t>P060</t>
  </si>
  <si>
    <t>P061</t>
  </si>
  <si>
    <t>P062</t>
  </si>
  <si>
    <t>P063</t>
  </si>
  <si>
    <t>P064</t>
  </si>
  <si>
    <t>P065</t>
  </si>
  <si>
    <t>P066</t>
  </si>
  <si>
    <t>P067</t>
  </si>
  <si>
    <t>P068</t>
  </si>
  <si>
    <t>P069</t>
  </si>
  <si>
    <t>P070</t>
  </si>
  <si>
    <t>P071</t>
  </si>
  <si>
    <t>P072</t>
  </si>
  <si>
    <t>P073</t>
  </si>
  <si>
    <t>P074</t>
  </si>
  <si>
    <t>P075</t>
  </si>
  <si>
    <t>P076</t>
  </si>
  <si>
    <t>P077</t>
  </si>
  <si>
    <t>P078</t>
  </si>
  <si>
    <t>P079</t>
  </si>
  <si>
    <t>P080</t>
  </si>
  <si>
    <t>P081</t>
  </si>
  <si>
    <t>P082</t>
  </si>
  <si>
    <t>P083</t>
  </si>
  <si>
    <t>P084</t>
  </si>
  <si>
    <t>P085</t>
  </si>
  <si>
    <t>P086</t>
  </si>
  <si>
    <t>P087</t>
  </si>
  <si>
    <t>P088</t>
  </si>
  <si>
    <t>P089</t>
  </si>
  <si>
    <t>P090</t>
  </si>
  <si>
    <t>P091</t>
  </si>
  <si>
    <t>P092</t>
  </si>
  <si>
    <t>P093</t>
  </si>
  <si>
    <t>P094</t>
  </si>
  <si>
    <t>P095</t>
  </si>
  <si>
    <t>P096</t>
  </si>
  <si>
    <t>P097</t>
  </si>
  <si>
    <t>P098</t>
  </si>
  <si>
    <t>P099</t>
  </si>
  <si>
    <t>P100</t>
  </si>
  <si>
    <t>P101</t>
  </si>
  <si>
    <t>P102</t>
  </si>
  <si>
    <t>P103</t>
  </si>
  <si>
    <t>P104</t>
  </si>
  <si>
    <t>P105</t>
  </si>
  <si>
    <t>P106</t>
  </si>
  <si>
    <t>P107</t>
  </si>
  <si>
    <t>P108</t>
  </si>
  <si>
    <t>P109</t>
  </si>
  <si>
    <t>P110</t>
  </si>
  <si>
    <t>P111</t>
  </si>
  <si>
    <t>P112</t>
  </si>
  <si>
    <t>P113</t>
  </si>
  <si>
    <t>P114</t>
  </si>
  <si>
    <t>P115</t>
  </si>
  <si>
    <t>P116</t>
  </si>
  <si>
    <t>P117</t>
  </si>
  <si>
    <t>P118</t>
  </si>
  <si>
    <t>P119</t>
  </si>
  <si>
    <t>P120</t>
  </si>
  <si>
    <t>entity</t>
  </si>
  <si>
    <t>record_id</t>
  </si>
  <si>
    <t>check_duplicate_id</t>
  </si>
  <si>
    <t>check_empty_required</t>
  </si>
  <si>
    <t>check_reference_exists</t>
  </si>
  <si>
    <t>check_calculation</t>
  </si>
  <si>
    <t>check_negative_price</t>
  </si>
  <si>
    <t>check_future_date</t>
  </si>
  <si>
    <t>check_status</t>
  </si>
  <si>
    <t>error_count</t>
  </si>
  <si>
    <t>comment</t>
  </si>
  <si>
    <t>source_row</t>
  </si>
  <si>
    <t>error_type</t>
  </si>
  <si>
    <t>criticality</t>
  </si>
  <si>
    <t>source_field</t>
  </si>
  <si>
    <t>recommendation</t>
  </si>
  <si>
    <t>Order</t>
  </si>
  <si>
    <t>Дубль</t>
  </si>
  <si>
    <t>Low</t>
  </si>
  <si>
    <t>Проверить источник дубля и оставить одну корректную запись.</t>
  </si>
  <si>
    <t>Пустое поле</t>
  </si>
  <si>
    <t>Medium</t>
  </si>
  <si>
    <t>Заполнить обязательное поле или вернуть запись ответственному.</t>
  </si>
  <si>
    <t>Нет связи</t>
  </si>
  <si>
    <t>High</t>
  </si>
  <si>
    <t>Проверить справочник и восстановить связь между таблицами.</t>
  </si>
  <si>
    <t>Ошибка расчета</t>
  </si>
  <si>
    <t>Пересчитать сумму и сверить количество, цену и оплату.</t>
  </si>
  <si>
    <t>Отрицательная цена</t>
  </si>
  <si>
    <t>Проверить цену в первичной системе.</t>
  </si>
  <si>
    <t>Дата</t>
  </si>
  <si>
    <t>Проверить дату документа и порядок событий.</t>
  </si>
  <si>
    <t>Статус</t>
  </si>
  <si>
    <t>Исправить значение по утвержденному справочнику статусов.</t>
  </si>
  <si>
    <t>Client</t>
  </si>
  <si>
    <t>Payment</t>
  </si>
  <si>
    <t>Сводка по качеству данных и отчетности</t>
  </si>
  <si>
    <t>Показатель</t>
  </si>
  <si>
    <t>Значение</t>
  </si>
  <si>
    <t>Всего заказов</t>
  </si>
  <si>
    <t>Сумма заказов</t>
  </si>
  <si>
    <t>Всего клиентов</t>
  </si>
  <si>
    <t>Всего оплат</t>
  </si>
  <si>
    <t>Всего найдено ошибок</t>
  </si>
  <si>
    <t>Доля записей с ошибками</t>
  </si>
  <si>
    <t>Количество заказов</t>
  </si>
  <si>
    <t>Опечатка/прочее</t>
  </si>
  <si>
    <t>Тип ошибки</t>
  </si>
  <si>
    <t>Количество</t>
  </si>
  <si>
    <t>Месяц</t>
  </si>
  <si>
    <t>Январь</t>
  </si>
  <si>
    <t>Февраль</t>
  </si>
  <si>
    <t>Март</t>
  </si>
  <si>
    <t>Апрель</t>
  </si>
  <si>
    <t>Май</t>
  </si>
  <si>
    <t>Объект</t>
  </si>
  <si>
    <t>Количество ошибок</t>
  </si>
  <si>
    <t>Дашборд: контроль качества данных из 1С</t>
  </si>
  <si>
    <t>Критичные ошибки</t>
  </si>
  <si>
    <t>Клиенты</t>
  </si>
  <si>
    <t>Оплаты</t>
  </si>
  <si>
    <t>Главный риск</t>
  </si>
  <si>
    <t>План действий по исправлению ошибок</t>
  </si>
  <si>
    <t>Приоритет</t>
  </si>
  <si>
    <t>Проблема</t>
  </si>
  <si>
    <t>Действие</t>
  </si>
  <si>
    <t>Ответственный</t>
  </si>
  <si>
    <t>Ожидаемый эффект</t>
  </si>
  <si>
    <t>Нет связи между таблицами</t>
  </si>
  <si>
    <t>Проверить отсутствующие client_id/order_id и обновить справочники</t>
  </si>
  <si>
    <t>Аналитик + владелец 1С</t>
  </si>
  <si>
    <t>Корректные связи в отчетности</t>
  </si>
  <si>
    <t>Запланировано</t>
  </si>
  <si>
    <t>Ошибки расчета</t>
  </si>
  <si>
    <t>Сверить суммы заказов и оплат с первичными документами</t>
  </si>
  <si>
    <t>Аналитик</t>
  </si>
  <si>
    <t>Снижение риска неверных финансовых показателей</t>
  </si>
  <si>
    <t>Некорректные даты и статусы</t>
  </si>
  <si>
    <t>Исправить даты документов и статусы по справочнику</t>
  </si>
  <si>
    <t>Операционная команда</t>
  </si>
  <si>
    <t>Корректная динамика и воронка заказов</t>
  </si>
  <si>
    <t>Пустые обязательные поля</t>
  </si>
  <si>
    <t>Вернуть записи на дозаполнение ответственным</t>
  </si>
  <si>
    <t>Менеджеры</t>
  </si>
  <si>
    <t>Полная карточка клиента/заказа</t>
  </si>
  <si>
    <t>Дубли</t>
  </si>
  <si>
    <t>Определить актуальную запись и удалить или объединить дубль</t>
  </si>
  <si>
    <t>Чистые справочники и отсутствие двойного учета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</si>
</sst>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0.0%"/>
  </numFmts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2" xfId="0" applyBorder="1"/>
    <xf numFmtId="164" fontId="0" fillId="0" borderId="2" xfId="0" applyNumberFormat="1" applyBorder="1"/>
    <xf numFmtId="165" fontId="0" fillId="0" borderId="2" xfId="0" applyNumberFormat="1" applyBorder="1"/>
    <xf numFmtId="0" fontId="0" fillId="0" borderId="2" xfId="0" applyBorder="1" applyAlignment="1">
      <alignment vertical="top" wrapText="1"/>
    </xf>
    <xf numFmtId="0" fontId="2" fillId="2" borderId="0" xfId="0" applyFont="1" applyFill="1" applyAlignment="1">
      <alignment horizontal="center" vertical="center"/>
    </xf>
    <xf numFmtId="166" fontId="0" fillId="0" borderId="2" xfId="0" applyNumberFormat="1" applyBorder="1"/>
    <xf numFmtId="0" fontId="0" fillId="3" borderId="2" xfId="0" applyFill="1" applyBorder="1"/>
  </cellXfs>
  <cellStyles count="1">
    <cellStyle name="Normal" xfId="0" builtinId="0"/>
  </cellStyles>
  <dxfs count="1">
    <dxf>
      <font>
        <b/>
        <color rgb="FFC00000"/>
      </font>
      <fill>
        <patternFill>
          <bgColor rgb="FFF4CCCC"/>
        </patternFill>
      </fill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Сумма заказов по месяцам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marker>
            <c:symbol val="none"/>
          </c:marker>
          <c:cat>
            <c:numRef>
              <c:f>07_dashboard!$A$9:$A$13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cat>
          <c:val>
            <c:numRef>
              <c:f>07_dashboard!$B$9:$B$13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Ошибки по типам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cat>
            <c:numRef>
              <c:f>07_dashboard!$D$9:$D$15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cat>
          <c:val>
            <c:numRef>
              <c:f>07_dashboard!$E$9:$E$15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l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b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Статусы заказов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cat>
            <c:numRef>
              <c:f>07_dashboard!$G$9:$G$13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cat>
          <c:val>
            <c:numRef>
              <c:f>07_dashboard!$H$9:$H$13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Ошибки по объектам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cat>
            <c:numRef>
              <c:f>07_dashboard!$A$32:$A$34</c:f>
              <c:numCache>
                <c:formatCode>General</c:formatCode>
                <c:ptCount val="3"/>
                <c:pt idx="1">
                  <c:v>0</c:v>
                </c:pt>
                <c:pt idx="2">
                  <c:v>0</c:v>
                </c:pt>
              </c:numCache>
            </c:numRef>
          </c:cat>
          <c:val>
            <c:numRef>
              <c:f>07_dashboard!$B$32:$B$34</c:f>
              <c:numCache>
                <c:formatCode>General</c:formatCode>
                <c:ptCount val="3"/>
                <c:pt idx="1">
                  <c:v>0</c:v>
                </c:pt>
                <c:pt idx="2">
                  <c:v>0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numFmt formatCode="General" sourceLinked="1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2</xdr:row>
      <xdr:rowOff>0</xdr:rowOff>
    </xdr:from>
    <xdr:to>
      <xdr:col>14</xdr:col>
      <xdr:colOff>352425</xdr:colOff>
      <xdr:row>18</xdr:row>
      <xdr:rowOff>104775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15</xdr:row>
      <xdr:rowOff>0</xdr:rowOff>
    </xdr:from>
    <xdr:to>
      <xdr:col>6</xdr:col>
      <xdr:colOff>0</xdr:colOff>
      <xdr:row>31</xdr:row>
      <xdr:rowOff>104775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15</xdr:row>
      <xdr:rowOff>0</xdr:rowOff>
    </xdr:from>
    <xdr:to>
      <xdr:col>13</xdr:col>
      <xdr:colOff>333375</xdr:colOff>
      <xdr:row>31</xdr:row>
      <xdr:rowOff>104775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30</xdr:row>
      <xdr:rowOff>0</xdr:rowOff>
    </xdr:from>
    <xdr:to>
      <xdr:col>13</xdr:col>
      <xdr:colOff>647700</xdr:colOff>
      <xdr:row>44</xdr:row>
      <xdr:rowOff>76200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161"/>
  <sheetViews>
    <sheetView showGridLines="0" tabSelected="1" workbookViewId="0">
      <pane ySplit="1" topLeftCell="A2" activePane="bottomLeft" state="frozen"/>
      <selection pane="bottomLeft"/>
    </sheetView>
  </sheetViews>
  <sheetFormatPr defaultRowHeight="15"/>
  <cols>
    <col min="1" max="1" width="11.7109375" customWidth="1"/>
    <col min="2" max="2" width="13.7109375" customWidth="1"/>
    <col min="3" max="3" width="11.7109375" customWidth="1"/>
    <col min="4" max="4" width="14.7109375" customWidth="1"/>
    <col min="5" max="5" width="18.7109375" customWidth="1"/>
    <col min="6" max="6" width="21.7109375" customWidth="1"/>
    <col min="7" max="7" width="11.7109375" customWidth="1"/>
    <col min="8" max="8" width="12.7109375" customWidth="1"/>
    <col min="9" max="9" width="14.7109375" customWidth="1"/>
    <col min="10" max="10" width="16.7109375" customWidth="1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>
      <c r="A2" s="2">
        <v>1001</v>
      </c>
      <c r="B2" s="3">
        <v>46115</v>
      </c>
      <c r="C2" s="2" t="s">
        <v>10</v>
      </c>
      <c r="D2" s="2" t="s">
        <v>11</v>
      </c>
      <c r="E2" s="2" t="s">
        <v>12</v>
      </c>
      <c r="F2" s="2" t="s">
        <v>13</v>
      </c>
      <c r="G2" s="4">
        <v>1</v>
      </c>
      <c r="H2" s="4">
        <v>12000</v>
      </c>
      <c r="I2" s="4">
        <v>12000</v>
      </c>
      <c r="J2" s="2" t="s">
        <v>14</v>
      </c>
    </row>
    <row r="3" spans="1:10">
      <c r="A3" s="2">
        <v>1002</v>
      </c>
      <c r="B3" s="3">
        <v>46153</v>
      </c>
      <c r="C3" s="2" t="s">
        <v>15</v>
      </c>
      <c r="D3" s="2" t="s">
        <v>16</v>
      </c>
      <c r="E3" s="2" t="s">
        <v>17</v>
      </c>
      <c r="F3" s="2" t="s">
        <v>18</v>
      </c>
      <c r="G3" s="4">
        <v>5</v>
      </c>
      <c r="H3" s="4">
        <v>55000</v>
      </c>
      <c r="I3" s="4">
        <v>275000</v>
      </c>
      <c r="J3" s="2" t="s">
        <v>19</v>
      </c>
    </row>
    <row r="4" spans="1:10">
      <c r="A4" s="2">
        <v>1003</v>
      </c>
      <c r="B4" s="3">
        <v>46164</v>
      </c>
      <c r="C4" s="2" t="s">
        <v>20</v>
      </c>
      <c r="D4" s="2" t="s">
        <v>21</v>
      </c>
      <c r="E4" s="2" t="s">
        <v>22</v>
      </c>
      <c r="F4" s="2" t="s">
        <v>23</v>
      </c>
      <c r="G4" s="4">
        <v>6</v>
      </c>
      <c r="H4" s="4">
        <v>8900</v>
      </c>
      <c r="I4" s="4">
        <v>53400</v>
      </c>
      <c r="J4" s="2" t="s">
        <v>19</v>
      </c>
    </row>
    <row r="5" spans="1:10">
      <c r="A5" s="2">
        <v>1004</v>
      </c>
      <c r="B5" s="3">
        <v>46047</v>
      </c>
      <c r="C5" s="2" t="s">
        <v>15</v>
      </c>
      <c r="D5" s="2" t="s">
        <v>11</v>
      </c>
      <c r="E5" s="2" t="s">
        <v>12</v>
      </c>
      <c r="F5" s="2" t="s">
        <v>24</v>
      </c>
      <c r="G5" s="4">
        <v>6</v>
      </c>
      <c r="H5" s="4">
        <v>72000</v>
      </c>
      <c r="I5" s="4">
        <v>432000</v>
      </c>
      <c r="J5" s="2" t="s">
        <v>14</v>
      </c>
    </row>
    <row r="6" spans="1:10">
      <c r="A6" s="2">
        <v>1005</v>
      </c>
      <c r="B6" s="3">
        <v>46100</v>
      </c>
      <c r="C6" s="2" t="s">
        <v>25</v>
      </c>
      <c r="D6" s="2" t="s">
        <v>26</v>
      </c>
      <c r="E6" s="2" t="s">
        <v>12</v>
      </c>
      <c r="F6" s="2" t="s">
        <v>27</v>
      </c>
      <c r="G6" s="4">
        <v>3</v>
      </c>
      <c r="H6" s="4">
        <v>4500</v>
      </c>
      <c r="I6" s="4">
        <v>13500</v>
      </c>
      <c r="J6" s="2" t="s">
        <v>28</v>
      </c>
    </row>
    <row r="7" spans="1:10">
      <c r="A7" s="2">
        <v>1006</v>
      </c>
      <c r="B7" s="3">
        <v>46153</v>
      </c>
      <c r="C7" s="2" t="s">
        <v>29</v>
      </c>
      <c r="D7" s="2" t="s">
        <v>30</v>
      </c>
      <c r="E7" s="2" t="s">
        <v>17</v>
      </c>
      <c r="F7" s="2" t="s">
        <v>31</v>
      </c>
      <c r="G7" s="4">
        <v>2</v>
      </c>
      <c r="H7" s="4">
        <v>12000</v>
      </c>
      <c r="I7" s="4">
        <v>24000</v>
      </c>
      <c r="J7" s="2" t="s">
        <v>19</v>
      </c>
    </row>
    <row r="8" spans="1:10">
      <c r="A8" s="2">
        <v>1007</v>
      </c>
      <c r="B8" s="3">
        <v>46131</v>
      </c>
      <c r="C8" s="2" t="s">
        <v>32</v>
      </c>
      <c r="D8" s="2" t="s">
        <v>11</v>
      </c>
      <c r="E8" s="2" t="s">
        <v>33</v>
      </c>
      <c r="F8" s="2" t="s">
        <v>34</v>
      </c>
      <c r="G8" s="4">
        <v>2</v>
      </c>
      <c r="H8" s="4">
        <v>4500</v>
      </c>
      <c r="I8" s="4">
        <v>9000</v>
      </c>
      <c r="J8" s="2" t="s">
        <v>28</v>
      </c>
    </row>
    <row r="9" spans="1:10">
      <c r="A9" s="2">
        <v>1007</v>
      </c>
      <c r="B9" s="3">
        <v>46101</v>
      </c>
      <c r="C9" s="2" t="s">
        <v>35</v>
      </c>
      <c r="D9" s="2" t="s">
        <v>11</v>
      </c>
      <c r="E9" s="2" t="s">
        <v>36</v>
      </c>
      <c r="F9" s="2" t="s">
        <v>37</v>
      </c>
      <c r="G9" s="4">
        <v>1</v>
      </c>
      <c r="H9" s="4">
        <v>55000</v>
      </c>
      <c r="I9" s="4">
        <v>55000</v>
      </c>
      <c r="J9" s="2" t="s">
        <v>19</v>
      </c>
    </row>
    <row r="10" spans="1:10">
      <c r="A10" s="2">
        <v>1009</v>
      </c>
      <c r="B10" s="3">
        <v>46111</v>
      </c>
      <c r="C10" s="2" t="s">
        <v>38</v>
      </c>
      <c r="D10" s="2" t="s">
        <v>16</v>
      </c>
      <c r="E10" s="2" t="s">
        <v>17</v>
      </c>
      <c r="F10" s="2" t="s">
        <v>39</v>
      </c>
      <c r="G10" s="4">
        <v>6</v>
      </c>
      <c r="H10" s="4">
        <v>55000</v>
      </c>
      <c r="I10" s="4">
        <v>330000</v>
      </c>
      <c r="J10" s="2" t="s">
        <v>14</v>
      </c>
    </row>
    <row r="11" spans="1:10">
      <c r="A11" s="2">
        <v>1010</v>
      </c>
      <c r="B11" s="3">
        <v>46108</v>
      </c>
      <c r="C11" s="2" t="s">
        <v>40</v>
      </c>
      <c r="D11" s="2" t="s">
        <v>26</v>
      </c>
      <c r="E11" s="2" t="s">
        <v>33</v>
      </c>
      <c r="F11" s="2" t="s">
        <v>41</v>
      </c>
      <c r="G11" s="4">
        <v>5</v>
      </c>
      <c r="H11" s="4">
        <v>72000</v>
      </c>
      <c r="I11" s="4">
        <v>360000</v>
      </c>
      <c r="J11" s="2" t="s">
        <v>28</v>
      </c>
    </row>
    <row r="12" spans="1:10">
      <c r="A12" s="2">
        <v>1011</v>
      </c>
      <c r="B12" s="3">
        <v>46084</v>
      </c>
      <c r="C12" s="2" t="s">
        <v>42</v>
      </c>
      <c r="D12" s="2" t="s">
        <v>43</v>
      </c>
      <c r="E12" s="2" t="s">
        <v>12</v>
      </c>
      <c r="F12" s="2" t="s">
        <v>27</v>
      </c>
      <c r="G12" s="4">
        <v>6</v>
      </c>
      <c r="H12" s="4">
        <v>4500</v>
      </c>
      <c r="I12" s="4">
        <v>27000</v>
      </c>
      <c r="J12" s="2" t="s">
        <v>28</v>
      </c>
    </row>
    <row r="13" spans="1:10">
      <c r="A13" s="2">
        <v>1012</v>
      </c>
      <c r="B13" s="3">
        <v>46170</v>
      </c>
      <c r="C13" s="2" t="s">
        <v>42</v>
      </c>
      <c r="D13" s="2" t="s">
        <v>21</v>
      </c>
      <c r="E13" s="2" t="s">
        <v>12</v>
      </c>
      <c r="F13" s="2" t="s">
        <v>13</v>
      </c>
      <c r="G13" s="4">
        <v>6</v>
      </c>
      <c r="H13" s="4">
        <v>39000</v>
      </c>
      <c r="I13" s="4">
        <v>234000</v>
      </c>
      <c r="J13" s="2" t="s">
        <v>28</v>
      </c>
    </row>
    <row r="14" spans="1:10">
      <c r="A14" s="2">
        <v>1013</v>
      </c>
      <c r="B14" s="3">
        <v>46057</v>
      </c>
      <c r="C14" s="2" t="s">
        <v>40</v>
      </c>
      <c r="D14" s="2" t="s">
        <v>43</v>
      </c>
      <c r="E14" s="2" t="s">
        <v>22</v>
      </c>
      <c r="F14" s="2" t="s">
        <v>44</v>
      </c>
      <c r="G14" s="4">
        <v>6</v>
      </c>
      <c r="H14" s="4">
        <v>72000</v>
      </c>
      <c r="I14" s="4">
        <v>432000</v>
      </c>
      <c r="J14" s="2" t="s">
        <v>14</v>
      </c>
    </row>
    <row r="15" spans="1:10">
      <c r="A15" s="2">
        <v>1014</v>
      </c>
      <c r="B15" s="3">
        <v>46145</v>
      </c>
      <c r="C15" s="2" t="s">
        <v>45</v>
      </c>
      <c r="D15" s="2" t="s">
        <v>30</v>
      </c>
      <c r="E15" s="2" t="s">
        <v>12</v>
      </c>
      <c r="F15" s="2" t="s">
        <v>46</v>
      </c>
      <c r="G15" s="4">
        <v>6</v>
      </c>
      <c r="H15" s="4">
        <v>72000</v>
      </c>
      <c r="I15" s="4">
        <v>432000</v>
      </c>
      <c r="J15" s="2" t="s">
        <v>19</v>
      </c>
    </row>
    <row r="16" spans="1:10">
      <c r="A16" s="2">
        <v>1015</v>
      </c>
      <c r="B16" s="3">
        <v>46092</v>
      </c>
      <c r="C16" s="2" t="s">
        <v>47</v>
      </c>
      <c r="D16" s="2" t="s">
        <v>16</v>
      </c>
      <c r="E16" s="2" t="s">
        <v>33</v>
      </c>
      <c r="F16" s="2" t="s">
        <v>34</v>
      </c>
      <c r="G16" s="4">
        <v>5</v>
      </c>
      <c r="H16" s="4">
        <v>12000</v>
      </c>
      <c r="I16" s="4">
        <v>60000</v>
      </c>
      <c r="J16" s="2" t="s">
        <v>48</v>
      </c>
    </row>
    <row r="17" spans="1:10">
      <c r="A17" s="2">
        <v>1016</v>
      </c>
      <c r="B17" s="3">
        <v>46134</v>
      </c>
      <c r="C17" s="2"/>
      <c r="D17" s="2" t="s">
        <v>26</v>
      </c>
      <c r="E17" s="2" t="s">
        <v>17</v>
      </c>
      <c r="F17" s="2" t="s">
        <v>18</v>
      </c>
      <c r="G17" s="4">
        <v>6</v>
      </c>
      <c r="H17" s="4">
        <v>72000</v>
      </c>
      <c r="I17" s="4">
        <v>432000</v>
      </c>
      <c r="J17" s="2" t="s">
        <v>19</v>
      </c>
    </row>
    <row r="18" spans="1:10">
      <c r="A18" s="2">
        <v>1017</v>
      </c>
      <c r="B18" s="3">
        <v>46091</v>
      </c>
      <c r="C18" s="2" t="s">
        <v>49</v>
      </c>
      <c r="D18" s="2" t="s">
        <v>11</v>
      </c>
      <c r="E18" s="2" t="s">
        <v>36</v>
      </c>
      <c r="F18" s="2" t="s">
        <v>50</v>
      </c>
      <c r="G18" s="4">
        <v>3</v>
      </c>
      <c r="H18" s="4">
        <v>8900</v>
      </c>
      <c r="I18" s="4">
        <v>26700</v>
      </c>
      <c r="J18" s="2" t="s">
        <v>28</v>
      </c>
    </row>
    <row r="19" spans="1:10">
      <c r="A19" s="2">
        <v>1018</v>
      </c>
      <c r="B19" s="3">
        <v>46116</v>
      </c>
      <c r="C19" s="2" t="s">
        <v>51</v>
      </c>
      <c r="D19" s="2" t="s">
        <v>21</v>
      </c>
      <c r="E19" s="2" t="s">
        <v>22</v>
      </c>
      <c r="F19" s="2" t="s">
        <v>44</v>
      </c>
      <c r="G19" s="4">
        <v>4</v>
      </c>
      <c r="H19" s="4">
        <v>72000</v>
      </c>
      <c r="I19" s="4">
        <v>288000</v>
      </c>
      <c r="J19" s="2" t="s">
        <v>14</v>
      </c>
    </row>
    <row r="20" spans="1:10">
      <c r="A20" s="2">
        <v>1019</v>
      </c>
      <c r="B20" s="3">
        <v>46172</v>
      </c>
      <c r="C20" s="2" t="s">
        <v>51</v>
      </c>
      <c r="D20" s="2" t="s">
        <v>16</v>
      </c>
      <c r="E20" s="2" t="s">
        <v>36</v>
      </c>
      <c r="F20" s="2" t="s">
        <v>37</v>
      </c>
      <c r="G20" s="4">
        <v>3</v>
      </c>
      <c r="H20" s="4">
        <v>55000</v>
      </c>
      <c r="I20" s="4">
        <v>165000</v>
      </c>
      <c r="J20" s="2" t="s">
        <v>28</v>
      </c>
    </row>
    <row r="21" spans="1:10">
      <c r="A21" s="2">
        <v>1020</v>
      </c>
      <c r="B21" s="3">
        <v>46038</v>
      </c>
      <c r="C21" s="2" t="s">
        <v>52</v>
      </c>
      <c r="D21" s="2" t="s">
        <v>16</v>
      </c>
      <c r="E21" s="2" t="s">
        <v>17</v>
      </c>
      <c r="F21" s="2" t="s">
        <v>31</v>
      </c>
      <c r="G21" s="4">
        <v>5</v>
      </c>
      <c r="H21" s="4">
        <v>4500</v>
      </c>
      <c r="I21" s="4">
        <v>22500</v>
      </c>
      <c r="J21" s="2" t="s">
        <v>19</v>
      </c>
    </row>
    <row r="22" spans="1:10">
      <c r="A22" s="2">
        <v>1021</v>
      </c>
      <c r="B22" s="3">
        <v>46164</v>
      </c>
      <c r="C22" s="2" t="s">
        <v>53</v>
      </c>
      <c r="D22" s="2" t="s">
        <v>11</v>
      </c>
      <c r="E22" s="2" t="s">
        <v>17</v>
      </c>
      <c r="F22" s="2" t="s">
        <v>18</v>
      </c>
      <c r="G22" s="4">
        <v>4</v>
      </c>
      <c r="H22" s="4">
        <v>39000</v>
      </c>
      <c r="I22" s="4">
        <v>156000</v>
      </c>
      <c r="J22" s="2" t="s">
        <v>48</v>
      </c>
    </row>
    <row r="23" spans="1:10">
      <c r="A23" s="2">
        <v>1022</v>
      </c>
      <c r="B23" s="3">
        <v>46043</v>
      </c>
      <c r="C23" s="2" t="s">
        <v>20</v>
      </c>
      <c r="D23" s="2" t="s">
        <v>43</v>
      </c>
      <c r="E23" s="2" t="s">
        <v>17</v>
      </c>
      <c r="F23" s="2" t="s">
        <v>31</v>
      </c>
      <c r="G23" s="4">
        <v>1</v>
      </c>
      <c r="H23" s="4">
        <v>55000</v>
      </c>
      <c r="I23" s="4">
        <v>55000</v>
      </c>
      <c r="J23" s="2" t="s">
        <v>19</v>
      </c>
    </row>
    <row r="24" spans="1:10">
      <c r="A24" s="2">
        <v>1023</v>
      </c>
      <c r="B24" s="3">
        <v>46133</v>
      </c>
      <c r="C24" s="2" t="s">
        <v>54</v>
      </c>
      <c r="D24" s="2" t="s">
        <v>21</v>
      </c>
      <c r="E24" s="2" t="s">
        <v>17</v>
      </c>
      <c r="F24" s="2" t="s">
        <v>55</v>
      </c>
      <c r="G24" s="4">
        <v>1</v>
      </c>
      <c r="H24" s="4">
        <v>72000</v>
      </c>
      <c r="I24" s="4">
        <v>72000</v>
      </c>
      <c r="J24" s="2" t="s">
        <v>28</v>
      </c>
    </row>
    <row r="25" spans="1:10">
      <c r="A25" s="2">
        <v>1024</v>
      </c>
      <c r="B25" s="3">
        <v>46105</v>
      </c>
      <c r="C25" s="2" t="s">
        <v>51</v>
      </c>
      <c r="D25" s="2" t="s">
        <v>16</v>
      </c>
      <c r="E25" s="2" t="s">
        <v>12</v>
      </c>
      <c r="F25" s="2" t="s">
        <v>24</v>
      </c>
      <c r="G25" s="4">
        <v>2</v>
      </c>
      <c r="H25" s="4">
        <v>12000</v>
      </c>
      <c r="I25" s="4">
        <v>24000</v>
      </c>
      <c r="J25" s="2" t="s">
        <v>48</v>
      </c>
    </row>
    <row r="26" spans="1:10">
      <c r="A26" s="2">
        <v>1025</v>
      </c>
      <c r="B26" s="3">
        <v>46173</v>
      </c>
      <c r="C26" s="2" t="s">
        <v>56</v>
      </c>
      <c r="D26" s="2" t="s">
        <v>11</v>
      </c>
      <c r="E26" s="2" t="s">
        <v>36</v>
      </c>
      <c r="F26" s="2" t="s">
        <v>37</v>
      </c>
      <c r="G26" s="4">
        <v>4</v>
      </c>
      <c r="H26" s="4">
        <v>24000</v>
      </c>
      <c r="I26" s="4">
        <v>96000</v>
      </c>
      <c r="J26" s="2" t="s">
        <v>28</v>
      </c>
    </row>
    <row r="27" spans="1:10">
      <c r="A27" s="2">
        <v>1026</v>
      </c>
      <c r="B27" s="3">
        <v>46117</v>
      </c>
      <c r="C27" s="2" t="s">
        <v>57</v>
      </c>
      <c r="D27" s="2" t="s">
        <v>11</v>
      </c>
      <c r="E27" s="2" t="s">
        <v>12</v>
      </c>
      <c r="F27" s="2" t="s">
        <v>27</v>
      </c>
      <c r="G27" s="4">
        <v>4</v>
      </c>
      <c r="H27" s="4">
        <v>12000</v>
      </c>
      <c r="I27" s="4">
        <v>48000</v>
      </c>
      <c r="J27" s="2" t="s">
        <v>14</v>
      </c>
    </row>
    <row r="28" spans="1:10">
      <c r="A28" s="2">
        <v>1027</v>
      </c>
      <c r="B28" s="3">
        <v>46034</v>
      </c>
      <c r="C28" s="2" t="s">
        <v>45</v>
      </c>
      <c r="D28" s="2" t="s">
        <v>43</v>
      </c>
      <c r="E28" s="2" t="s">
        <v>33</v>
      </c>
      <c r="F28" s="2" t="s">
        <v>41</v>
      </c>
      <c r="G28" s="4">
        <v>4</v>
      </c>
      <c r="H28" s="4">
        <v>4500</v>
      </c>
      <c r="I28" s="4">
        <v>18000</v>
      </c>
      <c r="J28" s="2" t="s">
        <v>48</v>
      </c>
    </row>
    <row r="29" spans="1:10">
      <c r="A29" s="2">
        <v>1028</v>
      </c>
      <c r="B29" s="3">
        <v>46123</v>
      </c>
      <c r="C29" s="2" t="s">
        <v>58</v>
      </c>
      <c r="D29" s="2" t="s">
        <v>26</v>
      </c>
      <c r="E29" s="2" t="s">
        <v>22</v>
      </c>
      <c r="F29" s="2" t="s">
        <v>59</v>
      </c>
      <c r="G29" s="4">
        <v>1</v>
      </c>
      <c r="H29" s="4">
        <v>55000</v>
      </c>
      <c r="I29" s="4">
        <v>55000</v>
      </c>
      <c r="J29" s="2" t="s">
        <v>28</v>
      </c>
    </row>
    <row r="30" spans="1:10">
      <c r="A30" s="2">
        <v>1029</v>
      </c>
      <c r="B30" s="3">
        <v>46111</v>
      </c>
      <c r="C30" s="2" t="s">
        <v>60</v>
      </c>
      <c r="D30" s="2"/>
      <c r="E30" s="2" t="s">
        <v>33</v>
      </c>
      <c r="F30" s="2" t="s">
        <v>61</v>
      </c>
      <c r="G30" s="4">
        <v>4</v>
      </c>
      <c r="H30" s="4">
        <v>55000</v>
      </c>
      <c r="I30" s="4">
        <v>220000</v>
      </c>
      <c r="J30" s="2" t="s">
        <v>48</v>
      </c>
    </row>
    <row r="31" spans="1:10">
      <c r="A31" s="2">
        <v>1030</v>
      </c>
      <c r="B31" s="3">
        <v>46103</v>
      </c>
      <c r="C31" s="2" t="s">
        <v>62</v>
      </c>
      <c r="D31" s="2" t="s">
        <v>43</v>
      </c>
      <c r="E31" s="2" t="s">
        <v>36</v>
      </c>
      <c r="F31" s="2" t="s">
        <v>50</v>
      </c>
      <c r="G31" s="4">
        <v>4</v>
      </c>
      <c r="H31" s="4">
        <v>8900</v>
      </c>
      <c r="I31" s="4">
        <v>35600</v>
      </c>
      <c r="J31" s="2" t="s">
        <v>28</v>
      </c>
    </row>
    <row r="32" spans="1:10">
      <c r="A32" s="2">
        <v>1031</v>
      </c>
      <c r="B32" s="3">
        <v>46027</v>
      </c>
      <c r="C32" s="2" t="s">
        <v>63</v>
      </c>
      <c r="D32" s="2" t="s">
        <v>11</v>
      </c>
      <c r="E32" s="2" t="s">
        <v>33</v>
      </c>
      <c r="F32" s="2" t="s">
        <v>61</v>
      </c>
      <c r="G32" s="4">
        <v>4</v>
      </c>
      <c r="H32" s="4">
        <v>4500</v>
      </c>
      <c r="I32" s="4">
        <v>18000</v>
      </c>
      <c r="J32" s="2" t="s">
        <v>28</v>
      </c>
    </row>
    <row r="33" spans="1:10">
      <c r="A33" s="2">
        <v>1032</v>
      </c>
      <c r="B33" s="3">
        <v>46055</v>
      </c>
      <c r="C33" s="2" t="s">
        <v>64</v>
      </c>
      <c r="D33" s="2" t="s">
        <v>21</v>
      </c>
      <c r="E33" s="2" t="s">
        <v>22</v>
      </c>
      <c r="F33" s="2" t="s">
        <v>23</v>
      </c>
      <c r="G33" s="4">
        <v>6</v>
      </c>
      <c r="H33" s="4">
        <v>39000</v>
      </c>
      <c r="I33" s="4">
        <v>234000</v>
      </c>
      <c r="J33" s="2" t="s">
        <v>14</v>
      </c>
    </row>
    <row r="34" spans="1:10">
      <c r="A34" s="2">
        <v>1033</v>
      </c>
      <c r="B34" s="3">
        <v>46067</v>
      </c>
      <c r="C34" s="2" t="s">
        <v>42</v>
      </c>
      <c r="D34" s="2" t="s">
        <v>43</v>
      </c>
      <c r="E34" s="2" t="s">
        <v>33</v>
      </c>
      <c r="F34" s="2" t="s">
        <v>65</v>
      </c>
      <c r="G34" s="4">
        <v>5</v>
      </c>
      <c r="H34" s="4">
        <v>12000</v>
      </c>
      <c r="I34" s="4">
        <v>60000</v>
      </c>
      <c r="J34" s="2" t="s">
        <v>19</v>
      </c>
    </row>
    <row r="35" spans="1:10">
      <c r="A35" s="2">
        <v>1034</v>
      </c>
      <c r="B35" s="3">
        <v>46085</v>
      </c>
      <c r="C35" s="2" t="s">
        <v>63</v>
      </c>
      <c r="D35" s="2" t="s">
        <v>11</v>
      </c>
      <c r="E35" s="2" t="s">
        <v>12</v>
      </c>
      <c r="F35" s="2" t="s">
        <v>24</v>
      </c>
      <c r="G35" s="4">
        <v>6</v>
      </c>
      <c r="H35" s="4">
        <v>8900</v>
      </c>
      <c r="I35" s="4">
        <v>53400</v>
      </c>
      <c r="J35" s="2" t="s">
        <v>19</v>
      </c>
    </row>
    <row r="36" spans="1:10">
      <c r="A36" s="2">
        <v>1035</v>
      </c>
      <c r="B36" s="3">
        <v>46062</v>
      </c>
      <c r="C36" s="2" t="s">
        <v>66</v>
      </c>
      <c r="D36" s="2" t="s">
        <v>21</v>
      </c>
      <c r="E36" s="2" t="s">
        <v>12</v>
      </c>
      <c r="F36" s="2" t="s">
        <v>46</v>
      </c>
      <c r="G36" s="4">
        <v>3</v>
      </c>
      <c r="H36" s="4">
        <v>24000</v>
      </c>
      <c r="I36" s="4">
        <v>72000</v>
      </c>
      <c r="J36" s="2" t="s">
        <v>48</v>
      </c>
    </row>
    <row r="37" spans="1:10">
      <c r="A37" s="2">
        <v>1036</v>
      </c>
      <c r="B37" s="3">
        <v>46035</v>
      </c>
      <c r="C37" s="2" t="s">
        <v>67</v>
      </c>
      <c r="D37" s="2" t="s">
        <v>43</v>
      </c>
      <c r="E37" s="2" t="s">
        <v>12</v>
      </c>
      <c r="F37" s="2" t="s">
        <v>27</v>
      </c>
      <c r="G37" s="4">
        <v>5</v>
      </c>
      <c r="H37" s="4">
        <v>8900</v>
      </c>
      <c r="I37" s="4">
        <v>44500</v>
      </c>
      <c r="J37" s="2" t="s">
        <v>28</v>
      </c>
    </row>
    <row r="38" spans="1:10">
      <c r="A38" s="2">
        <v>1037</v>
      </c>
      <c r="B38" s="3">
        <v>46075</v>
      </c>
      <c r="C38" s="2" t="s">
        <v>67</v>
      </c>
      <c r="D38" s="2" t="s">
        <v>11</v>
      </c>
      <c r="E38" s="2" t="s">
        <v>22</v>
      </c>
      <c r="F38" s="2" t="s">
        <v>23</v>
      </c>
      <c r="G38" s="4">
        <v>2</v>
      </c>
      <c r="H38" s="4">
        <v>72000</v>
      </c>
      <c r="I38" s="4">
        <v>144000</v>
      </c>
      <c r="J38" s="2" t="s">
        <v>19</v>
      </c>
    </row>
    <row r="39" spans="1:10">
      <c r="A39" s="2">
        <v>1038</v>
      </c>
      <c r="B39" s="3">
        <v>46170</v>
      </c>
      <c r="C39" s="2" t="s">
        <v>68</v>
      </c>
      <c r="D39" s="2" t="s">
        <v>11</v>
      </c>
      <c r="E39" s="2" t="s">
        <v>22</v>
      </c>
      <c r="F39" s="2" t="s">
        <v>23</v>
      </c>
      <c r="G39" s="4">
        <v>1</v>
      </c>
      <c r="H39" s="4">
        <v>39000</v>
      </c>
      <c r="I39" s="4">
        <v>39000</v>
      </c>
      <c r="J39" s="2" t="s">
        <v>28</v>
      </c>
    </row>
    <row r="40" spans="1:10">
      <c r="A40" s="2">
        <v>1039</v>
      </c>
      <c r="B40" s="3">
        <v>46035</v>
      </c>
      <c r="C40" s="2" t="s">
        <v>42</v>
      </c>
      <c r="D40" s="2" t="s">
        <v>21</v>
      </c>
      <c r="E40" s="2" t="s">
        <v>22</v>
      </c>
      <c r="F40" s="2" t="s">
        <v>44</v>
      </c>
      <c r="G40" s="4">
        <v>5</v>
      </c>
      <c r="H40" s="4">
        <v>72000</v>
      </c>
      <c r="I40" s="4">
        <v>360000</v>
      </c>
      <c r="J40" s="2" t="s">
        <v>28</v>
      </c>
    </row>
    <row r="41" spans="1:10">
      <c r="A41" s="2">
        <v>1040</v>
      </c>
      <c r="B41" s="3">
        <v>46064</v>
      </c>
      <c r="C41" s="2" t="s">
        <v>54</v>
      </c>
      <c r="D41" s="2" t="s">
        <v>26</v>
      </c>
      <c r="E41" s="2" t="s">
        <v>36</v>
      </c>
      <c r="F41" s="2" t="s">
        <v>69</v>
      </c>
      <c r="G41" s="4">
        <v>1</v>
      </c>
      <c r="H41" s="4">
        <v>55000</v>
      </c>
      <c r="I41" s="4">
        <v>60000</v>
      </c>
      <c r="J41" s="2" t="s">
        <v>19</v>
      </c>
    </row>
    <row r="42" spans="1:10">
      <c r="A42" s="2">
        <v>1041</v>
      </c>
      <c r="B42" s="3">
        <v>46118</v>
      </c>
      <c r="C42" s="2" t="s">
        <v>38</v>
      </c>
      <c r="D42" s="2" t="s">
        <v>30</v>
      </c>
      <c r="E42" s="2" t="s">
        <v>33</v>
      </c>
      <c r="F42" s="2" t="s">
        <v>34</v>
      </c>
      <c r="G42" s="4">
        <v>3</v>
      </c>
      <c r="H42" s="4">
        <v>12000</v>
      </c>
      <c r="I42" s="4">
        <v>36000</v>
      </c>
      <c r="J42" s="2" t="s">
        <v>14</v>
      </c>
    </row>
    <row r="43" spans="1:10">
      <c r="A43" s="2">
        <v>1042</v>
      </c>
      <c r="B43" s="3">
        <v>46034</v>
      </c>
      <c r="C43" s="2" t="s">
        <v>70</v>
      </c>
      <c r="D43" s="2" t="s">
        <v>30</v>
      </c>
      <c r="E43" s="2" t="s">
        <v>33</v>
      </c>
      <c r="F43" s="2" t="s">
        <v>34</v>
      </c>
      <c r="G43" s="4">
        <v>2</v>
      </c>
      <c r="H43" s="4">
        <v>39000</v>
      </c>
      <c r="I43" s="4">
        <v>78000</v>
      </c>
      <c r="J43" s="2" t="s">
        <v>14</v>
      </c>
    </row>
    <row r="44" spans="1:10">
      <c r="A44" s="2">
        <v>1043</v>
      </c>
      <c r="B44" s="3">
        <v>46087</v>
      </c>
      <c r="C44" s="2" t="s">
        <v>71</v>
      </c>
      <c r="D44" s="2" t="s">
        <v>16</v>
      </c>
      <c r="E44" s="2" t="s">
        <v>12</v>
      </c>
      <c r="F44" s="2" t="s">
        <v>46</v>
      </c>
      <c r="G44" s="4">
        <v>5</v>
      </c>
      <c r="H44" s="4">
        <v>4500</v>
      </c>
      <c r="I44" s="4">
        <v>22500</v>
      </c>
      <c r="J44" s="2" t="s">
        <v>28</v>
      </c>
    </row>
    <row r="45" spans="1:10">
      <c r="A45" s="2">
        <v>1044</v>
      </c>
      <c r="B45" s="3">
        <v>46170</v>
      </c>
      <c r="C45" s="2" t="s">
        <v>57</v>
      </c>
      <c r="D45" s="2" t="s">
        <v>26</v>
      </c>
      <c r="E45" s="2" t="s">
        <v>36</v>
      </c>
      <c r="F45" s="2" t="s">
        <v>37</v>
      </c>
      <c r="G45" s="4">
        <v>6</v>
      </c>
      <c r="H45" s="4">
        <v>39000</v>
      </c>
      <c r="I45" s="4">
        <v>234000</v>
      </c>
      <c r="J45" s="2" t="s">
        <v>14</v>
      </c>
    </row>
    <row r="46" spans="1:10">
      <c r="A46" s="2">
        <v>1045</v>
      </c>
      <c r="B46" s="3">
        <v>46121</v>
      </c>
      <c r="C46" s="2" t="s">
        <v>72</v>
      </c>
      <c r="D46" s="2" t="s">
        <v>30</v>
      </c>
      <c r="E46" s="2" t="s">
        <v>22</v>
      </c>
      <c r="F46" s="2" t="s">
        <v>59</v>
      </c>
      <c r="G46" s="4">
        <v>3</v>
      </c>
      <c r="H46" s="4">
        <v>55000</v>
      </c>
      <c r="I46" s="4">
        <v>165000</v>
      </c>
      <c r="J46" s="2" t="s">
        <v>48</v>
      </c>
    </row>
    <row r="47" spans="1:10">
      <c r="A47" s="2">
        <v>1046</v>
      </c>
      <c r="B47" s="3">
        <v>46125</v>
      </c>
      <c r="C47" s="2" t="s">
        <v>73</v>
      </c>
      <c r="D47" s="2" t="s">
        <v>26</v>
      </c>
      <c r="E47" s="2" t="s">
        <v>22</v>
      </c>
      <c r="F47" s="2" t="s">
        <v>44</v>
      </c>
      <c r="G47" s="4">
        <v>5</v>
      </c>
      <c r="H47" s="4">
        <v>55000</v>
      </c>
      <c r="I47" s="4">
        <v>275000</v>
      </c>
      <c r="J47" s="2" t="s">
        <v>14</v>
      </c>
    </row>
    <row r="48" spans="1:10">
      <c r="A48" s="2">
        <v>1047</v>
      </c>
      <c r="B48" s="3">
        <v>46156</v>
      </c>
      <c r="C48" s="2" t="s">
        <v>74</v>
      </c>
      <c r="D48" s="2" t="s">
        <v>11</v>
      </c>
      <c r="E48" s="2" t="s">
        <v>33</v>
      </c>
      <c r="F48" s="2" t="s">
        <v>41</v>
      </c>
      <c r="G48" s="4">
        <v>2</v>
      </c>
      <c r="H48" s="4">
        <v>8900</v>
      </c>
      <c r="I48" s="4">
        <v>17800</v>
      </c>
      <c r="J48" s="2" t="s">
        <v>28</v>
      </c>
    </row>
    <row r="49" spans="1:10">
      <c r="A49" s="2">
        <v>1048</v>
      </c>
      <c r="B49" s="3">
        <v>46098</v>
      </c>
      <c r="C49" s="2" t="s">
        <v>62</v>
      </c>
      <c r="D49" s="2" t="s">
        <v>30</v>
      </c>
      <c r="E49" s="2" t="s">
        <v>22</v>
      </c>
      <c r="F49" s="2" t="s">
        <v>44</v>
      </c>
      <c r="G49" s="4">
        <v>6</v>
      </c>
      <c r="H49" s="4">
        <v>12000</v>
      </c>
      <c r="I49" s="4">
        <v>72000</v>
      </c>
      <c r="J49" s="2" t="s">
        <v>48</v>
      </c>
    </row>
    <row r="50" spans="1:10">
      <c r="A50" s="2">
        <v>1049</v>
      </c>
      <c r="B50" s="3">
        <v>46110</v>
      </c>
      <c r="C50" s="2" t="s">
        <v>75</v>
      </c>
      <c r="D50" s="2" t="s">
        <v>43</v>
      </c>
      <c r="E50" s="2" t="s">
        <v>17</v>
      </c>
      <c r="F50" s="2" t="s">
        <v>55</v>
      </c>
      <c r="G50" s="4">
        <v>3</v>
      </c>
      <c r="H50" s="4">
        <v>39000</v>
      </c>
      <c r="I50" s="4">
        <v>117000</v>
      </c>
      <c r="J50" s="2" t="s">
        <v>19</v>
      </c>
    </row>
    <row r="51" spans="1:10">
      <c r="A51" s="2">
        <v>1050</v>
      </c>
      <c r="B51" s="3">
        <v>46164</v>
      </c>
      <c r="C51" s="2" t="s">
        <v>70</v>
      </c>
      <c r="D51" s="2" t="s">
        <v>30</v>
      </c>
      <c r="E51" s="2" t="s">
        <v>12</v>
      </c>
      <c r="F51" s="2" t="s">
        <v>13</v>
      </c>
      <c r="G51" s="4">
        <v>6</v>
      </c>
      <c r="H51" s="4">
        <v>72000</v>
      </c>
      <c r="I51" s="4">
        <v>432000</v>
      </c>
      <c r="J51" s="2" t="s">
        <v>28</v>
      </c>
    </row>
    <row r="52" spans="1:10">
      <c r="A52" s="2">
        <v>1051</v>
      </c>
      <c r="B52" s="3">
        <v>46126</v>
      </c>
      <c r="C52" s="2" t="s">
        <v>10</v>
      </c>
      <c r="D52" s="2" t="s">
        <v>21</v>
      </c>
      <c r="E52" s="2" t="s">
        <v>12</v>
      </c>
      <c r="F52" s="2" t="s">
        <v>24</v>
      </c>
      <c r="G52" s="4">
        <v>2</v>
      </c>
      <c r="H52" s="4">
        <v>12000</v>
      </c>
      <c r="I52" s="4">
        <v>24000</v>
      </c>
      <c r="J52" s="2" t="s">
        <v>19</v>
      </c>
    </row>
    <row r="53" spans="1:10">
      <c r="A53" s="2">
        <v>1052</v>
      </c>
      <c r="B53" s="3">
        <v>46065</v>
      </c>
      <c r="C53" s="2" t="s">
        <v>66</v>
      </c>
      <c r="D53" s="2" t="s">
        <v>16</v>
      </c>
      <c r="E53" s="2" t="s">
        <v>12</v>
      </c>
      <c r="F53" s="2" t="s">
        <v>27</v>
      </c>
      <c r="G53" s="4">
        <v>6</v>
      </c>
      <c r="H53" s="4">
        <v>72000</v>
      </c>
      <c r="I53" s="4">
        <v>432000</v>
      </c>
      <c r="J53" s="2" t="s">
        <v>48</v>
      </c>
    </row>
    <row r="54" spans="1:10">
      <c r="A54" s="2">
        <v>1053</v>
      </c>
      <c r="B54" s="3">
        <v>46052</v>
      </c>
      <c r="C54" s="2" t="s">
        <v>32</v>
      </c>
      <c r="D54" s="2" t="s">
        <v>43</v>
      </c>
      <c r="E54" s="2" t="s">
        <v>33</v>
      </c>
      <c r="F54" s="2" t="s">
        <v>34</v>
      </c>
      <c r="G54" s="4">
        <v>5</v>
      </c>
      <c r="H54" s="4">
        <v>-12000</v>
      </c>
      <c r="I54" s="4">
        <v>-60000</v>
      </c>
      <c r="J54" s="2" t="s">
        <v>14</v>
      </c>
    </row>
    <row r="55" spans="1:10">
      <c r="A55" s="2">
        <v>1054</v>
      </c>
      <c r="B55" s="3">
        <v>46039</v>
      </c>
      <c r="C55" s="2" t="s">
        <v>64</v>
      </c>
      <c r="D55" s="2" t="s">
        <v>21</v>
      </c>
      <c r="E55" s="2" t="s">
        <v>12</v>
      </c>
      <c r="F55" s="2" t="s">
        <v>27</v>
      </c>
      <c r="G55" s="4">
        <v>2</v>
      </c>
      <c r="H55" s="4">
        <v>55000</v>
      </c>
      <c r="I55" s="4">
        <v>110000</v>
      </c>
      <c r="J55" s="2" t="s">
        <v>14</v>
      </c>
    </row>
    <row r="56" spans="1:10">
      <c r="A56" s="2">
        <v>1055</v>
      </c>
      <c r="B56" s="3">
        <v>46126</v>
      </c>
      <c r="C56" s="2" t="s">
        <v>62</v>
      </c>
      <c r="D56" s="2" t="s">
        <v>16</v>
      </c>
      <c r="E56" s="2" t="s">
        <v>12</v>
      </c>
      <c r="F56" s="2" t="s">
        <v>46</v>
      </c>
      <c r="G56" s="4">
        <v>6</v>
      </c>
      <c r="H56" s="4">
        <v>72000</v>
      </c>
      <c r="I56" s="4">
        <v>432000</v>
      </c>
      <c r="J56" s="2" t="s">
        <v>14</v>
      </c>
    </row>
    <row r="57" spans="1:10">
      <c r="A57" s="2">
        <v>1056</v>
      </c>
      <c r="B57" s="3">
        <v>46159</v>
      </c>
      <c r="C57" s="2" t="s">
        <v>38</v>
      </c>
      <c r="D57" s="2" t="s">
        <v>26</v>
      </c>
      <c r="E57" s="2" t="s">
        <v>36</v>
      </c>
      <c r="F57" s="2" t="s">
        <v>37</v>
      </c>
      <c r="G57" s="4">
        <v>5</v>
      </c>
      <c r="H57" s="4">
        <v>8900</v>
      </c>
      <c r="I57" s="4">
        <v>44500</v>
      </c>
      <c r="J57" s="2" t="s">
        <v>28</v>
      </c>
    </row>
    <row r="58" spans="1:10">
      <c r="A58" s="2">
        <v>1057</v>
      </c>
      <c r="B58" s="3">
        <v>46163</v>
      </c>
      <c r="C58" s="2" t="s">
        <v>66</v>
      </c>
      <c r="D58" s="2" t="s">
        <v>26</v>
      </c>
      <c r="E58" s="2" t="s">
        <v>33</v>
      </c>
      <c r="F58" s="2" t="s">
        <v>65</v>
      </c>
      <c r="G58" s="4">
        <v>5</v>
      </c>
      <c r="H58" s="4">
        <v>4500</v>
      </c>
      <c r="I58" s="4">
        <v>22500</v>
      </c>
      <c r="J58" s="2" t="s">
        <v>28</v>
      </c>
    </row>
    <row r="59" spans="1:10">
      <c r="A59" s="2">
        <v>1058</v>
      </c>
      <c r="B59" s="3">
        <v>46113</v>
      </c>
      <c r="C59" s="2" t="s">
        <v>45</v>
      </c>
      <c r="D59" s="2" t="s">
        <v>26</v>
      </c>
      <c r="E59" s="2" t="s">
        <v>33</v>
      </c>
      <c r="F59" s="2" t="s">
        <v>34</v>
      </c>
      <c r="G59" s="4">
        <v>5</v>
      </c>
      <c r="H59" s="4">
        <v>55000</v>
      </c>
      <c r="I59" s="4">
        <v>275000</v>
      </c>
      <c r="J59" s="2" t="s">
        <v>28</v>
      </c>
    </row>
    <row r="60" spans="1:10">
      <c r="A60" s="2">
        <v>1059</v>
      </c>
      <c r="B60" s="3">
        <v>46084</v>
      </c>
      <c r="C60" s="2" t="s">
        <v>74</v>
      </c>
      <c r="D60" s="2" t="s">
        <v>16</v>
      </c>
      <c r="E60" s="2" t="s">
        <v>12</v>
      </c>
      <c r="F60" s="2" t="s">
        <v>27</v>
      </c>
      <c r="G60" s="4">
        <v>2</v>
      </c>
      <c r="H60" s="4">
        <v>39000</v>
      </c>
      <c r="I60" s="4">
        <v>78000</v>
      </c>
      <c r="J60" s="2" t="s">
        <v>19</v>
      </c>
    </row>
    <row r="61" spans="1:10">
      <c r="A61" s="2">
        <v>1060</v>
      </c>
      <c r="B61" s="3">
        <v>46040</v>
      </c>
      <c r="C61" s="2" t="s">
        <v>76</v>
      </c>
      <c r="D61" s="2" t="s">
        <v>26</v>
      </c>
      <c r="E61" s="2" t="s">
        <v>33</v>
      </c>
      <c r="F61" s="2" t="s">
        <v>41</v>
      </c>
      <c r="G61" s="4">
        <v>2</v>
      </c>
      <c r="H61" s="4">
        <v>39000</v>
      </c>
      <c r="I61" s="4">
        <v>78000</v>
      </c>
      <c r="J61" s="2" t="s">
        <v>48</v>
      </c>
    </row>
    <row r="62" spans="1:10">
      <c r="A62" s="2">
        <v>1061</v>
      </c>
      <c r="B62" s="3">
        <v>46155</v>
      </c>
      <c r="C62" s="2" t="s">
        <v>64</v>
      </c>
      <c r="D62" s="2" t="s">
        <v>21</v>
      </c>
      <c r="E62" s="2" t="s">
        <v>22</v>
      </c>
      <c r="F62" s="2" t="s">
        <v>59</v>
      </c>
      <c r="G62" s="4">
        <v>4</v>
      </c>
      <c r="H62" s="4">
        <v>24000</v>
      </c>
      <c r="I62" s="4">
        <v>96000</v>
      </c>
      <c r="J62" s="2" t="s">
        <v>48</v>
      </c>
    </row>
    <row r="63" spans="1:10">
      <c r="A63" s="2">
        <v>1062</v>
      </c>
      <c r="B63" s="3">
        <v>46167</v>
      </c>
      <c r="C63" s="2" t="s">
        <v>77</v>
      </c>
      <c r="D63" s="2" t="s">
        <v>30</v>
      </c>
      <c r="E63" s="2" t="s">
        <v>33</v>
      </c>
      <c r="F63" s="2" t="s">
        <v>34</v>
      </c>
      <c r="G63" s="4">
        <v>1</v>
      </c>
      <c r="H63" s="4">
        <v>72000</v>
      </c>
      <c r="I63" s="4">
        <v>72000</v>
      </c>
      <c r="J63" s="2" t="s">
        <v>48</v>
      </c>
    </row>
    <row r="64" spans="1:10">
      <c r="A64" s="2">
        <v>1063</v>
      </c>
      <c r="B64" s="3">
        <v>46171</v>
      </c>
      <c r="C64" s="2" t="s">
        <v>78</v>
      </c>
      <c r="D64" s="2" t="s">
        <v>11</v>
      </c>
      <c r="E64" s="2" t="s">
        <v>12</v>
      </c>
      <c r="F64" s="2" t="s">
        <v>46</v>
      </c>
      <c r="G64" s="4">
        <v>1</v>
      </c>
      <c r="H64" s="4">
        <v>8900</v>
      </c>
      <c r="I64" s="4">
        <v>8900</v>
      </c>
      <c r="J64" s="2" t="s">
        <v>19</v>
      </c>
    </row>
    <row r="65" spans="1:10">
      <c r="A65" s="2">
        <v>1064</v>
      </c>
      <c r="B65" s="3">
        <v>46139</v>
      </c>
      <c r="C65" s="2" t="s">
        <v>79</v>
      </c>
      <c r="D65" s="2" t="s">
        <v>30</v>
      </c>
      <c r="E65" s="2" t="s">
        <v>36</v>
      </c>
      <c r="F65" s="2" t="s">
        <v>37</v>
      </c>
      <c r="G65" s="4">
        <v>3</v>
      </c>
      <c r="H65" s="4">
        <v>24000</v>
      </c>
      <c r="I65" s="4">
        <v>72000</v>
      </c>
      <c r="J65" s="2" t="s">
        <v>19</v>
      </c>
    </row>
    <row r="66" spans="1:10">
      <c r="A66" s="2">
        <v>1065</v>
      </c>
      <c r="B66" s="3">
        <v>46136</v>
      </c>
      <c r="C66" s="2" t="s">
        <v>52</v>
      </c>
      <c r="D66" s="2" t="s">
        <v>43</v>
      </c>
      <c r="E66" s="2" t="s">
        <v>12</v>
      </c>
      <c r="F66" s="2" t="s">
        <v>13</v>
      </c>
      <c r="G66" s="4">
        <v>4</v>
      </c>
      <c r="H66" s="4">
        <v>39000</v>
      </c>
      <c r="I66" s="4">
        <v>156000</v>
      </c>
      <c r="J66" s="2" t="s">
        <v>14</v>
      </c>
    </row>
    <row r="67" spans="1:10">
      <c r="A67" s="2">
        <v>1066</v>
      </c>
      <c r="B67" s="3">
        <v>46157</v>
      </c>
      <c r="C67" s="2" t="s">
        <v>20</v>
      </c>
      <c r="D67" s="2" t="s">
        <v>11</v>
      </c>
      <c r="E67" s="2" t="s">
        <v>22</v>
      </c>
      <c r="F67" s="2" t="s">
        <v>44</v>
      </c>
      <c r="G67" s="4">
        <v>3</v>
      </c>
      <c r="H67" s="4">
        <v>72000</v>
      </c>
      <c r="I67" s="4">
        <v>216000</v>
      </c>
      <c r="J67" s="2" t="s">
        <v>14</v>
      </c>
    </row>
    <row r="68" spans="1:10">
      <c r="A68" s="2">
        <v>1067</v>
      </c>
      <c r="B68" s="3">
        <v>46055</v>
      </c>
      <c r="C68" s="2" t="s">
        <v>68</v>
      </c>
      <c r="D68" s="2" t="s">
        <v>16</v>
      </c>
      <c r="E68" s="2" t="s">
        <v>12</v>
      </c>
      <c r="F68" s="2" t="s">
        <v>13</v>
      </c>
      <c r="G68" s="4">
        <v>5</v>
      </c>
      <c r="H68" s="4">
        <v>55000</v>
      </c>
      <c r="I68" s="4">
        <v>275000</v>
      </c>
      <c r="J68" s="2" t="s">
        <v>28</v>
      </c>
    </row>
    <row r="69" spans="1:10">
      <c r="A69" s="2">
        <v>1068</v>
      </c>
      <c r="B69" s="3">
        <v>46158</v>
      </c>
      <c r="C69" s="2" t="s">
        <v>42</v>
      </c>
      <c r="D69" s="2" t="s">
        <v>21</v>
      </c>
      <c r="E69" s="2" t="s">
        <v>22</v>
      </c>
      <c r="F69" s="2" t="s">
        <v>23</v>
      </c>
      <c r="G69" s="4">
        <v>6</v>
      </c>
      <c r="H69" s="4">
        <v>24000</v>
      </c>
      <c r="I69" s="4">
        <v>144000</v>
      </c>
      <c r="J69" s="2" t="s">
        <v>48</v>
      </c>
    </row>
    <row r="70" spans="1:10">
      <c r="A70" s="2">
        <v>1069</v>
      </c>
      <c r="B70" s="3">
        <v>46160</v>
      </c>
      <c r="C70" s="2" t="s">
        <v>58</v>
      </c>
      <c r="D70" s="2" t="s">
        <v>43</v>
      </c>
      <c r="E70" s="2" t="s">
        <v>22</v>
      </c>
      <c r="F70" s="2" t="s">
        <v>44</v>
      </c>
      <c r="G70" s="4">
        <v>1</v>
      </c>
      <c r="H70" s="4">
        <v>8900</v>
      </c>
      <c r="I70" s="4">
        <v>8900</v>
      </c>
      <c r="J70" s="2" t="s">
        <v>28</v>
      </c>
    </row>
    <row r="71" spans="1:10">
      <c r="A71" s="2">
        <v>1070</v>
      </c>
      <c r="B71" s="3">
        <v>46055</v>
      </c>
      <c r="C71" s="2" t="s">
        <v>80</v>
      </c>
      <c r="D71" s="2" t="s">
        <v>30</v>
      </c>
      <c r="E71" s="2" t="s">
        <v>22</v>
      </c>
      <c r="F71" s="2" t="s">
        <v>59</v>
      </c>
      <c r="G71" s="4">
        <v>2</v>
      </c>
      <c r="H71" s="4">
        <v>24000</v>
      </c>
      <c r="I71" s="4">
        <v>48000</v>
      </c>
      <c r="J71" s="2" t="s">
        <v>14</v>
      </c>
    </row>
    <row r="72" spans="1:10">
      <c r="A72" s="2">
        <v>1071</v>
      </c>
      <c r="B72" s="3">
        <v>46100</v>
      </c>
      <c r="C72" s="2" t="s">
        <v>15</v>
      </c>
      <c r="D72" s="2" t="s">
        <v>11</v>
      </c>
      <c r="E72" s="2" t="s">
        <v>22</v>
      </c>
      <c r="F72" s="2" t="s">
        <v>23</v>
      </c>
      <c r="G72" s="4">
        <v>2</v>
      </c>
      <c r="H72" s="4">
        <v>24000</v>
      </c>
      <c r="I72" s="4">
        <v>48000</v>
      </c>
      <c r="J72" s="2" t="s">
        <v>48</v>
      </c>
    </row>
    <row r="73" spans="1:10">
      <c r="A73" s="2">
        <v>1072</v>
      </c>
      <c r="B73" s="3">
        <v>46118</v>
      </c>
      <c r="C73" s="2" t="s">
        <v>80</v>
      </c>
      <c r="D73" s="2" t="s">
        <v>11</v>
      </c>
      <c r="E73" s="2" t="s">
        <v>17</v>
      </c>
      <c r="F73" s="2" t="s">
        <v>55</v>
      </c>
      <c r="G73" s="4">
        <v>6</v>
      </c>
      <c r="H73" s="4">
        <v>24000</v>
      </c>
      <c r="I73" s="4">
        <v>144000</v>
      </c>
      <c r="J73" s="2" t="s">
        <v>28</v>
      </c>
    </row>
    <row r="74" spans="1:10">
      <c r="A74" s="2">
        <v>1073</v>
      </c>
      <c r="B74" s="3">
        <v>46075</v>
      </c>
      <c r="C74" s="2" t="s">
        <v>64</v>
      </c>
      <c r="D74" s="2" t="s">
        <v>30</v>
      </c>
      <c r="E74" s="2" t="s">
        <v>12</v>
      </c>
      <c r="F74" s="2" t="s">
        <v>27</v>
      </c>
      <c r="G74" s="4">
        <v>4</v>
      </c>
      <c r="H74" s="4">
        <v>24000</v>
      </c>
      <c r="I74" s="4">
        <v>96000</v>
      </c>
      <c r="J74" s="2" t="s">
        <v>19</v>
      </c>
    </row>
    <row r="75" spans="1:10">
      <c r="A75" s="2">
        <v>1074</v>
      </c>
      <c r="B75" s="3">
        <v>46428</v>
      </c>
      <c r="C75" s="2" t="s">
        <v>20</v>
      </c>
      <c r="D75" s="2" t="s">
        <v>16</v>
      </c>
      <c r="E75" s="2" t="s">
        <v>17</v>
      </c>
      <c r="F75" s="2" t="s">
        <v>39</v>
      </c>
      <c r="G75" s="4">
        <v>6</v>
      </c>
      <c r="H75" s="4">
        <v>39000</v>
      </c>
      <c r="I75" s="4">
        <v>234000</v>
      </c>
      <c r="J75" s="2" t="s">
        <v>14</v>
      </c>
    </row>
    <row r="76" spans="1:10">
      <c r="A76" s="2">
        <v>1075</v>
      </c>
      <c r="B76" s="3">
        <v>46168</v>
      </c>
      <c r="C76" s="2" t="s">
        <v>47</v>
      </c>
      <c r="D76" s="2" t="s">
        <v>30</v>
      </c>
      <c r="E76" s="2" t="s">
        <v>33</v>
      </c>
      <c r="F76" s="2" t="s">
        <v>65</v>
      </c>
      <c r="G76" s="4">
        <v>4</v>
      </c>
      <c r="H76" s="4">
        <v>55000</v>
      </c>
      <c r="I76" s="4">
        <v>220000</v>
      </c>
      <c r="J76" s="2" t="s">
        <v>14</v>
      </c>
    </row>
    <row r="77" spans="1:10">
      <c r="A77" s="2">
        <v>1076</v>
      </c>
      <c r="B77" s="3">
        <v>46063</v>
      </c>
      <c r="C77" s="2" t="s">
        <v>66</v>
      </c>
      <c r="D77" s="2" t="s">
        <v>21</v>
      </c>
      <c r="E77" s="2" t="s">
        <v>17</v>
      </c>
      <c r="F77" s="2" t="s">
        <v>18</v>
      </c>
      <c r="G77" s="4">
        <v>1</v>
      </c>
      <c r="H77" s="4">
        <v>24000</v>
      </c>
      <c r="I77" s="4">
        <v>24000</v>
      </c>
      <c r="J77" s="2" t="s">
        <v>14</v>
      </c>
    </row>
    <row r="78" spans="1:10">
      <c r="A78" s="2">
        <v>1077</v>
      </c>
      <c r="B78" s="3">
        <v>46129</v>
      </c>
      <c r="C78" s="2" t="s">
        <v>75</v>
      </c>
      <c r="D78" s="2" t="s">
        <v>21</v>
      </c>
      <c r="E78" s="2" t="s">
        <v>36</v>
      </c>
      <c r="F78" s="2" t="s">
        <v>81</v>
      </c>
      <c r="G78" s="4">
        <v>1</v>
      </c>
      <c r="H78" s="4">
        <v>24000</v>
      </c>
      <c r="I78" s="4">
        <v>24000</v>
      </c>
      <c r="J78" s="2" t="s">
        <v>28</v>
      </c>
    </row>
    <row r="79" spans="1:10">
      <c r="A79" s="2">
        <v>1078</v>
      </c>
      <c r="B79" s="3">
        <v>46033</v>
      </c>
      <c r="C79" s="2" t="s">
        <v>15</v>
      </c>
      <c r="D79" s="2" t="s">
        <v>16</v>
      </c>
      <c r="E79" s="2" t="s">
        <v>22</v>
      </c>
      <c r="F79" s="2" t="s">
        <v>82</v>
      </c>
      <c r="G79" s="4">
        <v>6</v>
      </c>
      <c r="H79" s="4">
        <v>12000</v>
      </c>
      <c r="I79" s="4">
        <v>72000</v>
      </c>
      <c r="J79" s="2" t="s">
        <v>28</v>
      </c>
    </row>
    <row r="80" spans="1:10">
      <c r="A80" s="2">
        <v>1079</v>
      </c>
      <c r="B80" s="3">
        <v>46064</v>
      </c>
      <c r="C80" s="2" t="s">
        <v>57</v>
      </c>
      <c r="D80" s="2" t="s">
        <v>26</v>
      </c>
      <c r="E80" s="2" t="s">
        <v>17</v>
      </c>
      <c r="F80" s="2" t="s">
        <v>18</v>
      </c>
      <c r="G80" s="4">
        <v>1</v>
      </c>
      <c r="H80" s="4">
        <v>12000</v>
      </c>
      <c r="I80" s="4">
        <v>12000</v>
      </c>
      <c r="J80" s="2" t="s">
        <v>28</v>
      </c>
    </row>
    <row r="81" spans="1:10">
      <c r="A81" s="2">
        <v>1080</v>
      </c>
      <c r="B81" s="3">
        <v>46060</v>
      </c>
      <c r="C81" s="2" t="s">
        <v>76</v>
      </c>
      <c r="D81" s="2" t="s">
        <v>30</v>
      </c>
      <c r="E81" s="2" t="s">
        <v>12</v>
      </c>
      <c r="F81" s="2" t="s">
        <v>13</v>
      </c>
      <c r="G81" s="4">
        <v>3</v>
      </c>
      <c r="H81" s="4">
        <v>39000</v>
      </c>
      <c r="I81" s="4">
        <v>117000</v>
      </c>
      <c r="J81" s="2" t="s">
        <v>14</v>
      </c>
    </row>
    <row r="82" spans="1:10">
      <c r="A82" s="2">
        <v>1081</v>
      </c>
      <c r="B82" s="3">
        <v>46064</v>
      </c>
      <c r="C82" s="2" t="s">
        <v>45</v>
      </c>
      <c r="D82" s="2" t="s">
        <v>30</v>
      </c>
      <c r="E82" s="2" t="s">
        <v>33</v>
      </c>
      <c r="F82" s="2" t="s">
        <v>61</v>
      </c>
      <c r="G82" s="4">
        <v>2</v>
      </c>
      <c r="H82" s="4">
        <v>8900</v>
      </c>
      <c r="I82" s="4">
        <v>17800</v>
      </c>
      <c r="J82" s="2" t="s">
        <v>28</v>
      </c>
    </row>
    <row r="83" spans="1:10">
      <c r="A83" s="2">
        <v>1082</v>
      </c>
      <c r="B83" s="3">
        <v>46168</v>
      </c>
      <c r="C83" s="2" t="s">
        <v>63</v>
      </c>
      <c r="D83" s="2" t="s">
        <v>11</v>
      </c>
      <c r="E83" s="2" t="s">
        <v>22</v>
      </c>
      <c r="F83" s="2" t="s">
        <v>82</v>
      </c>
      <c r="G83" s="4">
        <v>3</v>
      </c>
      <c r="H83" s="4">
        <v>8900</v>
      </c>
      <c r="I83" s="4">
        <v>26700</v>
      </c>
      <c r="J83" s="2" t="s">
        <v>28</v>
      </c>
    </row>
    <row r="84" spans="1:10">
      <c r="A84" s="2">
        <v>1083</v>
      </c>
      <c r="B84" s="3">
        <v>46141</v>
      </c>
      <c r="C84" s="2" t="s">
        <v>72</v>
      </c>
      <c r="D84" s="2" t="s">
        <v>11</v>
      </c>
      <c r="E84" s="2" t="s">
        <v>22</v>
      </c>
      <c r="F84" s="2" t="s">
        <v>23</v>
      </c>
      <c r="G84" s="4">
        <v>4</v>
      </c>
      <c r="H84" s="4">
        <v>72000</v>
      </c>
      <c r="I84" s="4">
        <v>288000</v>
      </c>
      <c r="J84" s="2" t="s">
        <v>28</v>
      </c>
    </row>
    <row r="85" spans="1:10">
      <c r="A85" s="2">
        <v>1084</v>
      </c>
      <c r="B85" s="3">
        <v>46043</v>
      </c>
      <c r="C85" s="2" t="s">
        <v>77</v>
      </c>
      <c r="D85" s="2" t="s">
        <v>21</v>
      </c>
      <c r="E85" s="2" t="s">
        <v>17</v>
      </c>
      <c r="F85" s="2" t="s">
        <v>39</v>
      </c>
      <c r="G85" s="4">
        <v>6</v>
      </c>
      <c r="H85" s="4">
        <v>39000</v>
      </c>
      <c r="I85" s="4">
        <v>234000</v>
      </c>
      <c r="J85" s="2" t="s">
        <v>28</v>
      </c>
    </row>
    <row r="86" spans="1:10">
      <c r="A86" s="2">
        <v>1085</v>
      </c>
      <c r="B86" s="3">
        <v>46166</v>
      </c>
      <c r="C86" s="2" t="s">
        <v>83</v>
      </c>
      <c r="D86" s="2" t="s">
        <v>26</v>
      </c>
      <c r="E86" s="2" t="s">
        <v>36</v>
      </c>
      <c r="F86" s="2" t="s">
        <v>69</v>
      </c>
      <c r="G86" s="4">
        <v>3</v>
      </c>
      <c r="H86" s="4">
        <v>39000</v>
      </c>
      <c r="I86" s="4">
        <v>117000</v>
      </c>
      <c r="J86" s="2" t="s">
        <v>48</v>
      </c>
    </row>
    <row r="87" spans="1:10">
      <c r="A87" s="2">
        <v>1086</v>
      </c>
      <c r="B87" s="3">
        <v>46171</v>
      </c>
      <c r="C87" s="2" t="s">
        <v>74</v>
      </c>
      <c r="D87" s="2" t="s">
        <v>26</v>
      </c>
      <c r="E87" s="2" t="s">
        <v>33</v>
      </c>
      <c r="F87" s="2" t="s">
        <v>41</v>
      </c>
      <c r="G87" s="4">
        <v>3</v>
      </c>
      <c r="H87" s="4">
        <v>24000</v>
      </c>
      <c r="I87" s="4">
        <v>72000</v>
      </c>
      <c r="J87" s="2" t="s">
        <v>19</v>
      </c>
    </row>
    <row r="88" spans="1:10">
      <c r="A88" s="2">
        <v>1087</v>
      </c>
      <c r="B88" s="3">
        <v>46098</v>
      </c>
      <c r="C88" s="2" t="s">
        <v>79</v>
      </c>
      <c r="D88" s="2" t="s">
        <v>16</v>
      </c>
      <c r="E88" s="2" t="s">
        <v>36</v>
      </c>
      <c r="F88" s="2" t="s">
        <v>69</v>
      </c>
      <c r="G88" s="4">
        <v>3</v>
      </c>
      <c r="H88" s="4">
        <v>39000</v>
      </c>
      <c r="I88" s="4">
        <v>117000</v>
      </c>
      <c r="J88" s="2" t="s">
        <v>48</v>
      </c>
    </row>
    <row r="89" spans="1:10">
      <c r="A89" s="2">
        <v>1088</v>
      </c>
      <c r="B89" s="3">
        <v>46120</v>
      </c>
      <c r="C89" s="2" t="s">
        <v>83</v>
      </c>
      <c r="D89" s="2" t="s">
        <v>43</v>
      </c>
      <c r="E89" s="2" t="s">
        <v>33</v>
      </c>
      <c r="F89" s="2" t="s">
        <v>41</v>
      </c>
      <c r="G89" s="4">
        <v>3</v>
      </c>
      <c r="H89" s="4">
        <v>55000</v>
      </c>
      <c r="I89" s="4">
        <v>165000</v>
      </c>
      <c r="J89" s="2" t="s">
        <v>48</v>
      </c>
    </row>
    <row r="90" spans="1:10">
      <c r="A90" s="2">
        <v>1089</v>
      </c>
      <c r="B90" s="3">
        <v>46072</v>
      </c>
      <c r="C90" s="2" t="s">
        <v>54</v>
      </c>
      <c r="D90" s="2" t="s">
        <v>16</v>
      </c>
      <c r="E90" s="2" t="s">
        <v>17</v>
      </c>
      <c r="F90" s="2" t="s">
        <v>18</v>
      </c>
      <c r="G90" s="4">
        <v>6</v>
      </c>
      <c r="H90" s="4">
        <v>12000</v>
      </c>
      <c r="I90" s="4">
        <v>72000</v>
      </c>
      <c r="J90" s="2" t="s">
        <v>14</v>
      </c>
    </row>
    <row r="91" spans="1:10">
      <c r="A91" s="2">
        <v>1090</v>
      </c>
      <c r="B91" s="3">
        <v>46124</v>
      </c>
      <c r="C91" s="2" t="s">
        <v>29</v>
      </c>
      <c r="D91" s="2" t="s">
        <v>43</v>
      </c>
      <c r="E91" s="2" t="s">
        <v>33</v>
      </c>
      <c r="F91" s="2" t="s">
        <v>41</v>
      </c>
      <c r="G91" s="4">
        <v>5</v>
      </c>
      <c r="H91" s="4">
        <v>8900</v>
      </c>
      <c r="I91" s="4">
        <v>44500</v>
      </c>
      <c r="J91" s="2" t="s">
        <v>28</v>
      </c>
    </row>
    <row r="92" spans="1:10">
      <c r="A92" s="2">
        <v>1091</v>
      </c>
      <c r="B92" s="3">
        <v>46030</v>
      </c>
      <c r="C92" s="2" t="s">
        <v>74</v>
      </c>
      <c r="D92" s="2" t="s">
        <v>16</v>
      </c>
      <c r="E92" s="2" t="s">
        <v>33</v>
      </c>
      <c r="F92" s="2" t="s">
        <v>65</v>
      </c>
      <c r="G92" s="4">
        <v>4</v>
      </c>
      <c r="H92" s="4">
        <v>55000</v>
      </c>
      <c r="I92" s="4">
        <v>220000</v>
      </c>
      <c r="J92" s="2" t="s">
        <v>14</v>
      </c>
    </row>
    <row r="93" spans="1:10">
      <c r="A93" s="2">
        <v>1092</v>
      </c>
      <c r="B93" s="3">
        <v>46119</v>
      </c>
      <c r="C93" s="2" t="s">
        <v>77</v>
      </c>
      <c r="D93" s="2" t="s">
        <v>43</v>
      </c>
      <c r="E93" s="2" t="s">
        <v>36</v>
      </c>
      <c r="F93" s="2" t="s">
        <v>50</v>
      </c>
      <c r="G93" s="4">
        <v>1</v>
      </c>
      <c r="H93" s="4">
        <v>12000</v>
      </c>
      <c r="I93" s="4">
        <v>12000</v>
      </c>
      <c r="J93" s="2" t="s">
        <v>84</v>
      </c>
    </row>
    <row r="94" spans="1:10">
      <c r="A94" s="2">
        <v>1093</v>
      </c>
      <c r="B94" s="3">
        <v>46110</v>
      </c>
      <c r="C94" s="2" t="s">
        <v>63</v>
      </c>
      <c r="D94" s="2" t="s">
        <v>21</v>
      </c>
      <c r="E94" s="2" t="s">
        <v>33</v>
      </c>
      <c r="F94" s="2" t="s">
        <v>34</v>
      </c>
      <c r="G94" s="4">
        <v>2</v>
      </c>
      <c r="H94" s="4">
        <v>55000</v>
      </c>
      <c r="I94" s="4">
        <v>110000</v>
      </c>
      <c r="J94" s="2" t="s">
        <v>28</v>
      </c>
    </row>
    <row r="95" spans="1:10">
      <c r="A95" s="2">
        <v>1094</v>
      </c>
      <c r="B95" s="3">
        <v>46126</v>
      </c>
      <c r="C95" s="2" t="s">
        <v>32</v>
      </c>
      <c r="D95" s="2" t="s">
        <v>43</v>
      </c>
      <c r="E95" s="2" t="s">
        <v>36</v>
      </c>
      <c r="F95" s="2" t="s">
        <v>81</v>
      </c>
      <c r="G95" s="4">
        <v>3</v>
      </c>
      <c r="H95" s="4">
        <v>8900</v>
      </c>
      <c r="I95" s="4">
        <v>26700</v>
      </c>
      <c r="J95" s="2" t="s">
        <v>48</v>
      </c>
    </row>
    <row r="96" spans="1:10">
      <c r="A96" s="2">
        <v>1095</v>
      </c>
      <c r="B96" s="3">
        <v>46127</v>
      </c>
      <c r="C96" s="2" t="s">
        <v>74</v>
      </c>
      <c r="D96" s="2" t="s">
        <v>21</v>
      </c>
      <c r="E96" s="2" t="s">
        <v>17</v>
      </c>
      <c r="F96" s="2" t="s">
        <v>18</v>
      </c>
      <c r="G96" s="4">
        <v>3</v>
      </c>
      <c r="H96" s="4">
        <v>55000</v>
      </c>
      <c r="I96" s="4">
        <v>165000</v>
      </c>
      <c r="J96" s="2" t="s">
        <v>28</v>
      </c>
    </row>
    <row r="97" spans="1:10">
      <c r="A97" s="2">
        <v>1096</v>
      </c>
      <c r="B97" s="3">
        <v>46039</v>
      </c>
      <c r="C97" s="2" t="s">
        <v>25</v>
      </c>
      <c r="D97" s="2" t="s">
        <v>21</v>
      </c>
      <c r="E97" s="2" t="s">
        <v>17</v>
      </c>
      <c r="F97" s="2" t="s">
        <v>18</v>
      </c>
      <c r="G97" s="4">
        <v>5</v>
      </c>
      <c r="H97" s="4">
        <v>4500</v>
      </c>
      <c r="I97" s="4">
        <v>22500</v>
      </c>
      <c r="J97" s="2" t="s">
        <v>19</v>
      </c>
    </row>
    <row r="98" spans="1:10">
      <c r="A98" s="2">
        <v>1097</v>
      </c>
      <c r="B98" s="3">
        <v>46108</v>
      </c>
      <c r="C98" s="2" t="s">
        <v>62</v>
      </c>
      <c r="D98" s="2" t="s">
        <v>26</v>
      </c>
      <c r="E98" s="2" t="s">
        <v>22</v>
      </c>
      <c r="F98" s="2" t="s">
        <v>23</v>
      </c>
      <c r="G98" s="4">
        <v>4</v>
      </c>
      <c r="H98" s="4">
        <v>72000</v>
      </c>
      <c r="I98" s="4">
        <v>288000</v>
      </c>
      <c r="J98" s="2" t="s">
        <v>14</v>
      </c>
    </row>
    <row r="99" spans="1:10">
      <c r="A99" s="2">
        <v>1098</v>
      </c>
      <c r="B99" s="3">
        <v>46151</v>
      </c>
      <c r="C99" s="2" t="s">
        <v>32</v>
      </c>
      <c r="D99" s="2" t="s">
        <v>11</v>
      </c>
      <c r="E99" s="2" t="s">
        <v>17</v>
      </c>
      <c r="F99" s="2" t="s">
        <v>55</v>
      </c>
      <c r="G99" s="4">
        <v>4</v>
      </c>
      <c r="H99" s="4">
        <v>39000</v>
      </c>
      <c r="I99" s="4">
        <v>156000</v>
      </c>
      <c r="J99" s="2" t="s">
        <v>19</v>
      </c>
    </row>
    <row r="100" spans="1:10">
      <c r="A100" s="2">
        <v>1099</v>
      </c>
      <c r="B100" s="3">
        <v>46077</v>
      </c>
      <c r="C100" s="2" t="s">
        <v>85</v>
      </c>
      <c r="D100" s="2" t="s">
        <v>16</v>
      </c>
      <c r="E100" s="2" t="s">
        <v>12</v>
      </c>
      <c r="F100" s="2" t="s">
        <v>24</v>
      </c>
      <c r="G100" s="4">
        <v>1</v>
      </c>
      <c r="H100" s="4">
        <v>4500</v>
      </c>
      <c r="I100" s="4">
        <v>4500</v>
      </c>
      <c r="J100" s="2" t="s">
        <v>48</v>
      </c>
    </row>
    <row r="101" spans="1:10">
      <c r="A101" s="2">
        <v>1100</v>
      </c>
      <c r="B101" s="3">
        <v>46050</v>
      </c>
      <c r="C101" s="2" t="s">
        <v>63</v>
      </c>
      <c r="D101" s="2" t="s">
        <v>16</v>
      </c>
      <c r="E101" s="2" t="s">
        <v>17</v>
      </c>
      <c r="F101" s="2" t="s">
        <v>31</v>
      </c>
      <c r="G101" s="4">
        <v>4</v>
      </c>
      <c r="H101" s="4">
        <v>24000</v>
      </c>
      <c r="I101" s="4">
        <v>96000</v>
      </c>
      <c r="J101" s="2" t="s">
        <v>48</v>
      </c>
    </row>
    <row r="102" spans="1:10">
      <c r="A102" s="2">
        <v>1101</v>
      </c>
      <c r="B102" s="3">
        <v>46138</v>
      </c>
      <c r="C102" s="2" t="s">
        <v>58</v>
      </c>
      <c r="D102" s="2" t="s">
        <v>26</v>
      </c>
      <c r="E102" s="2" t="s">
        <v>17</v>
      </c>
      <c r="F102" s="2" t="s">
        <v>31</v>
      </c>
      <c r="G102" s="4">
        <v>5</v>
      </c>
      <c r="H102" s="4">
        <v>39000</v>
      </c>
      <c r="I102" s="4">
        <v>195000</v>
      </c>
      <c r="J102" s="2" t="s">
        <v>48</v>
      </c>
    </row>
    <row r="103" spans="1:10">
      <c r="A103" s="2">
        <v>1102</v>
      </c>
      <c r="B103" s="3">
        <v>46043</v>
      </c>
      <c r="C103" s="2" t="s">
        <v>62</v>
      </c>
      <c r="D103" s="2" t="s">
        <v>16</v>
      </c>
      <c r="E103" s="2" t="s">
        <v>36</v>
      </c>
      <c r="F103" s="2" t="s">
        <v>37</v>
      </c>
      <c r="G103" s="4">
        <v>6</v>
      </c>
      <c r="H103" s="4">
        <v>72000</v>
      </c>
      <c r="I103" s="4">
        <v>432000</v>
      </c>
      <c r="J103" s="2" t="s">
        <v>14</v>
      </c>
    </row>
    <row r="104" spans="1:10">
      <c r="A104" s="2">
        <v>1103</v>
      </c>
      <c r="B104" s="3">
        <v>46112</v>
      </c>
      <c r="C104" s="2" t="s">
        <v>42</v>
      </c>
      <c r="D104" s="2" t="s">
        <v>43</v>
      </c>
      <c r="E104" s="2" t="s">
        <v>12</v>
      </c>
      <c r="F104" s="2" t="s">
        <v>46</v>
      </c>
      <c r="G104" s="4">
        <v>6</v>
      </c>
      <c r="H104" s="4">
        <v>55000</v>
      </c>
      <c r="I104" s="4">
        <v>330000</v>
      </c>
      <c r="J104" s="2" t="s">
        <v>48</v>
      </c>
    </row>
    <row r="105" spans="1:10">
      <c r="A105" s="2">
        <v>1104</v>
      </c>
      <c r="B105" s="3">
        <v>46045</v>
      </c>
      <c r="C105" s="2" t="s">
        <v>52</v>
      </c>
      <c r="D105" s="2" t="s">
        <v>30</v>
      </c>
      <c r="E105" s="2" t="s">
        <v>33</v>
      </c>
      <c r="F105" s="2" t="s">
        <v>65</v>
      </c>
      <c r="G105" s="4">
        <v>2</v>
      </c>
      <c r="H105" s="4">
        <v>55000</v>
      </c>
      <c r="I105" s="4">
        <v>110000</v>
      </c>
      <c r="J105" s="2" t="s">
        <v>19</v>
      </c>
    </row>
    <row r="106" spans="1:10">
      <c r="A106" s="2">
        <v>1105</v>
      </c>
      <c r="B106" s="3">
        <v>46069</v>
      </c>
      <c r="C106" s="2" t="s">
        <v>67</v>
      </c>
      <c r="D106" s="2" t="s">
        <v>21</v>
      </c>
      <c r="E106" s="2" t="s">
        <v>17</v>
      </c>
      <c r="F106" s="2" t="s">
        <v>18</v>
      </c>
      <c r="G106" s="4">
        <v>1</v>
      </c>
      <c r="H106" s="4">
        <v>4500</v>
      </c>
      <c r="I106" s="4">
        <v>4500</v>
      </c>
      <c r="J106" s="2" t="s">
        <v>48</v>
      </c>
    </row>
    <row r="107" spans="1:10">
      <c r="A107" s="2">
        <v>1106</v>
      </c>
      <c r="B107" s="3">
        <v>46114</v>
      </c>
      <c r="C107" s="2" t="s">
        <v>78</v>
      </c>
      <c r="D107" s="2" t="s">
        <v>21</v>
      </c>
      <c r="E107" s="2" t="s">
        <v>22</v>
      </c>
      <c r="F107" s="2" t="s">
        <v>23</v>
      </c>
      <c r="G107" s="4">
        <v>6</v>
      </c>
      <c r="H107" s="4">
        <v>39000</v>
      </c>
      <c r="I107" s="4">
        <v>234000</v>
      </c>
      <c r="J107" s="2" t="s">
        <v>14</v>
      </c>
    </row>
    <row r="108" spans="1:10">
      <c r="A108" s="2">
        <v>1107</v>
      </c>
      <c r="B108" s="3">
        <v>46112</v>
      </c>
      <c r="C108" s="2" t="s">
        <v>35</v>
      </c>
      <c r="D108" s="2" t="s">
        <v>21</v>
      </c>
      <c r="E108" s="2" t="s">
        <v>33</v>
      </c>
      <c r="F108" s="2" t="s">
        <v>34</v>
      </c>
      <c r="G108" s="4">
        <v>5</v>
      </c>
      <c r="H108" s="4">
        <v>72000</v>
      </c>
      <c r="I108" s="4">
        <v>360000</v>
      </c>
      <c r="J108" s="2" t="s">
        <v>28</v>
      </c>
    </row>
    <row r="109" spans="1:10">
      <c r="A109" s="2">
        <v>1108</v>
      </c>
      <c r="B109" s="3">
        <v>46085</v>
      </c>
      <c r="C109" s="2" t="s">
        <v>64</v>
      </c>
      <c r="D109" s="2" t="s">
        <v>21</v>
      </c>
      <c r="E109" s="2" t="s">
        <v>17</v>
      </c>
      <c r="F109" s="2" t="s">
        <v>18</v>
      </c>
      <c r="G109" s="4">
        <v>2</v>
      </c>
      <c r="H109" s="4">
        <v>72000</v>
      </c>
      <c r="I109" s="4">
        <v>144000</v>
      </c>
      <c r="J109" s="2" t="s">
        <v>14</v>
      </c>
    </row>
    <row r="110" spans="1:10">
      <c r="A110" s="2">
        <v>1109</v>
      </c>
      <c r="B110" s="3">
        <v>46165</v>
      </c>
      <c r="C110" s="2" t="s">
        <v>75</v>
      </c>
      <c r="D110" s="2" t="s">
        <v>26</v>
      </c>
      <c r="E110" s="2" t="s">
        <v>22</v>
      </c>
      <c r="F110" s="2" t="s">
        <v>82</v>
      </c>
      <c r="G110" s="4">
        <v>6</v>
      </c>
      <c r="H110" s="4">
        <v>72000</v>
      </c>
      <c r="I110" s="4">
        <v>432000</v>
      </c>
      <c r="J110" s="2" t="s">
        <v>14</v>
      </c>
    </row>
    <row r="111" spans="1:10">
      <c r="A111" s="2">
        <v>1110</v>
      </c>
      <c r="B111" s="3">
        <v>46102</v>
      </c>
      <c r="C111" s="2" t="s">
        <v>58</v>
      </c>
      <c r="D111" s="2" t="s">
        <v>26</v>
      </c>
      <c r="E111" s="2" t="s">
        <v>22</v>
      </c>
      <c r="F111" s="2" t="s">
        <v>59</v>
      </c>
      <c r="G111" s="4">
        <v>1</v>
      </c>
      <c r="H111" s="4">
        <v>12000</v>
      </c>
      <c r="I111" s="4">
        <v>12000</v>
      </c>
      <c r="J111" s="2" t="s">
        <v>48</v>
      </c>
    </row>
    <row r="112" spans="1:10">
      <c r="A112" s="2">
        <v>1111</v>
      </c>
      <c r="B112" s="3">
        <v>46052</v>
      </c>
      <c r="C112" s="2" t="s">
        <v>66</v>
      </c>
      <c r="D112" s="2" t="s">
        <v>11</v>
      </c>
      <c r="E112" s="2" t="s">
        <v>22</v>
      </c>
      <c r="F112" s="2" t="s">
        <v>82</v>
      </c>
      <c r="G112" s="4">
        <v>1</v>
      </c>
      <c r="H112" s="4">
        <v>39000</v>
      </c>
      <c r="I112" s="4">
        <v>39000</v>
      </c>
      <c r="J112" s="2" t="s">
        <v>48</v>
      </c>
    </row>
    <row r="113" spans="1:10">
      <c r="A113" s="2">
        <v>1112</v>
      </c>
      <c r="B113" s="3">
        <v>46105</v>
      </c>
      <c r="C113" s="2" t="s">
        <v>71</v>
      </c>
      <c r="D113" s="2" t="s">
        <v>43</v>
      </c>
      <c r="E113" s="2" t="s">
        <v>33</v>
      </c>
      <c r="F113" s="2" t="s">
        <v>61</v>
      </c>
      <c r="G113" s="4">
        <v>3</v>
      </c>
      <c r="H113" s="4">
        <v>24000</v>
      </c>
      <c r="I113" s="4">
        <v>72000</v>
      </c>
      <c r="J113" s="2" t="s">
        <v>14</v>
      </c>
    </row>
    <row r="114" spans="1:10">
      <c r="A114" s="2">
        <v>1113</v>
      </c>
      <c r="B114" s="3">
        <v>46037</v>
      </c>
      <c r="C114" s="2" t="s">
        <v>62</v>
      </c>
      <c r="D114" s="2" t="s">
        <v>30</v>
      </c>
      <c r="E114" s="2" t="s">
        <v>12</v>
      </c>
      <c r="F114" s="2" t="s">
        <v>13</v>
      </c>
      <c r="G114" s="4">
        <v>6</v>
      </c>
      <c r="H114" s="4">
        <v>24000</v>
      </c>
      <c r="I114" s="4">
        <v>144000</v>
      </c>
      <c r="J114" s="2" t="s">
        <v>14</v>
      </c>
    </row>
    <row r="115" spans="1:10">
      <c r="A115" s="2">
        <v>1114</v>
      </c>
      <c r="B115" s="3">
        <v>46062</v>
      </c>
      <c r="C115" s="2" t="s">
        <v>53</v>
      </c>
      <c r="D115" s="2" t="s">
        <v>30</v>
      </c>
      <c r="E115" s="2" t="s">
        <v>33</v>
      </c>
      <c r="F115" s="2" t="s">
        <v>65</v>
      </c>
      <c r="G115" s="4">
        <v>1</v>
      </c>
      <c r="H115" s="4">
        <v>12000</v>
      </c>
      <c r="I115" s="4">
        <v>12000</v>
      </c>
      <c r="J115" s="2" t="s">
        <v>48</v>
      </c>
    </row>
    <row r="116" spans="1:10">
      <c r="A116" s="2">
        <v>1115</v>
      </c>
      <c r="B116" s="3">
        <v>46154</v>
      </c>
      <c r="C116" s="2" t="s">
        <v>73</v>
      </c>
      <c r="D116" s="2" t="s">
        <v>43</v>
      </c>
      <c r="E116" s="2" t="s">
        <v>12</v>
      </c>
      <c r="F116" s="2" t="s">
        <v>27</v>
      </c>
      <c r="G116" s="4">
        <v>2</v>
      </c>
      <c r="H116" s="4">
        <v>24000</v>
      </c>
      <c r="I116" s="4">
        <v>48000</v>
      </c>
      <c r="J116" s="2" t="s">
        <v>48</v>
      </c>
    </row>
    <row r="117" spans="1:10">
      <c r="A117" s="2">
        <v>1116</v>
      </c>
      <c r="B117" s="3">
        <v>46058</v>
      </c>
      <c r="C117" s="2" t="s">
        <v>38</v>
      </c>
      <c r="D117" s="2" t="s">
        <v>43</v>
      </c>
      <c r="E117" s="2" t="s">
        <v>36</v>
      </c>
      <c r="F117" s="2" t="s">
        <v>69</v>
      </c>
      <c r="G117" s="4">
        <v>5</v>
      </c>
      <c r="H117" s="4">
        <v>55000</v>
      </c>
      <c r="I117" s="4">
        <v>275000</v>
      </c>
      <c r="J117" s="2" t="s">
        <v>14</v>
      </c>
    </row>
    <row r="118" spans="1:10">
      <c r="A118" s="2">
        <v>1117</v>
      </c>
      <c r="B118" s="3">
        <v>46142</v>
      </c>
      <c r="C118" s="2" t="s">
        <v>86</v>
      </c>
      <c r="D118" s="2" t="s">
        <v>16</v>
      </c>
      <c r="E118" s="2" t="s">
        <v>22</v>
      </c>
      <c r="F118" s="2" t="s">
        <v>59</v>
      </c>
      <c r="G118" s="4">
        <v>3</v>
      </c>
      <c r="H118" s="4">
        <v>55000</v>
      </c>
      <c r="I118" s="4">
        <v>165000</v>
      </c>
      <c r="J118" s="2" t="s">
        <v>19</v>
      </c>
    </row>
    <row r="119" spans="1:10">
      <c r="A119" s="2">
        <v>1118</v>
      </c>
      <c r="B119" s="3">
        <v>46073</v>
      </c>
      <c r="C119" s="2" t="s">
        <v>57</v>
      </c>
      <c r="D119" s="2" t="s">
        <v>30</v>
      </c>
      <c r="E119" s="2" t="s">
        <v>36</v>
      </c>
      <c r="F119" s="2" t="s">
        <v>37</v>
      </c>
      <c r="G119" s="4">
        <v>3</v>
      </c>
      <c r="H119" s="4">
        <v>39000</v>
      </c>
      <c r="I119" s="4">
        <v>117000</v>
      </c>
      <c r="J119" s="2" t="s">
        <v>19</v>
      </c>
    </row>
    <row r="120" spans="1:10">
      <c r="A120" s="2">
        <v>1119</v>
      </c>
      <c r="B120" s="3">
        <v>46134</v>
      </c>
      <c r="C120" s="2" t="s">
        <v>76</v>
      </c>
      <c r="D120" s="2" t="s">
        <v>11</v>
      </c>
      <c r="E120" s="2" t="s">
        <v>17</v>
      </c>
      <c r="F120" s="2" t="s">
        <v>31</v>
      </c>
      <c r="G120" s="4">
        <v>3</v>
      </c>
      <c r="H120" s="4">
        <v>4500</v>
      </c>
      <c r="I120" s="4">
        <v>13500</v>
      </c>
      <c r="J120" s="2" t="s">
        <v>48</v>
      </c>
    </row>
    <row r="121" spans="1:10">
      <c r="A121" s="2">
        <v>1120</v>
      </c>
      <c r="B121" s="3">
        <v>46072</v>
      </c>
      <c r="C121" s="2" t="s">
        <v>58</v>
      </c>
      <c r="D121" s="2" t="s">
        <v>30</v>
      </c>
      <c r="E121" s="2" t="s">
        <v>36</v>
      </c>
      <c r="F121" s="2" t="s">
        <v>37</v>
      </c>
      <c r="G121" s="4">
        <v>3</v>
      </c>
      <c r="H121" s="4">
        <v>72000</v>
      </c>
      <c r="I121" s="4">
        <v>216000</v>
      </c>
      <c r="J121" s="2" t="s">
        <v>28</v>
      </c>
    </row>
    <row r="122" spans="1:10">
      <c r="A122" s="2">
        <v>1121</v>
      </c>
      <c r="B122" s="3">
        <v>46134</v>
      </c>
      <c r="C122" s="2" t="s">
        <v>49</v>
      </c>
      <c r="D122" s="2" t="s">
        <v>43</v>
      </c>
      <c r="E122" s="2" t="s">
        <v>36</v>
      </c>
      <c r="F122" s="2" t="s">
        <v>37</v>
      </c>
      <c r="G122" s="4">
        <v>1</v>
      </c>
      <c r="H122" s="4">
        <v>55000</v>
      </c>
      <c r="I122" s="4">
        <v>55000</v>
      </c>
      <c r="J122" s="2" t="s">
        <v>14</v>
      </c>
    </row>
    <row r="123" spans="1:10">
      <c r="A123" s="2">
        <v>1122</v>
      </c>
      <c r="B123" s="3">
        <v>46084</v>
      </c>
      <c r="C123" s="2" t="s">
        <v>51</v>
      </c>
      <c r="D123" s="2" t="s">
        <v>43</v>
      </c>
      <c r="E123" s="2" t="s">
        <v>17</v>
      </c>
      <c r="F123" s="2" t="s">
        <v>18</v>
      </c>
      <c r="G123" s="4">
        <v>4</v>
      </c>
      <c r="H123" s="4">
        <v>39000</v>
      </c>
      <c r="I123" s="4">
        <v>156000</v>
      </c>
      <c r="J123" s="2" t="s">
        <v>28</v>
      </c>
    </row>
    <row r="124" spans="1:10">
      <c r="A124" s="2">
        <v>1123</v>
      </c>
      <c r="B124" s="3">
        <v>46106</v>
      </c>
      <c r="C124" s="2" t="s">
        <v>73</v>
      </c>
      <c r="D124" s="2" t="s">
        <v>11</v>
      </c>
      <c r="E124" s="2" t="s">
        <v>36</v>
      </c>
      <c r="F124" s="2" t="s">
        <v>69</v>
      </c>
      <c r="G124" s="4">
        <v>5</v>
      </c>
      <c r="H124" s="4">
        <v>8900</v>
      </c>
      <c r="I124" s="4">
        <v>44500</v>
      </c>
      <c r="J124" s="2" t="s">
        <v>48</v>
      </c>
    </row>
    <row r="125" spans="1:10">
      <c r="A125" s="2">
        <v>1124</v>
      </c>
      <c r="B125" s="3">
        <v>46142</v>
      </c>
      <c r="C125" s="2" t="s">
        <v>71</v>
      </c>
      <c r="D125" s="2" t="s">
        <v>11</v>
      </c>
      <c r="E125" s="2" t="s">
        <v>22</v>
      </c>
      <c r="F125" s="2" t="s">
        <v>59</v>
      </c>
      <c r="G125" s="4">
        <v>4</v>
      </c>
      <c r="H125" s="4">
        <v>24000</v>
      </c>
      <c r="I125" s="4">
        <v>96000</v>
      </c>
      <c r="J125" s="2" t="s">
        <v>19</v>
      </c>
    </row>
    <row r="126" spans="1:10">
      <c r="A126" s="2">
        <v>1125</v>
      </c>
      <c r="B126" s="3">
        <v>46060</v>
      </c>
      <c r="C126" s="2" t="s">
        <v>25</v>
      </c>
      <c r="D126" s="2" t="s">
        <v>11</v>
      </c>
      <c r="E126" s="2" t="s">
        <v>12</v>
      </c>
      <c r="F126" s="2" t="s">
        <v>46</v>
      </c>
      <c r="G126" s="4">
        <v>3</v>
      </c>
      <c r="H126" s="4">
        <v>39000</v>
      </c>
      <c r="I126" s="4">
        <v>117000</v>
      </c>
      <c r="J126" s="2" t="s">
        <v>48</v>
      </c>
    </row>
    <row r="127" spans="1:10">
      <c r="A127" s="2">
        <v>1126</v>
      </c>
      <c r="B127" s="3">
        <v>46064</v>
      </c>
      <c r="C127" s="2" t="s">
        <v>32</v>
      </c>
      <c r="D127" s="2" t="s">
        <v>43</v>
      </c>
      <c r="E127" s="2" t="s">
        <v>36</v>
      </c>
      <c r="F127" s="2" t="s">
        <v>37</v>
      </c>
      <c r="G127" s="4">
        <v>3</v>
      </c>
      <c r="H127" s="4">
        <v>72000</v>
      </c>
      <c r="I127" s="4">
        <v>216000</v>
      </c>
      <c r="J127" s="2" t="s">
        <v>14</v>
      </c>
    </row>
    <row r="128" spans="1:10">
      <c r="A128" s="2">
        <v>1127</v>
      </c>
      <c r="B128" s="3">
        <v>46131</v>
      </c>
      <c r="C128" s="2" t="s">
        <v>42</v>
      </c>
      <c r="D128" s="2" t="s">
        <v>30</v>
      </c>
      <c r="E128" s="2" t="s">
        <v>12</v>
      </c>
      <c r="F128" s="2" t="s">
        <v>24</v>
      </c>
      <c r="G128" s="4">
        <v>5</v>
      </c>
      <c r="H128" s="4">
        <v>8900</v>
      </c>
      <c r="I128" s="4">
        <v>44500</v>
      </c>
      <c r="J128" s="2" t="s">
        <v>19</v>
      </c>
    </row>
    <row r="129" spans="1:10">
      <c r="A129" s="2">
        <v>1128</v>
      </c>
      <c r="B129" s="3">
        <v>46137</v>
      </c>
      <c r="C129" s="2" t="s">
        <v>60</v>
      </c>
      <c r="D129" s="2" t="s">
        <v>26</v>
      </c>
      <c r="E129" s="2" t="s">
        <v>12</v>
      </c>
      <c r="F129" s="2" t="s">
        <v>46</v>
      </c>
      <c r="G129" s="4">
        <v>2</v>
      </c>
      <c r="H129" s="4">
        <v>8900</v>
      </c>
      <c r="I129" s="4">
        <v>17800</v>
      </c>
      <c r="J129" s="2" t="s">
        <v>14</v>
      </c>
    </row>
    <row r="130" spans="1:10">
      <c r="A130" s="2">
        <v>1129</v>
      </c>
      <c r="B130" s="3">
        <v>46067</v>
      </c>
      <c r="C130" s="2" t="s">
        <v>32</v>
      </c>
      <c r="D130" s="2" t="s">
        <v>21</v>
      </c>
      <c r="E130" s="2" t="s">
        <v>36</v>
      </c>
      <c r="F130" s="2" t="s">
        <v>37</v>
      </c>
      <c r="G130" s="4">
        <v>1</v>
      </c>
      <c r="H130" s="4">
        <v>72000</v>
      </c>
      <c r="I130" s="4">
        <v>72000</v>
      </c>
      <c r="J130" s="2" t="s">
        <v>14</v>
      </c>
    </row>
    <row r="131" spans="1:10">
      <c r="A131" s="2">
        <v>1130</v>
      </c>
      <c r="B131" s="3">
        <v>46154</v>
      </c>
      <c r="C131" s="2" t="s">
        <v>87</v>
      </c>
      <c r="D131" s="2" t="s">
        <v>11</v>
      </c>
      <c r="E131" s="2" t="s">
        <v>17</v>
      </c>
      <c r="F131" s="2" t="s">
        <v>55</v>
      </c>
      <c r="G131" s="4">
        <v>2</v>
      </c>
      <c r="H131" s="4">
        <v>12000</v>
      </c>
      <c r="I131" s="4">
        <v>24000</v>
      </c>
      <c r="J131" s="2" t="s">
        <v>14</v>
      </c>
    </row>
    <row r="132" spans="1:10">
      <c r="A132" s="2">
        <v>1131</v>
      </c>
      <c r="B132" s="3">
        <v>46063</v>
      </c>
      <c r="C132" s="2" t="s">
        <v>80</v>
      </c>
      <c r="D132" s="2" t="s">
        <v>16</v>
      </c>
      <c r="E132" s="2" t="s">
        <v>12</v>
      </c>
      <c r="F132" s="2" t="s">
        <v>13</v>
      </c>
      <c r="G132" s="4">
        <v>4</v>
      </c>
      <c r="H132" s="4">
        <v>8900</v>
      </c>
      <c r="I132" s="4"/>
      <c r="J132" s="2" t="s">
        <v>48</v>
      </c>
    </row>
    <row r="133" spans="1:10">
      <c r="A133" s="2">
        <v>1132</v>
      </c>
      <c r="B133" s="3">
        <v>46097</v>
      </c>
      <c r="C133" s="2" t="s">
        <v>63</v>
      </c>
      <c r="D133" s="2" t="s">
        <v>21</v>
      </c>
      <c r="E133" s="2" t="s">
        <v>36</v>
      </c>
      <c r="F133" s="2" t="s">
        <v>69</v>
      </c>
      <c r="G133" s="4">
        <v>4</v>
      </c>
      <c r="H133" s="4">
        <v>72000</v>
      </c>
      <c r="I133" s="4">
        <v>288000</v>
      </c>
      <c r="J133" s="2" t="s">
        <v>14</v>
      </c>
    </row>
    <row r="134" spans="1:10">
      <c r="A134" s="2">
        <v>1133</v>
      </c>
      <c r="B134" s="3">
        <v>46095</v>
      </c>
      <c r="C134" s="2" t="s">
        <v>38</v>
      </c>
      <c r="D134" s="2" t="s">
        <v>16</v>
      </c>
      <c r="E134" s="2" t="s">
        <v>17</v>
      </c>
      <c r="F134" s="2" t="s">
        <v>31</v>
      </c>
      <c r="G134" s="4">
        <v>3</v>
      </c>
      <c r="H134" s="4">
        <v>4500</v>
      </c>
      <c r="I134" s="4">
        <v>13500</v>
      </c>
      <c r="J134" s="2" t="s">
        <v>19</v>
      </c>
    </row>
    <row r="135" spans="1:10">
      <c r="A135" s="2">
        <v>1134</v>
      </c>
      <c r="B135" s="3">
        <v>46068</v>
      </c>
      <c r="C135" s="2" t="s">
        <v>10</v>
      </c>
      <c r="D135" s="2" t="s">
        <v>11</v>
      </c>
      <c r="E135" s="2" t="s">
        <v>22</v>
      </c>
      <c r="F135" s="2" t="s">
        <v>23</v>
      </c>
      <c r="G135" s="4">
        <v>1</v>
      </c>
      <c r="H135" s="4">
        <v>39000</v>
      </c>
      <c r="I135" s="4">
        <v>39000</v>
      </c>
      <c r="J135" s="2" t="s">
        <v>48</v>
      </c>
    </row>
    <row r="136" spans="1:10">
      <c r="A136" s="2">
        <v>1135</v>
      </c>
      <c r="B136" s="3">
        <v>46155</v>
      </c>
      <c r="C136" s="2" t="s">
        <v>83</v>
      </c>
      <c r="D136" s="2" t="s">
        <v>26</v>
      </c>
      <c r="E136" s="2" t="s">
        <v>36</v>
      </c>
      <c r="F136" s="2" t="s">
        <v>37</v>
      </c>
      <c r="G136" s="4">
        <v>4</v>
      </c>
      <c r="H136" s="4">
        <v>39000</v>
      </c>
      <c r="I136" s="4">
        <v>156000</v>
      </c>
      <c r="J136" s="2" t="s">
        <v>19</v>
      </c>
    </row>
    <row r="137" spans="1:10">
      <c r="A137" s="2">
        <v>1136</v>
      </c>
      <c r="B137" s="3">
        <v>46080</v>
      </c>
      <c r="C137" s="2" t="s">
        <v>54</v>
      </c>
      <c r="D137" s="2" t="s">
        <v>11</v>
      </c>
      <c r="E137" s="2" t="s">
        <v>17</v>
      </c>
      <c r="F137" s="2" t="s">
        <v>55</v>
      </c>
      <c r="G137" s="4">
        <v>4</v>
      </c>
      <c r="H137" s="4">
        <v>39000</v>
      </c>
      <c r="I137" s="4">
        <v>156000</v>
      </c>
      <c r="J137" s="2" t="s">
        <v>48</v>
      </c>
    </row>
    <row r="138" spans="1:10">
      <c r="A138" s="2">
        <v>1137</v>
      </c>
      <c r="B138" s="3">
        <v>46033</v>
      </c>
      <c r="C138" s="2" t="s">
        <v>62</v>
      </c>
      <c r="D138" s="2" t="s">
        <v>30</v>
      </c>
      <c r="E138" s="2" t="s">
        <v>33</v>
      </c>
      <c r="F138" s="2" t="s">
        <v>34</v>
      </c>
      <c r="G138" s="4">
        <v>2</v>
      </c>
      <c r="H138" s="4">
        <v>4500</v>
      </c>
      <c r="I138" s="4">
        <v>9000</v>
      </c>
      <c r="J138" s="2" t="s">
        <v>48</v>
      </c>
    </row>
    <row r="139" spans="1:10">
      <c r="A139" s="2">
        <v>1138</v>
      </c>
      <c r="B139" s="3">
        <v>46137</v>
      </c>
      <c r="C139" s="2" t="s">
        <v>75</v>
      </c>
      <c r="D139" s="2" t="s">
        <v>21</v>
      </c>
      <c r="E139" s="2" t="s">
        <v>17</v>
      </c>
      <c r="F139" s="2" t="s">
        <v>18</v>
      </c>
      <c r="G139" s="4">
        <v>2</v>
      </c>
      <c r="H139" s="4">
        <v>12000</v>
      </c>
      <c r="I139" s="4">
        <v>24000</v>
      </c>
      <c r="J139" s="2" t="s">
        <v>48</v>
      </c>
    </row>
    <row r="140" spans="1:10">
      <c r="A140" s="2">
        <v>1139</v>
      </c>
      <c r="B140" s="3">
        <v>46154</v>
      </c>
      <c r="C140" s="2" t="s">
        <v>10</v>
      </c>
      <c r="D140" s="2" t="s">
        <v>21</v>
      </c>
      <c r="E140" s="2" t="s">
        <v>22</v>
      </c>
      <c r="F140" s="2" t="s">
        <v>44</v>
      </c>
      <c r="G140" s="4">
        <v>2</v>
      </c>
      <c r="H140" s="4">
        <v>8900</v>
      </c>
      <c r="I140" s="4">
        <v>17800</v>
      </c>
      <c r="J140" s="2" t="s">
        <v>28</v>
      </c>
    </row>
    <row r="141" spans="1:10">
      <c r="A141" s="2">
        <v>1140</v>
      </c>
      <c r="B141" s="3">
        <v>46169</v>
      </c>
      <c r="C141" s="2" t="s">
        <v>67</v>
      </c>
      <c r="D141" s="2" t="s">
        <v>11</v>
      </c>
      <c r="E141" s="2" t="s">
        <v>36</v>
      </c>
      <c r="F141" s="2" t="s">
        <v>50</v>
      </c>
      <c r="G141" s="4">
        <v>5</v>
      </c>
      <c r="H141" s="4">
        <v>55000</v>
      </c>
      <c r="I141" s="4">
        <v>275000</v>
      </c>
      <c r="J141" s="2" t="s">
        <v>19</v>
      </c>
    </row>
    <row r="142" spans="1:10">
      <c r="A142" s="2">
        <v>1141</v>
      </c>
      <c r="B142" s="3">
        <v>46163</v>
      </c>
      <c r="C142" s="2" t="s">
        <v>66</v>
      </c>
      <c r="D142" s="2" t="s">
        <v>16</v>
      </c>
      <c r="E142" s="2" t="s">
        <v>17</v>
      </c>
      <c r="F142" s="2" t="s">
        <v>31</v>
      </c>
      <c r="G142" s="4">
        <v>6</v>
      </c>
      <c r="H142" s="4">
        <v>55000</v>
      </c>
      <c r="I142" s="4">
        <v>330000</v>
      </c>
      <c r="J142" s="2" t="s">
        <v>28</v>
      </c>
    </row>
    <row r="143" spans="1:10">
      <c r="A143" s="2">
        <v>1142</v>
      </c>
      <c r="B143" s="3">
        <v>46117</v>
      </c>
      <c r="C143" s="2" t="s">
        <v>57</v>
      </c>
      <c r="D143" s="2" t="s">
        <v>30</v>
      </c>
      <c r="E143" s="2" t="s">
        <v>22</v>
      </c>
      <c r="F143" s="2" t="s">
        <v>82</v>
      </c>
      <c r="G143" s="4">
        <v>5</v>
      </c>
      <c r="H143" s="4">
        <v>39000</v>
      </c>
      <c r="I143" s="4">
        <v>195000</v>
      </c>
      <c r="J143" s="2" t="s">
        <v>28</v>
      </c>
    </row>
    <row r="144" spans="1:10">
      <c r="A144" s="2">
        <v>1143</v>
      </c>
      <c r="B144" s="3">
        <v>46055</v>
      </c>
      <c r="C144" s="2" t="s">
        <v>75</v>
      </c>
      <c r="D144" s="2" t="s">
        <v>21</v>
      </c>
      <c r="E144" s="2" t="s">
        <v>17</v>
      </c>
      <c r="F144" s="2" t="s">
        <v>39</v>
      </c>
      <c r="G144" s="4">
        <v>5</v>
      </c>
      <c r="H144" s="4">
        <v>55000</v>
      </c>
      <c r="I144" s="4">
        <v>275000</v>
      </c>
      <c r="J144" s="2" t="s">
        <v>28</v>
      </c>
    </row>
    <row r="145" spans="1:10">
      <c r="A145" s="2">
        <v>1144</v>
      </c>
      <c r="B145" s="3">
        <v>46166</v>
      </c>
      <c r="C145" s="2" t="s">
        <v>47</v>
      </c>
      <c r="D145" s="2" t="s">
        <v>11</v>
      </c>
      <c r="E145" s="2" t="s">
        <v>36</v>
      </c>
      <c r="F145" s="2" t="s">
        <v>37</v>
      </c>
      <c r="G145" s="4">
        <v>1</v>
      </c>
      <c r="H145" s="4">
        <v>55000</v>
      </c>
      <c r="I145" s="4">
        <v>55000</v>
      </c>
      <c r="J145" s="2" t="s">
        <v>28</v>
      </c>
    </row>
    <row r="146" spans="1:10">
      <c r="A146" s="2">
        <v>1145</v>
      </c>
      <c r="B146" s="3">
        <v>46114</v>
      </c>
      <c r="C146" s="2" t="s">
        <v>76</v>
      </c>
      <c r="D146" s="2" t="s">
        <v>43</v>
      </c>
      <c r="E146" s="2" t="s">
        <v>33</v>
      </c>
      <c r="F146" s="2" t="s">
        <v>65</v>
      </c>
      <c r="G146" s="4">
        <v>2</v>
      </c>
      <c r="H146" s="4">
        <v>39000</v>
      </c>
      <c r="I146" s="4">
        <v>78000</v>
      </c>
      <c r="J146" s="2" t="s">
        <v>28</v>
      </c>
    </row>
    <row r="147" spans="1:10">
      <c r="A147" s="2">
        <v>1146</v>
      </c>
      <c r="B147" s="3">
        <v>46082</v>
      </c>
      <c r="C147" s="2" t="s">
        <v>25</v>
      </c>
      <c r="D147" s="2" t="s">
        <v>21</v>
      </c>
      <c r="E147" s="2" t="s">
        <v>36</v>
      </c>
      <c r="F147" s="2" t="s">
        <v>81</v>
      </c>
      <c r="G147" s="4">
        <v>5</v>
      </c>
      <c r="H147" s="4">
        <v>12000</v>
      </c>
      <c r="I147" s="4">
        <v>60000</v>
      </c>
      <c r="J147" s="2" t="s">
        <v>14</v>
      </c>
    </row>
    <row r="148" spans="1:10">
      <c r="A148" s="2">
        <v>1147</v>
      </c>
      <c r="B148" s="3">
        <v>46097</v>
      </c>
      <c r="C148" s="2" t="s">
        <v>76</v>
      </c>
      <c r="D148" s="2" t="s">
        <v>16</v>
      </c>
      <c r="E148" s="2" t="s">
        <v>17</v>
      </c>
      <c r="F148" s="2" t="s">
        <v>55</v>
      </c>
      <c r="G148" s="4">
        <v>4</v>
      </c>
      <c r="H148" s="4">
        <v>39000</v>
      </c>
      <c r="I148" s="4">
        <v>156000</v>
      </c>
      <c r="J148" s="2" t="s">
        <v>28</v>
      </c>
    </row>
    <row r="149" spans="1:10">
      <c r="A149" s="2">
        <v>1148</v>
      </c>
      <c r="B149" s="3">
        <v>46044</v>
      </c>
      <c r="C149" s="2" t="s">
        <v>10</v>
      </c>
      <c r="D149" s="2" t="s">
        <v>43</v>
      </c>
      <c r="E149" s="2" t="s">
        <v>22</v>
      </c>
      <c r="F149" s="2" t="s">
        <v>23</v>
      </c>
      <c r="G149" s="4">
        <v>5</v>
      </c>
      <c r="H149" s="4">
        <v>12000</v>
      </c>
      <c r="I149" s="4">
        <v>60000</v>
      </c>
      <c r="J149" s="2" t="s">
        <v>28</v>
      </c>
    </row>
    <row r="150" spans="1:10">
      <c r="A150" s="2">
        <v>1149</v>
      </c>
      <c r="B150" s="3">
        <v>46064</v>
      </c>
      <c r="C150" s="2" t="s">
        <v>38</v>
      </c>
      <c r="D150" s="2" t="s">
        <v>16</v>
      </c>
      <c r="E150" s="2" t="s">
        <v>33</v>
      </c>
      <c r="F150" s="2" t="s">
        <v>61</v>
      </c>
      <c r="G150" s="4">
        <v>6</v>
      </c>
      <c r="H150" s="4">
        <v>72000</v>
      </c>
      <c r="I150" s="4">
        <v>432000</v>
      </c>
      <c r="J150" s="2" t="s">
        <v>48</v>
      </c>
    </row>
    <row r="151" spans="1:10">
      <c r="A151" s="2">
        <v>1150</v>
      </c>
      <c r="B151" s="3">
        <v>46130</v>
      </c>
      <c r="C151" s="2" t="s">
        <v>25</v>
      </c>
      <c r="D151" s="2" t="s">
        <v>16</v>
      </c>
      <c r="E151" s="2" t="s">
        <v>17</v>
      </c>
      <c r="F151" s="2" t="s">
        <v>31</v>
      </c>
      <c r="G151" s="4">
        <v>4</v>
      </c>
      <c r="H151" s="4">
        <v>72000</v>
      </c>
      <c r="I151" s="4">
        <v>288000</v>
      </c>
      <c r="J151" s="2" t="s">
        <v>19</v>
      </c>
    </row>
    <row r="152" spans="1:10">
      <c r="A152" s="2">
        <v>1151</v>
      </c>
      <c r="B152" s="3">
        <v>46167</v>
      </c>
      <c r="C152" s="2" t="s">
        <v>56</v>
      </c>
      <c r="D152" s="2" t="s">
        <v>16</v>
      </c>
      <c r="E152" s="2" t="s">
        <v>33</v>
      </c>
      <c r="F152" s="2" t="s">
        <v>34</v>
      </c>
      <c r="G152" s="4">
        <v>1</v>
      </c>
      <c r="H152" s="4">
        <v>55000</v>
      </c>
      <c r="I152" s="4">
        <v>55000</v>
      </c>
      <c r="J152" s="2" t="s">
        <v>48</v>
      </c>
    </row>
    <row r="153" spans="1:10">
      <c r="A153" s="2">
        <v>1152</v>
      </c>
      <c r="B153" s="3">
        <v>46099</v>
      </c>
      <c r="C153" s="2" t="s">
        <v>73</v>
      </c>
      <c r="D153" s="2" t="s">
        <v>43</v>
      </c>
      <c r="E153" s="2" t="s">
        <v>22</v>
      </c>
      <c r="F153" s="2" t="s">
        <v>23</v>
      </c>
      <c r="G153" s="4">
        <v>5</v>
      </c>
      <c r="H153" s="4">
        <v>12000</v>
      </c>
      <c r="I153" s="4">
        <v>60000</v>
      </c>
      <c r="J153" s="2" t="s">
        <v>19</v>
      </c>
    </row>
    <row r="154" spans="1:10">
      <c r="A154" s="2">
        <v>1153</v>
      </c>
      <c r="B154" s="3">
        <v>46133</v>
      </c>
      <c r="C154" s="2" t="s">
        <v>68</v>
      </c>
      <c r="D154" s="2" t="s">
        <v>30</v>
      </c>
      <c r="E154" s="2" t="s">
        <v>33</v>
      </c>
      <c r="F154" s="2" t="s">
        <v>61</v>
      </c>
      <c r="G154" s="4">
        <v>3</v>
      </c>
      <c r="H154" s="4">
        <v>24000</v>
      </c>
      <c r="I154" s="4">
        <v>72000</v>
      </c>
      <c r="J154" s="2" t="s">
        <v>14</v>
      </c>
    </row>
    <row r="155" spans="1:10">
      <c r="A155" s="2">
        <v>1154</v>
      </c>
      <c r="B155" s="3">
        <v>46078</v>
      </c>
      <c r="C155" s="2" t="s">
        <v>15</v>
      </c>
      <c r="D155" s="2" t="s">
        <v>30</v>
      </c>
      <c r="E155" s="2" t="s">
        <v>33</v>
      </c>
      <c r="F155" s="2" t="s">
        <v>34</v>
      </c>
      <c r="G155" s="4">
        <v>3</v>
      </c>
      <c r="H155" s="4">
        <v>55000</v>
      </c>
      <c r="I155" s="4">
        <v>165000</v>
      </c>
      <c r="J155" s="2" t="s">
        <v>28</v>
      </c>
    </row>
    <row r="156" spans="1:10">
      <c r="A156" s="2">
        <v>1155</v>
      </c>
      <c r="B156" s="3">
        <v>46097</v>
      </c>
      <c r="C156" s="2" t="s">
        <v>38</v>
      </c>
      <c r="D156" s="2" t="s">
        <v>26</v>
      </c>
      <c r="E156" s="2" t="s">
        <v>36</v>
      </c>
      <c r="F156" s="2" t="s">
        <v>37</v>
      </c>
      <c r="G156" s="4">
        <v>5</v>
      </c>
      <c r="H156" s="4">
        <v>72000</v>
      </c>
      <c r="I156" s="4">
        <v>360000</v>
      </c>
      <c r="J156" s="2" t="s">
        <v>19</v>
      </c>
    </row>
    <row r="157" spans="1:10">
      <c r="A157" s="2">
        <v>1156</v>
      </c>
      <c r="B157" s="3">
        <v>46045</v>
      </c>
      <c r="C157" s="2" t="s">
        <v>35</v>
      </c>
      <c r="D157" s="2" t="s">
        <v>21</v>
      </c>
      <c r="E157" s="2" t="s">
        <v>33</v>
      </c>
      <c r="F157" s="2" t="s">
        <v>65</v>
      </c>
      <c r="G157" s="4">
        <v>6</v>
      </c>
      <c r="H157" s="4">
        <v>4500</v>
      </c>
      <c r="I157" s="4">
        <v>27000</v>
      </c>
      <c r="J157" s="2" t="s">
        <v>14</v>
      </c>
    </row>
    <row r="158" spans="1:10">
      <c r="A158" s="2">
        <v>1157</v>
      </c>
      <c r="B158" s="3">
        <v>46089</v>
      </c>
      <c r="C158" s="2" t="s">
        <v>88</v>
      </c>
      <c r="D158" s="2" t="s">
        <v>43</v>
      </c>
      <c r="E158" s="2" t="s">
        <v>22</v>
      </c>
      <c r="F158" s="2" t="s">
        <v>59</v>
      </c>
      <c r="G158" s="4">
        <v>4</v>
      </c>
      <c r="H158" s="4">
        <v>72000</v>
      </c>
      <c r="I158" s="4">
        <v>288000</v>
      </c>
      <c r="J158" s="2" t="s">
        <v>19</v>
      </c>
    </row>
    <row r="159" spans="1:10">
      <c r="A159" s="2">
        <v>1158</v>
      </c>
      <c r="B159" s="3">
        <v>46065</v>
      </c>
      <c r="C159" s="2" t="s">
        <v>88</v>
      </c>
      <c r="D159" s="2" t="s">
        <v>26</v>
      </c>
      <c r="E159" s="2" t="s">
        <v>36</v>
      </c>
      <c r="F159" s="2" t="s">
        <v>37</v>
      </c>
      <c r="G159" s="4">
        <v>2</v>
      </c>
      <c r="H159" s="4">
        <v>55000</v>
      </c>
      <c r="I159" s="4">
        <v>110000</v>
      </c>
      <c r="J159" s="2" t="s">
        <v>48</v>
      </c>
    </row>
    <row r="160" spans="1:10">
      <c r="A160" s="2">
        <v>1159</v>
      </c>
      <c r="B160" s="3">
        <v>46116</v>
      </c>
      <c r="C160" s="2" t="s">
        <v>79</v>
      </c>
      <c r="D160" s="2" t="s">
        <v>11</v>
      </c>
      <c r="E160" s="2" t="s">
        <v>33</v>
      </c>
      <c r="F160" s="2" t="s">
        <v>34</v>
      </c>
      <c r="G160" s="4">
        <v>6</v>
      </c>
      <c r="H160" s="4">
        <v>39000</v>
      </c>
      <c r="I160" s="4">
        <v>234000</v>
      </c>
      <c r="J160" s="2" t="s">
        <v>28</v>
      </c>
    </row>
    <row r="161" spans="1:10">
      <c r="A161" s="2">
        <v>1160</v>
      </c>
      <c r="B161" s="3">
        <v>46070</v>
      </c>
      <c r="C161" s="2" t="s">
        <v>57</v>
      </c>
      <c r="D161" s="2" t="s">
        <v>26</v>
      </c>
      <c r="E161" s="2" t="s">
        <v>36</v>
      </c>
      <c r="F161" s="2" t="s">
        <v>69</v>
      </c>
      <c r="G161" s="4">
        <v>5</v>
      </c>
      <c r="H161" s="4">
        <v>39000</v>
      </c>
      <c r="I161" s="4">
        <v>195000</v>
      </c>
      <c r="J161" s="2" t="s">
        <v>19</v>
      </c>
    </row>
  </sheetData>
  <autoFilter ref="A1:J16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7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0.7109375" customWidth="1"/>
    <col min="3" max="3" width="15.7109375" customWidth="1"/>
    <col min="4" max="4" width="18.7109375" customWidth="1"/>
    <col min="5" max="5" width="17.7109375" customWidth="1"/>
    <col min="6" max="6" width="16.7109375" customWidth="1"/>
  </cols>
  <sheetData>
    <row r="1" spans="1:6">
      <c r="A1" s="1" t="s">
        <v>2</v>
      </c>
      <c r="B1" s="1" t="s">
        <v>89</v>
      </c>
      <c r="C1" s="1" t="s">
        <v>90</v>
      </c>
      <c r="D1" s="1" t="s">
        <v>91</v>
      </c>
      <c r="E1" s="1" t="s">
        <v>92</v>
      </c>
      <c r="F1" s="1" t="s">
        <v>93</v>
      </c>
    </row>
    <row r="2" spans="1:6">
      <c r="A2" s="2" t="s">
        <v>52</v>
      </c>
      <c r="B2" s="2" t="s">
        <v>94</v>
      </c>
      <c r="C2" s="2" t="s">
        <v>95</v>
      </c>
      <c r="D2" s="2" t="s">
        <v>96</v>
      </c>
      <c r="E2" s="3">
        <v>45472</v>
      </c>
      <c r="F2" s="2" t="s">
        <v>97</v>
      </c>
    </row>
    <row r="3" spans="1:6">
      <c r="A3" s="2" t="s">
        <v>73</v>
      </c>
      <c r="B3" s="2" t="s">
        <v>98</v>
      </c>
      <c r="C3" s="2" t="s">
        <v>99</v>
      </c>
      <c r="D3" s="2" t="s">
        <v>96</v>
      </c>
      <c r="E3" s="3">
        <v>45513</v>
      </c>
      <c r="F3" s="2" t="s">
        <v>100</v>
      </c>
    </row>
    <row r="4" spans="1:6">
      <c r="A4" s="2" t="s">
        <v>10</v>
      </c>
      <c r="B4" s="2" t="s">
        <v>101</v>
      </c>
      <c r="C4" s="2" t="s">
        <v>102</v>
      </c>
      <c r="D4" s="2" t="s">
        <v>103</v>
      </c>
      <c r="E4" s="3">
        <v>45465</v>
      </c>
      <c r="F4" s="2" t="s">
        <v>100</v>
      </c>
    </row>
    <row r="5" spans="1:6">
      <c r="A5" s="2" t="s">
        <v>83</v>
      </c>
      <c r="B5" s="2" t="s">
        <v>104</v>
      </c>
      <c r="C5" s="2" t="s">
        <v>105</v>
      </c>
      <c r="D5" s="2" t="s">
        <v>106</v>
      </c>
      <c r="E5" s="3">
        <v>45299</v>
      </c>
      <c r="F5" s="2" t="s">
        <v>97</v>
      </c>
    </row>
    <row r="6" spans="1:6">
      <c r="A6" s="2" t="s">
        <v>56</v>
      </c>
      <c r="B6" s="2" t="s">
        <v>107</v>
      </c>
      <c r="C6" s="2"/>
      <c r="D6" s="2" t="s">
        <v>108</v>
      </c>
      <c r="E6" s="3">
        <v>45872</v>
      </c>
      <c r="F6" s="2" t="s">
        <v>100</v>
      </c>
    </row>
    <row r="7" spans="1:6">
      <c r="A7" s="2" t="s">
        <v>58</v>
      </c>
      <c r="B7" s="2" t="s">
        <v>109</v>
      </c>
      <c r="C7" s="2" t="s">
        <v>110</v>
      </c>
      <c r="D7" s="2" t="s">
        <v>103</v>
      </c>
      <c r="E7" s="3">
        <v>45846</v>
      </c>
      <c r="F7" s="2" t="s">
        <v>100</v>
      </c>
    </row>
    <row r="8" spans="1:6">
      <c r="A8" s="2" t="s">
        <v>20</v>
      </c>
      <c r="B8" s="2" t="s">
        <v>111</v>
      </c>
      <c r="C8" s="2" t="s">
        <v>112</v>
      </c>
      <c r="D8" s="2" t="s">
        <v>113</v>
      </c>
      <c r="E8" s="3">
        <v>45601</v>
      </c>
      <c r="F8" s="2" t="s">
        <v>114</v>
      </c>
    </row>
    <row r="9" spans="1:6">
      <c r="A9" s="2" t="s">
        <v>70</v>
      </c>
      <c r="B9" s="2" t="s">
        <v>115</v>
      </c>
      <c r="C9" s="2" t="s">
        <v>116</v>
      </c>
      <c r="D9" s="2" t="s">
        <v>117</v>
      </c>
      <c r="E9" s="3">
        <v>45750</v>
      </c>
      <c r="F9" s="2" t="s">
        <v>114</v>
      </c>
    </row>
    <row r="10" spans="1:6">
      <c r="A10" s="2" t="s">
        <v>68</v>
      </c>
      <c r="B10" s="2" t="s">
        <v>118</v>
      </c>
      <c r="C10" s="2" t="s">
        <v>119</v>
      </c>
      <c r="D10" s="2" t="s">
        <v>113</v>
      </c>
      <c r="E10" s="3">
        <v>45304</v>
      </c>
      <c r="F10" s="2" t="s">
        <v>97</v>
      </c>
    </row>
    <row r="11" spans="1:6">
      <c r="A11" s="2" t="s">
        <v>47</v>
      </c>
      <c r="B11" s="2" t="s">
        <v>120</v>
      </c>
      <c r="C11" s="2" t="s">
        <v>121</v>
      </c>
      <c r="D11" s="2" t="s">
        <v>103</v>
      </c>
      <c r="E11" s="3">
        <v>45313</v>
      </c>
      <c r="F11" s="2" t="s">
        <v>100</v>
      </c>
    </row>
    <row r="12" spans="1:6">
      <c r="A12" s="2" t="s">
        <v>35</v>
      </c>
      <c r="B12" s="2" t="s">
        <v>122</v>
      </c>
      <c r="C12" s="2" t="s">
        <v>123</v>
      </c>
      <c r="D12" s="2" t="s">
        <v>108</v>
      </c>
      <c r="E12" s="3">
        <v>45995</v>
      </c>
      <c r="F12" s="2" t="s">
        <v>100</v>
      </c>
    </row>
    <row r="13" spans="1:6">
      <c r="A13" s="2" t="s">
        <v>42</v>
      </c>
      <c r="B13" s="2" t="s">
        <v>124</v>
      </c>
      <c r="C13" s="2" t="s">
        <v>125</v>
      </c>
      <c r="D13" s="2" t="s">
        <v>117</v>
      </c>
      <c r="E13" s="3">
        <v>45413</v>
      </c>
      <c r="F13" s="2" t="s">
        <v>100</v>
      </c>
    </row>
    <row r="14" spans="1:6">
      <c r="A14" s="2" t="s">
        <v>88</v>
      </c>
      <c r="B14" s="2" t="s">
        <v>126</v>
      </c>
      <c r="C14" s="2" t="s">
        <v>127</v>
      </c>
      <c r="D14" s="2" t="s">
        <v>103</v>
      </c>
      <c r="E14" s="3">
        <v>45657</v>
      </c>
      <c r="F14" s="2" t="s">
        <v>128</v>
      </c>
    </row>
    <row r="15" spans="1:6">
      <c r="A15" s="2" t="s">
        <v>67</v>
      </c>
      <c r="B15" s="2" t="s">
        <v>129</v>
      </c>
      <c r="C15" s="2" t="s">
        <v>130</v>
      </c>
      <c r="D15" s="2" t="s">
        <v>106</v>
      </c>
      <c r="E15" s="3">
        <v>45553</v>
      </c>
      <c r="F15" s="2" t="s">
        <v>128</v>
      </c>
    </row>
    <row r="16" spans="1:6">
      <c r="A16" s="2" t="s">
        <v>25</v>
      </c>
      <c r="B16" s="2" t="s">
        <v>131</v>
      </c>
      <c r="C16" s="2" t="s">
        <v>132</v>
      </c>
      <c r="D16" s="2" t="s">
        <v>96</v>
      </c>
      <c r="E16" s="3">
        <v>45732</v>
      </c>
      <c r="F16" s="2" t="s">
        <v>114</v>
      </c>
    </row>
    <row r="17" spans="1:6">
      <c r="A17" s="2" t="s">
        <v>51</v>
      </c>
      <c r="B17" s="2" t="s">
        <v>133</v>
      </c>
      <c r="C17" s="2" t="s">
        <v>134</v>
      </c>
      <c r="D17" s="2" t="s">
        <v>108</v>
      </c>
      <c r="E17" s="3">
        <v>45998</v>
      </c>
      <c r="F17" s="2" t="s">
        <v>114</v>
      </c>
    </row>
    <row r="18" spans="1:6">
      <c r="A18" s="2" t="s">
        <v>85</v>
      </c>
      <c r="B18" s="2" t="s">
        <v>135</v>
      </c>
      <c r="C18" s="2" t="s">
        <v>136</v>
      </c>
      <c r="D18" s="2" t="s">
        <v>113</v>
      </c>
      <c r="E18" s="3">
        <v>45923</v>
      </c>
      <c r="F18" s="2" t="s">
        <v>128</v>
      </c>
    </row>
    <row r="19" spans="1:6">
      <c r="A19" s="2" t="s">
        <v>74</v>
      </c>
      <c r="B19" s="2" t="s">
        <v>137</v>
      </c>
      <c r="C19" s="2" t="s">
        <v>138</v>
      </c>
      <c r="D19" s="2"/>
      <c r="E19" s="3">
        <v>45555</v>
      </c>
      <c r="F19" s="2" t="s">
        <v>97</v>
      </c>
    </row>
    <row r="20" spans="1:6">
      <c r="A20" s="2" t="s">
        <v>15</v>
      </c>
      <c r="B20" s="2" t="s">
        <v>139</v>
      </c>
      <c r="C20" s="2" t="s">
        <v>140</v>
      </c>
      <c r="D20" s="2" t="s">
        <v>106</v>
      </c>
      <c r="E20" s="3">
        <v>45603</v>
      </c>
      <c r="F20" s="2" t="s">
        <v>114</v>
      </c>
    </row>
    <row r="21" spans="1:6">
      <c r="A21" s="2" t="s">
        <v>60</v>
      </c>
      <c r="B21" s="2" t="s">
        <v>141</v>
      </c>
      <c r="C21" s="2" t="s">
        <v>142</v>
      </c>
      <c r="D21" s="2" t="s">
        <v>108</v>
      </c>
      <c r="E21" s="3">
        <v>45296</v>
      </c>
      <c r="F21" s="2" t="s">
        <v>100</v>
      </c>
    </row>
    <row r="22" spans="1:6">
      <c r="A22" s="2" t="s">
        <v>32</v>
      </c>
      <c r="B22" s="2" t="s">
        <v>143</v>
      </c>
      <c r="C22" s="2" t="s">
        <v>144</v>
      </c>
      <c r="D22" s="2" t="s">
        <v>117</v>
      </c>
      <c r="E22" s="3">
        <v>45926</v>
      </c>
      <c r="F22" s="2" t="s">
        <v>128</v>
      </c>
    </row>
    <row r="23" spans="1:6">
      <c r="A23" s="2" t="s">
        <v>145</v>
      </c>
      <c r="B23" s="2" t="s">
        <v>146</v>
      </c>
      <c r="C23" s="2" t="s">
        <v>147</v>
      </c>
      <c r="D23" s="2" t="s">
        <v>96</v>
      </c>
      <c r="E23" s="3">
        <v>45381</v>
      </c>
      <c r="F23" s="2" t="s">
        <v>114</v>
      </c>
    </row>
    <row r="24" spans="1:6">
      <c r="A24" s="2" t="s">
        <v>57</v>
      </c>
      <c r="B24" s="2" t="s">
        <v>148</v>
      </c>
      <c r="C24" s="2" t="s">
        <v>149</v>
      </c>
      <c r="D24" s="2" t="s">
        <v>117</v>
      </c>
      <c r="E24" s="3">
        <v>45994</v>
      </c>
      <c r="F24" s="2" t="s">
        <v>100</v>
      </c>
    </row>
    <row r="25" spans="1:6">
      <c r="A25" s="2" t="s">
        <v>72</v>
      </c>
      <c r="B25" s="2" t="s">
        <v>150</v>
      </c>
      <c r="C25" s="2" t="s">
        <v>151</v>
      </c>
      <c r="D25" s="2" t="s">
        <v>117</v>
      </c>
      <c r="E25" s="3">
        <v>45514</v>
      </c>
      <c r="F25" s="2" t="s">
        <v>97</v>
      </c>
    </row>
    <row r="26" spans="1:6">
      <c r="A26" s="2" t="s">
        <v>29</v>
      </c>
      <c r="B26" s="2" t="s">
        <v>152</v>
      </c>
      <c r="C26" s="2" t="s">
        <v>153</v>
      </c>
      <c r="D26" s="2" t="s">
        <v>113</v>
      </c>
      <c r="E26" s="3"/>
      <c r="F26" s="2" t="s">
        <v>97</v>
      </c>
    </row>
    <row r="27" spans="1:6">
      <c r="A27" s="2" t="s">
        <v>63</v>
      </c>
      <c r="B27" s="2" t="s">
        <v>154</v>
      </c>
      <c r="C27" s="2" t="s">
        <v>155</v>
      </c>
      <c r="D27" s="2" t="s">
        <v>106</v>
      </c>
      <c r="E27" s="3">
        <v>45509</v>
      </c>
      <c r="F27" s="2" t="s">
        <v>128</v>
      </c>
    </row>
    <row r="28" spans="1:6">
      <c r="A28" s="2" t="s">
        <v>38</v>
      </c>
      <c r="B28" s="2" t="s">
        <v>156</v>
      </c>
      <c r="C28" s="2" t="s">
        <v>157</v>
      </c>
      <c r="D28" s="2" t="s">
        <v>106</v>
      </c>
      <c r="E28" s="3">
        <v>45549</v>
      </c>
      <c r="F28" s="2" t="s">
        <v>100</v>
      </c>
    </row>
    <row r="29" spans="1:6">
      <c r="A29" s="2" t="s">
        <v>49</v>
      </c>
      <c r="B29" s="2" t="s">
        <v>158</v>
      </c>
      <c r="C29" s="2" t="s">
        <v>159</v>
      </c>
      <c r="D29" s="2" t="s">
        <v>113</v>
      </c>
      <c r="E29" s="3">
        <v>45502</v>
      </c>
      <c r="F29" s="2" t="s">
        <v>100</v>
      </c>
    </row>
    <row r="30" spans="1:6">
      <c r="A30" s="2" t="s">
        <v>62</v>
      </c>
      <c r="B30" s="2" t="s">
        <v>160</v>
      </c>
      <c r="C30" s="2" t="s">
        <v>161</v>
      </c>
      <c r="D30" s="2" t="s">
        <v>162</v>
      </c>
      <c r="E30" s="3">
        <v>45370</v>
      </c>
      <c r="F30" s="2" t="s">
        <v>100</v>
      </c>
    </row>
    <row r="31" spans="1:6">
      <c r="A31" s="2" t="s">
        <v>71</v>
      </c>
      <c r="B31" s="2" t="s">
        <v>163</v>
      </c>
      <c r="C31" s="2" t="s">
        <v>164</v>
      </c>
      <c r="D31" s="2" t="s">
        <v>108</v>
      </c>
      <c r="E31" s="3">
        <v>45540</v>
      </c>
      <c r="F31" s="2" t="s">
        <v>97</v>
      </c>
    </row>
    <row r="32" spans="1:6">
      <c r="A32" s="2" t="s">
        <v>40</v>
      </c>
      <c r="B32" s="2" t="s">
        <v>165</v>
      </c>
      <c r="C32" s="2" t="s">
        <v>166</v>
      </c>
      <c r="D32" s="2" t="s">
        <v>103</v>
      </c>
      <c r="E32" s="3">
        <v>45619</v>
      </c>
      <c r="F32" s="2" t="s">
        <v>100</v>
      </c>
    </row>
    <row r="33" spans="1:6">
      <c r="A33" s="2" t="s">
        <v>45</v>
      </c>
      <c r="B33" s="2" t="s">
        <v>167</v>
      </c>
      <c r="C33" s="2" t="s">
        <v>168</v>
      </c>
      <c r="D33" s="2" t="s">
        <v>103</v>
      </c>
      <c r="E33" s="3">
        <v>45909</v>
      </c>
      <c r="F33" s="2" t="s">
        <v>100</v>
      </c>
    </row>
    <row r="34" spans="1:6">
      <c r="A34" s="2" t="s">
        <v>64</v>
      </c>
      <c r="B34" s="2" t="s">
        <v>169</v>
      </c>
      <c r="C34" s="2" t="s">
        <v>170</v>
      </c>
      <c r="D34" s="2" t="s">
        <v>162</v>
      </c>
      <c r="E34" s="3">
        <v>45662</v>
      </c>
      <c r="F34" s="2" t="s">
        <v>128</v>
      </c>
    </row>
    <row r="35" spans="1:6">
      <c r="A35" s="2" t="s">
        <v>171</v>
      </c>
      <c r="B35" s="2" t="s">
        <v>172</v>
      </c>
      <c r="C35" s="2" t="s">
        <v>173</v>
      </c>
      <c r="D35" s="2" t="s">
        <v>162</v>
      </c>
      <c r="E35" s="3">
        <v>45525</v>
      </c>
      <c r="F35" s="2" t="s">
        <v>114</v>
      </c>
    </row>
    <row r="36" spans="1:6">
      <c r="A36" s="2" t="s">
        <v>80</v>
      </c>
      <c r="B36" s="2" t="s">
        <v>174</v>
      </c>
      <c r="C36" s="2" t="s">
        <v>175</v>
      </c>
      <c r="D36" s="2" t="s">
        <v>162</v>
      </c>
      <c r="E36" s="3">
        <v>45472</v>
      </c>
      <c r="F36" s="2" t="s">
        <v>97</v>
      </c>
    </row>
    <row r="37" spans="1:6">
      <c r="A37" s="2" t="s">
        <v>87</v>
      </c>
      <c r="B37" s="2" t="s">
        <v>176</v>
      </c>
      <c r="C37" s="2" t="s">
        <v>177</v>
      </c>
      <c r="D37" s="2" t="s">
        <v>113</v>
      </c>
      <c r="E37" s="3">
        <v>45408</v>
      </c>
      <c r="F37" s="2" t="s">
        <v>100</v>
      </c>
    </row>
    <row r="38" spans="1:6">
      <c r="A38" s="2" t="s">
        <v>75</v>
      </c>
      <c r="B38" s="2" t="s">
        <v>178</v>
      </c>
      <c r="C38" s="2" t="s">
        <v>179</v>
      </c>
      <c r="D38" s="2" t="s">
        <v>117</v>
      </c>
      <c r="E38" s="3">
        <v>45507</v>
      </c>
      <c r="F38" s="2" t="s">
        <v>100</v>
      </c>
    </row>
    <row r="39" spans="1:6">
      <c r="A39" s="2" t="s">
        <v>53</v>
      </c>
      <c r="B39" s="2" t="s">
        <v>180</v>
      </c>
      <c r="C39" s="2" t="s">
        <v>181</v>
      </c>
      <c r="D39" s="2" t="s">
        <v>162</v>
      </c>
      <c r="E39" s="3">
        <v>45386</v>
      </c>
      <c r="F39" s="2" t="s">
        <v>128</v>
      </c>
    </row>
    <row r="40" spans="1:6">
      <c r="A40" s="2" t="s">
        <v>79</v>
      </c>
      <c r="B40" s="2" t="s">
        <v>182</v>
      </c>
      <c r="C40" s="2" t="s">
        <v>183</v>
      </c>
      <c r="D40" s="2" t="s">
        <v>113</v>
      </c>
      <c r="E40" s="3">
        <v>45876</v>
      </c>
      <c r="F40" s="2" t="s">
        <v>100</v>
      </c>
    </row>
    <row r="41" spans="1:6">
      <c r="A41" s="2" t="s">
        <v>66</v>
      </c>
      <c r="B41" s="2" t="s">
        <v>184</v>
      </c>
      <c r="C41" s="2" t="s">
        <v>185</v>
      </c>
      <c r="D41" s="2" t="s">
        <v>162</v>
      </c>
      <c r="E41" s="3">
        <v>45875</v>
      </c>
      <c r="F41" s="2" t="s">
        <v>128</v>
      </c>
    </row>
    <row r="42" spans="1:6">
      <c r="A42" s="2" t="s">
        <v>76</v>
      </c>
      <c r="B42" s="2" t="s">
        <v>186</v>
      </c>
      <c r="C42" s="2" t="s">
        <v>187</v>
      </c>
      <c r="D42" s="2" t="s">
        <v>106</v>
      </c>
      <c r="E42" s="3">
        <v>45927</v>
      </c>
      <c r="F42" s="2" t="s">
        <v>100</v>
      </c>
    </row>
    <row r="43" spans="1:6">
      <c r="A43" s="2" t="s">
        <v>78</v>
      </c>
      <c r="B43" s="2" t="s">
        <v>188</v>
      </c>
      <c r="C43" s="2" t="s">
        <v>189</v>
      </c>
      <c r="D43" s="2" t="s">
        <v>113</v>
      </c>
      <c r="E43" s="3">
        <v>45295</v>
      </c>
      <c r="F43" s="2" t="s">
        <v>97</v>
      </c>
    </row>
    <row r="44" spans="1:6">
      <c r="A44" s="2" t="s">
        <v>54</v>
      </c>
      <c r="B44" s="2" t="s">
        <v>190</v>
      </c>
      <c r="C44" s="2" t="s">
        <v>191</v>
      </c>
      <c r="D44" s="2" t="s">
        <v>103</v>
      </c>
      <c r="E44" s="3">
        <v>45673</v>
      </c>
      <c r="F44" s="2" t="s">
        <v>100</v>
      </c>
    </row>
    <row r="45" spans="1:6">
      <c r="A45" s="2" t="s">
        <v>77</v>
      </c>
      <c r="B45" s="2" t="s">
        <v>192</v>
      </c>
      <c r="C45" s="2" t="s">
        <v>193</v>
      </c>
      <c r="D45" s="2" t="s">
        <v>117</v>
      </c>
      <c r="E45" s="3">
        <v>45723</v>
      </c>
      <c r="F45" s="2" t="s">
        <v>114</v>
      </c>
    </row>
    <row r="46" spans="1:6">
      <c r="A46" s="2" t="s">
        <v>194</v>
      </c>
      <c r="B46" s="2" t="s">
        <v>195</v>
      </c>
      <c r="C46" s="2" t="s">
        <v>196</v>
      </c>
      <c r="D46" s="2" t="s">
        <v>162</v>
      </c>
      <c r="E46" s="3">
        <v>45554</v>
      </c>
      <c r="F46" s="2" t="s">
        <v>114</v>
      </c>
    </row>
    <row r="47" spans="1:6">
      <c r="A47" s="2" t="s">
        <v>68</v>
      </c>
      <c r="B47" s="2" t="s">
        <v>197</v>
      </c>
      <c r="C47" s="2" t="s">
        <v>119</v>
      </c>
      <c r="D47" s="2" t="s">
        <v>113</v>
      </c>
      <c r="E47" s="3">
        <v>45304</v>
      </c>
      <c r="F47" s="2" t="s">
        <v>97</v>
      </c>
    </row>
  </sheetData>
  <autoFilter ref="A1:F47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E121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2" width="12.7109375" customWidth="1"/>
    <col min="3" max="4" width="15.7109375" customWidth="1"/>
    <col min="5" max="5" width="20.7109375" customWidth="1"/>
  </cols>
  <sheetData>
    <row r="1" spans="1:5">
      <c r="A1" s="1" t="s">
        <v>198</v>
      </c>
      <c r="B1" s="1" t="s">
        <v>0</v>
      </c>
      <c r="C1" s="1" t="s">
        <v>199</v>
      </c>
      <c r="D1" s="1" t="s">
        <v>200</v>
      </c>
      <c r="E1" s="1" t="s">
        <v>201</v>
      </c>
    </row>
    <row r="2" spans="1:5">
      <c r="A2" s="2" t="s">
        <v>202</v>
      </c>
      <c r="B2" s="2">
        <v>1100</v>
      </c>
      <c r="C2" s="3">
        <v>46067</v>
      </c>
      <c r="D2" s="4">
        <v>0</v>
      </c>
      <c r="E2" s="2" t="s">
        <v>203</v>
      </c>
    </row>
    <row r="3" spans="1:5">
      <c r="A3" s="2" t="s">
        <v>204</v>
      </c>
      <c r="B3" s="2">
        <v>1079</v>
      </c>
      <c r="C3" s="3">
        <v>46065</v>
      </c>
      <c r="D3" s="4">
        <v>7522</v>
      </c>
      <c r="E3" s="2" t="s">
        <v>205</v>
      </c>
    </row>
    <row r="4" spans="1:5">
      <c r="A4" s="2" t="s">
        <v>206</v>
      </c>
      <c r="B4" s="2">
        <v>1041</v>
      </c>
      <c r="C4" s="3">
        <v>46121</v>
      </c>
      <c r="D4" s="4">
        <v>36000</v>
      </c>
      <c r="E4" s="2" t="s">
        <v>207</v>
      </c>
    </row>
    <row r="5" spans="1:5">
      <c r="A5" s="2" t="s">
        <v>208</v>
      </c>
      <c r="B5" s="2">
        <v>1126</v>
      </c>
      <c r="C5" s="3">
        <v>46074</v>
      </c>
      <c r="D5" s="4">
        <v>106765</v>
      </c>
      <c r="E5" s="2" t="s">
        <v>205</v>
      </c>
    </row>
    <row r="6" spans="1:5">
      <c r="A6" s="2" t="s">
        <v>209</v>
      </c>
      <c r="B6" s="2">
        <v>1071</v>
      </c>
      <c r="C6" s="3">
        <v>46109</v>
      </c>
      <c r="D6" s="4">
        <v>0</v>
      </c>
      <c r="E6" s="2" t="s">
        <v>203</v>
      </c>
    </row>
    <row r="7" spans="1:5">
      <c r="A7" s="2" t="s">
        <v>210</v>
      </c>
      <c r="B7" s="2">
        <v>1111</v>
      </c>
      <c r="C7" s="3">
        <v>46070</v>
      </c>
      <c r="D7" s="4">
        <v>0</v>
      </c>
      <c r="E7" s="2" t="s">
        <v>203</v>
      </c>
    </row>
    <row r="8" spans="1:5">
      <c r="A8" s="2" t="s">
        <v>211</v>
      </c>
      <c r="B8" s="2">
        <v>1076</v>
      </c>
      <c r="C8" s="3">
        <v>46072</v>
      </c>
      <c r="D8" s="4">
        <v>0</v>
      </c>
      <c r="E8" s="2" t="s">
        <v>203</v>
      </c>
    </row>
    <row r="9" spans="1:5">
      <c r="A9" s="2" t="s">
        <v>212</v>
      </c>
      <c r="B9" s="2">
        <v>1007</v>
      </c>
      <c r="C9" s="3">
        <v>46103</v>
      </c>
      <c r="D9" s="4">
        <v>32282</v>
      </c>
      <c r="E9" s="2" t="s">
        <v>205</v>
      </c>
    </row>
    <row r="10" spans="1:5">
      <c r="A10" s="2" t="s">
        <v>213</v>
      </c>
      <c r="B10" s="2">
        <v>1105</v>
      </c>
      <c r="C10" s="3">
        <v>46070</v>
      </c>
      <c r="D10" s="4">
        <v>2392</v>
      </c>
      <c r="E10" s="2" t="s">
        <v>205</v>
      </c>
    </row>
    <row r="11" spans="1:5">
      <c r="A11" s="2" t="s">
        <v>214</v>
      </c>
      <c r="B11" s="2">
        <v>9999</v>
      </c>
      <c r="C11" s="3">
        <v>46131</v>
      </c>
      <c r="D11" s="4">
        <v>16740</v>
      </c>
      <c r="E11" s="2" t="s">
        <v>205</v>
      </c>
    </row>
    <row r="12" spans="1:5">
      <c r="A12" s="2" t="s">
        <v>215</v>
      </c>
      <c r="B12" s="2">
        <v>1052</v>
      </c>
      <c r="C12" s="3">
        <v>46075</v>
      </c>
      <c r="D12" s="4">
        <v>286488</v>
      </c>
      <c r="E12" s="2" t="s">
        <v>205</v>
      </c>
    </row>
    <row r="13" spans="1:5">
      <c r="A13" s="2" t="s">
        <v>216</v>
      </c>
      <c r="B13" s="2">
        <v>1119</v>
      </c>
      <c r="C13" s="3">
        <v>46153</v>
      </c>
      <c r="D13" s="4">
        <v>6575</v>
      </c>
      <c r="E13" s="2" t="s">
        <v>205</v>
      </c>
    </row>
    <row r="14" spans="1:5">
      <c r="A14" s="2" t="s">
        <v>217</v>
      </c>
      <c r="B14" s="2">
        <v>1093</v>
      </c>
      <c r="C14" s="3">
        <v>46118</v>
      </c>
      <c r="D14" s="4">
        <v>110000</v>
      </c>
      <c r="E14" s="2" t="s">
        <v>207</v>
      </c>
    </row>
    <row r="15" spans="1:5">
      <c r="A15" s="2" t="s">
        <v>218</v>
      </c>
      <c r="B15" s="2">
        <v>1135</v>
      </c>
      <c r="C15" s="3">
        <v>46156</v>
      </c>
      <c r="D15" s="4">
        <v>156000</v>
      </c>
      <c r="E15" s="2" t="s">
        <v>207</v>
      </c>
    </row>
    <row r="16" spans="1:5">
      <c r="A16" s="2" t="s">
        <v>219</v>
      </c>
      <c r="B16" s="2">
        <v>1147</v>
      </c>
      <c r="C16" s="3">
        <v>46116</v>
      </c>
      <c r="D16" s="4">
        <v>95893</v>
      </c>
      <c r="E16" s="2" t="s">
        <v>205</v>
      </c>
    </row>
    <row r="17" spans="1:5">
      <c r="A17" s="2" t="s">
        <v>220</v>
      </c>
      <c r="B17" s="2">
        <v>1036</v>
      </c>
      <c r="C17" s="3">
        <v>46047</v>
      </c>
      <c r="D17" s="4">
        <v>0</v>
      </c>
      <c r="E17" s="2" t="s">
        <v>203</v>
      </c>
    </row>
    <row r="18" spans="1:5">
      <c r="A18" s="2" t="s">
        <v>221</v>
      </c>
      <c r="B18" s="2">
        <v>1021</v>
      </c>
      <c r="C18" s="3">
        <v>46179</v>
      </c>
      <c r="D18" s="4">
        <v>105748</v>
      </c>
      <c r="E18" s="2" t="s">
        <v>205</v>
      </c>
    </row>
    <row r="19" spans="1:5">
      <c r="A19" s="2" t="s">
        <v>222</v>
      </c>
      <c r="B19" s="2">
        <v>1141</v>
      </c>
      <c r="C19" s="3">
        <v>46183</v>
      </c>
      <c r="D19" s="4">
        <v>0</v>
      </c>
      <c r="E19" s="2" t="s">
        <v>203</v>
      </c>
    </row>
    <row r="20" spans="1:5">
      <c r="A20" s="2" t="s">
        <v>223</v>
      </c>
      <c r="B20" s="2">
        <v>1093</v>
      </c>
      <c r="C20" s="3">
        <v>46130</v>
      </c>
      <c r="D20" s="4">
        <v>999999</v>
      </c>
      <c r="E20" s="2" t="s">
        <v>203</v>
      </c>
    </row>
    <row r="21" spans="1:5">
      <c r="A21" s="2" t="s">
        <v>224</v>
      </c>
      <c r="B21" s="2">
        <v>1160</v>
      </c>
      <c r="C21" s="3">
        <v>46074</v>
      </c>
      <c r="D21" s="4">
        <v>0</v>
      </c>
      <c r="E21" s="2" t="s">
        <v>203</v>
      </c>
    </row>
    <row r="22" spans="1:5">
      <c r="A22" s="2" t="s">
        <v>225</v>
      </c>
      <c r="B22" s="2">
        <v>1009</v>
      </c>
      <c r="C22" s="3">
        <v>46120</v>
      </c>
      <c r="D22" s="4">
        <v>330000</v>
      </c>
      <c r="E22" s="2" t="s">
        <v>207</v>
      </c>
    </row>
    <row r="23" spans="1:5">
      <c r="A23" s="2" t="s">
        <v>226</v>
      </c>
      <c r="B23" s="2">
        <v>1104</v>
      </c>
      <c r="C23" s="3">
        <v>46062</v>
      </c>
      <c r="D23" s="4">
        <v>35838</v>
      </c>
      <c r="E23" s="2" t="s">
        <v>205</v>
      </c>
    </row>
    <row r="24" spans="1:5">
      <c r="A24" s="2" t="s">
        <v>227</v>
      </c>
      <c r="B24" s="2">
        <v>1144</v>
      </c>
      <c r="C24" s="3">
        <v>46175</v>
      </c>
      <c r="D24" s="4">
        <v>55000</v>
      </c>
      <c r="E24" s="2" t="s">
        <v>207</v>
      </c>
    </row>
    <row r="25" spans="1:5">
      <c r="A25" s="2" t="s">
        <v>228</v>
      </c>
      <c r="B25" s="2">
        <v>1062</v>
      </c>
      <c r="C25" s="3">
        <v>46172</v>
      </c>
      <c r="D25" s="4">
        <v>72000</v>
      </c>
      <c r="E25" s="2" t="s">
        <v>207</v>
      </c>
    </row>
    <row r="26" spans="1:5">
      <c r="A26" s="2" t="s">
        <v>229</v>
      </c>
      <c r="B26" s="2">
        <v>1149</v>
      </c>
      <c r="C26" s="3">
        <v>46083</v>
      </c>
      <c r="D26" s="4">
        <v>181458</v>
      </c>
      <c r="E26" s="2" t="s">
        <v>205</v>
      </c>
    </row>
    <row r="27" spans="1:5">
      <c r="A27" s="2" t="s">
        <v>230</v>
      </c>
      <c r="B27" s="2">
        <v>1022</v>
      </c>
      <c r="C27" s="3">
        <v>46054</v>
      </c>
      <c r="D27" s="4">
        <v>31445</v>
      </c>
      <c r="E27" s="2" t="s">
        <v>205</v>
      </c>
    </row>
    <row r="28" spans="1:5">
      <c r="A28" s="2" t="s">
        <v>231</v>
      </c>
      <c r="B28" s="2">
        <v>1093</v>
      </c>
      <c r="C28" s="3">
        <v>46120</v>
      </c>
      <c r="D28" s="4">
        <v>0</v>
      </c>
      <c r="E28" s="2"/>
    </row>
    <row r="29" spans="1:5">
      <c r="A29" s="2" t="s">
        <v>232</v>
      </c>
      <c r="B29" s="2">
        <v>1156</v>
      </c>
      <c r="C29" s="3">
        <v>46064</v>
      </c>
      <c r="D29" s="4">
        <v>27000</v>
      </c>
      <c r="E29" s="2" t="s">
        <v>207</v>
      </c>
    </row>
    <row r="30" spans="1:5">
      <c r="A30" s="2" t="s">
        <v>233</v>
      </c>
      <c r="B30" s="2">
        <v>1072</v>
      </c>
      <c r="C30" s="3">
        <v>46124</v>
      </c>
      <c r="D30" s="4">
        <v>144000</v>
      </c>
      <c r="E30" s="2" t="s">
        <v>207</v>
      </c>
    </row>
    <row r="31" spans="1:5">
      <c r="A31" s="2" t="s">
        <v>234</v>
      </c>
      <c r="B31" s="2">
        <v>1148</v>
      </c>
      <c r="C31" s="3">
        <v>46051</v>
      </c>
      <c r="D31" s="4">
        <v>60000</v>
      </c>
      <c r="E31" s="2" t="s">
        <v>207</v>
      </c>
    </row>
    <row r="32" spans="1:5">
      <c r="A32" s="2" t="s">
        <v>235</v>
      </c>
      <c r="B32" s="2">
        <v>1134</v>
      </c>
      <c r="C32" s="3">
        <v>46086</v>
      </c>
      <c r="D32" s="4">
        <v>39000</v>
      </c>
      <c r="E32" s="2" t="s">
        <v>207</v>
      </c>
    </row>
    <row r="33" spans="1:5">
      <c r="A33" s="2" t="s">
        <v>236</v>
      </c>
      <c r="B33" s="2">
        <v>1153</v>
      </c>
      <c r="C33" s="3">
        <v>46152</v>
      </c>
      <c r="D33" s="4">
        <v>22493</v>
      </c>
      <c r="E33" s="2" t="s">
        <v>205</v>
      </c>
    </row>
    <row r="34" spans="1:5">
      <c r="A34" s="2" t="s">
        <v>237</v>
      </c>
      <c r="B34" s="2">
        <v>1134</v>
      </c>
      <c r="C34" s="3">
        <v>46080</v>
      </c>
      <c r="D34" s="4">
        <v>21959</v>
      </c>
      <c r="E34" s="2" t="s">
        <v>205</v>
      </c>
    </row>
    <row r="35" spans="1:5">
      <c r="A35" s="2" t="s">
        <v>238</v>
      </c>
      <c r="B35" s="2">
        <v>1041</v>
      </c>
      <c r="C35" s="3">
        <v>46135</v>
      </c>
      <c r="D35" s="4">
        <v>0</v>
      </c>
      <c r="E35" s="2" t="s">
        <v>203</v>
      </c>
    </row>
    <row r="36" spans="1:5">
      <c r="A36" s="2" t="s">
        <v>239</v>
      </c>
      <c r="B36" s="2">
        <v>1138</v>
      </c>
      <c r="C36" s="3">
        <v>46144</v>
      </c>
      <c r="D36" s="4">
        <v>8696</v>
      </c>
      <c r="E36" s="2" t="s">
        <v>205</v>
      </c>
    </row>
    <row r="37" spans="1:5">
      <c r="A37" s="2" t="s">
        <v>240</v>
      </c>
      <c r="B37" s="2">
        <v>1145</v>
      </c>
      <c r="C37" s="3">
        <v>46121</v>
      </c>
      <c r="D37" s="4">
        <v>0</v>
      </c>
      <c r="E37" s="2" t="s">
        <v>203</v>
      </c>
    </row>
    <row r="38" spans="1:5">
      <c r="A38" s="2" t="s">
        <v>241</v>
      </c>
      <c r="B38" s="2">
        <v>1041</v>
      </c>
      <c r="C38" s="3">
        <v>46136</v>
      </c>
      <c r="D38" s="4">
        <v>36000</v>
      </c>
      <c r="E38" s="2" t="s">
        <v>207</v>
      </c>
    </row>
    <row r="39" spans="1:5">
      <c r="A39" s="2" t="s">
        <v>242</v>
      </c>
      <c r="B39" s="2">
        <v>1021</v>
      </c>
      <c r="C39" s="3">
        <v>46160</v>
      </c>
      <c r="D39" s="4">
        <v>0</v>
      </c>
      <c r="E39" s="2" t="s">
        <v>203</v>
      </c>
    </row>
    <row r="40" spans="1:5">
      <c r="A40" s="2" t="s">
        <v>243</v>
      </c>
      <c r="B40" s="2">
        <v>1039</v>
      </c>
      <c r="C40" s="3">
        <v>46040</v>
      </c>
      <c r="D40" s="4">
        <v>0</v>
      </c>
      <c r="E40" s="2" t="s">
        <v>203</v>
      </c>
    </row>
    <row r="41" spans="1:5">
      <c r="A41" s="2" t="s">
        <v>244</v>
      </c>
      <c r="B41" s="2">
        <v>1057</v>
      </c>
      <c r="C41" s="3">
        <v>46179</v>
      </c>
      <c r="D41" s="4">
        <v>0</v>
      </c>
      <c r="E41" s="2" t="s">
        <v>203</v>
      </c>
    </row>
    <row r="42" spans="1:5">
      <c r="A42" s="2" t="s">
        <v>245</v>
      </c>
      <c r="B42" s="2">
        <v>1138</v>
      </c>
      <c r="C42" s="3">
        <v>46156</v>
      </c>
      <c r="D42" s="4">
        <v>0</v>
      </c>
      <c r="E42" s="2" t="s">
        <v>203</v>
      </c>
    </row>
    <row r="43" spans="1:5">
      <c r="A43" s="2" t="s">
        <v>246</v>
      </c>
      <c r="B43" s="2">
        <v>1119</v>
      </c>
      <c r="C43" s="3">
        <v>46153</v>
      </c>
      <c r="D43" s="4">
        <v>0</v>
      </c>
      <c r="E43" s="2" t="s">
        <v>203</v>
      </c>
    </row>
    <row r="44" spans="1:5">
      <c r="A44" s="2" t="s">
        <v>247</v>
      </c>
      <c r="B44" s="2">
        <v>1047</v>
      </c>
      <c r="C44" s="3">
        <v>46164</v>
      </c>
      <c r="D44" s="4">
        <v>0</v>
      </c>
      <c r="E44" s="2" t="s">
        <v>203</v>
      </c>
    </row>
    <row r="45" spans="1:5">
      <c r="A45" s="2" t="s">
        <v>248</v>
      </c>
      <c r="B45" s="2">
        <v>1044</v>
      </c>
      <c r="C45" s="3">
        <v>46175</v>
      </c>
      <c r="D45" s="4">
        <v>107761</v>
      </c>
      <c r="E45" s="2" t="s">
        <v>205</v>
      </c>
    </row>
    <row r="46" spans="1:5">
      <c r="A46" s="2" t="s">
        <v>249</v>
      </c>
      <c r="B46" s="2">
        <v>1032</v>
      </c>
      <c r="C46" s="3">
        <v>46074</v>
      </c>
      <c r="D46" s="4">
        <v>146003</v>
      </c>
      <c r="E46" s="2" t="s">
        <v>205</v>
      </c>
    </row>
    <row r="47" spans="1:5">
      <c r="A47" s="2" t="s">
        <v>250</v>
      </c>
      <c r="B47" s="2">
        <v>1096</v>
      </c>
      <c r="C47" s="3">
        <v>46043</v>
      </c>
      <c r="D47" s="4">
        <v>12824</v>
      </c>
      <c r="E47" s="2" t="s">
        <v>205</v>
      </c>
    </row>
    <row r="48" spans="1:5">
      <c r="A48" s="2" t="s">
        <v>251</v>
      </c>
      <c r="B48" s="2">
        <v>1064</v>
      </c>
      <c r="C48" s="3">
        <v>46142</v>
      </c>
      <c r="D48" s="4">
        <v>21398</v>
      </c>
      <c r="E48" s="2" t="s">
        <v>205</v>
      </c>
    </row>
    <row r="49" spans="1:5">
      <c r="A49" s="2" t="s">
        <v>252</v>
      </c>
      <c r="B49" s="2">
        <v>1001</v>
      </c>
      <c r="C49" s="3">
        <v>46116</v>
      </c>
      <c r="D49" s="4">
        <v>12000</v>
      </c>
      <c r="E49" s="2" t="s">
        <v>207</v>
      </c>
    </row>
    <row r="50" spans="1:5">
      <c r="A50" s="2" t="s">
        <v>253</v>
      </c>
      <c r="B50" s="2">
        <v>1134</v>
      </c>
      <c r="C50" s="3">
        <v>46070</v>
      </c>
      <c r="D50" s="4">
        <v>0</v>
      </c>
      <c r="E50" s="2" t="s">
        <v>203</v>
      </c>
    </row>
    <row r="51" spans="1:5">
      <c r="A51" s="2" t="s">
        <v>254</v>
      </c>
      <c r="B51" s="2">
        <v>1007</v>
      </c>
      <c r="C51" s="3">
        <v>46119</v>
      </c>
      <c r="D51" s="4">
        <v>55000</v>
      </c>
      <c r="E51" s="2" t="s">
        <v>207</v>
      </c>
    </row>
    <row r="52" spans="1:5">
      <c r="A52" s="2" t="s">
        <v>255</v>
      </c>
      <c r="B52" s="2">
        <v>1042</v>
      </c>
      <c r="C52" s="3">
        <v>46043</v>
      </c>
      <c r="D52" s="4">
        <v>0</v>
      </c>
      <c r="E52" s="2" t="s">
        <v>203</v>
      </c>
    </row>
    <row r="53" spans="1:5">
      <c r="A53" s="2" t="s">
        <v>256</v>
      </c>
      <c r="B53" s="2">
        <v>1106</v>
      </c>
      <c r="C53" s="3">
        <v>46127</v>
      </c>
      <c r="D53" s="4">
        <v>234000</v>
      </c>
      <c r="E53" s="2" t="s">
        <v>207</v>
      </c>
    </row>
    <row r="54" spans="1:5">
      <c r="A54" s="2" t="s">
        <v>257</v>
      </c>
      <c r="B54" s="2">
        <v>1153</v>
      </c>
      <c r="C54" s="3">
        <v>46134</v>
      </c>
      <c r="D54" s="4">
        <v>0</v>
      </c>
      <c r="E54" s="2" t="s">
        <v>203</v>
      </c>
    </row>
    <row r="55" spans="1:5">
      <c r="A55" s="2" t="s">
        <v>258</v>
      </c>
      <c r="B55" s="2">
        <v>1081</v>
      </c>
      <c r="C55" s="3">
        <v>46079</v>
      </c>
      <c r="D55" s="4">
        <v>0</v>
      </c>
      <c r="E55" s="2" t="s">
        <v>203</v>
      </c>
    </row>
    <row r="56" spans="1:5">
      <c r="A56" s="2" t="s">
        <v>259</v>
      </c>
      <c r="B56" s="2">
        <v>1121</v>
      </c>
      <c r="C56" s="3">
        <v>46141</v>
      </c>
      <c r="D56" s="4">
        <v>35516</v>
      </c>
      <c r="E56" s="2" t="s">
        <v>205</v>
      </c>
    </row>
    <row r="57" spans="1:5">
      <c r="A57" s="2" t="s">
        <v>260</v>
      </c>
      <c r="B57" s="2">
        <v>1090</v>
      </c>
      <c r="C57" s="3">
        <v>46139</v>
      </c>
      <c r="D57" s="4">
        <v>12310</v>
      </c>
      <c r="E57" s="2" t="s">
        <v>205</v>
      </c>
    </row>
    <row r="58" spans="1:5">
      <c r="A58" s="2" t="s">
        <v>261</v>
      </c>
      <c r="B58" s="2">
        <v>1025</v>
      </c>
      <c r="C58" s="3">
        <v>46175</v>
      </c>
      <c r="D58" s="4">
        <v>0</v>
      </c>
      <c r="E58" s="2" t="s">
        <v>203</v>
      </c>
    </row>
    <row r="59" spans="1:5">
      <c r="A59" s="2" t="s">
        <v>262</v>
      </c>
      <c r="B59" s="2">
        <v>1069</v>
      </c>
      <c r="C59" s="3">
        <v>46180</v>
      </c>
      <c r="D59" s="4">
        <v>0</v>
      </c>
      <c r="E59" s="2" t="s">
        <v>203</v>
      </c>
    </row>
    <row r="60" spans="1:5">
      <c r="A60" s="2" t="s">
        <v>263</v>
      </c>
      <c r="B60" s="2">
        <v>1013</v>
      </c>
      <c r="C60" s="3">
        <v>46058</v>
      </c>
      <c r="D60" s="4">
        <v>0</v>
      </c>
      <c r="E60" s="2" t="s">
        <v>203</v>
      </c>
    </row>
    <row r="61" spans="1:5">
      <c r="A61" s="2" t="s">
        <v>264</v>
      </c>
      <c r="B61" s="2">
        <v>1122</v>
      </c>
      <c r="C61" s="3">
        <v>46091</v>
      </c>
      <c r="D61" s="4">
        <v>156000</v>
      </c>
      <c r="E61" s="2" t="s">
        <v>207</v>
      </c>
    </row>
    <row r="62" spans="1:5">
      <c r="A62" s="2" t="s">
        <v>265</v>
      </c>
      <c r="B62" s="2">
        <v>1045</v>
      </c>
      <c r="C62" s="3">
        <v>46131</v>
      </c>
      <c r="D62" s="4">
        <v>165000</v>
      </c>
      <c r="E62" s="2" t="s">
        <v>207</v>
      </c>
    </row>
    <row r="63" spans="1:5">
      <c r="A63" s="2" t="s">
        <v>266</v>
      </c>
      <c r="B63" s="2">
        <v>1015</v>
      </c>
      <c r="C63" s="3">
        <v>46095</v>
      </c>
      <c r="D63" s="4">
        <v>60000</v>
      </c>
      <c r="E63" s="2" t="s">
        <v>207</v>
      </c>
    </row>
    <row r="64" spans="1:5">
      <c r="A64" s="2" t="s">
        <v>267</v>
      </c>
      <c r="B64" s="2">
        <v>1110</v>
      </c>
      <c r="C64" s="3">
        <v>46110</v>
      </c>
      <c r="D64" s="4">
        <v>12000</v>
      </c>
      <c r="E64" s="2" t="s">
        <v>207</v>
      </c>
    </row>
    <row r="65" spans="1:5">
      <c r="A65" s="2" t="s">
        <v>268</v>
      </c>
      <c r="B65" s="2">
        <v>1083</v>
      </c>
      <c r="C65" s="3">
        <v>46150</v>
      </c>
      <c r="D65" s="4">
        <v>129963</v>
      </c>
      <c r="E65" s="2" t="s">
        <v>205</v>
      </c>
    </row>
    <row r="66" spans="1:5">
      <c r="A66" s="2" t="s">
        <v>269</v>
      </c>
      <c r="B66" s="2">
        <v>1081</v>
      </c>
      <c r="C66" s="3">
        <v>46075</v>
      </c>
      <c r="D66" s="4">
        <v>0</v>
      </c>
      <c r="E66" s="2" t="s">
        <v>203</v>
      </c>
    </row>
    <row r="67" spans="1:5">
      <c r="A67" s="2" t="s">
        <v>270</v>
      </c>
      <c r="B67" s="2">
        <v>1147</v>
      </c>
      <c r="C67" s="3">
        <v>46114</v>
      </c>
      <c r="D67" s="4">
        <v>0</v>
      </c>
      <c r="E67" s="2" t="s">
        <v>203</v>
      </c>
    </row>
    <row r="68" spans="1:5">
      <c r="A68" s="2" t="s">
        <v>271</v>
      </c>
      <c r="B68" s="2">
        <v>1039</v>
      </c>
      <c r="C68" s="3">
        <v>46053</v>
      </c>
      <c r="D68" s="4">
        <v>360000</v>
      </c>
      <c r="E68" s="2" t="s">
        <v>207</v>
      </c>
    </row>
    <row r="69" spans="1:5">
      <c r="A69" s="2" t="s">
        <v>272</v>
      </c>
      <c r="B69" s="2">
        <v>1116</v>
      </c>
      <c r="C69" s="3">
        <v>46066</v>
      </c>
      <c r="D69" s="4">
        <v>170735</v>
      </c>
      <c r="E69" s="2" t="s">
        <v>205</v>
      </c>
    </row>
    <row r="70" spans="1:5">
      <c r="A70" s="2" t="s">
        <v>273</v>
      </c>
      <c r="B70" s="2">
        <v>1066</v>
      </c>
      <c r="C70" s="3">
        <v>46173</v>
      </c>
      <c r="D70" s="4">
        <v>0</v>
      </c>
      <c r="E70" s="2" t="s">
        <v>203</v>
      </c>
    </row>
    <row r="71" spans="1:5">
      <c r="A71" s="2" t="s">
        <v>274</v>
      </c>
      <c r="B71" s="2">
        <v>1060</v>
      </c>
      <c r="C71" s="3">
        <v>46048</v>
      </c>
      <c r="D71" s="4">
        <v>78000</v>
      </c>
      <c r="E71" s="2" t="s">
        <v>207</v>
      </c>
    </row>
    <row r="72" spans="1:5">
      <c r="A72" s="2" t="s">
        <v>275</v>
      </c>
      <c r="B72" s="2">
        <v>1151</v>
      </c>
      <c r="C72" s="3">
        <v>46182</v>
      </c>
      <c r="D72" s="4">
        <v>0</v>
      </c>
      <c r="E72" s="2" t="s">
        <v>203</v>
      </c>
    </row>
    <row r="73" spans="1:5">
      <c r="A73" s="2" t="s">
        <v>276</v>
      </c>
      <c r="B73" s="2">
        <v>1039</v>
      </c>
      <c r="C73" s="3">
        <v>46049</v>
      </c>
      <c r="D73" s="4">
        <v>360000</v>
      </c>
      <c r="E73" s="2" t="s">
        <v>207</v>
      </c>
    </row>
    <row r="74" spans="1:5">
      <c r="A74" s="2" t="s">
        <v>277</v>
      </c>
      <c r="B74" s="2">
        <v>1130</v>
      </c>
      <c r="C74" s="3">
        <v>46164</v>
      </c>
      <c r="D74" s="4">
        <v>24000</v>
      </c>
      <c r="E74" s="2" t="s">
        <v>207</v>
      </c>
    </row>
    <row r="75" spans="1:5">
      <c r="A75" s="2" t="s">
        <v>278</v>
      </c>
      <c r="B75" s="2">
        <v>1002</v>
      </c>
      <c r="C75" s="3">
        <v>46163</v>
      </c>
      <c r="D75" s="4">
        <v>196926</v>
      </c>
      <c r="E75" s="2" t="s">
        <v>205</v>
      </c>
    </row>
    <row r="76" spans="1:5">
      <c r="A76" s="2" t="s">
        <v>279</v>
      </c>
      <c r="B76" s="2">
        <v>1016</v>
      </c>
      <c r="C76" s="3">
        <v>46147</v>
      </c>
      <c r="D76" s="4">
        <v>432000</v>
      </c>
      <c r="E76" s="2" t="s">
        <v>207</v>
      </c>
    </row>
    <row r="77" spans="1:5">
      <c r="A77" s="2" t="s">
        <v>280</v>
      </c>
      <c r="B77" s="2">
        <v>1016</v>
      </c>
      <c r="C77" s="3">
        <v>46140</v>
      </c>
      <c r="D77" s="4">
        <v>143092</v>
      </c>
      <c r="E77" s="2" t="s">
        <v>205</v>
      </c>
    </row>
    <row r="78" spans="1:5">
      <c r="A78" s="2" t="s">
        <v>281</v>
      </c>
      <c r="B78" s="2">
        <v>1136</v>
      </c>
      <c r="C78" s="3">
        <v>46100</v>
      </c>
      <c r="D78" s="4">
        <v>0</v>
      </c>
      <c r="E78" s="2" t="s">
        <v>203</v>
      </c>
    </row>
    <row r="79" spans="1:5">
      <c r="A79" s="2" t="s">
        <v>282</v>
      </c>
      <c r="B79" s="2">
        <v>1062</v>
      </c>
      <c r="C79" s="3">
        <v>46178</v>
      </c>
      <c r="D79" s="4">
        <v>20279</v>
      </c>
      <c r="E79" s="2" t="s">
        <v>205</v>
      </c>
    </row>
    <row r="80" spans="1:5">
      <c r="A80" s="2" t="s">
        <v>283</v>
      </c>
      <c r="B80" s="2">
        <v>1112</v>
      </c>
      <c r="C80" s="3">
        <v>46117</v>
      </c>
      <c r="D80" s="4">
        <v>0</v>
      </c>
      <c r="E80" s="2" t="s">
        <v>203</v>
      </c>
    </row>
    <row r="81" spans="1:5">
      <c r="A81" s="2" t="s">
        <v>284</v>
      </c>
      <c r="B81" s="2">
        <v>1160</v>
      </c>
      <c r="C81" s="3">
        <v>46085</v>
      </c>
      <c r="D81" s="4">
        <v>195000</v>
      </c>
      <c r="E81" s="2" t="s">
        <v>207</v>
      </c>
    </row>
    <row r="82" spans="1:5">
      <c r="A82" s="2" t="s">
        <v>285</v>
      </c>
      <c r="B82" s="2">
        <v>1003</v>
      </c>
      <c r="C82" s="3">
        <v>46181</v>
      </c>
      <c r="D82" s="4">
        <v>21425</v>
      </c>
      <c r="E82" s="2" t="s">
        <v>205</v>
      </c>
    </row>
    <row r="83" spans="1:5">
      <c r="A83" s="2" t="s">
        <v>286</v>
      </c>
      <c r="B83" s="2">
        <v>1069</v>
      </c>
      <c r="C83" s="3">
        <v>46168</v>
      </c>
      <c r="D83" s="4">
        <v>4016</v>
      </c>
      <c r="E83" s="2" t="s">
        <v>205</v>
      </c>
    </row>
    <row r="84" spans="1:5">
      <c r="A84" s="2" t="s">
        <v>287</v>
      </c>
      <c r="B84" s="2">
        <v>1088</v>
      </c>
      <c r="C84" s="3">
        <v>46132</v>
      </c>
      <c r="D84" s="4">
        <v>0</v>
      </c>
      <c r="E84" s="2" t="s">
        <v>203</v>
      </c>
    </row>
    <row r="85" spans="1:5">
      <c r="A85" s="2" t="s">
        <v>288</v>
      </c>
      <c r="B85" s="2">
        <v>1067</v>
      </c>
      <c r="C85" s="3">
        <v>46064</v>
      </c>
      <c r="D85" s="4">
        <v>0</v>
      </c>
      <c r="E85" s="2" t="s">
        <v>203</v>
      </c>
    </row>
    <row r="86" spans="1:5">
      <c r="A86" s="2" t="s">
        <v>289</v>
      </c>
      <c r="B86" s="2">
        <v>1138</v>
      </c>
      <c r="C86" s="3">
        <v>46142</v>
      </c>
      <c r="D86" s="4">
        <v>24000</v>
      </c>
      <c r="E86" s="2" t="s">
        <v>207</v>
      </c>
    </row>
    <row r="87" spans="1:5">
      <c r="A87" s="2" t="s">
        <v>290</v>
      </c>
      <c r="B87" s="2">
        <v>1079</v>
      </c>
      <c r="C87" s="3">
        <v>46065</v>
      </c>
      <c r="D87" s="4">
        <v>8160</v>
      </c>
      <c r="E87" s="2" t="s">
        <v>205</v>
      </c>
    </row>
    <row r="88" spans="1:5">
      <c r="A88" s="2" t="s">
        <v>291</v>
      </c>
      <c r="B88" s="2">
        <v>1130</v>
      </c>
      <c r="C88" s="3">
        <v>46171</v>
      </c>
      <c r="D88" s="4">
        <v>16179</v>
      </c>
      <c r="E88" s="2" t="s">
        <v>205</v>
      </c>
    </row>
    <row r="89" spans="1:5">
      <c r="A89" s="2" t="s">
        <v>292</v>
      </c>
      <c r="B89" s="2">
        <v>1038</v>
      </c>
      <c r="C89" s="3">
        <v>46174</v>
      </c>
      <c r="D89" s="4">
        <v>0</v>
      </c>
      <c r="E89" s="2" t="s">
        <v>203</v>
      </c>
    </row>
    <row r="90" spans="1:5">
      <c r="A90" s="2" t="s">
        <v>293</v>
      </c>
      <c r="B90" s="2">
        <v>1054</v>
      </c>
      <c r="C90" s="3">
        <v>46046</v>
      </c>
      <c r="D90" s="4">
        <v>0</v>
      </c>
      <c r="E90" s="2" t="s">
        <v>203</v>
      </c>
    </row>
    <row r="91" spans="1:5">
      <c r="A91" s="2" t="s">
        <v>294</v>
      </c>
      <c r="B91" s="2">
        <v>1128</v>
      </c>
      <c r="C91" s="3">
        <v>46147</v>
      </c>
      <c r="D91" s="4">
        <v>17800</v>
      </c>
      <c r="E91" s="2" t="s">
        <v>207</v>
      </c>
    </row>
    <row r="92" spans="1:5">
      <c r="A92" s="2" t="s">
        <v>295</v>
      </c>
      <c r="B92" s="2">
        <v>1097</v>
      </c>
      <c r="C92" s="3">
        <v>46112</v>
      </c>
      <c r="D92" s="4">
        <v>0</v>
      </c>
      <c r="E92" s="2" t="s">
        <v>203</v>
      </c>
    </row>
    <row r="93" spans="1:5">
      <c r="A93" s="2" t="s">
        <v>296</v>
      </c>
      <c r="B93" s="2">
        <v>1004</v>
      </c>
      <c r="C93" s="3">
        <v>46048</v>
      </c>
      <c r="D93" s="4">
        <v>432000</v>
      </c>
      <c r="E93" s="2" t="s">
        <v>207</v>
      </c>
    </row>
    <row r="94" spans="1:5">
      <c r="A94" s="2" t="s">
        <v>297</v>
      </c>
      <c r="B94" s="2">
        <v>1113</v>
      </c>
      <c r="C94" s="3">
        <v>46043</v>
      </c>
      <c r="D94" s="4">
        <v>0</v>
      </c>
      <c r="E94" s="2" t="s">
        <v>203</v>
      </c>
    </row>
    <row r="95" spans="1:5">
      <c r="A95" s="2" t="s">
        <v>298</v>
      </c>
      <c r="B95" s="2">
        <v>1157</v>
      </c>
      <c r="C95" s="3">
        <v>46097</v>
      </c>
      <c r="D95" s="4">
        <v>100928</v>
      </c>
      <c r="E95" s="2" t="s">
        <v>205</v>
      </c>
    </row>
    <row r="96" spans="1:5">
      <c r="A96" s="2" t="s">
        <v>299</v>
      </c>
      <c r="B96" s="2">
        <v>1114</v>
      </c>
      <c r="C96" s="3">
        <v>46080</v>
      </c>
      <c r="D96" s="4">
        <v>12000</v>
      </c>
      <c r="E96" s="2" t="s">
        <v>207</v>
      </c>
    </row>
    <row r="97" spans="1:5">
      <c r="A97" s="2" t="s">
        <v>300</v>
      </c>
      <c r="B97" s="2">
        <v>1039</v>
      </c>
      <c r="C97" s="3">
        <v>46041</v>
      </c>
      <c r="D97" s="4">
        <v>360000</v>
      </c>
      <c r="E97" s="2" t="s">
        <v>207</v>
      </c>
    </row>
    <row r="98" spans="1:5">
      <c r="A98" s="2" t="s">
        <v>301</v>
      </c>
      <c r="B98" s="2">
        <v>1013</v>
      </c>
      <c r="C98" s="3">
        <v>46072</v>
      </c>
      <c r="D98" s="4">
        <v>432000</v>
      </c>
      <c r="E98" s="2" t="s">
        <v>207</v>
      </c>
    </row>
    <row r="99" spans="1:5">
      <c r="A99" s="2" t="s">
        <v>302</v>
      </c>
      <c r="B99" s="2">
        <v>1081</v>
      </c>
      <c r="C99" s="3">
        <v>46069</v>
      </c>
      <c r="D99" s="4">
        <v>0</v>
      </c>
      <c r="E99" s="2" t="s">
        <v>203</v>
      </c>
    </row>
    <row r="100" spans="1:5">
      <c r="A100" s="2" t="s">
        <v>303</v>
      </c>
      <c r="B100" s="2">
        <v>1137</v>
      </c>
      <c r="C100" s="3">
        <v>46044</v>
      </c>
      <c r="D100" s="4">
        <v>0</v>
      </c>
      <c r="E100" s="2" t="s">
        <v>203</v>
      </c>
    </row>
    <row r="101" spans="1:5">
      <c r="A101" s="2" t="s">
        <v>304</v>
      </c>
      <c r="B101" s="2">
        <v>1007</v>
      </c>
      <c r="C101" s="3">
        <v>46143</v>
      </c>
      <c r="D101" s="4">
        <v>0</v>
      </c>
      <c r="E101" s="2" t="s">
        <v>203</v>
      </c>
    </row>
    <row r="102" spans="1:5">
      <c r="A102" s="2" t="s">
        <v>305</v>
      </c>
      <c r="B102" s="2">
        <v>1115</v>
      </c>
      <c r="C102" s="3">
        <v>46166</v>
      </c>
      <c r="D102" s="4">
        <v>16826</v>
      </c>
      <c r="E102" s="2" t="s">
        <v>205</v>
      </c>
    </row>
    <row r="103" spans="1:5">
      <c r="A103" s="2" t="s">
        <v>306</v>
      </c>
      <c r="B103" s="2">
        <v>1060</v>
      </c>
      <c r="C103" s="3">
        <v>46054</v>
      </c>
      <c r="D103" s="4">
        <v>0</v>
      </c>
      <c r="E103" s="2" t="s">
        <v>203</v>
      </c>
    </row>
    <row r="104" spans="1:5">
      <c r="A104" s="2" t="s">
        <v>307</v>
      </c>
      <c r="B104" s="2">
        <v>1014</v>
      </c>
      <c r="C104" s="3">
        <v>46158</v>
      </c>
      <c r="D104" s="4">
        <v>0</v>
      </c>
      <c r="E104" s="2" t="s">
        <v>203</v>
      </c>
    </row>
    <row r="105" spans="1:5">
      <c r="A105" s="2" t="s">
        <v>308</v>
      </c>
      <c r="B105" s="2">
        <v>1041</v>
      </c>
      <c r="C105" s="3">
        <v>46122</v>
      </c>
      <c r="D105" s="4">
        <v>26334</v>
      </c>
      <c r="E105" s="2" t="s">
        <v>205</v>
      </c>
    </row>
    <row r="106" spans="1:5">
      <c r="A106" s="2" t="s">
        <v>309</v>
      </c>
      <c r="B106" s="2">
        <v>1158</v>
      </c>
      <c r="C106" s="3">
        <v>46069</v>
      </c>
      <c r="D106" s="4">
        <v>0</v>
      </c>
      <c r="E106" s="2" t="s">
        <v>203</v>
      </c>
    </row>
    <row r="107" spans="1:5">
      <c r="A107" s="2" t="s">
        <v>310</v>
      </c>
      <c r="B107" s="2">
        <v>1092</v>
      </c>
      <c r="C107" s="3">
        <v>46126</v>
      </c>
      <c r="D107" s="4">
        <v>12000</v>
      </c>
      <c r="E107" s="2" t="s">
        <v>207</v>
      </c>
    </row>
    <row r="108" spans="1:5">
      <c r="A108" s="2" t="s">
        <v>311</v>
      </c>
      <c r="B108" s="2">
        <v>1101</v>
      </c>
      <c r="C108" s="3">
        <v>46158</v>
      </c>
      <c r="D108" s="4">
        <v>195000</v>
      </c>
      <c r="E108" s="2" t="s">
        <v>207</v>
      </c>
    </row>
    <row r="109" spans="1:5">
      <c r="A109" s="2" t="s">
        <v>312</v>
      </c>
      <c r="B109" s="2">
        <v>1153</v>
      </c>
      <c r="C109" s="3">
        <v>46141</v>
      </c>
      <c r="D109" s="4">
        <v>72000</v>
      </c>
      <c r="E109" s="2" t="s">
        <v>207</v>
      </c>
    </row>
    <row r="110" spans="1:5">
      <c r="A110" s="2" t="s">
        <v>313</v>
      </c>
      <c r="B110" s="2">
        <v>1067</v>
      </c>
      <c r="C110" s="3">
        <v>46074</v>
      </c>
      <c r="D110" s="4">
        <v>0</v>
      </c>
      <c r="E110" s="2" t="s">
        <v>203</v>
      </c>
    </row>
    <row r="111" spans="1:5">
      <c r="A111" s="2" t="s">
        <v>314</v>
      </c>
      <c r="B111" s="2">
        <v>1149</v>
      </c>
      <c r="C111" s="3">
        <v>46082</v>
      </c>
      <c r="D111" s="4">
        <v>0</v>
      </c>
      <c r="E111" s="2" t="s">
        <v>203</v>
      </c>
    </row>
    <row r="112" spans="1:5">
      <c r="A112" s="2" t="s">
        <v>315</v>
      </c>
      <c r="B112" s="2">
        <v>1079</v>
      </c>
      <c r="C112" s="3">
        <v>46073</v>
      </c>
      <c r="D112" s="4">
        <v>0</v>
      </c>
      <c r="E112" s="2" t="s">
        <v>203</v>
      </c>
    </row>
    <row r="113" spans="1:5">
      <c r="A113" s="2" t="s">
        <v>316</v>
      </c>
      <c r="B113" s="2">
        <v>1152</v>
      </c>
      <c r="C113" s="3">
        <v>46108</v>
      </c>
      <c r="D113" s="4">
        <v>43723</v>
      </c>
      <c r="E113" s="2" t="s">
        <v>205</v>
      </c>
    </row>
    <row r="114" spans="1:5">
      <c r="A114" s="2" t="s">
        <v>317</v>
      </c>
      <c r="B114" s="2">
        <v>1048</v>
      </c>
      <c r="C114" s="3">
        <v>46112</v>
      </c>
      <c r="D114" s="4">
        <v>45121</v>
      </c>
      <c r="E114" s="2" t="s">
        <v>205</v>
      </c>
    </row>
    <row r="115" spans="1:5">
      <c r="A115" s="2" t="s">
        <v>318</v>
      </c>
      <c r="B115" s="2">
        <v>1158</v>
      </c>
      <c r="C115" s="3">
        <v>46071</v>
      </c>
      <c r="D115" s="4">
        <v>0</v>
      </c>
      <c r="E115" s="2" t="s">
        <v>203</v>
      </c>
    </row>
    <row r="116" spans="1:5">
      <c r="A116" s="2" t="s">
        <v>319</v>
      </c>
      <c r="B116" s="2">
        <v>1122</v>
      </c>
      <c r="C116" s="3">
        <v>46091</v>
      </c>
      <c r="D116" s="4">
        <v>101819</v>
      </c>
      <c r="E116" s="2" t="s">
        <v>205</v>
      </c>
    </row>
    <row r="117" spans="1:5">
      <c r="A117" s="2" t="s">
        <v>320</v>
      </c>
      <c r="B117" s="2">
        <v>1154</v>
      </c>
      <c r="C117" s="3">
        <v>46083</v>
      </c>
      <c r="D117" s="4">
        <v>0</v>
      </c>
      <c r="E117" s="2" t="s">
        <v>203</v>
      </c>
    </row>
    <row r="118" spans="1:5">
      <c r="A118" s="2" t="s">
        <v>321</v>
      </c>
      <c r="B118" s="2">
        <v>1115</v>
      </c>
      <c r="C118" s="3">
        <v>46157</v>
      </c>
      <c r="D118" s="4">
        <v>13246</v>
      </c>
      <c r="E118" s="2" t="s">
        <v>205</v>
      </c>
    </row>
    <row r="119" spans="1:5">
      <c r="A119" s="2" t="s">
        <v>322</v>
      </c>
      <c r="B119" s="2">
        <v>1151</v>
      </c>
      <c r="C119" s="3">
        <v>46180</v>
      </c>
      <c r="D119" s="4">
        <v>0</v>
      </c>
      <c r="E119" s="2" t="s">
        <v>203</v>
      </c>
    </row>
    <row r="120" spans="1:5">
      <c r="A120" s="2" t="s">
        <v>323</v>
      </c>
      <c r="B120" s="2">
        <v>1003</v>
      </c>
      <c r="C120" s="3">
        <v>46165</v>
      </c>
      <c r="D120" s="4">
        <v>39958</v>
      </c>
      <c r="E120" s="2" t="s">
        <v>205</v>
      </c>
    </row>
    <row r="121" spans="1:5">
      <c r="A121" s="2" t="s">
        <v>324</v>
      </c>
      <c r="B121" s="2">
        <v>1144</v>
      </c>
      <c r="C121" s="3">
        <v>46176</v>
      </c>
      <c r="D121" s="4">
        <v>16148</v>
      </c>
      <c r="E121" s="2" t="s">
        <v>205</v>
      </c>
    </row>
  </sheetData>
  <autoFilter ref="A1:E12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K327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2" width="12.7109375" customWidth="1"/>
    <col min="3" max="3" width="18.7109375" customWidth="1"/>
    <col min="4" max="4" width="20.7109375" customWidth="1"/>
    <col min="5" max="5" width="22.7109375" customWidth="1"/>
    <col min="6" max="7" width="18.7109375" customWidth="1"/>
    <col min="8" max="8" width="16.7109375" customWidth="1"/>
    <col min="9" max="9" width="15.7109375" customWidth="1"/>
    <col min="10" max="10" width="12.7109375" customWidth="1"/>
    <col min="11" max="11" width="38.7109375" customWidth="1"/>
  </cols>
  <sheetData>
    <row r="1" spans="1:11">
      <c r="A1" s="1" t="s">
        <v>325</v>
      </c>
      <c r="B1" s="1" t="s">
        <v>326</v>
      </c>
      <c r="C1" s="1" t="s">
        <v>327</v>
      </c>
      <c r="D1" s="1" t="s">
        <v>328</v>
      </c>
      <c r="E1" s="1" t="s">
        <v>329</v>
      </c>
      <c r="F1" s="1" t="s">
        <v>330</v>
      </c>
      <c r="G1" s="1" t="s">
        <v>331</v>
      </c>
      <c r="H1" s="1" t="s">
        <v>332</v>
      </c>
      <c r="I1" s="1" t="s">
        <v>333</v>
      </c>
      <c r="J1" s="1" t="s">
        <v>334</v>
      </c>
      <c r="K1" s="1" t="s">
        <v>335</v>
      </c>
    </row>
    <row r="2" spans="1:11">
      <c r="A2" s="2">
        <f>"Order"</f>
        <v>0</v>
      </c>
      <c r="B2" s="2">
        <f>'01_orders_raw'!A2</f>
        <v>0</v>
      </c>
      <c r="C2" s="2">
        <f>IF(COUNTIF('01_orders_raw'!$A$2:$A$161,'01_orders_raw'!A2)&gt;1,"ERROR","OK")</f>
        <v>0</v>
      </c>
      <c r="D2" s="2">
        <f>IF(OR('01_orders_raw'!C2="",'01_orders_raw'!D2=""),"ERROR","OK")</f>
        <v>0</v>
      </c>
      <c r="E2" s="2">
        <f>IF(COUNTIF('02_clients_raw'!$A$2:$A$47,'01_orders_raw'!C2)=0,"ERROR","OK")</f>
        <v>0</v>
      </c>
      <c r="F2" s="2">
        <f>IF('01_orders_raw'!I2&lt;&gt;'01_orders_raw'!G2*'01_orders_raw'!H2,"ERROR","OK")</f>
        <v>0</v>
      </c>
      <c r="G2" s="2">
        <f>IF('01_orders_raw'!H2&lt;0,"ERROR","OK")</f>
        <v>0</v>
      </c>
      <c r="H2" s="2">
        <f>IF('01_orders_raw'!B2&gt;DATE(2026,6,25),"ERROR","OK")</f>
        <v>0</v>
      </c>
      <c r="I2" s="2">
        <f>IF(OR('01_orders_raw'!J2="Выполнен",'01_orders_raw'!J2="В работе",'01_orders_raw'!J2="Отменен",'01_orders_raw'!J2="Ожидает оплаты"),"OK","ERROR")</f>
        <v>0</v>
      </c>
      <c r="J2" s="2">
        <f>COUNTIF(C2:I2,"ERROR")</f>
        <v>0</v>
      </c>
      <c r="K2" s="2">
        <f>IF(J2&gt;0,"Проверить заказ","")</f>
        <v>0</v>
      </c>
    </row>
    <row r="3" spans="1:11">
      <c r="A3" s="2">
        <f>"Order"</f>
        <v>0</v>
      </c>
      <c r="B3" s="2">
        <f>'01_orders_raw'!A3</f>
        <v>0</v>
      </c>
      <c r="C3" s="2">
        <f>IF(COUNTIF('01_orders_raw'!$A$2:$A$161,'01_orders_raw'!A3)&gt;1,"ERROR","OK")</f>
        <v>0</v>
      </c>
      <c r="D3" s="2">
        <f>IF(OR('01_orders_raw'!C3="",'01_orders_raw'!D3=""),"ERROR","OK")</f>
        <v>0</v>
      </c>
      <c r="E3" s="2">
        <f>IF(COUNTIF('02_clients_raw'!$A$2:$A$47,'01_orders_raw'!C3)=0,"ERROR","OK")</f>
        <v>0</v>
      </c>
      <c r="F3" s="2">
        <f>IF('01_orders_raw'!I3&lt;&gt;'01_orders_raw'!G3*'01_orders_raw'!H3,"ERROR","OK")</f>
        <v>0</v>
      </c>
      <c r="G3" s="2">
        <f>IF('01_orders_raw'!H3&lt;0,"ERROR","OK")</f>
        <v>0</v>
      </c>
      <c r="H3" s="2">
        <f>IF('01_orders_raw'!B3&gt;DATE(2026,6,25),"ERROR","OK")</f>
        <v>0</v>
      </c>
      <c r="I3" s="2">
        <f>IF(OR('01_orders_raw'!J3="Выполнен",'01_orders_raw'!J3="В работе",'01_orders_raw'!J3="Отменен",'01_orders_raw'!J3="Ожидает оплаты"),"OK","ERROR")</f>
        <v>0</v>
      </c>
      <c r="J3" s="2">
        <f>COUNTIF(C3:I3,"ERROR")</f>
        <v>0</v>
      </c>
      <c r="K3" s="2">
        <f>IF(J3&gt;0,"Проверить заказ","")</f>
        <v>0</v>
      </c>
    </row>
    <row r="4" spans="1:11">
      <c r="A4" s="2">
        <f>"Order"</f>
        <v>0</v>
      </c>
      <c r="B4" s="2">
        <f>'01_orders_raw'!A4</f>
        <v>0</v>
      </c>
      <c r="C4" s="2">
        <f>IF(COUNTIF('01_orders_raw'!$A$2:$A$161,'01_orders_raw'!A4)&gt;1,"ERROR","OK")</f>
        <v>0</v>
      </c>
      <c r="D4" s="2">
        <f>IF(OR('01_orders_raw'!C4="",'01_orders_raw'!D4=""),"ERROR","OK")</f>
        <v>0</v>
      </c>
      <c r="E4" s="2">
        <f>IF(COUNTIF('02_clients_raw'!$A$2:$A$47,'01_orders_raw'!C4)=0,"ERROR","OK")</f>
        <v>0</v>
      </c>
      <c r="F4" s="2">
        <f>IF('01_orders_raw'!I4&lt;&gt;'01_orders_raw'!G4*'01_orders_raw'!H4,"ERROR","OK")</f>
        <v>0</v>
      </c>
      <c r="G4" s="2">
        <f>IF('01_orders_raw'!H4&lt;0,"ERROR","OK")</f>
        <v>0</v>
      </c>
      <c r="H4" s="2">
        <f>IF('01_orders_raw'!B4&gt;DATE(2026,6,25),"ERROR","OK")</f>
        <v>0</v>
      </c>
      <c r="I4" s="2">
        <f>IF(OR('01_orders_raw'!J4="Выполнен",'01_orders_raw'!J4="В работе",'01_orders_raw'!J4="Отменен",'01_orders_raw'!J4="Ожидает оплаты"),"OK","ERROR")</f>
        <v>0</v>
      </c>
      <c r="J4" s="2">
        <f>COUNTIF(C4:I4,"ERROR")</f>
        <v>0</v>
      </c>
      <c r="K4" s="2">
        <f>IF(J4&gt;0,"Проверить заказ","")</f>
        <v>0</v>
      </c>
    </row>
    <row r="5" spans="1:11">
      <c r="A5" s="2">
        <f>"Order"</f>
        <v>0</v>
      </c>
      <c r="B5" s="2">
        <f>'01_orders_raw'!A5</f>
        <v>0</v>
      </c>
      <c r="C5" s="2">
        <f>IF(COUNTIF('01_orders_raw'!$A$2:$A$161,'01_orders_raw'!A5)&gt;1,"ERROR","OK")</f>
        <v>0</v>
      </c>
      <c r="D5" s="2">
        <f>IF(OR('01_orders_raw'!C5="",'01_orders_raw'!D5=""),"ERROR","OK")</f>
        <v>0</v>
      </c>
      <c r="E5" s="2">
        <f>IF(COUNTIF('02_clients_raw'!$A$2:$A$47,'01_orders_raw'!C5)=0,"ERROR","OK")</f>
        <v>0</v>
      </c>
      <c r="F5" s="2">
        <f>IF('01_orders_raw'!I5&lt;&gt;'01_orders_raw'!G5*'01_orders_raw'!H5,"ERROR","OK")</f>
        <v>0</v>
      </c>
      <c r="G5" s="2">
        <f>IF('01_orders_raw'!H5&lt;0,"ERROR","OK")</f>
        <v>0</v>
      </c>
      <c r="H5" s="2">
        <f>IF('01_orders_raw'!B5&gt;DATE(2026,6,25),"ERROR","OK")</f>
        <v>0</v>
      </c>
      <c r="I5" s="2">
        <f>IF(OR('01_orders_raw'!J5="Выполнен",'01_orders_raw'!J5="В работе",'01_orders_raw'!J5="Отменен",'01_orders_raw'!J5="Ожидает оплаты"),"OK","ERROR")</f>
        <v>0</v>
      </c>
      <c r="J5" s="2">
        <f>COUNTIF(C5:I5,"ERROR")</f>
        <v>0</v>
      </c>
      <c r="K5" s="2">
        <f>IF(J5&gt;0,"Проверить заказ","")</f>
        <v>0</v>
      </c>
    </row>
    <row r="6" spans="1:11">
      <c r="A6" s="2">
        <f>"Order"</f>
        <v>0</v>
      </c>
      <c r="B6" s="2">
        <f>'01_orders_raw'!A6</f>
        <v>0</v>
      </c>
      <c r="C6" s="2">
        <f>IF(COUNTIF('01_orders_raw'!$A$2:$A$161,'01_orders_raw'!A6)&gt;1,"ERROR","OK")</f>
        <v>0</v>
      </c>
      <c r="D6" s="2">
        <f>IF(OR('01_orders_raw'!C6="",'01_orders_raw'!D6=""),"ERROR","OK")</f>
        <v>0</v>
      </c>
      <c r="E6" s="2">
        <f>IF(COUNTIF('02_clients_raw'!$A$2:$A$47,'01_orders_raw'!C6)=0,"ERROR","OK")</f>
        <v>0</v>
      </c>
      <c r="F6" s="2">
        <f>IF('01_orders_raw'!I6&lt;&gt;'01_orders_raw'!G6*'01_orders_raw'!H6,"ERROR","OK")</f>
        <v>0</v>
      </c>
      <c r="G6" s="2">
        <f>IF('01_orders_raw'!H6&lt;0,"ERROR","OK")</f>
        <v>0</v>
      </c>
      <c r="H6" s="2">
        <f>IF('01_orders_raw'!B6&gt;DATE(2026,6,25),"ERROR","OK")</f>
        <v>0</v>
      </c>
      <c r="I6" s="2">
        <f>IF(OR('01_orders_raw'!J6="Выполнен",'01_orders_raw'!J6="В работе",'01_orders_raw'!J6="Отменен",'01_orders_raw'!J6="Ожидает оплаты"),"OK","ERROR")</f>
        <v>0</v>
      </c>
      <c r="J6" s="2">
        <f>COUNTIF(C6:I6,"ERROR")</f>
        <v>0</v>
      </c>
      <c r="K6" s="2">
        <f>IF(J6&gt;0,"Проверить заказ","")</f>
        <v>0</v>
      </c>
    </row>
    <row r="7" spans="1:11">
      <c r="A7" s="2">
        <f>"Order"</f>
        <v>0</v>
      </c>
      <c r="B7" s="2">
        <f>'01_orders_raw'!A7</f>
        <v>0</v>
      </c>
      <c r="C7" s="2">
        <f>IF(COUNTIF('01_orders_raw'!$A$2:$A$161,'01_orders_raw'!A7)&gt;1,"ERROR","OK")</f>
        <v>0</v>
      </c>
      <c r="D7" s="2">
        <f>IF(OR('01_orders_raw'!C7="",'01_orders_raw'!D7=""),"ERROR","OK")</f>
        <v>0</v>
      </c>
      <c r="E7" s="2">
        <f>IF(COUNTIF('02_clients_raw'!$A$2:$A$47,'01_orders_raw'!C7)=0,"ERROR","OK")</f>
        <v>0</v>
      </c>
      <c r="F7" s="2">
        <f>IF('01_orders_raw'!I7&lt;&gt;'01_orders_raw'!G7*'01_orders_raw'!H7,"ERROR","OK")</f>
        <v>0</v>
      </c>
      <c r="G7" s="2">
        <f>IF('01_orders_raw'!H7&lt;0,"ERROR","OK")</f>
        <v>0</v>
      </c>
      <c r="H7" s="2">
        <f>IF('01_orders_raw'!B7&gt;DATE(2026,6,25),"ERROR","OK")</f>
        <v>0</v>
      </c>
      <c r="I7" s="2">
        <f>IF(OR('01_orders_raw'!J7="Выполнен",'01_orders_raw'!J7="В работе",'01_orders_raw'!J7="Отменен",'01_orders_raw'!J7="Ожидает оплаты"),"OK","ERROR")</f>
        <v>0</v>
      </c>
      <c r="J7" s="2">
        <f>COUNTIF(C7:I7,"ERROR")</f>
        <v>0</v>
      </c>
      <c r="K7" s="2">
        <f>IF(J7&gt;0,"Проверить заказ","")</f>
        <v>0</v>
      </c>
    </row>
    <row r="8" spans="1:11">
      <c r="A8" s="2">
        <f>"Order"</f>
        <v>0</v>
      </c>
      <c r="B8" s="2">
        <f>'01_orders_raw'!A8</f>
        <v>0</v>
      </c>
      <c r="C8" s="2">
        <f>IF(COUNTIF('01_orders_raw'!$A$2:$A$161,'01_orders_raw'!A8)&gt;1,"ERROR","OK")</f>
        <v>0</v>
      </c>
      <c r="D8" s="2">
        <f>IF(OR('01_orders_raw'!C8="",'01_orders_raw'!D8=""),"ERROR","OK")</f>
        <v>0</v>
      </c>
      <c r="E8" s="2">
        <f>IF(COUNTIF('02_clients_raw'!$A$2:$A$47,'01_orders_raw'!C8)=0,"ERROR","OK")</f>
        <v>0</v>
      </c>
      <c r="F8" s="2">
        <f>IF('01_orders_raw'!I8&lt;&gt;'01_orders_raw'!G8*'01_orders_raw'!H8,"ERROR","OK")</f>
        <v>0</v>
      </c>
      <c r="G8" s="2">
        <f>IF('01_orders_raw'!H8&lt;0,"ERROR","OK")</f>
        <v>0</v>
      </c>
      <c r="H8" s="2">
        <f>IF('01_orders_raw'!B8&gt;DATE(2026,6,25),"ERROR","OK")</f>
        <v>0</v>
      </c>
      <c r="I8" s="2">
        <f>IF(OR('01_orders_raw'!J8="Выполнен",'01_orders_raw'!J8="В работе",'01_orders_raw'!J8="Отменен",'01_orders_raw'!J8="Ожидает оплаты"),"OK","ERROR")</f>
        <v>0</v>
      </c>
      <c r="J8" s="2">
        <f>COUNTIF(C8:I8,"ERROR")</f>
        <v>0</v>
      </c>
      <c r="K8" s="2">
        <f>IF(J8&gt;0,"Проверить заказ","")</f>
        <v>0</v>
      </c>
    </row>
    <row r="9" spans="1:11">
      <c r="A9" s="2">
        <f>"Order"</f>
        <v>0</v>
      </c>
      <c r="B9" s="2">
        <f>'01_orders_raw'!A9</f>
        <v>0</v>
      </c>
      <c r="C9" s="2">
        <f>IF(COUNTIF('01_orders_raw'!$A$2:$A$161,'01_orders_raw'!A9)&gt;1,"ERROR","OK")</f>
        <v>0</v>
      </c>
      <c r="D9" s="2">
        <f>IF(OR('01_orders_raw'!C9="",'01_orders_raw'!D9=""),"ERROR","OK")</f>
        <v>0</v>
      </c>
      <c r="E9" s="2">
        <f>IF(COUNTIF('02_clients_raw'!$A$2:$A$47,'01_orders_raw'!C9)=0,"ERROR","OK")</f>
        <v>0</v>
      </c>
      <c r="F9" s="2">
        <f>IF('01_orders_raw'!I9&lt;&gt;'01_orders_raw'!G9*'01_orders_raw'!H9,"ERROR","OK")</f>
        <v>0</v>
      </c>
      <c r="G9" s="2">
        <f>IF('01_orders_raw'!H9&lt;0,"ERROR","OK")</f>
        <v>0</v>
      </c>
      <c r="H9" s="2">
        <f>IF('01_orders_raw'!B9&gt;DATE(2026,6,25),"ERROR","OK")</f>
        <v>0</v>
      </c>
      <c r="I9" s="2">
        <f>IF(OR('01_orders_raw'!J9="Выполнен",'01_orders_raw'!J9="В работе",'01_orders_raw'!J9="Отменен",'01_orders_raw'!J9="Ожидает оплаты"),"OK","ERROR")</f>
        <v>0</v>
      </c>
      <c r="J9" s="2">
        <f>COUNTIF(C9:I9,"ERROR")</f>
        <v>0</v>
      </c>
      <c r="K9" s="2">
        <f>IF(J9&gt;0,"Проверить заказ","")</f>
        <v>0</v>
      </c>
    </row>
    <row r="10" spans="1:11">
      <c r="A10" s="2">
        <f>"Order"</f>
        <v>0</v>
      </c>
      <c r="B10" s="2">
        <f>'01_orders_raw'!A10</f>
        <v>0</v>
      </c>
      <c r="C10" s="2">
        <f>IF(COUNTIF('01_orders_raw'!$A$2:$A$161,'01_orders_raw'!A10)&gt;1,"ERROR","OK")</f>
        <v>0</v>
      </c>
      <c r="D10" s="2">
        <f>IF(OR('01_orders_raw'!C10="",'01_orders_raw'!D10=""),"ERROR","OK")</f>
        <v>0</v>
      </c>
      <c r="E10" s="2">
        <f>IF(COUNTIF('02_clients_raw'!$A$2:$A$47,'01_orders_raw'!C10)=0,"ERROR","OK")</f>
        <v>0</v>
      </c>
      <c r="F10" s="2">
        <f>IF('01_orders_raw'!I10&lt;&gt;'01_orders_raw'!G10*'01_orders_raw'!H10,"ERROR","OK")</f>
        <v>0</v>
      </c>
      <c r="G10" s="2">
        <f>IF('01_orders_raw'!H10&lt;0,"ERROR","OK")</f>
        <v>0</v>
      </c>
      <c r="H10" s="2">
        <f>IF('01_orders_raw'!B10&gt;DATE(2026,6,25),"ERROR","OK")</f>
        <v>0</v>
      </c>
      <c r="I10" s="2">
        <f>IF(OR('01_orders_raw'!J10="Выполнен",'01_orders_raw'!J10="В работе",'01_orders_raw'!J10="Отменен",'01_orders_raw'!J10="Ожидает оплаты"),"OK","ERROR")</f>
        <v>0</v>
      </c>
      <c r="J10" s="2">
        <f>COUNTIF(C10:I10,"ERROR")</f>
        <v>0</v>
      </c>
      <c r="K10" s="2">
        <f>IF(J10&gt;0,"Проверить заказ","")</f>
        <v>0</v>
      </c>
    </row>
    <row r="11" spans="1:11">
      <c r="A11" s="2">
        <f>"Order"</f>
        <v>0</v>
      </c>
      <c r="B11" s="2">
        <f>'01_orders_raw'!A11</f>
        <v>0</v>
      </c>
      <c r="C11" s="2">
        <f>IF(COUNTIF('01_orders_raw'!$A$2:$A$161,'01_orders_raw'!A11)&gt;1,"ERROR","OK")</f>
        <v>0</v>
      </c>
      <c r="D11" s="2">
        <f>IF(OR('01_orders_raw'!C11="",'01_orders_raw'!D11=""),"ERROR","OK")</f>
        <v>0</v>
      </c>
      <c r="E11" s="2">
        <f>IF(COUNTIF('02_clients_raw'!$A$2:$A$47,'01_orders_raw'!C11)=0,"ERROR","OK")</f>
        <v>0</v>
      </c>
      <c r="F11" s="2">
        <f>IF('01_orders_raw'!I11&lt;&gt;'01_orders_raw'!G11*'01_orders_raw'!H11,"ERROR","OK")</f>
        <v>0</v>
      </c>
      <c r="G11" s="2">
        <f>IF('01_orders_raw'!H11&lt;0,"ERROR","OK")</f>
        <v>0</v>
      </c>
      <c r="H11" s="2">
        <f>IF('01_orders_raw'!B11&gt;DATE(2026,6,25),"ERROR","OK")</f>
        <v>0</v>
      </c>
      <c r="I11" s="2">
        <f>IF(OR('01_orders_raw'!J11="Выполнен",'01_orders_raw'!J11="В работе",'01_orders_raw'!J11="Отменен",'01_orders_raw'!J11="Ожидает оплаты"),"OK","ERROR")</f>
        <v>0</v>
      </c>
      <c r="J11" s="2">
        <f>COUNTIF(C11:I11,"ERROR")</f>
        <v>0</v>
      </c>
      <c r="K11" s="2">
        <f>IF(J11&gt;0,"Проверить заказ","")</f>
        <v>0</v>
      </c>
    </row>
    <row r="12" spans="1:11">
      <c r="A12" s="2">
        <f>"Order"</f>
        <v>0</v>
      </c>
      <c r="B12" s="2">
        <f>'01_orders_raw'!A12</f>
        <v>0</v>
      </c>
      <c r="C12" s="2">
        <f>IF(COUNTIF('01_orders_raw'!$A$2:$A$161,'01_orders_raw'!A12)&gt;1,"ERROR","OK")</f>
        <v>0</v>
      </c>
      <c r="D12" s="2">
        <f>IF(OR('01_orders_raw'!C12="",'01_orders_raw'!D12=""),"ERROR","OK")</f>
        <v>0</v>
      </c>
      <c r="E12" s="2">
        <f>IF(COUNTIF('02_clients_raw'!$A$2:$A$47,'01_orders_raw'!C12)=0,"ERROR","OK")</f>
        <v>0</v>
      </c>
      <c r="F12" s="2">
        <f>IF('01_orders_raw'!I12&lt;&gt;'01_orders_raw'!G12*'01_orders_raw'!H12,"ERROR","OK")</f>
        <v>0</v>
      </c>
      <c r="G12" s="2">
        <f>IF('01_orders_raw'!H12&lt;0,"ERROR","OK")</f>
        <v>0</v>
      </c>
      <c r="H12" s="2">
        <f>IF('01_orders_raw'!B12&gt;DATE(2026,6,25),"ERROR","OK")</f>
        <v>0</v>
      </c>
      <c r="I12" s="2">
        <f>IF(OR('01_orders_raw'!J12="Выполнен",'01_orders_raw'!J12="В работе",'01_orders_raw'!J12="Отменен",'01_orders_raw'!J12="Ожидает оплаты"),"OK","ERROR")</f>
        <v>0</v>
      </c>
      <c r="J12" s="2">
        <f>COUNTIF(C12:I12,"ERROR")</f>
        <v>0</v>
      </c>
      <c r="K12" s="2">
        <f>IF(J12&gt;0,"Проверить заказ","")</f>
        <v>0</v>
      </c>
    </row>
    <row r="13" spans="1:11">
      <c r="A13" s="2">
        <f>"Order"</f>
        <v>0</v>
      </c>
      <c r="B13" s="2">
        <f>'01_orders_raw'!A13</f>
        <v>0</v>
      </c>
      <c r="C13" s="2">
        <f>IF(COUNTIF('01_orders_raw'!$A$2:$A$161,'01_orders_raw'!A13)&gt;1,"ERROR","OK")</f>
        <v>0</v>
      </c>
      <c r="D13" s="2">
        <f>IF(OR('01_orders_raw'!C13="",'01_orders_raw'!D13=""),"ERROR","OK")</f>
        <v>0</v>
      </c>
      <c r="E13" s="2">
        <f>IF(COUNTIF('02_clients_raw'!$A$2:$A$47,'01_orders_raw'!C13)=0,"ERROR","OK")</f>
        <v>0</v>
      </c>
      <c r="F13" s="2">
        <f>IF('01_orders_raw'!I13&lt;&gt;'01_orders_raw'!G13*'01_orders_raw'!H13,"ERROR","OK")</f>
        <v>0</v>
      </c>
      <c r="G13" s="2">
        <f>IF('01_orders_raw'!H13&lt;0,"ERROR","OK")</f>
        <v>0</v>
      </c>
      <c r="H13" s="2">
        <f>IF('01_orders_raw'!B13&gt;DATE(2026,6,25),"ERROR","OK")</f>
        <v>0</v>
      </c>
      <c r="I13" s="2">
        <f>IF(OR('01_orders_raw'!J13="Выполнен",'01_orders_raw'!J13="В работе",'01_orders_raw'!J13="Отменен",'01_orders_raw'!J13="Ожидает оплаты"),"OK","ERROR")</f>
        <v>0</v>
      </c>
      <c r="J13" s="2">
        <f>COUNTIF(C13:I13,"ERROR")</f>
        <v>0</v>
      </c>
      <c r="K13" s="2">
        <f>IF(J13&gt;0,"Проверить заказ","")</f>
        <v>0</v>
      </c>
    </row>
    <row r="14" spans="1:11">
      <c r="A14" s="2">
        <f>"Order"</f>
        <v>0</v>
      </c>
      <c r="B14" s="2">
        <f>'01_orders_raw'!A14</f>
        <v>0</v>
      </c>
      <c r="C14" s="2">
        <f>IF(COUNTIF('01_orders_raw'!$A$2:$A$161,'01_orders_raw'!A14)&gt;1,"ERROR","OK")</f>
        <v>0</v>
      </c>
      <c r="D14" s="2">
        <f>IF(OR('01_orders_raw'!C14="",'01_orders_raw'!D14=""),"ERROR","OK")</f>
        <v>0</v>
      </c>
      <c r="E14" s="2">
        <f>IF(COUNTIF('02_clients_raw'!$A$2:$A$47,'01_orders_raw'!C14)=0,"ERROR","OK")</f>
        <v>0</v>
      </c>
      <c r="F14" s="2">
        <f>IF('01_orders_raw'!I14&lt;&gt;'01_orders_raw'!G14*'01_orders_raw'!H14,"ERROR","OK")</f>
        <v>0</v>
      </c>
      <c r="G14" s="2">
        <f>IF('01_orders_raw'!H14&lt;0,"ERROR","OK")</f>
        <v>0</v>
      </c>
      <c r="H14" s="2">
        <f>IF('01_orders_raw'!B14&gt;DATE(2026,6,25),"ERROR","OK")</f>
        <v>0</v>
      </c>
      <c r="I14" s="2">
        <f>IF(OR('01_orders_raw'!J14="Выполнен",'01_orders_raw'!J14="В работе",'01_orders_raw'!J14="Отменен",'01_orders_raw'!J14="Ожидает оплаты"),"OK","ERROR")</f>
        <v>0</v>
      </c>
      <c r="J14" s="2">
        <f>COUNTIF(C14:I14,"ERROR")</f>
        <v>0</v>
      </c>
      <c r="K14" s="2">
        <f>IF(J14&gt;0,"Проверить заказ","")</f>
        <v>0</v>
      </c>
    </row>
    <row r="15" spans="1:11">
      <c r="A15" s="2">
        <f>"Order"</f>
        <v>0</v>
      </c>
      <c r="B15" s="2">
        <f>'01_orders_raw'!A15</f>
        <v>0</v>
      </c>
      <c r="C15" s="2">
        <f>IF(COUNTIF('01_orders_raw'!$A$2:$A$161,'01_orders_raw'!A15)&gt;1,"ERROR","OK")</f>
        <v>0</v>
      </c>
      <c r="D15" s="2">
        <f>IF(OR('01_orders_raw'!C15="",'01_orders_raw'!D15=""),"ERROR","OK")</f>
        <v>0</v>
      </c>
      <c r="E15" s="2">
        <f>IF(COUNTIF('02_clients_raw'!$A$2:$A$47,'01_orders_raw'!C15)=0,"ERROR","OK")</f>
        <v>0</v>
      </c>
      <c r="F15" s="2">
        <f>IF('01_orders_raw'!I15&lt;&gt;'01_orders_raw'!G15*'01_orders_raw'!H15,"ERROR","OK")</f>
        <v>0</v>
      </c>
      <c r="G15" s="2">
        <f>IF('01_orders_raw'!H15&lt;0,"ERROR","OK")</f>
        <v>0</v>
      </c>
      <c r="H15" s="2">
        <f>IF('01_orders_raw'!B15&gt;DATE(2026,6,25),"ERROR","OK")</f>
        <v>0</v>
      </c>
      <c r="I15" s="2">
        <f>IF(OR('01_orders_raw'!J15="Выполнен",'01_orders_raw'!J15="В работе",'01_orders_raw'!J15="Отменен",'01_orders_raw'!J15="Ожидает оплаты"),"OK","ERROR")</f>
        <v>0</v>
      </c>
      <c r="J15" s="2">
        <f>COUNTIF(C15:I15,"ERROR")</f>
        <v>0</v>
      </c>
      <c r="K15" s="2">
        <f>IF(J15&gt;0,"Проверить заказ","")</f>
        <v>0</v>
      </c>
    </row>
    <row r="16" spans="1:11">
      <c r="A16" s="2">
        <f>"Order"</f>
        <v>0</v>
      </c>
      <c r="B16" s="2">
        <f>'01_orders_raw'!A16</f>
        <v>0</v>
      </c>
      <c r="C16" s="2">
        <f>IF(COUNTIF('01_orders_raw'!$A$2:$A$161,'01_orders_raw'!A16)&gt;1,"ERROR","OK")</f>
        <v>0</v>
      </c>
      <c r="D16" s="2">
        <f>IF(OR('01_orders_raw'!C16="",'01_orders_raw'!D16=""),"ERROR","OK")</f>
        <v>0</v>
      </c>
      <c r="E16" s="2">
        <f>IF(COUNTIF('02_clients_raw'!$A$2:$A$47,'01_orders_raw'!C16)=0,"ERROR","OK")</f>
        <v>0</v>
      </c>
      <c r="F16" s="2">
        <f>IF('01_orders_raw'!I16&lt;&gt;'01_orders_raw'!G16*'01_orders_raw'!H16,"ERROR","OK")</f>
        <v>0</v>
      </c>
      <c r="G16" s="2">
        <f>IF('01_orders_raw'!H16&lt;0,"ERROR","OK")</f>
        <v>0</v>
      </c>
      <c r="H16" s="2">
        <f>IF('01_orders_raw'!B16&gt;DATE(2026,6,25),"ERROR","OK")</f>
        <v>0</v>
      </c>
      <c r="I16" s="2">
        <f>IF(OR('01_orders_raw'!J16="Выполнен",'01_orders_raw'!J16="В работе",'01_orders_raw'!J16="Отменен",'01_orders_raw'!J16="Ожидает оплаты"),"OK","ERROR")</f>
        <v>0</v>
      </c>
      <c r="J16" s="2">
        <f>COUNTIF(C16:I16,"ERROR")</f>
        <v>0</v>
      </c>
      <c r="K16" s="2">
        <f>IF(J16&gt;0,"Проверить заказ","")</f>
        <v>0</v>
      </c>
    </row>
    <row r="17" spans="1:11">
      <c r="A17" s="2">
        <f>"Order"</f>
        <v>0</v>
      </c>
      <c r="B17" s="2">
        <f>'01_orders_raw'!A17</f>
        <v>0</v>
      </c>
      <c r="C17" s="2">
        <f>IF(COUNTIF('01_orders_raw'!$A$2:$A$161,'01_orders_raw'!A17)&gt;1,"ERROR","OK")</f>
        <v>0</v>
      </c>
      <c r="D17" s="2">
        <f>IF(OR('01_orders_raw'!C17="",'01_orders_raw'!D17=""),"ERROR","OK")</f>
        <v>0</v>
      </c>
      <c r="E17" s="2">
        <f>IF(COUNTIF('02_clients_raw'!$A$2:$A$47,'01_orders_raw'!C17)=0,"ERROR","OK")</f>
        <v>0</v>
      </c>
      <c r="F17" s="2">
        <f>IF('01_orders_raw'!I17&lt;&gt;'01_orders_raw'!G17*'01_orders_raw'!H17,"ERROR","OK")</f>
        <v>0</v>
      </c>
      <c r="G17" s="2">
        <f>IF('01_orders_raw'!H17&lt;0,"ERROR","OK")</f>
        <v>0</v>
      </c>
      <c r="H17" s="2">
        <f>IF('01_orders_raw'!B17&gt;DATE(2026,6,25),"ERROR","OK")</f>
        <v>0</v>
      </c>
      <c r="I17" s="2">
        <f>IF(OR('01_orders_raw'!J17="Выполнен",'01_orders_raw'!J17="В работе",'01_orders_raw'!J17="Отменен",'01_orders_raw'!J17="Ожидает оплаты"),"OK","ERROR")</f>
        <v>0</v>
      </c>
      <c r="J17" s="2">
        <f>COUNTIF(C17:I17,"ERROR")</f>
        <v>0</v>
      </c>
      <c r="K17" s="2">
        <f>IF(J17&gt;0,"Проверить заказ","")</f>
        <v>0</v>
      </c>
    </row>
    <row r="18" spans="1:11">
      <c r="A18" s="2">
        <f>"Order"</f>
        <v>0</v>
      </c>
      <c r="B18" s="2">
        <f>'01_orders_raw'!A18</f>
        <v>0</v>
      </c>
      <c r="C18" s="2">
        <f>IF(COUNTIF('01_orders_raw'!$A$2:$A$161,'01_orders_raw'!A18)&gt;1,"ERROR","OK")</f>
        <v>0</v>
      </c>
      <c r="D18" s="2">
        <f>IF(OR('01_orders_raw'!C18="",'01_orders_raw'!D18=""),"ERROR","OK")</f>
        <v>0</v>
      </c>
      <c r="E18" s="2">
        <f>IF(COUNTIF('02_clients_raw'!$A$2:$A$47,'01_orders_raw'!C18)=0,"ERROR","OK")</f>
        <v>0</v>
      </c>
      <c r="F18" s="2">
        <f>IF('01_orders_raw'!I18&lt;&gt;'01_orders_raw'!G18*'01_orders_raw'!H18,"ERROR","OK")</f>
        <v>0</v>
      </c>
      <c r="G18" s="2">
        <f>IF('01_orders_raw'!H18&lt;0,"ERROR","OK")</f>
        <v>0</v>
      </c>
      <c r="H18" s="2">
        <f>IF('01_orders_raw'!B18&gt;DATE(2026,6,25),"ERROR","OK")</f>
        <v>0</v>
      </c>
      <c r="I18" s="2">
        <f>IF(OR('01_orders_raw'!J18="Выполнен",'01_orders_raw'!J18="В работе",'01_orders_raw'!J18="Отменен",'01_orders_raw'!J18="Ожидает оплаты"),"OK","ERROR")</f>
        <v>0</v>
      </c>
      <c r="J18" s="2">
        <f>COUNTIF(C18:I18,"ERROR")</f>
        <v>0</v>
      </c>
      <c r="K18" s="2">
        <f>IF(J18&gt;0,"Проверить заказ","")</f>
        <v>0</v>
      </c>
    </row>
    <row r="19" spans="1:11">
      <c r="A19" s="2">
        <f>"Order"</f>
        <v>0</v>
      </c>
      <c r="B19" s="2">
        <f>'01_orders_raw'!A19</f>
        <v>0</v>
      </c>
      <c r="C19" s="2">
        <f>IF(COUNTIF('01_orders_raw'!$A$2:$A$161,'01_orders_raw'!A19)&gt;1,"ERROR","OK")</f>
        <v>0</v>
      </c>
      <c r="D19" s="2">
        <f>IF(OR('01_orders_raw'!C19="",'01_orders_raw'!D19=""),"ERROR","OK")</f>
        <v>0</v>
      </c>
      <c r="E19" s="2">
        <f>IF(COUNTIF('02_clients_raw'!$A$2:$A$47,'01_orders_raw'!C19)=0,"ERROR","OK")</f>
        <v>0</v>
      </c>
      <c r="F19" s="2">
        <f>IF('01_orders_raw'!I19&lt;&gt;'01_orders_raw'!G19*'01_orders_raw'!H19,"ERROR","OK")</f>
        <v>0</v>
      </c>
      <c r="G19" s="2">
        <f>IF('01_orders_raw'!H19&lt;0,"ERROR","OK")</f>
        <v>0</v>
      </c>
      <c r="H19" s="2">
        <f>IF('01_orders_raw'!B19&gt;DATE(2026,6,25),"ERROR","OK")</f>
        <v>0</v>
      </c>
      <c r="I19" s="2">
        <f>IF(OR('01_orders_raw'!J19="Выполнен",'01_orders_raw'!J19="В работе",'01_orders_raw'!J19="Отменен",'01_orders_raw'!J19="Ожидает оплаты"),"OK","ERROR")</f>
        <v>0</v>
      </c>
      <c r="J19" s="2">
        <f>COUNTIF(C19:I19,"ERROR")</f>
        <v>0</v>
      </c>
      <c r="K19" s="2">
        <f>IF(J19&gt;0,"Проверить заказ","")</f>
        <v>0</v>
      </c>
    </row>
    <row r="20" spans="1:11">
      <c r="A20" s="2">
        <f>"Order"</f>
        <v>0</v>
      </c>
      <c r="B20" s="2">
        <f>'01_orders_raw'!A20</f>
        <v>0</v>
      </c>
      <c r="C20" s="2">
        <f>IF(COUNTIF('01_orders_raw'!$A$2:$A$161,'01_orders_raw'!A20)&gt;1,"ERROR","OK")</f>
        <v>0</v>
      </c>
      <c r="D20" s="2">
        <f>IF(OR('01_orders_raw'!C20="",'01_orders_raw'!D20=""),"ERROR","OK")</f>
        <v>0</v>
      </c>
      <c r="E20" s="2">
        <f>IF(COUNTIF('02_clients_raw'!$A$2:$A$47,'01_orders_raw'!C20)=0,"ERROR","OK")</f>
        <v>0</v>
      </c>
      <c r="F20" s="2">
        <f>IF('01_orders_raw'!I20&lt;&gt;'01_orders_raw'!G20*'01_orders_raw'!H20,"ERROR","OK")</f>
        <v>0</v>
      </c>
      <c r="G20" s="2">
        <f>IF('01_orders_raw'!H20&lt;0,"ERROR","OK")</f>
        <v>0</v>
      </c>
      <c r="H20" s="2">
        <f>IF('01_orders_raw'!B20&gt;DATE(2026,6,25),"ERROR","OK")</f>
        <v>0</v>
      </c>
      <c r="I20" s="2">
        <f>IF(OR('01_orders_raw'!J20="Выполнен",'01_orders_raw'!J20="В работе",'01_orders_raw'!J20="Отменен",'01_orders_raw'!J20="Ожидает оплаты"),"OK","ERROR")</f>
        <v>0</v>
      </c>
      <c r="J20" s="2">
        <f>COUNTIF(C20:I20,"ERROR")</f>
        <v>0</v>
      </c>
      <c r="K20" s="2">
        <f>IF(J20&gt;0,"Проверить заказ","")</f>
        <v>0</v>
      </c>
    </row>
    <row r="21" spans="1:11">
      <c r="A21" s="2">
        <f>"Order"</f>
        <v>0</v>
      </c>
      <c r="B21" s="2">
        <f>'01_orders_raw'!A21</f>
        <v>0</v>
      </c>
      <c r="C21" s="2">
        <f>IF(COUNTIF('01_orders_raw'!$A$2:$A$161,'01_orders_raw'!A21)&gt;1,"ERROR","OK")</f>
        <v>0</v>
      </c>
      <c r="D21" s="2">
        <f>IF(OR('01_orders_raw'!C21="",'01_orders_raw'!D21=""),"ERROR","OK")</f>
        <v>0</v>
      </c>
      <c r="E21" s="2">
        <f>IF(COUNTIF('02_clients_raw'!$A$2:$A$47,'01_orders_raw'!C21)=0,"ERROR","OK")</f>
        <v>0</v>
      </c>
      <c r="F21" s="2">
        <f>IF('01_orders_raw'!I21&lt;&gt;'01_orders_raw'!G21*'01_orders_raw'!H21,"ERROR","OK")</f>
        <v>0</v>
      </c>
      <c r="G21" s="2">
        <f>IF('01_orders_raw'!H21&lt;0,"ERROR","OK")</f>
        <v>0</v>
      </c>
      <c r="H21" s="2">
        <f>IF('01_orders_raw'!B21&gt;DATE(2026,6,25),"ERROR","OK")</f>
        <v>0</v>
      </c>
      <c r="I21" s="2">
        <f>IF(OR('01_orders_raw'!J21="Выполнен",'01_orders_raw'!J21="В работе",'01_orders_raw'!J21="Отменен",'01_orders_raw'!J21="Ожидает оплаты"),"OK","ERROR")</f>
        <v>0</v>
      </c>
      <c r="J21" s="2">
        <f>COUNTIF(C21:I21,"ERROR")</f>
        <v>0</v>
      </c>
      <c r="K21" s="2">
        <f>IF(J21&gt;0,"Проверить заказ","")</f>
        <v>0</v>
      </c>
    </row>
    <row r="22" spans="1:11">
      <c r="A22" s="2">
        <f>"Order"</f>
        <v>0</v>
      </c>
      <c r="B22" s="2">
        <f>'01_orders_raw'!A22</f>
        <v>0</v>
      </c>
      <c r="C22" s="2">
        <f>IF(COUNTIF('01_orders_raw'!$A$2:$A$161,'01_orders_raw'!A22)&gt;1,"ERROR","OK")</f>
        <v>0</v>
      </c>
      <c r="D22" s="2">
        <f>IF(OR('01_orders_raw'!C22="",'01_orders_raw'!D22=""),"ERROR","OK")</f>
        <v>0</v>
      </c>
      <c r="E22" s="2">
        <f>IF(COUNTIF('02_clients_raw'!$A$2:$A$47,'01_orders_raw'!C22)=0,"ERROR","OK")</f>
        <v>0</v>
      </c>
      <c r="F22" s="2">
        <f>IF('01_orders_raw'!I22&lt;&gt;'01_orders_raw'!G22*'01_orders_raw'!H22,"ERROR","OK")</f>
        <v>0</v>
      </c>
      <c r="G22" s="2">
        <f>IF('01_orders_raw'!H22&lt;0,"ERROR","OK")</f>
        <v>0</v>
      </c>
      <c r="H22" s="2">
        <f>IF('01_orders_raw'!B22&gt;DATE(2026,6,25),"ERROR","OK")</f>
        <v>0</v>
      </c>
      <c r="I22" s="2">
        <f>IF(OR('01_orders_raw'!J22="Выполнен",'01_orders_raw'!J22="В работе",'01_orders_raw'!J22="Отменен",'01_orders_raw'!J22="Ожидает оплаты"),"OK","ERROR")</f>
        <v>0</v>
      </c>
      <c r="J22" s="2">
        <f>COUNTIF(C22:I22,"ERROR")</f>
        <v>0</v>
      </c>
      <c r="K22" s="2">
        <f>IF(J22&gt;0,"Проверить заказ","")</f>
        <v>0</v>
      </c>
    </row>
    <row r="23" spans="1:11">
      <c r="A23" s="2">
        <f>"Order"</f>
        <v>0</v>
      </c>
      <c r="B23" s="2">
        <f>'01_orders_raw'!A23</f>
        <v>0</v>
      </c>
      <c r="C23" s="2">
        <f>IF(COUNTIF('01_orders_raw'!$A$2:$A$161,'01_orders_raw'!A23)&gt;1,"ERROR","OK")</f>
        <v>0</v>
      </c>
      <c r="D23" s="2">
        <f>IF(OR('01_orders_raw'!C23="",'01_orders_raw'!D23=""),"ERROR","OK")</f>
        <v>0</v>
      </c>
      <c r="E23" s="2">
        <f>IF(COUNTIF('02_clients_raw'!$A$2:$A$47,'01_orders_raw'!C23)=0,"ERROR","OK")</f>
        <v>0</v>
      </c>
      <c r="F23" s="2">
        <f>IF('01_orders_raw'!I23&lt;&gt;'01_orders_raw'!G23*'01_orders_raw'!H23,"ERROR","OK")</f>
        <v>0</v>
      </c>
      <c r="G23" s="2">
        <f>IF('01_orders_raw'!H23&lt;0,"ERROR","OK")</f>
        <v>0</v>
      </c>
      <c r="H23" s="2">
        <f>IF('01_orders_raw'!B23&gt;DATE(2026,6,25),"ERROR","OK")</f>
        <v>0</v>
      </c>
      <c r="I23" s="2">
        <f>IF(OR('01_orders_raw'!J23="Выполнен",'01_orders_raw'!J23="В работе",'01_orders_raw'!J23="Отменен",'01_orders_raw'!J23="Ожидает оплаты"),"OK","ERROR")</f>
        <v>0</v>
      </c>
      <c r="J23" s="2">
        <f>COUNTIF(C23:I23,"ERROR")</f>
        <v>0</v>
      </c>
      <c r="K23" s="2">
        <f>IF(J23&gt;0,"Проверить заказ","")</f>
        <v>0</v>
      </c>
    </row>
    <row r="24" spans="1:11">
      <c r="A24" s="2">
        <f>"Order"</f>
        <v>0</v>
      </c>
      <c r="B24" s="2">
        <f>'01_orders_raw'!A24</f>
        <v>0</v>
      </c>
      <c r="C24" s="2">
        <f>IF(COUNTIF('01_orders_raw'!$A$2:$A$161,'01_orders_raw'!A24)&gt;1,"ERROR","OK")</f>
        <v>0</v>
      </c>
      <c r="D24" s="2">
        <f>IF(OR('01_orders_raw'!C24="",'01_orders_raw'!D24=""),"ERROR","OK")</f>
        <v>0</v>
      </c>
      <c r="E24" s="2">
        <f>IF(COUNTIF('02_clients_raw'!$A$2:$A$47,'01_orders_raw'!C24)=0,"ERROR","OK")</f>
        <v>0</v>
      </c>
      <c r="F24" s="2">
        <f>IF('01_orders_raw'!I24&lt;&gt;'01_orders_raw'!G24*'01_orders_raw'!H24,"ERROR","OK")</f>
        <v>0</v>
      </c>
      <c r="G24" s="2">
        <f>IF('01_orders_raw'!H24&lt;0,"ERROR","OK")</f>
        <v>0</v>
      </c>
      <c r="H24" s="2">
        <f>IF('01_orders_raw'!B24&gt;DATE(2026,6,25),"ERROR","OK")</f>
        <v>0</v>
      </c>
      <c r="I24" s="2">
        <f>IF(OR('01_orders_raw'!J24="Выполнен",'01_orders_raw'!J24="В работе",'01_orders_raw'!J24="Отменен",'01_orders_raw'!J24="Ожидает оплаты"),"OK","ERROR")</f>
        <v>0</v>
      </c>
      <c r="J24" s="2">
        <f>COUNTIF(C24:I24,"ERROR")</f>
        <v>0</v>
      </c>
      <c r="K24" s="2">
        <f>IF(J24&gt;0,"Проверить заказ","")</f>
        <v>0</v>
      </c>
    </row>
    <row r="25" spans="1:11">
      <c r="A25" s="2">
        <f>"Order"</f>
        <v>0</v>
      </c>
      <c r="B25" s="2">
        <f>'01_orders_raw'!A25</f>
        <v>0</v>
      </c>
      <c r="C25" s="2">
        <f>IF(COUNTIF('01_orders_raw'!$A$2:$A$161,'01_orders_raw'!A25)&gt;1,"ERROR","OK")</f>
        <v>0</v>
      </c>
      <c r="D25" s="2">
        <f>IF(OR('01_orders_raw'!C25="",'01_orders_raw'!D25=""),"ERROR","OK")</f>
        <v>0</v>
      </c>
      <c r="E25" s="2">
        <f>IF(COUNTIF('02_clients_raw'!$A$2:$A$47,'01_orders_raw'!C25)=0,"ERROR","OK")</f>
        <v>0</v>
      </c>
      <c r="F25" s="2">
        <f>IF('01_orders_raw'!I25&lt;&gt;'01_orders_raw'!G25*'01_orders_raw'!H25,"ERROR","OK")</f>
        <v>0</v>
      </c>
      <c r="G25" s="2">
        <f>IF('01_orders_raw'!H25&lt;0,"ERROR","OK")</f>
        <v>0</v>
      </c>
      <c r="H25" s="2">
        <f>IF('01_orders_raw'!B25&gt;DATE(2026,6,25),"ERROR","OK")</f>
        <v>0</v>
      </c>
      <c r="I25" s="2">
        <f>IF(OR('01_orders_raw'!J25="Выполнен",'01_orders_raw'!J25="В работе",'01_orders_raw'!J25="Отменен",'01_orders_raw'!J25="Ожидает оплаты"),"OK","ERROR")</f>
        <v>0</v>
      </c>
      <c r="J25" s="2">
        <f>COUNTIF(C25:I25,"ERROR")</f>
        <v>0</v>
      </c>
      <c r="K25" s="2">
        <f>IF(J25&gt;0,"Проверить заказ","")</f>
        <v>0</v>
      </c>
    </row>
    <row r="26" spans="1:11">
      <c r="A26" s="2">
        <f>"Order"</f>
        <v>0</v>
      </c>
      <c r="B26" s="2">
        <f>'01_orders_raw'!A26</f>
        <v>0</v>
      </c>
      <c r="C26" s="2">
        <f>IF(COUNTIF('01_orders_raw'!$A$2:$A$161,'01_orders_raw'!A26)&gt;1,"ERROR","OK")</f>
        <v>0</v>
      </c>
      <c r="D26" s="2">
        <f>IF(OR('01_orders_raw'!C26="",'01_orders_raw'!D26=""),"ERROR","OK")</f>
        <v>0</v>
      </c>
      <c r="E26" s="2">
        <f>IF(COUNTIF('02_clients_raw'!$A$2:$A$47,'01_orders_raw'!C26)=0,"ERROR","OK")</f>
        <v>0</v>
      </c>
      <c r="F26" s="2">
        <f>IF('01_orders_raw'!I26&lt;&gt;'01_orders_raw'!G26*'01_orders_raw'!H26,"ERROR","OK")</f>
        <v>0</v>
      </c>
      <c r="G26" s="2">
        <f>IF('01_orders_raw'!H26&lt;0,"ERROR","OK")</f>
        <v>0</v>
      </c>
      <c r="H26" s="2">
        <f>IF('01_orders_raw'!B26&gt;DATE(2026,6,25),"ERROR","OK")</f>
        <v>0</v>
      </c>
      <c r="I26" s="2">
        <f>IF(OR('01_orders_raw'!J26="Выполнен",'01_orders_raw'!J26="В работе",'01_orders_raw'!J26="Отменен",'01_orders_raw'!J26="Ожидает оплаты"),"OK","ERROR")</f>
        <v>0</v>
      </c>
      <c r="J26" s="2">
        <f>COUNTIF(C26:I26,"ERROR")</f>
        <v>0</v>
      </c>
      <c r="K26" s="2">
        <f>IF(J26&gt;0,"Проверить заказ","")</f>
        <v>0</v>
      </c>
    </row>
    <row r="27" spans="1:11">
      <c r="A27" s="2">
        <f>"Order"</f>
        <v>0</v>
      </c>
      <c r="B27" s="2">
        <f>'01_orders_raw'!A27</f>
        <v>0</v>
      </c>
      <c r="C27" s="2">
        <f>IF(COUNTIF('01_orders_raw'!$A$2:$A$161,'01_orders_raw'!A27)&gt;1,"ERROR","OK")</f>
        <v>0</v>
      </c>
      <c r="D27" s="2">
        <f>IF(OR('01_orders_raw'!C27="",'01_orders_raw'!D27=""),"ERROR","OK")</f>
        <v>0</v>
      </c>
      <c r="E27" s="2">
        <f>IF(COUNTIF('02_clients_raw'!$A$2:$A$47,'01_orders_raw'!C27)=0,"ERROR","OK")</f>
        <v>0</v>
      </c>
      <c r="F27" s="2">
        <f>IF('01_orders_raw'!I27&lt;&gt;'01_orders_raw'!G27*'01_orders_raw'!H27,"ERROR","OK")</f>
        <v>0</v>
      </c>
      <c r="G27" s="2">
        <f>IF('01_orders_raw'!H27&lt;0,"ERROR","OK")</f>
        <v>0</v>
      </c>
      <c r="H27" s="2">
        <f>IF('01_orders_raw'!B27&gt;DATE(2026,6,25),"ERROR","OK")</f>
        <v>0</v>
      </c>
      <c r="I27" s="2">
        <f>IF(OR('01_orders_raw'!J27="Выполнен",'01_orders_raw'!J27="В работе",'01_orders_raw'!J27="Отменен",'01_orders_raw'!J27="Ожидает оплаты"),"OK","ERROR")</f>
        <v>0</v>
      </c>
      <c r="J27" s="2">
        <f>COUNTIF(C27:I27,"ERROR")</f>
        <v>0</v>
      </c>
      <c r="K27" s="2">
        <f>IF(J27&gt;0,"Проверить заказ","")</f>
        <v>0</v>
      </c>
    </row>
    <row r="28" spans="1:11">
      <c r="A28" s="2">
        <f>"Order"</f>
        <v>0</v>
      </c>
      <c r="B28" s="2">
        <f>'01_orders_raw'!A28</f>
        <v>0</v>
      </c>
      <c r="C28" s="2">
        <f>IF(COUNTIF('01_orders_raw'!$A$2:$A$161,'01_orders_raw'!A28)&gt;1,"ERROR","OK")</f>
        <v>0</v>
      </c>
      <c r="D28" s="2">
        <f>IF(OR('01_orders_raw'!C28="",'01_orders_raw'!D28=""),"ERROR","OK")</f>
        <v>0</v>
      </c>
      <c r="E28" s="2">
        <f>IF(COUNTIF('02_clients_raw'!$A$2:$A$47,'01_orders_raw'!C28)=0,"ERROR","OK")</f>
        <v>0</v>
      </c>
      <c r="F28" s="2">
        <f>IF('01_orders_raw'!I28&lt;&gt;'01_orders_raw'!G28*'01_orders_raw'!H28,"ERROR","OK")</f>
        <v>0</v>
      </c>
      <c r="G28" s="2">
        <f>IF('01_orders_raw'!H28&lt;0,"ERROR","OK")</f>
        <v>0</v>
      </c>
      <c r="H28" s="2">
        <f>IF('01_orders_raw'!B28&gt;DATE(2026,6,25),"ERROR","OK")</f>
        <v>0</v>
      </c>
      <c r="I28" s="2">
        <f>IF(OR('01_orders_raw'!J28="Выполнен",'01_orders_raw'!J28="В работе",'01_orders_raw'!J28="Отменен",'01_orders_raw'!J28="Ожидает оплаты"),"OK","ERROR")</f>
        <v>0</v>
      </c>
      <c r="J28" s="2">
        <f>COUNTIF(C28:I28,"ERROR")</f>
        <v>0</v>
      </c>
      <c r="K28" s="2">
        <f>IF(J28&gt;0,"Проверить заказ","")</f>
        <v>0</v>
      </c>
    </row>
    <row r="29" spans="1:11">
      <c r="A29" s="2">
        <f>"Order"</f>
        <v>0</v>
      </c>
      <c r="B29" s="2">
        <f>'01_orders_raw'!A29</f>
        <v>0</v>
      </c>
      <c r="C29" s="2">
        <f>IF(COUNTIF('01_orders_raw'!$A$2:$A$161,'01_orders_raw'!A29)&gt;1,"ERROR","OK")</f>
        <v>0</v>
      </c>
      <c r="D29" s="2">
        <f>IF(OR('01_orders_raw'!C29="",'01_orders_raw'!D29=""),"ERROR","OK")</f>
        <v>0</v>
      </c>
      <c r="E29" s="2">
        <f>IF(COUNTIF('02_clients_raw'!$A$2:$A$47,'01_orders_raw'!C29)=0,"ERROR","OK")</f>
        <v>0</v>
      </c>
      <c r="F29" s="2">
        <f>IF('01_orders_raw'!I29&lt;&gt;'01_orders_raw'!G29*'01_orders_raw'!H29,"ERROR","OK")</f>
        <v>0</v>
      </c>
      <c r="G29" s="2">
        <f>IF('01_orders_raw'!H29&lt;0,"ERROR","OK")</f>
        <v>0</v>
      </c>
      <c r="H29" s="2">
        <f>IF('01_orders_raw'!B29&gt;DATE(2026,6,25),"ERROR","OK")</f>
        <v>0</v>
      </c>
      <c r="I29" s="2">
        <f>IF(OR('01_orders_raw'!J29="Выполнен",'01_orders_raw'!J29="В работе",'01_orders_raw'!J29="Отменен",'01_orders_raw'!J29="Ожидает оплаты"),"OK","ERROR")</f>
        <v>0</v>
      </c>
      <c r="J29" s="2">
        <f>COUNTIF(C29:I29,"ERROR")</f>
        <v>0</v>
      </c>
      <c r="K29" s="2">
        <f>IF(J29&gt;0,"Проверить заказ","")</f>
        <v>0</v>
      </c>
    </row>
    <row r="30" spans="1:11">
      <c r="A30" s="2">
        <f>"Order"</f>
        <v>0</v>
      </c>
      <c r="B30" s="2">
        <f>'01_orders_raw'!A30</f>
        <v>0</v>
      </c>
      <c r="C30" s="2">
        <f>IF(COUNTIF('01_orders_raw'!$A$2:$A$161,'01_orders_raw'!A30)&gt;1,"ERROR","OK")</f>
        <v>0</v>
      </c>
      <c r="D30" s="2">
        <f>IF(OR('01_orders_raw'!C30="",'01_orders_raw'!D30=""),"ERROR","OK")</f>
        <v>0</v>
      </c>
      <c r="E30" s="2">
        <f>IF(COUNTIF('02_clients_raw'!$A$2:$A$47,'01_orders_raw'!C30)=0,"ERROR","OK")</f>
        <v>0</v>
      </c>
      <c r="F30" s="2">
        <f>IF('01_orders_raw'!I30&lt;&gt;'01_orders_raw'!G30*'01_orders_raw'!H30,"ERROR","OK")</f>
        <v>0</v>
      </c>
      <c r="G30" s="2">
        <f>IF('01_orders_raw'!H30&lt;0,"ERROR","OK")</f>
        <v>0</v>
      </c>
      <c r="H30" s="2">
        <f>IF('01_orders_raw'!B30&gt;DATE(2026,6,25),"ERROR","OK")</f>
        <v>0</v>
      </c>
      <c r="I30" s="2">
        <f>IF(OR('01_orders_raw'!J30="Выполнен",'01_orders_raw'!J30="В работе",'01_orders_raw'!J30="Отменен",'01_orders_raw'!J30="Ожидает оплаты"),"OK","ERROR")</f>
        <v>0</v>
      </c>
      <c r="J30" s="2">
        <f>COUNTIF(C30:I30,"ERROR")</f>
        <v>0</v>
      </c>
      <c r="K30" s="2">
        <f>IF(J30&gt;0,"Проверить заказ","")</f>
        <v>0</v>
      </c>
    </row>
    <row r="31" spans="1:11">
      <c r="A31" s="2">
        <f>"Order"</f>
        <v>0</v>
      </c>
      <c r="B31" s="2">
        <f>'01_orders_raw'!A31</f>
        <v>0</v>
      </c>
      <c r="C31" s="2">
        <f>IF(COUNTIF('01_orders_raw'!$A$2:$A$161,'01_orders_raw'!A31)&gt;1,"ERROR","OK")</f>
        <v>0</v>
      </c>
      <c r="D31" s="2">
        <f>IF(OR('01_orders_raw'!C31="",'01_orders_raw'!D31=""),"ERROR","OK")</f>
        <v>0</v>
      </c>
      <c r="E31" s="2">
        <f>IF(COUNTIF('02_clients_raw'!$A$2:$A$47,'01_orders_raw'!C31)=0,"ERROR","OK")</f>
        <v>0</v>
      </c>
      <c r="F31" s="2">
        <f>IF('01_orders_raw'!I31&lt;&gt;'01_orders_raw'!G31*'01_orders_raw'!H31,"ERROR","OK")</f>
        <v>0</v>
      </c>
      <c r="G31" s="2">
        <f>IF('01_orders_raw'!H31&lt;0,"ERROR","OK")</f>
        <v>0</v>
      </c>
      <c r="H31" s="2">
        <f>IF('01_orders_raw'!B31&gt;DATE(2026,6,25),"ERROR","OK")</f>
        <v>0</v>
      </c>
      <c r="I31" s="2">
        <f>IF(OR('01_orders_raw'!J31="Выполнен",'01_orders_raw'!J31="В работе",'01_orders_raw'!J31="Отменен",'01_orders_raw'!J31="Ожидает оплаты"),"OK","ERROR")</f>
        <v>0</v>
      </c>
      <c r="J31" s="2">
        <f>COUNTIF(C31:I31,"ERROR")</f>
        <v>0</v>
      </c>
      <c r="K31" s="2">
        <f>IF(J31&gt;0,"Проверить заказ","")</f>
        <v>0</v>
      </c>
    </row>
    <row r="32" spans="1:11">
      <c r="A32" s="2">
        <f>"Order"</f>
        <v>0</v>
      </c>
      <c r="B32" s="2">
        <f>'01_orders_raw'!A32</f>
        <v>0</v>
      </c>
      <c r="C32" s="2">
        <f>IF(COUNTIF('01_orders_raw'!$A$2:$A$161,'01_orders_raw'!A32)&gt;1,"ERROR","OK")</f>
        <v>0</v>
      </c>
      <c r="D32" s="2">
        <f>IF(OR('01_orders_raw'!C32="",'01_orders_raw'!D32=""),"ERROR","OK")</f>
        <v>0</v>
      </c>
      <c r="E32" s="2">
        <f>IF(COUNTIF('02_clients_raw'!$A$2:$A$47,'01_orders_raw'!C32)=0,"ERROR","OK")</f>
        <v>0</v>
      </c>
      <c r="F32" s="2">
        <f>IF('01_orders_raw'!I32&lt;&gt;'01_orders_raw'!G32*'01_orders_raw'!H32,"ERROR","OK")</f>
        <v>0</v>
      </c>
      <c r="G32" s="2">
        <f>IF('01_orders_raw'!H32&lt;0,"ERROR","OK")</f>
        <v>0</v>
      </c>
      <c r="H32" s="2">
        <f>IF('01_orders_raw'!B32&gt;DATE(2026,6,25),"ERROR","OK")</f>
        <v>0</v>
      </c>
      <c r="I32" s="2">
        <f>IF(OR('01_orders_raw'!J32="Выполнен",'01_orders_raw'!J32="В работе",'01_orders_raw'!J32="Отменен",'01_orders_raw'!J32="Ожидает оплаты"),"OK","ERROR")</f>
        <v>0</v>
      </c>
      <c r="J32" s="2">
        <f>COUNTIF(C32:I32,"ERROR")</f>
        <v>0</v>
      </c>
      <c r="K32" s="2">
        <f>IF(J32&gt;0,"Проверить заказ","")</f>
        <v>0</v>
      </c>
    </row>
    <row r="33" spans="1:11">
      <c r="A33" s="2">
        <f>"Order"</f>
        <v>0</v>
      </c>
      <c r="B33" s="2">
        <f>'01_orders_raw'!A33</f>
        <v>0</v>
      </c>
      <c r="C33" s="2">
        <f>IF(COUNTIF('01_orders_raw'!$A$2:$A$161,'01_orders_raw'!A33)&gt;1,"ERROR","OK")</f>
        <v>0</v>
      </c>
      <c r="D33" s="2">
        <f>IF(OR('01_orders_raw'!C33="",'01_orders_raw'!D33=""),"ERROR","OK")</f>
        <v>0</v>
      </c>
      <c r="E33" s="2">
        <f>IF(COUNTIF('02_clients_raw'!$A$2:$A$47,'01_orders_raw'!C33)=0,"ERROR","OK")</f>
        <v>0</v>
      </c>
      <c r="F33" s="2">
        <f>IF('01_orders_raw'!I33&lt;&gt;'01_orders_raw'!G33*'01_orders_raw'!H33,"ERROR","OK")</f>
        <v>0</v>
      </c>
      <c r="G33" s="2">
        <f>IF('01_orders_raw'!H33&lt;0,"ERROR","OK")</f>
        <v>0</v>
      </c>
      <c r="H33" s="2">
        <f>IF('01_orders_raw'!B33&gt;DATE(2026,6,25),"ERROR","OK")</f>
        <v>0</v>
      </c>
      <c r="I33" s="2">
        <f>IF(OR('01_orders_raw'!J33="Выполнен",'01_orders_raw'!J33="В работе",'01_orders_raw'!J33="Отменен",'01_orders_raw'!J33="Ожидает оплаты"),"OK","ERROR")</f>
        <v>0</v>
      </c>
      <c r="J33" s="2">
        <f>COUNTIF(C33:I33,"ERROR")</f>
        <v>0</v>
      </c>
      <c r="K33" s="2">
        <f>IF(J33&gt;0,"Проверить заказ","")</f>
        <v>0</v>
      </c>
    </row>
    <row r="34" spans="1:11">
      <c r="A34" s="2">
        <f>"Order"</f>
        <v>0</v>
      </c>
      <c r="B34" s="2">
        <f>'01_orders_raw'!A34</f>
        <v>0</v>
      </c>
      <c r="C34" s="2">
        <f>IF(COUNTIF('01_orders_raw'!$A$2:$A$161,'01_orders_raw'!A34)&gt;1,"ERROR","OK")</f>
        <v>0</v>
      </c>
      <c r="D34" s="2">
        <f>IF(OR('01_orders_raw'!C34="",'01_orders_raw'!D34=""),"ERROR","OK")</f>
        <v>0</v>
      </c>
      <c r="E34" s="2">
        <f>IF(COUNTIF('02_clients_raw'!$A$2:$A$47,'01_orders_raw'!C34)=0,"ERROR","OK")</f>
        <v>0</v>
      </c>
      <c r="F34" s="2">
        <f>IF('01_orders_raw'!I34&lt;&gt;'01_orders_raw'!G34*'01_orders_raw'!H34,"ERROR","OK")</f>
        <v>0</v>
      </c>
      <c r="G34" s="2">
        <f>IF('01_orders_raw'!H34&lt;0,"ERROR","OK")</f>
        <v>0</v>
      </c>
      <c r="H34" s="2">
        <f>IF('01_orders_raw'!B34&gt;DATE(2026,6,25),"ERROR","OK")</f>
        <v>0</v>
      </c>
      <c r="I34" s="2">
        <f>IF(OR('01_orders_raw'!J34="Выполнен",'01_orders_raw'!J34="В работе",'01_orders_raw'!J34="Отменен",'01_orders_raw'!J34="Ожидает оплаты"),"OK","ERROR")</f>
        <v>0</v>
      </c>
      <c r="J34" s="2">
        <f>COUNTIF(C34:I34,"ERROR")</f>
        <v>0</v>
      </c>
      <c r="K34" s="2">
        <f>IF(J34&gt;0,"Проверить заказ","")</f>
        <v>0</v>
      </c>
    </row>
    <row r="35" spans="1:11">
      <c r="A35" s="2">
        <f>"Order"</f>
        <v>0</v>
      </c>
      <c r="B35" s="2">
        <f>'01_orders_raw'!A35</f>
        <v>0</v>
      </c>
      <c r="C35" s="2">
        <f>IF(COUNTIF('01_orders_raw'!$A$2:$A$161,'01_orders_raw'!A35)&gt;1,"ERROR","OK")</f>
        <v>0</v>
      </c>
      <c r="D35" s="2">
        <f>IF(OR('01_orders_raw'!C35="",'01_orders_raw'!D35=""),"ERROR","OK")</f>
        <v>0</v>
      </c>
      <c r="E35" s="2">
        <f>IF(COUNTIF('02_clients_raw'!$A$2:$A$47,'01_orders_raw'!C35)=0,"ERROR","OK")</f>
        <v>0</v>
      </c>
      <c r="F35" s="2">
        <f>IF('01_orders_raw'!I35&lt;&gt;'01_orders_raw'!G35*'01_orders_raw'!H35,"ERROR","OK")</f>
        <v>0</v>
      </c>
      <c r="G35" s="2">
        <f>IF('01_orders_raw'!H35&lt;0,"ERROR","OK")</f>
        <v>0</v>
      </c>
      <c r="H35" s="2">
        <f>IF('01_orders_raw'!B35&gt;DATE(2026,6,25),"ERROR","OK")</f>
        <v>0</v>
      </c>
      <c r="I35" s="2">
        <f>IF(OR('01_orders_raw'!J35="Выполнен",'01_orders_raw'!J35="В работе",'01_orders_raw'!J35="Отменен",'01_orders_raw'!J35="Ожидает оплаты"),"OK","ERROR")</f>
        <v>0</v>
      </c>
      <c r="J35" s="2">
        <f>COUNTIF(C35:I35,"ERROR")</f>
        <v>0</v>
      </c>
      <c r="K35" s="2">
        <f>IF(J35&gt;0,"Проверить заказ","")</f>
        <v>0</v>
      </c>
    </row>
    <row r="36" spans="1:11">
      <c r="A36" s="2">
        <f>"Order"</f>
        <v>0</v>
      </c>
      <c r="B36" s="2">
        <f>'01_orders_raw'!A36</f>
        <v>0</v>
      </c>
      <c r="C36" s="2">
        <f>IF(COUNTIF('01_orders_raw'!$A$2:$A$161,'01_orders_raw'!A36)&gt;1,"ERROR","OK")</f>
        <v>0</v>
      </c>
      <c r="D36" s="2">
        <f>IF(OR('01_orders_raw'!C36="",'01_orders_raw'!D36=""),"ERROR","OK")</f>
        <v>0</v>
      </c>
      <c r="E36" s="2">
        <f>IF(COUNTIF('02_clients_raw'!$A$2:$A$47,'01_orders_raw'!C36)=0,"ERROR","OK")</f>
        <v>0</v>
      </c>
      <c r="F36" s="2">
        <f>IF('01_orders_raw'!I36&lt;&gt;'01_orders_raw'!G36*'01_orders_raw'!H36,"ERROR","OK")</f>
        <v>0</v>
      </c>
      <c r="G36" s="2">
        <f>IF('01_orders_raw'!H36&lt;0,"ERROR","OK")</f>
        <v>0</v>
      </c>
      <c r="H36" s="2">
        <f>IF('01_orders_raw'!B36&gt;DATE(2026,6,25),"ERROR","OK")</f>
        <v>0</v>
      </c>
      <c r="I36" s="2">
        <f>IF(OR('01_orders_raw'!J36="Выполнен",'01_orders_raw'!J36="В работе",'01_orders_raw'!J36="Отменен",'01_orders_raw'!J36="Ожидает оплаты"),"OK","ERROR")</f>
        <v>0</v>
      </c>
      <c r="J36" s="2">
        <f>COUNTIF(C36:I36,"ERROR")</f>
        <v>0</v>
      </c>
      <c r="K36" s="2">
        <f>IF(J36&gt;0,"Проверить заказ","")</f>
        <v>0</v>
      </c>
    </row>
    <row r="37" spans="1:11">
      <c r="A37" s="2">
        <f>"Order"</f>
        <v>0</v>
      </c>
      <c r="B37" s="2">
        <f>'01_orders_raw'!A37</f>
        <v>0</v>
      </c>
      <c r="C37" s="2">
        <f>IF(COUNTIF('01_orders_raw'!$A$2:$A$161,'01_orders_raw'!A37)&gt;1,"ERROR","OK")</f>
        <v>0</v>
      </c>
      <c r="D37" s="2">
        <f>IF(OR('01_orders_raw'!C37="",'01_orders_raw'!D37=""),"ERROR","OK")</f>
        <v>0</v>
      </c>
      <c r="E37" s="2">
        <f>IF(COUNTIF('02_clients_raw'!$A$2:$A$47,'01_orders_raw'!C37)=0,"ERROR","OK")</f>
        <v>0</v>
      </c>
      <c r="F37" s="2">
        <f>IF('01_orders_raw'!I37&lt;&gt;'01_orders_raw'!G37*'01_orders_raw'!H37,"ERROR","OK")</f>
        <v>0</v>
      </c>
      <c r="G37" s="2">
        <f>IF('01_orders_raw'!H37&lt;0,"ERROR","OK")</f>
        <v>0</v>
      </c>
      <c r="H37" s="2">
        <f>IF('01_orders_raw'!B37&gt;DATE(2026,6,25),"ERROR","OK")</f>
        <v>0</v>
      </c>
      <c r="I37" s="2">
        <f>IF(OR('01_orders_raw'!J37="Выполнен",'01_orders_raw'!J37="В работе",'01_orders_raw'!J37="Отменен",'01_orders_raw'!J37="Ожидает оплаты"),"OK","ERROR")</f>
        <v>0</v>
      </c>
      <c r="J37" s="2">
        <f>COUNTIF(C37:I37,"ERROR")</f>
        <v>0</v>
      </c>
      <c r="K37" s="2">
        <f>IF(J37&gt;0,"Проверить заказ","")</f>
        <v>0</v>
      </c>
    </row>
    <row r="38" spans="1:11">
      <c r="A38" s="2">
        <f>"Order"</f>
        <v>0</v>
      </c>
      <c r="B38" s="2">
        <f>'01_orders_raw'!A38</f>
        <v>0</v>
      </c>
      <c r="C38" s="2">
        <f>IF(COUNTIF('01_orders_raw'!$A$2:$A$161,'01_orders_raw'!A38)&gt;1,"ERROR","OK")</f>
        <v>0</v>
      </c>
      <c r="D38" s="2">
        <f>IF(OR('01_orders_raw'!C38="",'01_orders_raw'!D38=""),"ERROR","OK")</f>
        <v>0</v>
      </c>
      <c r="E38" s="2">
        <f>IF(COUNTIF('02_clients_raw'!$A$2:$A$47,'01_orders_raw'!C38)=0,"ERROR","OK")</f>
        <v>0</v>
      </c>
      <c r="F38" s="2">
        <f>IF('01_orders_raw'!I38&lt;&gt;'01_orders_raw'!G38*'01_orders_raw'!H38,"ERROR","OK")</f>
        <v>0</v>
      </c>
      <c r="G38" s="2">
        <f>IF('01_orders_raw'!H38&lt;0,"ERROR","OK")</f>
        <v>0</v>
      </c>
      <c r="H38" s="2">
        <f>IF('01_orders_raw'!B38&gt;DATE(2026,6,25),"ERROR","OK")</f>
        <v>0</v>
      </c>
      <c r="I38" s="2">
        <f>IF(OR('01_orders_raw'!J38="Выполнен",'01_orders_raw'!J38="В работе",'01_orders_raw'!J38="Отменен",'01_orders_raw'!J38="Ожидает оплаты"),"OK","ERROR")</f>
        <v>0</v>
      </c>
      <c r="J38" s="2">
        <f>COUNTIF(C38:I38,"ERROR")</f>
        <v>0</v>
      </c>
      <c r="K38" s="2">
        <f>IF(J38&gt;0,"Проверить заказ","")</f>
        <v>0</v>
      </c>
    </row>
    <row r="39" spans="1:11">
      <c r="A39" s="2">
        <f>"Order"</f>
        <v>0</v>
      </c>
      <c r="B39" s="2">
        <f>'01_orders_raw'!A39</f>
        <v>0</v>
      </c>
      <c r="C39" s="2">
        <f>IF(COUNTIF('01_orders_raw'!$A$2:$A$161,'01_orders_raw'!A39)&gt;1,"ERROR","OK")</f>
        <v>0</v>
      </c>
      <c r="D39" s="2">
        <f>IF(OR('01_orders_raw'!C39="",'01_orders_raw'!D39=""),"ERROR","OK")</f>
        <v>0</v>
      </c>
      <c r="E39" s="2">
        <f>IF(COUNTIF('02_clients_raw'!$A$2:$A$47,'01_orders_raw'!C39)=0,"ERROR","OK")</f>
        <v>0</v>
      </c>
      <c r="F39" s="2">
        <f>IF('01_orders_raw'!I39&lt;&gt;'01_orders_raw'!G39*'01_orders_raw'!H39,"ERROR","OK")</f>
        <v>0</v>
      </c>
      <c r="G39" s="2">
        <f>IF('01_orders_raw'!H39&lt;0,"ERROR","OK")</f>
        <v>0</v>
      </c>
      <c r="H39" s="2">
        <f>IF('01_orders_raw'!B39&gt;DATE(2026,6,25),"ERROR","OK")</f>
        <v>0</v>
      </c>
      <c r="I39" s="2">
        <f>IF(OR('01_orders_raw'!J39="Выполнен",'01_orders_raw'!J39="В работе",'01_orders_raw'!J39="Отменен",'01_orders_raw'!J39="Ожидает оплаты"),"OK","ERROR")</f>
        <v>0</v>
      </c>
      <c r="J39" s="2">
        <f>COUNTIF(C39:I39,"ERROR")</f>
        <v>0</v>
      </c>
      <c r="K39" s="2">
        <f>IF(J39&gt;0,"Проверить заказ","")</f>
        <v>0</v>
      </c>
    </row>
    <row r="40" spans="1:11">
      <c r="A40" s="2">
        <f>"Order"</f>
        <v>0</v>
      </c>
      <c r="B40" s="2">
        <f>'01_orders_raw'!A40</f>
        <v>0</v>
      </c>
      <c r="C40" s="2">
        <f>IF(COUNTIF('01_orders_raw'!$A$2:$A$161,'01_orders_raw'!A40)&gt;1,"ERROR","OK")</f>
        <v>0</v>
      </c>
      <c r="D40" s="2">
        <f>IF(OR('01_orders_raw'!C40="",'01_orders_raw'!D40=""),"ERROR","OK")</f>
        <v>0</v>
      </c>
      <c r="E40" s="2">
        <f>IF(COUNTIF('02_clients_raw'!$A$2:$A$47,'01_orders_raw'!C40)=0,"ERROR","OK")</f>
        <v>0</v>
      </c>
      <c r="F40" s="2">
        <f>IF('01_orders_raw'!I40&lt;&gt;'01_orders_raw'!G40*'01_orders_raw'!H40,"ERROR","OK")</f>
        <v>0</v>
      </c>
      <c r="G40" s="2">
        <f>IF('01_orders_raw'!H40&lt;0,"ERROR","OK")</f>
        <v>0</v>
      </c>
      <c r="H40" s="2">
        <f>IF('01_orders_raw'!B40&gt;DATE(2026,6,25),"ERROR","OK")</f>
        <v>0</v>
      </c>
      <c r="I40" s="2">
        <f>IF(OR('01_orders_raw'!J40="Выполнен",'01_orders_raw'!J40="В работе",'01_orders_raw'!J40="Отменен",'01_orders_raw'!J40="Ожидает оплаты"),"OK","ERROR")</f>
        <v>0</v>
      </c>
      <c r="J40" s="2">
        <f>COUNTIF(C40:I40,"ERROR")</f>
        <v>0</v>
      </c>
      <c r="K40" s="2">
        <f>IF(J40&gt;0,"Проверить заказ","")</f>
        <v>0</v>
      </c>
    </row>
    <row r="41" spans="1:11">
      <c r="A41" s="2">
        <f>"Order"</f>
        <v>0</v>
      </c>
      <c r="B41" s="2">
        <f>'01_orders_raw'!A41</f>
        <v>0</v>
      </c>
      <c r="C41" s="2">
        <f>IF(COUNTIF('01_orders_raw'!$A$2:$A$161,'01_orders_raw'!A41)&gt;1,"ERROR","OK")</f>
        <v>0</v>
      </c>
      <c r="D41" s="2">
        <f>IF(OR('01_orders_raw'!C41="",'01_orders_raw'!D41=""),"ERROR","OK")</f>
        <v>0</v>
      </c>
      <c r="E41" s="2">
        <f>IF(COUNTIF('02_clients_raw'!$A$2:$A$47,'01_orders_raw'!C41)=0,"ERROR","OK")</f>
        <v>0</v>
      </c>
      <c r="F41" s="2">
        <f>IF('01_orders_raw'!I41&lt;&gt;'01_orders_raw'!G41*'01_orders_raw'!H41,"ERROR","OK")</f>
        <v>0</v>
      </c>
      <c r="G41" s="2">
        <f>IF('01_orders_raw'!H41&lt;0,"ERROR","OK")</f>
        <v>0</v>
      </c>
      <c r="H41" s="2">
        <f>IF('01_orders_raw'!B41&gt;DATE(2026,6,25),"ERROR","OK")</f>
        <v>0</v>
      </c>
      <c r="I41" s="2">
        <f>IF(OR('01_orders_raw'!J41="Выполнен",'01_orders_raw'!J41="В работе",'01_orders_raw'!J41="Отменен",'01_orders_raw'!J41="Ожидает оплаты"),"OK","ERROR")</f>
        <v>0</v>
      </c>
      <c r="J41" s="2">
        <f>COUNTIF(C41:I41,"ERROR")</f>
        <v>0</v>
      </c>
      <c r="K41" s="2">
        <f>IF(J41&gt;0,"Проверить заказ","")</f>
        <v>0</v>
      </c>
    </row>
    <row r="42" spans="1:11">
      <c r="A42" s="2">
        <f>"Order"</f>
        <v>0</v>
      </c>
      <c r="B42" s="2">
        <f>'01_orders_raw'!A42</f>
        <v>0</v>
      </c>
      <c r="C42" s="2">
        <f>IF(COUNTIF('01_orders_raw'!$A$2:$A$161,'01_orders_raw'!A42)&gt;1,"ERROR","OK")</f>
        <v>0</v>
      </c>
      <c r="D42" s="2">
        <f>IF(OR('01_orders_raw'!C42="",'01_orders_raw'!D42=""),"ERROR","OK")</f>
        <v>0</v>
      </c>
      <c r="E42" s="2">
        <f>IF(COUNTIF('02_clients_raw'!$A$2:$A$47,'01_orders_raw'!C42)=0,"ERROR","OK")</f>
        <v>0</v>
      </c>
      <c r="F42" s="2">
        <f>IF('01_orders_raw'!I42&lt;&gt;'01_orders_raw'!G42*'01_orders_raw'!H42,"ERROR","OK")</f>
        <v>0</v>
      </c>
      <c r="G42" s="2">
        <f>IF('01_orders_raw'!H42&lt;0,"ERROR","OK")</f>
        <v>0</v>
      </c>
      <c r="H42" s="2">
        <f>IF('01_orders_raw'!B42&gt;DATE(2026,6,25),"ERROR","OK")</f>
        <v>0</v>
      </c>
      <c r="I42" s="2">
        <f>IF(OR('01_orders_raw'!J42="Выполнен",'01_orders_raw'!J42="В работе",'01_orders_raw'!J42="Отменен",'01_orders_raw'!J42="Ожидает оплаты"),"OK","ERROR")</f>
        <v>0</v>
      </c>
      <c r="J42" s="2">
        <f>COUNTIF(C42:I42,"ERROR")</f>
        <v>0</v>
      </c>
      <c r="K42" s="2">
        <f>IF(J42&gt;0,"Проверить заказ","")</f>
        <v>0</v>
      </c>
    </row>
    <row r="43" spans="1:11">
      <c r="A43" s="2">
        <f>"Order"</f>
        <v>0</v>
      </c>
      <c r="B43" s="2">
        <f>'01_orders_raw'!A43</f>
        <v>0</v>
      </c>
      <c r="C43" s="2">
        <f>IF(COUNTIF('01_orders_raw'!$A$2:$A$161,'01_orders_raw'!A43)&gt;1,"ERROR","OK")</f>
        <v>0</v>
      </c>
      <c r="D43" s="2">
        <f>IF(OR('01_orders_raw'!C43="",'01_orders_raw'!D43=""),"ERROR","OK")</f>
        <v>0</v>
      </c>
      <c r="E43" s="2">
        <f>IF(COUNTIF('02_clients_raw'!$A$2:$A$47,'01_orders_raw'!C43)=0,"ERROR","OK")</f>
        <v>0</v>
      </c>
      <c r="F43" s="2">
        <f>IF('01_orders_raw'!I43&lt;&gt;'01_orders_raw'!G43*'01_orders_raw'!H43,"ERROR","OK")</f>
        <v>0</v>
      </c>
      <c r="G43" s="2">
        <f>IF('01_orders_raw'!H43&lt;0,"ERROR","OK")</f>
        <v>0</v>
      </c>
      <c r="H43" s="2">
        <f>IF('01_orders_raw'!B43&gt;DATE(2026,6,25),"ERROR","OK")</f>
        <v>0</v>
      </c>
      <c r="I43" s="2">
        <f>IF(OR('01_orders_raw'!J43="Выполнен",'01_orders_raw'!J43="В работе",'01_orders_raw'!J43="Отменен",'01_orders_raw'!J43="Ожидает оплаты"),"OK","ERROR")</f>
        <v>0</v>
      </c>
      <c r="J43" s="2">
        <f>COUNTIF(C43:I43,"ERROR")</f>
        <v>0</v>
      </c>
      <c r="K43" s="2">
        <f>IF(J43&gt;0,"Проверить заказ","")</f>
        <v>0</v>
      </c>
    </row>
    <row r="44" spans="1:11">
      <c r="A44" s="2">
        <f>"Order"</f>
        <v>0</v>
      </c>
      <c r="B44" s="2">
        <f>'01_orders_raw'!A44</f>
        <v>0</v>
      </c>
      <c r="C44" s="2">
        <f>IF(COUNTIF('01_orders_raw'!$A$2:$A$161,'01_orders_raw'!A44)&gt;1,"ERROR","OK")</f>
        <v>0</v>
      </c>
      <c r="D44" s="2">
        <f>IF(OR('01_orders_raw'!C44="",'01_orders_raw'!D44=""),"ERROR","OK")</f>
        <v>0</v>
      </c>
      <c r="E44" s="2">
        <f>IF(COUNTIF('02_clients_raw'!$A$2:$A$47,'01_orders_raw'!C44)=0,"ERROR","OK")</f>
        <v>0</v>
      </c>
      <c r="F44" s="2">
        <f>IF('01_orders_raw'!I44&lt;&gt;'01_orders_raw'!G44*'01_orders_raw'!H44,"ERROR","OK")</f>
        <v>0</v>
      </c>
      <c r="G44" s="2">
        <f>IF('01_orders_raw'!H44&lt;0,"ERROR","OK")</f>
        <v>0</v>
      </c>
      <c r="H44" s="2">
        <f>IF('01_orders_raw'!B44&gt;DATE(2026,6,25),"ERROR","OK")</f>
        <v>0</v>
      </c>
      <c r="I44" s="2">
        <f>IF(OR('01_orders_raw'!J44="Выполнен",'01_orders_raw'!J44="В работе",'01_orders_raw'!J44="Отменен",'01_orders_raw'!J44="Ожидает оплаты"),"OK","ERROR")</f>
        <v>0</v>
      </c>
      <c r="J44" s="2">
        <f>COUNTIF(C44:I44,"ERROR")</f>
        <v>0</v>
      </c>
      <c r="K44" s="2">
        <f>IF(J44&gt;0,"Проверить заказ","")</f>
        <v>0</v>
      </c>
    </row>
    <row r="45" spans="1:11">
      <c r="A45" s="2">
        <f>"Order"</f>
        <v>0</v>
      </c>
      <c r="B45" s="2">
        <f>'01_orders_raw'!A45</f>
        <v>0</v>
      </c>
      <c r="C45" s="2">
        <f>IF(COUNTIF('01_orders_raw'!$A$2:$A$161,'01_orders_raw'!A45)&gt;1,"ERROR","OK")</f>
        <v>0</v>
      </c>
      <c r="D45" s="2">
        <f>IF(OR('01_orders_raw'!C45="",'01_orders_raw'!D45=""),"ERROR","OK")</f>
        <v>0</v>
      </c>
      <c r="E45" s="2">
        <f>IF(COUNTIF('02_clients_raw'!$A$2:$A$47,'01_orders_raw'!C45)=0,"ERROR","OK")</f>
        <v>0</v>
      </c>
      <c r="F45" s="2">
        <f>IF('01_orders_raw'!I45&lt;&gt;'01_orders_raw'!G45*'01_orders_raw'!H45,"ERROR","OK")</f>
        <v>0</v>
      </c>
      <c r="G45" s="2">
        <f>IF('01_orders_raw'!H45&lt;0,"ERROR","OK")</f>
        <v>0</v>
      </c>
      <c r="H45" s="2">
        <f>IF('01_orders_raw'!B45&gt;DATE(2026,6,25),"ERROR","OK")</f>
        <v>0</v>
      </c>
      <c r="I45" s="2">
        <f>IF(OR('01_orders_raw'!J45="Выполнен",'01_orders_raw'!J45="В работе",'01_orders_raw'!J45="Отменен",'01_orders_raw'!J45="Ожидает оплаты"),"OK","ERROR")</f>
        <v>0</v>
      </c>
      <c r="J45" s="2">
        <f>COUNTIF(C45:I45,"ERROR")</f>
        <v>0</v>
      </c>
      <c r="K45" s="2">
        <f>IF(J45&gt;0,"Проверить заказ","")</f>
        <v>0</v>
      </c>
    </row>
    <row r="46" spans="1:11">
      <c r="A46" s="2">
        <f>"Order"</f>
        <v>0</v>
      </c>
      <c r="B46" s="2">
        <f>'01_orders_raw'!A46</f>
        <v>0</v>
      </c>
      <c r="C46" s="2">
        <f>IF(COUNTIF('01_orders_raw'!$A$2:$A$161,'01_orders_raw'!A46)&gt;1,"ERROR","OK")</f>
        <v>0</v>
      </c>
      <c r="D46" s="2">
        <f>IF(OR('01_orders_raw'!C46="",'01_orders_raw'!D46=""),"ERROR","OK")</f>
        <v>0</v>
      </c>
      <c r="E46" s="2">
        <f>IF(COUNTIF('02_clients_raw'!$A$2:$A$47,'01_orders_raw'!C46)=0,"ERROR","OK")</f>
        <v>0</v>
      </c>
      <c r="F46" s="2">
        <f>IF('01_orders_raw'!I46&lt;&gt;'01_orders_raw'!G46*'01_orders_raw'!H46,"ERROR","OK")</f>
        <v>0</v>
      </c>
      <c r="G46" s="2">
        <f>IF('01_orders_raw'!H46&lt;0,"ERROR","OK")</f>
        <v>0</v>
      </c>
      <c r="H46" s="2">
        <f>IF('01_orders_raw'!B46&gt;DATE(2026,6,25),"ERROR","OK")</f>
        <v>0</v>
      </c>
      <c r="I46" s="2">
        <f>IF(OR('01_orders_raw'!J46="Выполнен",'01_orders_raw'!J46="В работе",'01_orders_raw'!J46="Отменен",'01_orders_raw'!J46="Ожидает оплаты"),"OK","ERROR")</f>
        <v>0</v>
      </c>
      <c r="J46" s="2">
        <f>COUNTIF(C46:I46,"ERROR")</f>
        <v>0</v>
      </c>
      <c r="K46" s="2">
        <f>IF(J46&gt;0,"Проверить заказ","")</f>
        <v>0</v>
      </c>
    </row>
    <row r="47" spans="1:11">
      <c r="A47" s="2">
        <f>"Order"</f>
        <v>0</v>
      </c>
      <c r="B47" s="2">
        <f>'01_orders_raw'!A47</f>
        <v>0</v>
      </c>
      <c r="C47" s="2">
        <f>IF(COUNTIF('01_orders_raw'!$A$2:$A$161,'01_orders_raw'!A47)&gt;1,"ERROR","OK")</f>
        <v>0</v>
      </c>
      <c r="D47" s="2">
        <f>IF(OR('01_orders_raw'!C47="",'01_orders_raw'!D47=""),"ERROR","OK")</f>
        <v>0</v>
      </c>
      <c r="E47" s="2">
        <f>IF(COUNTIF('02_clients_raw'!$A$2:$A$47,'01_orders_raw'!C47)=0,"ERROR","OK")</f>
        <v>0</v>
      </c>
      <c r="F47" s="2">
        <f>IF('01_orders_raw'!I47&lt;&gt;'01_orders_raw'!G47*'01_orders_raw'!H47,"ERROR","OK")</f>
        <v>0</v>
      </c>
      <c r="G47" s="2">
        <f>IF('01_orders_raw'!H47&lt;0,"ERROR","OK")</f>
        <v>0</v>
      </c>
      <c r="H47" s="2">
        <f>IF('01_orders_raw'!B47&gt;DATE(2026,6,25),"ERROR","OK")</f>
        <v>0</v>
      </c>
      <c r="I47" s="2">
        <f>IF(OR('01_orders_raw'!J47="Выполнен",'01_orders_raw'!J47="В работе",'01_orders_raw'!J47="Отменен",'01_orders_raw'!J47="Ожидает оплаты"),"OK","ERROR")</f>
        <v>0</v>
      </c>
      <c r="J47" s="2">
        <f>COUNTIF(C47:I47,"ERROR")</f>
        <v>0</v>
      </c>
      <c r="K47" s="2">
        <f>IF(J47&gt;0,"Проверить заказ","")</f>
        <v>0</v>
      </c>
    </row>
    <row r="48" spans="1:11">
      <c r="A48" s="2">
        <f>"Order"</f>
        <v>0</v>
      </c>
      <c r="B48" s="2">
        <f>'01_orders_raw'!A48</f>
        <v>0</v>
      </c>
      <c r="C48" s="2">
        <f>IF(COUNTIF('01_orders_raw'!$A$2:$A$161,'01_orders_raw'!A48)&gt;1,"ERROR","OK")</f>
        <v>0</v>
      </c>
      <c r="D48" s="2">
        <f>IF(OR('01_orders_raw'!C48="",'01_orders_raw'!D48=""),"ERROR","OK")</f>
        <v>0</v>
      </c>
      <c r="E48" s="2">
        <f>IF(COUNTIF('02_clients_raw'!$A$2:$A$47,'01_orders_raw'!C48)=0,"ERROR","OK")</f>
        <v>0</v>
      </c>
      <c r="F48" s="2">
        <f>IF('01_orders_raw'!I48&lt;&gt;'01_orders_raw'!G48*'01_orders_raw'!H48,"ERROR","OK")</f>
        <v>0</v>
      </c>
      <c r="G48" s="2">
        <f>IF('01_orders_raw'!H48&lt;0,"ERROR","OK")</f>
        <v>0</v>
      </c>
      <c r="H48" s="2">
        <f>IF('01_orders_raw'!B48&gt;DATE(2026,6,25),"ERROR","OK")</f>
        <v>0</v>
      </c>
      <c r="I48" s="2">
        <f>IF(OR('01_orders_raw'!J48="Выполнен",'01_orders_raw'!J48="В работе",'01_orders_raw'!J48="Отменен",'01_orders_raw'!J48="Ожидает оплаты"),"OK","ERROR")</f>
        <v>0</v>
      </c>
      <c r="J48" s="2">
        <f>COUNTIF(C48:I48,"ERROR")</f>
        <v>0</v>
      </c>
      <c r="K48" s="2">
        <f>IF(J48&gt;0,"Проверить заказ","")</f>
        <v>0</v>
      </c>
    </row>
    <row r="49" spans="1:11">
      <c r="A49" s="2">
        <f>"Order"</f>
        <v>0</v>
      </c>
      <c r="B49" s="2">
        <f>'01_orders_raw'!A49</f>
        <v>0</v>
      </c>
      <c r="C49" s="2">
        <f>IF(COUNTIF('01_orders_raw'!$A$2:$A$161,'01_orders_raw'!A49)&gt;1,"ERROR","OK")</f>
        <v>0</v>
      </c>
      <c r="D49" s="2">
        <f>IF(OR('01_orders_raw'!C49="",'01_orders_raw'!D49=""),"ERROR","OK")</f>
        <v>0</v>
      </c>
      <c r="E49" s="2">
        <f>IF(COUNTIF('02_clients_raw'!$A$2:$A$47,'01_orders_raw'!C49)=0,"ERROR","OK")</f>
        <v>0</v>
      </c>
      <c r="F49" s="2">
        <f>IF('01_orders_raw'!I49&lt;&gt;'01_orders_raw'!G49*'01_orders_raw'!H49,"ERROR","OK")</f>
        <v>0</v>
      </c>
      <c r="G49" s="2">
        <f>IF('01_orders_raw'!H49&lt;0,"ERROR","OK")</f>
        <v>0</v>
      </c>
      <c r="H49" s="2">
        <f>IF('01_orders_raw'!B49&gt;DATE(2026,6,25),"ERROR","OK")</f>
        <v>0</v>
      </c>
      <c r="I49" s="2">
        <f>IF(OR('01_orders_raw'!J49="Выполнен",'01_orders_raw'!J49="В работе",'01_orders_raw'!J49="Отменен",'01_orders_raw'!J49="Ожидает оплаты"),"OK","ERROR")</f>
        <v>0</v>
      </c>
      <c r="J49" s="2">
        <f>COUNTIF(C49:I49,"ERROR")</f>
        <v>0</v>
      </c>
      <c r="K49" s="2">
        <f>IF(J49&gt;0,"Проверить заказ","")</f>
        <v>0</v>
      </c>
    </row>
    <row r="50" spans="1:11">
      <c r="A50" s="2">
        <f>"Order"</f>
        <v>0</v>
      </c>
      <c r="B50" s="2">
        <f>'01_orders_raw'!A50</f>
        <v>0</v>
      </c>
      <c r="C50" s="2">
        <f>IF(COUNTIF('01_orders_raw'!$A$2:$A$161,'01_orders_raw'!A50)&gt;1,"ERROR","OK")</f>
        <v>0</v>
      </c>
      <c r="D50" s="2">
        <f>IF(OR('01_orders_raw'!C50="",'01_orders_raw'!D50=""),"ERROR","OK")</f>
        <v>0</v>
      </c>
      <c r="E50" s="2">
        <f>IF(COUNTIF('02_clients_raw'!$A$2:$A$47,'01_orders_raw'!C50)=0,"ERROR","OK")</f>
        <v>0</v>
      </c>
      <c r="F50" s="2">
        <f>IF('01_orders_raw'!I50&lt;&gt;'01_orders_raw'!G50*'01_orders_raw'!H50,"ERROR","OK")</f>
        <v>0</v>
      </c>
      <c r="G50" s="2">
        <f>IF('01_orders_raw'!H50&lt;0,"ERROR","OK")</f>
        <v>0</v>
      </c>
      <c r="H50" s="2">
        <f>IF('01_orders_raw'!B50&gt;DATE(2026,6,25),"ERROR","OK")</f>
        <v>0</v>
      </c>
      <c r="I50" s="2">
        <f>IF(OR('01_orders_raw'!J50="Выполнен",'01_orders_raw'!J50="В работе",'01_orders_raw'!J50="Отменен",'01_orders_raw'!J50="Ожидает оплаты"),"OK","ERROR")</f>
        <v>0</v>
      </c>
      <c r="J50" s="2">
        <f>COUNTIF(C50:I50,"ERROR")</f>
        <v>0</v>
      </c>
      <c r="K50" s="2">
        <f>IF(J50&gt;0,"Проверить заказ","")</f>
        <v>0</v>
      </c>
    </row>
    <row r="51" spans="1:11">
      <c r="A51" s="2">
        <f>"Order"</f>
        <v>0</v>
      </c>
      <c r="B51" s="2">
        <f>'01_orders_raw'!A51</f>
        <v>0</v>
      </c>
      <c r="C51" s="2">
        <f>IF(COUNTIF('01_orders_raw'!$A$2:$A$161,'01_orders_raw'!A51)&gt;1,"ERROR","OK")</f>
        <v>0</v>
      </c>
      <c r="D51" s="2">
        <f>IF(OR('01_orders_raw'!C51="",'01_orders_raw'!D51=""),"ERROR","OK")</f>
        <v>0</v>
      </c>
      <c r="E51" s="2">
        <f>IF(COUNTIF('02_clients_raw'!$A$2:$A$47,'01_orders_raw'!C51)=0,"ERROR","OK")</f>
        <v>0</v>
      </c>
      <c r="F51" s="2">
        <f>IF('01_orders_raw'!I51&lt;&gt;'01_orders_raw'!G51*'01_orders_raw'!H51,"ERROR","OK")</f>
        <v>0</v>
      </c>
      <c r="G51" s="2">
        <f>IF('01_orders_raw'!H51&lt;0,"ERROR","OK")</f>
        <v>0</v>
      </c>
      <c r="H51" s="2">
        <f>IF('01_orders_raw'!B51&gt;DATE(2026,6,25),"ERROR","OK")</f>
        <v>0</v>
      </c>
      <c r="I51" s="2">
        <f>IF(OR('01_orders_raw'!J51="Выполнен",'01_orders_raw'!J51="В работе",'01_orders_raw'!J51="Отменен",'01_orders_raw'!J51="Ожидает оплаты"),"OK","ERROR")</f>
        <v>0</v>
      </c>
      <c r="J51" s="2">
        <f>COUNTIF(C51:I51,"ERROR")</f>
        <v>0</v>
      </c>
      <c r="K51" s="2">
        <f>IF(J51&gt;0,"Проверить заказ","")</f>
        <v>0</v>
      </c>
    </row>
    <row r="52" spans="1:11">
      <c r="A52" s="2">
        <f>"Order"</f>
        <v>0</v>
      </c>
      <c r="B52" s="2">
        <f>'01_orders_raw'!A52</f>
        <v>0</v>
      </c>
      <c r="C52" s="2">
        <f>IF(COUNTIF('01_orders_raw'!$A$2:$A$161,'01_orders_raw'!A52)&gt;1,"ERROR","OK")</f>
        <v>0</v>
      </c>
      <c r="D52" s="2">
        <f>IF(OR('01_orders_raw'!C52="",'01_orders_raw'!D52=""),"ERROR","OK")</f>
        <v>0</v>
      </c>
      <c r="E52" s="2">
        <f>IF(COUNTIF('02_clients_raw'!$A$2:$A$47,'01_orders_raw'!C52)=0,"ERROR","OK")</f>
        <v>0</v>
      </c>
      <c r="F52" s="2">
        <f>IF('01_orders_raw'!I52&lt;&gt;'01_orders_raw'!G52*'01_orders_raw'!H52,"ERROR","OK")</f>
        <v>0</v>
      </c>
      <c r="G52" s="2">
        <f>IF('01_orders_raw'!H52&lt;0,"ERROR","OK")</f>
        <v>0</v>
      </c>
      <c r="H52" s="2">
        <f>IF('01_orders_raw'!B52&gt;DATE(2026,6,25),"ERROR","OK")</f>
        <v>0</v>
      </c>
      <c r="I52" s="2">
        <f>IF(OR('01_orders_raw'!J52="Выполнен",'01_orders_raw'!J52="В работе",'01_orders_raw'!J52="Отменен",'01_orders_raw'!J52="Ожидает оплаты"),"OK","ERROR")</f>
        <v>0</v>
      </c>
      <c r="J52" s="2">
        <f>COUNTIF(C52:I52,"ERROR")</f>
        <v>0</v>
      </c>
      <c r="K52" s="2">
        <f>IF(J52&gt;0,"Проверить заказ","")</f>
        <v>0</v>
      </c>
    </row>
    <row r="53" spans="1:11">
      <c r="A53" s="2">
        <f>"Order"</f>
        <v>0</v>
      </c>
      <c r="B53" s="2">
        <f>'01_orders_raw'!A53</f>
        <v>0</v>
      </c>
      <c r="C53" s="2">
        <f>IF(COUNTIF('01_orders_raw'!$A$2:$A$161,'01_orders_raw'!A53)&gt;1,"ERROR","OK")</f>
        <v>0</v>
      </c>
      <c r="D53" s="2">
        <f>IF(OR('01_orders_raw'!C53="",'01_orders_raw'!D53=""),"ERROR","OK")</f>
        <v>0</v>
      </c>
      <c r="E53" s="2">
        <f>IF(COUNTIF('02_clients_raw'!$A$2:$A$47,'01_orders_raw'!C53)=0,"ERROR","OK")</f>
        <v>0</v>
      </c>
      <c r="F53" s="2">
        <f>IF('01_orders_raw'!I53&lt;&gt;'01_orders_raw'!G53*'01_orders_raw'!H53,"ERROR","OK")</f>
        <v>0</v>
      </c>
      <c r="G53" s="2">
        <f>IF('01_orders_raw'!H53&lt;0,"ERROR","OK")</f>
        <v>0</v>
      </c>
      <c r="H53" s="2">
        <f>IF('01_orders_raw'!B53&gt;DATE(2026,6,25),"ERROR","OK")</f>
        <v>0</v>
      </c>
      <c r="I53" s="2">
        <f>IF(OR('01_orders_raw'!J53="Выполнен",'01_orders_raw'!J53="В работе",'01_orders_raw'!J53="Отменен",'01_orders_raw'!J53="Ожидает оплаты"),"OK","ERROR")</f>
        <v>0</v>
      </c>
      <c r="J53" s="2">
        <f>COUNTIF(C53:I53,"ERROR")</f>
        <v>0</v>
      </c>
      <c r="K53" s="2">
        <f>IF(J53&gt;0,"Проверить заказ","")</f>
        <v>0</v>
      </c>
    </row>
    <row r="54" spans="1:11">
      <c r="A54" s="2">
        <f>"Order"</f>
        <v>0</v>
      </c>
      <c r="B54" s="2">
        <f>'01_orders_raw'!A54</f>
        <v>0</v>
      </c>
      <c r="C54" s="2">
        <f>IF(COUNTIF('01_orders_raw'!$A$2:$A$161,'01_orders_raw'!A54)&gt;1,"ERROR","OK")</f>
        <v>0</v>
      </c>
      <c r="D54" s="2">
        <f>IF(OR('01_orders_raw'!C54="",'01_orders_raw'!D54=""),"ERROR","OK")</f>
        <v>0</v>
      </c>
      <c r="E54" s="2">
        <f>IF(COUNTIF('02_clients_raw'!$A$2:$A$47,'01_orders_raw'!C54)=0,"ERROR","OK")</f>
        <v>0</v>
      </c>
      <c r="F54" s="2">
        <f>IF('01_orders_raw'!I54&lt;&gt;'01_orders_raw'!G54*'01_orders_raw'!H54,"ERROR","OK")</f>
        <v>0</v>
      </c>
      <c r="G54" s="2">
        <f>IF('01_orders_raw'!H54&lt;0,"ERROR","OK")</f>
        <v>0</v>
      </c>
      <c r="H54" s="2">
        <f>IF('01_orders_raw'!B54&gt;DATE(2026,6,25),"ERROR","OK")</f>
        <v>0</v>
      </c>
      <c r="I54" s="2">
        <f>IF(OR('01_orders_raw'!J54="Выполнен",'01_orders_raw'!J54="В работе",'01_orders_raw'!J54="Отменен",'01_orders_raw'!J54="Ожидает оплаты"),"OK","ERROR")</f>
        <v>0</v>
      </c>
      <c r="J54" s="2">
        <f>COUNTIF(C54:I54,"ERROR")</f>
        <v>0</v>
      </c>
      <c r="K54" s="2">
        <f>IF(J54&gt;0,"Проверить заказ","")</f>
        <v>0</v>
      </c>
    </row>
    <row r="55" spans="1:11">
      <c r="A55" s="2">
        <f>"Order"</f>
        <v>0</v>
      </c>
      <c r="B55" s="2">
        <f>'01_orders_raw'!A55</f>
        <v>0</v>
      </c>
      <c r="C55" s="2">
        <f>IF(COUNTIF('01_orders_raw'!$A$2:$A$161,'01_orders_raw'!A55)&gt;1,"ERROR","OK")</f>
        <v>0</v>
      </c>
      <c r="D55" s="2">
        <f>IF(OR('01_orders_raw'!C55="",'01_orders_raw'!D55=""),"ERROR","OK")</f>
        <v>0</v>
      </c>
      <c r="E55" s="2">
        <f>IF(COUNTIF('02_clients_raw'!$A$2:$A$47,'01_orders_raw'!C55)=0,"ERROR","OK")</f>
        <v>0</v>
      </c>
      <c r="F55" s="2">
        <f>IF('01_orders_raw'!I55&lt;&gt;'01_orders_raw'!G55*'01_orders_raw'!H55,"ERROR","OK")</f>
        <v>0</v>
      </c>
      <c r="G55" s="2">
        <f>IF('01_orders_raw'!H55&lt;0,"ERROR","OK")</f>
        <v>0</v>
      </c>
      <c r="H55" s="2">
        <f>IF('01_orders_raw'!B55&gt;DATE(2026,6,25),"ERROR","OK")</f>
        <v>0</v>
      </c>
      <c r="I55" s="2">
        <f>IF(OR('01_orders_raw'!J55="Выполнен",'01_orders_raw'!J55="В работе",'01_orders_raw'!J55="Отменен",'01_orders_raw'!J55="Ожидает оплаты"),"OK","ERROR")</f>
        <v>0</v>
      </c>
      <c r="J55" s="2">
        <f>COUNTIF(C55:I55,"ERROR")</f>
        <v>0</v>
      </c>
      <c r="K55" s="2">
        <f>IF(J55&gt;0,"Проверить заказ","")</f>
        <v>0</v>
      </c>
    </row>
    <row r="56" spans="1:11">
      <c r="A56" s="2">
        <f>"Order"</f>
        <v>0</v>
      </c>
      <c r="B56" s="2">
        <f>'01_orders_raw'!A56</f>
        <v>0</v>
      </c>
      <c r="C56" s="2">
        <f>IF(COUNTIF('01_orders_raw'!$A$2:$A$161,'01_orders_raw'!A56)&gt;1,"ERROR","OK")</f>
        <v>0</v>
      </c>
      <c r="D56" s="2">
        <f>IF(OR('01_orders_raw'!C56="",'01_orders_raw'!D56=""),"ERROR","OK")</f>
        <v>0</v>
      </c>
      <c r="E56" s="2">
        <f>IF(COUNTIF('02_clients_raw'!$A$2:$A$47,'01_orders_raw'!C56)=0,"ERROR","OK")</f>
        <v>0</v>
      </c>
      <c r="F56" s="2">
        <f>IF('01_orders_raw'!I56&lt;&gt;'01_orders_raw'!G56*'01_orders_raw'!H56,"ERROR","OK")</f>
        <v>0</v>
      </c>
      <c r="G56" s="2">
        <f>IF('01_orders_raw'!H56&lt;0,"ERROR","OK")</f>
        <v>0</v>
      </c>
      <c r="H56" s="2">
        <f>IF('01_orders_raw'!B56&gt;DATE(2026,6,25),"ERROR","OK")</f>
        <v>0</v>
      </c>
      <c r="I56" s="2">
        <f>IF(OR('01_orders_raw'!J56="Выполнен",'01_orders_raw'!J56="В работе",'01_orders_raw'!J56="Отменен",'01_orders_raw'!J56="Ожидает оплаты"),"OK","ERROR")</f>
        <v>0</v>
      </c>
      <c r="J56" s="2">
        <f>COUNTIF(C56:I56,"ERROR")</f>
        <v>0</v>
      </c>
      <c r="K56" s="2">
        <f>IF(J56&gt;0,"Проверить заказ","")</f>
        <v>0</v>
      </c>
    </row>
    <row r="57" spans="1:11">
      <c r="A57" s="2">
        <f>"Order"</f>
        <v>0</v>
      </c>
      <c r="B57" s="2">
        <f>'01_orders_raw'!A57</f>
        <v>0</v>
      </c>
      <c r="C57" s="2">
        <f>IF(COUNTIF('01_orders_raw'!$A$2:$A$161,'01_orders_raw'!A57)&gt;1,"ERROR","OK")</f>
        <v>0</v>
      </c>
      <c r="D57" s="2">
        <f>IF(OR('01_orders_raw'!C57="",'01_orders_raw'!D57=""),"ERROR","OK")</f>
        <v>0</v>
      </c>
      <c r="E57" s="2">
        <f>IF(COUNTIF('02_clients_raw'!$A$2:$A$47,'01_orders_raw'!C57)=0,"ERROR","OK")</f>
        <v>0</v>
      </c>
      <c r="F57" s="2">
        <f>IF('01_orders_raw'!I57&lt;&gt;'01_orders_raw'!G57*'01_orders_raw'!H57,"ERROR","OK")</f>
        <v>0</v>
      </c>
      <c r="G57" s="2">
        <f>IF('01_orders_raw'!H57&lt;0,"ERROR","OK")</f>
        <v>0</v>
      </c>
      <c r="H57" s="2">
        <f>IF('01_orders_raw'!B57&gt;DATE(2026,6,25),"ERROR","OK")</f>
        <v>0</v>
      </c>
      <c r="I57" s="2">
        <f>IF(OR('01_orders_raw'!J57="Выполнен",'01_orders_raw'!J57="В работе",'01_orders_raw'!J57="Отменен",'01_orders_raw'!J57="Ожидает оплаты"),"OK","ERROR")</f>
        <v>0</v>
      </c>
      <c r="J57" s="2">
        <f>COUNTIF(C57:I57,"ERROR")</f>
        <v>0</v>
      </c>
      <c r="K57" s="2">
        <f>IF(J57&gt;0,"Проверить заказ","")</f>
        <v>0</v>
      </c>
    </row>
    <row r="58" spans="1:11">
      <c r="A58" s="2">
        <f>"Order"</f>
        <v>0</v>
      </c>
      <c r="B58" s="2">
        <f>'01_orders_raw'!A58</f>
        <v>0</v>
      </c>
      <c r="C58" s="2">
        <f>IF(COUNTIF('01_orders_raw'!$A$2:$A$161,'01_orders_raw'!A58)&gt;1,"ERROR","OK")</f>
        <v>0</v>
      </c>
      <c r="D58" s="2">
        <f>IF(OR('01_orders_raw'!C58="",'01_orders_raw'!D58=""),"ERROR","OK")</f>
        <v>0</v>
      </c>
      <c r="E58" s="2">
        <f>IF(COUNTIF('02_clients_raw'!$A$2:$A$47,'01_orders_raw'!C58)=0,"ERROR","OK")</f>
        <v>0</v>
      </c>
      <c r="F58" s="2">
        <f>IF('01_orders_raw'!I58&lt;&gt;'01_orders_raw'!G58*'01_orders_raw'!H58,"ERROR","OK")</f>
        <v>0</v>
      </c>
      <c r="G58" s="2">
        <f>IF('01_orders_raw'!H58&lt;0,"ERROR","OK")</f>
        <v>0</v>
      </c>
      <c r="H58" s="2">
        <f>IF('01_orders_raw'!B58&gt;DATE(2026,6,25),"ERROR","OK")</f>
        <v>0</v>
      </c>
      <c r="I58" s="2">
        <f>IF(OR('01_orders_raw'!J58="Выполнен",'01_orders_raw'!J58="В работе",'01_orders_raw'!J58="Отменен",'01_orders_raw'!J58="Ожидает оплаты"),"OK","ERROR")</f>
        <v>0</v>
      </c>
      <c r="J58" s="2">
        <f>COUNTIF(C58:I58,"ERROR")</f>
        <v>0</v>
      </c>
      <c r="K58" s="2">
        <f>IF(J58&gt;0,"Проверить заказ","")</f>
        <v>0</v>
      </c>
    </row>
    <row r="59" spans="1:11">
      <c r="A59" s="2">
        <f>"Order"</f>
        <v>0</v>
      </c>
      <c r="B59" s="2">
        <f>'01_orders_raw'!A59</f>
        <v>0</v>
      </c>
      <c r="C59" s="2">
        <f>IF(COUNTIF('01_orders_raw'!$A$2:$A$161,'01_orders_raw'!A59)&gt;1,"ERROR","OK")</f>
        <v>0</v>
      </c>
      <c r="D59" s="2">
        <f>IF(OR('01_orders_raw'!C59="",'01_orders_raw'!D59=""),"ERROR","OK")</f>
        <v>0</v>
      </c>
      <c r="E59" s="2">
        <f>IF(COUNTIF('02_clients_raw'!$A$2:$A$47,'01_orders_raw'!C59)=0,"ERROR","OK")</f>
        <v>0</v>
      </c>
      <c r="F59" s="2">
        <f>IF('01_orders_raw'!I59&lt;&gt;'01_orders_raw'!G59*'01_orders_raw'!H59,"ERROR","OK")</f>
        <v>0</v>
      </c>
      <c r="G59" s="2">
        <f>IF('01_orders_raw'!H59&lt;0,"ERROR","OK")</f>
        <v>0</v>
      </c>
      <c r="H59" s="2">
        <f>IF('01_orders_raw'!B59&gt;DATE(2026,6,25),"ERROR","OK")</f>
        <v>0</v>
      </c>
      <c r="I59" s="2">
        <f>IF(OR('01_orders_raw'!J59="Выполнен",'01_orders_raw'!J59="В работе",'01_orders_raw'!J59="Отменен",'01_orders_raw'!J59="Ожидает оплаты"),"OK","ERROR")</f>
        <v>0</v>
      </c>
      <c r="J59" s="2">
        <f>COUNTIF(C59:I59,"ERROR")</f>
        <v>0</v>
      </c>
      <c r="K59" s="2">
        <f>IF(J59&gt;0,"Проверить заказ","")</f>
        <v>0</v>
      </c>
    </row>
    <row r="60" spans="1:11">
      <c r="A60" s="2">
        <f>"Order"</f>
        <v>0</v>
      </c>
      <c r="B60" s="2">
        <f>'01_orders_raw'!A60</f>
        <v>0</v>
      </c>
      <c r="C60" s="2">
        <f>IF(COUNTIF('01_orders_raw'!$A$2:$A$161,'01_orders_raw'!A60)&gt;1,"ERROR","OK")</f>
        <v>0</v>
      </c>
      <c r="D60" s="2">
        <f>IF(OR('01_orders_raw'!C60="",'01_orders_raw'!D60=""),"ERROR","OK")</f>
        <v>0</v>
      </c>
      <c r="E60" s="2">
        <f>IF(COUNTIF('02_clients_raw'!$A$2:$A$47,'01_orders_raw'!C60)=0,"ERROR","OK")</f>
        <v>0</v>
      </c>
      <c r="F60" s="2">
        <f>IF('01_orders_raw'!I60&lt;&gt;'01_orders_raw'!G60*'01_orders_raw'!H60,"ERROR","OK")</f>
        <v>0</v>
      </c>
      <c r="G60" s="2">
        <f>IF('01_orders_raw'!H60&lt;0,"ERROR","OK")</f>
        <v>0</v>
      </c>
      <c r="H60" s="2">
        <f>IF('01_orders_raw'!B60&gt;DATE(2026,6,25),"ERROR","OK")</f>
        <v>0</v>
      </c>
      <c r="I60" s="2">
        <f>IF(OR('01_orders_raw'!J60="Выполнен",'01_orders_raw'!J60="В работе",'01_orders_raw'!J60="Отменен",'01_orders_raw'!J60="Ожидает оплаты"),"OK","ERROR")</f>
        <v>0</v>
      </c>
      <c r="J60" s="2">
        <f>COUNTIF(C60:I60,"ERROR")</f>
        <v>0</v>
      </c>
      <c r="K60" s="2">
        <f>IF(J60&gt;0,"Проверить заказ","")</f>
        <v>0</v>
      </c>
    </row>
    <row r="61" spans="1:11">
      <c r="A61" s="2">
        <f>"Order"</f>
        <v>0</v>
      </c>
      <c r="B61" s="2">
        <f>'01_orders_raw'!A61</f>
        <v>0</v>
      </c>
      <c r="C61" s="2">
        <f>IF(COUNTIF('01_orders_raw'!$A$2:$A$161,'01_orders_raw'!A61)&gt;1,"ERROR","OK")</f>
        <v>0</v>
      </c>
      <c r="D61" s="2">
        <f>IF(OR('01_orders_raw'!C61="",'01_orders_raw'!D61=""),"ERROR","OK")</f>
        <v>0</v>
      </c>
      <c r="E61" s="2">
        <f>IF(COUNTIF('02_clients_raw'!$A$2:$A$47,'01_orders_raw'!C61)=0,"ERROR","OK")</f>
        <v>0</v>
      </c>
      <c r="F61" s="2">
        <f>IF('01_orders_raw'!I61&lt;&gt;'01_orders_raw'!G61*'01_orders_raw'!H61,"ERROR","OK")</f>
        <v>0</v>
      </c>
      <c r="G61" s="2">
        <f>IF('01_orders_raw'!H61&lt;0,"ERROR","OK")</f>
        <v>0</v>
      </c>
      <c r="H61" s="2">
        <f>IF('01_orders_raw'!B61&gt;DATE(2026,6,25),"ERROR","OK")</f>
        <v>0</v>
      </c>
      <c r="I61" s="2">
        <f>IF(OR('01_orders_raw'!J61="Выполнен",'01_orders_raw'!J61="В работе",'01_orders_raw'!J61="Отменен",'01_orders_raw'!J61="Ожидает оплаты"),"OK","ERROR")</f>
        <v>0</v>
      </c>
      <c r="J61" s="2">
        <f>COUNTIF(C61:I61,"ERROR")</f>
        <v>0</v>
      </c>
      <c r="K61" s="2">
        <f>IF(J61&gt;0,"Проверить заказ","")</f>
        <v>0</v>
      </c>
    </row>
    <row r="62" spans="1:11">
      <c r="A62" s="2">
        <f>"Order"</f>
        <v>0</v>
      </c>
      <c r="B62" s="2">
        <f>'01_orders_raw'!A62</f>
        <v>0</v>
      </c>
      <c r="C62" s="2">
        <f>IF(COUNTIF('01_orders_raw'!$A$2:$A$161,'01_orders_raw'!A62)&gt;1,"ERROR","OK")</f>
        <v>0</v>
      </c>
      <c r="D62" s="2">
        <f>IF(OR('01_orders_raw'!C62="",'01_orders_raw'!D62=""),"ERROR","OK")</f>
        <v>0</v>
      </c>
      <c r="E62" s="2">
        <f>IF(COUNTIF('02_clients_raw'!$A$2:$A$47,'01_orders_raw'!C62)=0,"ERROR","OK")</f>
        <v>0</v>
      </c>
      <c r="F62" s="2">
        <f>IF('01_orders_raw'!I62&lt;&gt;'01_orders_raw'!G62*'01_orders_raw'!H62,"ERROR","OK")</f>
        <v>0</v>
      </c>
      <c r="G62" s="2">
        <f>IF('01_orders_raw'!H62&lt;0,"ERROR","OK")</f>
        <v>0</v>
      </c>
      <c r="H62" s="2">
        <f>IF('01_orders_raw'!B62&gt;DATE(2026,6,25),"ERROR","OK")</f>
        <v>0</v>
      </c>
      <c r="I62" s="2">
        <f>IF(OR('01_orders_raw'!J62="Выполнен",'01_orders_raw'!J62="В работе",'01_orders_raw'!J62="Отменен",'01_orders_raw'!J62="Ожидает оплаты"),"OK","ERROR")</f>
        <v>0</v>
      </c>
      <c r="J62" s="2">
        <f>COUNTIF(C62:I62,"ERROR")</f>
        <v>0</v>
      </c>
      <c r="K62" s="2">
        <f>IF(J62&gt;0,"Проверить заказ","")</f>
        <v>0</v>
      </c>
    </row>
    <row r="63" spans="1:11">
      <c r="A63" s="2">
        <f>"Order"</f>
        <v>0</v>
      </c>
      <c r="B63" s="2">
        <f>'01_orders_raw'!A63</f>
        <v>0</v>
      </c>
      <c r="C63" s="2">
        <f>IF(COUNTIF('01_orders_raw'!$A$2:$A$161,'01_orders_raw'!A63)&gt;1,"ERROR","OK")</f>
        <v>0</v>
      </c>
      <c r="D63" s="2">
        <f>IF(OR('01_orders_raw'!C63="",'01_orders_raw'!D63=""),"ERROR","OK")</f>
        <v>0</v>
      </c>
      <c r="E63" s="2">
        <f>IF(COUNTIF('02_clients_raw'!$A$2:$A$47,'01_orders_raw'!C63)=0,"ERROR","OK")</f>
        <v>0</v>
      </c>
      <c r="F63" s="2">
        <f>IF('01_orders_raw'!I63&lt;&gt;'01_orders_raw'!G63*'01_orders_raw'!H63,"ERROR","OK")</f>
        <v>0</v>
      </c>
      <c r="G63" s="2">
        <f>IF('01_orders_raw'!H63&lt;0,"ERROR","OK")</f>
        <v>0</v>
      </c>
      <c r="H63" s="2">
        <f>IF('01_orders_raw'!B63&gt;DATE(2026,6,25),"ERROR","OK")</f>
        <v>0</v>
      </c>
      <c r="I63" s="2">
        <f>IF(OR('01_orders_raw'!J63="Выполнен",'01_orders_raw'!J63="В работе",'01_orders_raw'!J63="Отменен",'01_orders_raw'!J63="Ожидает оплаты"),"OK","ERROR")</f>
        <v>0</v>
      </c>
      <c r="J63" s="2">
        <f>COUNTIF(C63:I63,"ERROR")</f>
        <v>0</v>
      </c>
      <c r="K63" s="2">
        <f>IF(J63&gt;0,"Проверить заказ","")</f>
        <v>0</v>
      </c>
    </row>
    <row r="64" spans="1:11">
      <c r="A64" s="2">
        <f>"Order"</f>
        <v>0</v>
      </c>
      <c r="B64" s="2">
        <f>'01_orders_raw'!A64</f>
        <v>0</v>
      </c>
      <c r="C64" s="2">
        <f>IF(COUNTIF('01_orders_raw'!$A$2:$A$161,'01_orders_raw'!A64)&gt;1,"ERROR","OK")</f>
        <v>0</v>
      </c>
      <c r="D64" s="2">
        <f>IF(OR('01_orders_raw'!C64="",'01_orders_raw'!D64=""),"ERROR","OK")</f>
        <v>0</v>
      </c>
      <c r="E64" s="2">
        <f>IF(COUNTIF('02_clients_raw'!$A$2:$A$47,'01_orders_raw'!C64)=0,"ERROR","OK")</f>
        <v>0</v>
      </c>
      <c r="F64" s="2">
        <f>IF('01_orders_raw'!I64&lt;&gt;'01_orders_raw'!G64*'01_orders_raw'!H64,"ERROR","OK")</f>
        <v>0</v>
      </c>
      <c r="G64" s="2">
        <f>IF('01_orders_raw'!H64&lt;0,"ERROR","OK")</f>
        <v>0</v>
      </c>
      <c r="H64" s="2">
        <f>IF('01_orders_raw'!B64&gt;DATE(2026,6,25),"ERROR","OK")</f>
        <v>0</v>
      </c>
      <c r="I64" s="2">
        <f>IF(OR('01_orders_raw'!J64="Выполнен",'01_orders_raw'!J64="В работе",'01_orders_raw'!J64="Отменен",'01_orders_raw'!J64="Ожидает оплаты"),"OK","ERROR")</f>
        <v>0</v>
      </c>
      <c r="J64" s="2">
        <f>COUNTIF(C64:I64,"ERROR")</f>
        <v>0</v>
      </c>
      <c r="K64" s="2">
        <f>IF(J64&gt;0,"Проверить заказ","")</f>
        <v>0</v>
      </c>
    </row>
    <row r="65" spans="1:11">
      <c r="A65" s="2">
        <f>"Order"</f>
        <v>0</v>
      </c>
      <c r="B65" s="2">
        <f>'01_orders_raw'!A65</f>
        <v>0</v>
      </c>
      <c r="C65" s="2">
        <f>IF(COUNTIF('01_orders_raw'!$A$2:$A$161,'01_orders_raw'!A65)&gt;1,"ERROR","OK")</f>
        <v>0</v>
      </c>
      <c r="D65" s="2">
        <f>IF(OR('01_orders_raw'!C65="",'01_orders_raw'!D65=""),"ERROR","OK")</f>
        <v>0</v>
      </c>
      <c r="E65" s="2">
        <f>IF(COUNTIF('02_clients_raw'!$A$2:$A$47,'01_orders_raw'!C65)=0,"ERROR","OK")</f>
        <v>0</v>
      </c>
      <c r="F65" s="2">
        <f>IF('01_orders_raw'!I65&lt;&gt;'01_orders_raw'!G65*'01_orders_raw'!H65,"ERROR","OK")</f>
        <v>0</v>
      </c>
      <c r="G65" s="2">
        <f>IF('01_orders_raw'!H65&lt;0,"ERROR","OK")</f>
        <v>0</v>
      </c>
      <c r="H65" s="2">
        <f>IF('01_orders_raw'!B65&gt;DATE(2026,6,25),"ERROR","OK")</f>
        <v>0</v>
      </c>
      <c r="I65" s="2">
        <f>IF(OR('01_orders_raw'!J65="Выполнен",'01_orders_raw'!J65="В работе",'01_orders_raw'!J65="Отменен",'01_orders_raw'!J65="Ожидает оплаты"),"OK","ERROR")</f>
        <v>0</v>
      </c>
      <c r="J65" s="2">
        <f>COUNTIF(C65:I65,"ERROR")</f>
        <v>0</v>
      </c>
      <c r="K65" s="2">
        <f>IF(J65&gt;0,"Проверить заказ","")</f>
        <v>0</v>
      </c>
    </row>
    <row r="66" spans="1:11">
      <c r="A66" s="2">
        <f>"Order"</f>
        <v>0</v>
      </c>
      <c r="B66" s="2">
        <f>'01_orders_raw'!A66</f>
        <v>0</v>
      </c>
      <c r="C66" s="2">
        <f>IF(COUNTIF('01_orders_raw'!$A$2:$A$161,'01_orders_raw'!A66)&gt;1,"ERROR","OK")</f>
        <v>0</v>
      </c>
      <c r="D66" s="2">
        <f>IF(OR('01_orders_raw'!C66="",'01_orders_raw'!D66=""),"ERROR","OK")</f>
        <v>0</v>
      </c>
      <c r="E66" s="2">
        <f>IF(COUNTIF('02_clients_raw'!$A$2:$A$47,'01_orders_raw'!C66)=0,"ERROR","OK")</f>
        <v>0</v>
      </c>
      <c r="F66" s="2">
        <f>IF('01_orders_raw'!I66&lt;&gt;'01_orders_raw'!G66*'01_orders_raw'!H66,"ERROR","OK")</f>
        <v>0</v>
      </c>
      <c r="G66" s="2">
        <f>IF('01_orders_raw'!H66&lt;0,"ERROR","OK")</f>
        <v>0</v>
      </c>
      <c r="H66" s="2">
        <f>IF('01_orders_raw'!B66&gt;DATE(2026,6,25),"ERROR","OK")</f>
        <v>0</v>
      </c>
      <c r="I66" s="2">
        <f>IF(OR('01_orders_raw'!J66="Выполнен",'01_orders_raw'!J66="В работе",'01_orders_raw'!J66="Отменен",'01_orders_raw'!J66="Ожидает оплаты"),"OK","ERROR")</f>
        <v>0</v>
      </c>
      <c r="J66" s="2">
        <f>COUNTIF(C66:I66,"ERROR")</f>
        <v>0</v>
      </c>
      <c r="K66" s="2">
        <f>IF(J66&gt;0,"Проверить заказ","")</f>
        <v>0</v>
      </c>
    </row>
    <row r="67" spans="1:11">
      <c r="A67" s="2">
        <f>"Order"</f>
        <v>0</v>
      </c>
      <c r="B67" s="2">
        <f>'01_orders_raw'!A67</f>
        <v>0</v>
      </c>
      <c r="C67" s="2">
        <f>IF(COUNTIF('01_orders_raw'!$A$2:$A$161,'01_orders_raw'!A67)&gt;1,"ERROR","OK")</f>
        <v>0</v>
      </c>
      <c r="D67" s="2">
        <f>IF(OR('01_orders_raw'!C67="",'01_orders_raw'!D67=""),"ERROR","OK")</f>
        <v>0</v>
      </c>
      <c r="E67" s="2">
        <f>IF(COUNTIF('02_clients_raw'!$A$2:$A$47,'01_orders_raw'!C67)=0,"ERROR","OK")</f>
        <v>0</v>
      </c>
      <c r="F67" s="2">
        <f>IF('01_orders_raw'!I67&lt;&gt;'01_orders_raw'!G67*'01_orders_raw'!H67,"ERROR","OK")</f>
        <v>0</v>
      </c>
      <c r="G67" s="2">
        <f>IF('01_orders_raw'!H67&lt;0,"ERROR","OK")</f>
        <v>0</v>
      </c>
      <c r="H67" s="2">
        <f>IF('01_orders_raw'!B67&gt;DATE(2026,6,25),"ERROR","OK")</f>
        <v>0</v>
      </c>
      <c r="I67" s="2">
        <f>IF(OR('01_orders_raw'!J67="Выполнен",'01_orders_raw'!J67="В работе",'01_orders_raw'!J67="Отменен",'01_orders_raw'!J67="Ожидает оплаты"),"OK","ERROR")</f>
        <v>0</v>
      </c>
      <c r="J67" s="2">
        <f>COUNTIF(C67:I67,"ERROR")</f>
        <v>0</v>
      </c>
      <c r="K67" s="2">
        <f>IF(J67&gt;0,"Проверить заказ","")</f>
        <v>0</v>
      </c>
    </row>
    <row r="68" spans="1:11">
      <c r="A68" s="2">
        <f>"Order"</f>
        <v>0</v>
      </c>
      <c r="B68" s="2">
        <f>'01_orders_raw'!A68</f>
        <v>0</v>
      </c>
      <c r="C68" s="2">
        <f>IF(COUNTIF('01_orders_raw'!$A$2:$A$161,'01_orders_raw'!A68)&gt;1,"ERROR","OK")</f>
        <v>0</v>
      </c>
      <c r="D68" s="2">
        <f>IF(OR('01_orders_raw'!C68="",'01_orders_raw'!D68=""),"ERROR","OK")</f>
        <v>0</v>
      </c>
      <c r="E68" s="2">
        <f>IF(COUNTIF('02_clients_raw'!$A$2:$A$47,'01_orders_raw'!C68)=0,"ERROR","OK")</f>
        <v>0</v>
      </c>
      <c r="F68" s="2">
        <f>IF('01_orders_raw'!I68&lt;&gt;'01_orders_raw'!G68*'01_orders_raw'!H68,"ERROR","OK")</f>
        <v>0</v>
      </c>
      <c r="G68" s="2">
        <f>IF('01_orders_raw'!H68&lt;0,"ERROR","OK")</f>
        <v>0</v>
      </c>
      <c r="H68" s="2">
        <f>IF('01_orders_raw'!B68&gt;DATE(2026,6,25),"ERROR","OK")</f>
        <v>0</v>
      </c>
      <c r="I68" s="2">
        <f>IF(OR('01_orders_raw'!J68="Выполнен",'01_orders_raw'!J68="В работе",'01_orders_raw'!J68="Отменен",'01_orders_raw'!J68="Ожидает оплаты"),"OK","ERROR")</f>
        <v>0</v>
      </c>
      <c r="J68" s="2">
        <f>COUNTIF(C68:I68,"ERROR")</f>
        <v>0</v>
      </c>
      <c r="K68" s="2">
        <f>IF(J68&gt;0,"Проверить заказ","")</f>
        <v>0</v>
      </c>
    </row>
    <row r="69" spans="1:11">
      <c r="A69" s="2">
        <f>"Order"</f>
        <v>0</v>
      </c>
      <c r="B69" s="2">
        <f>'01_orders_raw'!A69</f>
        <v>0</v>
      </c>
      <c r="C69" s="2">
        <f>IF(COUNTIF('01_orders_raw'!$A$2:$A$161,'01_orders_raw'!A69)&gt;1,"ERROR","OK")</f>
        <v>0</v>
      </c>
      <c r="D69" s="2">
        <f>IF(OR('01_orders_raw'!C69="",'01_orders_raw'!D69=""),"ERROR","OK")</f>
        <v>0</v>
      </c>
      <c r="E69" s="2">
        <f>IF(COUNTIF('02_clients_raw'!$A$2:$A$47,'01_orders_raw'!C69)=0,"ERROR","OK")</f>
        <v>0</v>
      </c>
      <c r="F69" s="2">
        <f>IF('01_orders_raw'!I69&lt;&gt;'01_orders_raw'!G69*'01_orders_raw'!H69,"ERROR","OK")</f>
        <v>0</v>
      </c>
      <c r="G69" s="2">
        <f>IF('01_orders_raw'!H69&lt;0,"ERROR","OK")</f>
        <v>0</v>
      </c>
      <c r="H69" s="2">
        <f>IF('01_orders_raw'!B69&gt;DATE(2026,6,25),"ERROR","OK")</f>
        <v>0</v>
      </c>
      <c r="I69" s="2">
        <f>IF(OR('01_orders_raw'!J69="Выполнен",'01_orders_raw'!J69="В работе",'01_orders_raw'!J69="Отменен",'01_orders_raw'!J69="Ожидает оплаты"),"OK","ERROR")</f>
        <v>0</v>
      </c>
      <c r="J69" s="2">
        <f>COUNTIF(C69:I69,"ERROR")</f>
        <v>0</v>
      </c>
      <c r="K69" s="2">
        <f>IF(J69&gt;0,"Проверить заказ","")</f>
        <v>0</v>
      </c>
    </row>
    <row r="70" spans="1:11">
      <c r="A70" s="2">
        <f>"Order"</f>
        <v>0</v>
      </c>
      <c r="B70" s="2">
        <f>'01_orders_raw'!A70</f>
        <v>0</v>
      </c>
      <c r="C70" s="2">
        <f>IF(COUNTIF('01_orders_raw'!$A$2:$A$161,'01_orders_raw'!A70)&gt;1,"ERROR","OK")</f>
        <v>0</v>
      </c>
      <c r="D70" s="2">
        <f>IF(OR('01_orders_raw'!C70="",'01_orders_raw'!D70=""),"ERROR","OK")</f>
        <v>0</v>
      </c>
      <c r="E70" s="2">
        <f>IF(COUNTIF('02_clients_raw'!$A$2:$A$47,'01_orders_raw'!C70)=0,"ERROR","OK")</f>
        <v>0</v>
      </c>
      <c r="F70" s="2">
        <f>IF('01_orders_raw'!I70&lt;&gt;'01_orders_raw'!G70*'01_orders_raw'!H70,"ERROR","OK")</f>
        <v>0</v>
      </c>
      <c r="G70" s="2">
        <f>IF('01_orders_raw'!H70&lt;0,"ERROR","OK")</f>
        <v>0</v>
      </c>
      <c r="H70" s="2">
        <f>IF('01_orders_raw'!B70&gt;DATE(2026,6,25),"ERROR","OK")</f>
        <v>0</v>
      </c>
      <c r="I70" s="2">
        <f>IF(OR('01_orders_raw'!J70="Выполнен",'01_orders_raw'!J70="В работе",'01_orders_raw'!J70="Отменен",'01_orders_raw'!J70="Ожидает оплаты"),"OK","ERROR")</f>
        <v>0</v>
      </c>
      <c r="J70" s="2">
        <f>COUNTIF(C70:I70,"ERROR")</f>
        <v>0</v>
      </c>
      <c r="K70" s="2">
        <f>IF(J70&gt;0,"Проверить заказ","")</f>
        <v>0</v>
      </c>
    </row>
    <row r="71" spans="1:11">
      <c r="A71" s="2">
        <f>"Order"</f>
        <v>0</v>
      </c>
      <c r="B71" s="2">
        <f>'01_orders_raw'!A71</f>
        <v>0</v>
      </c>
      <c r="C71" s="2">
        <f>IF(COUNTIF('01_orders_raw'!$A$2:$A$161,'01_orders_raw'!A71)&gt;1,"ERROR","OK")</f>
        <v>0</v>
      </c>
      <c r="D71" s="2">
        <f>IF(OR('01_orders_raw'!C71="",'01_orders_raw'!D71=""),"ERROR","OK")</f>
        <v>0</v>
      </c>
      <c r="E71" s="2">
        <f>IF(COUNTIF('02_clients_raw'!$A$2:$A$47,'01_orders_raw'!C71)=0,"ERROR","OK")</f>
        <v>0</v>
      </c>
      <c r="F71" s="2">
        <f>IF('01_orders_raw'!I71&lt;&gt;'01_orders_raw'!G71*'01_orders_raw'!H71,"ERROR","OK")</f>
        <v>0</v>
      </c>
      <c r="G71" s="2">
        <f>IF('01_orders_raw'!H71&lt;0,"ERROR","OK")</f>
        <v>0</v>
      </c>
      <c r="H71" s="2">
        <f>IF('01_orders_raw'!B71&gt;DATE(2026,6,25),"ERROR","OK")</f>
        <v>0</v>
      </c>
      <c r="I71" s="2">
        <f>IF(OR('01_orders_raw'!J71="Выполнен",'01_orders_raw'!J71="В работе",'01_orders_raw'!J71="Отменен",'01_orders_raw'!J71="Ожидает оплаты"),"OK","ERROR")</f>
        <v>0</v>
      </c>
      <c r="J71" s="2">
        <f>COUNTIF(C71:I71,"ERROR")</f>
        <v>0</v>
      </c>
      <c r="K71" s="2">
        <f>IF(J71&gt;0,"Проверить заказ","")</f>
        <v>0</v>
      </c>
    </row>
    <row r="72" spans="1:11">
      <c r="A72" s="2">
        <f>"Order"</f>
        <v>0</v>
      </c>
      <c r="B72" s="2">
        <f>'01_orders_raw'!A72</f>
        <v>0</v>
      </c>
      <c r="C72" s="2">
        <f>IF(COUNTIF('01_orders_raw'!$A$2:$A$161,'01_orders_raw'!A72)&gt;1,"ERROR","OK")</f>
        <v>0</v>
      </c>
      <c r="D72" s="2">
        <f>IF(OR('01_orders_raw'!C72="",'01_orders_raw'!D72=""),"ERROR","OK")</f>
        <v>0</v>
      </c>
      <c r="E72" s="2">
        <f>IF(COUNTIF('02_clients_raw'!$A$2:$A$47,'01_orders_raw'!C72)=0,"ERROR","OK")</f>
        <v>0</v>
      </c>
      <c r="F72" s="2">
        <f>IF('01_orders_raw'!I72&lt;&gt;'01_orders_raw'!G72*'01_orders_raw'!H72,"ERROR","OK")</f>
        <v>0</v>
      </c>
      <c r="G72" s="2">
        <f>IF('01_orders_raw'!H72&lt;0,"ERROR","OK")</f>
        <v>0</v>
      </c>
      <c r="H72" s="2">
        <f>IF('01_orders_raw'!B72&gt;DATE(2026,6,25),"ERROR","OK")</f>
        <v>0</v>
      </c>
      <c r="I72" s="2">
        <f>IF(OR('01_orders_raw'!J72="Выполнен",'01_orders_raw'!J72="В работе",'01_orders_raw'!J72="Отменен",'01_orders_raw'!J72="Ожидает оплаты"),"OK","ERROR")</f>
        <v>0</v>
      </c>
      <c r="J72" s="2">
        <f>COUNTIF(C72:I72,"ERROR")</f>
        <v>0</v>
      </c>
      <c r="K72" s="2">
        <f>IF(J72&gt;0,"Проверить заказ","")</f>
        <v>0</v>
      </c>
    </row>
    <row r="73" spans="1:11">
      <c r="A73" s="2">
        <f>"Order"</f>
        <v>0</v>
      </c>
      <c r="B73" s="2">
        <f>'01_orders_raw'!A73</f>
        <v>0</v>
      </c>
      <c r="C73" s="2">
        <f>IF(COUNTIF('01_orders_raw'!$A$2:$A$161,'01_orders_raw'!A73)&gt;1,"ERROR","OK")</f>
        <v>0</v>
      </c>
      <c r="D73" s="2">
        <f>IF(OR('01_orders_raw'!C73="",'01_orders_raw'!D73=""),"ERROR","OK")</f>
        <v>0</v>
      </c>
      <c r="E73" s="2">
        <f>IF(COUNTIF('02_clients_raw'!$A$2:$A$47,'01_orders_raw'!C73)=0,"ERROR","OK")</f>
        <v>0</v>
      </c>
      <c r="F73" s="2">
        <f>IF('01_orders_raw'!I73&lt;&gt;'01_orders_raw'!G73*'01_orders_raw'!H73,"ERROR","OK")</f>
        <v>0</v>
      </c>
      <c r="G73" s="2">
        <f>IF('01_orders_raw'!H73&lt;0,"ERROR","OK")</f>
        <v>0</v>
      </c>
      <c r="H73" s="2">
        <f>IF('01_orders_raw'!B73&gt;DATE(2026,6,25),"ERROR","OK")</f>
        <v>0</v>
      </c>
      <c r="I73" s="2">
        <f>IF(OR('01_orders_raw'!J73="Выполнен",'01_orders_raw'!J73="В работе",'01_orders_raw'!J73="Отменен",'01_orders_raw'!J73="Ожидает оплаты"),"OK","ERROR")</f>
        <v>0</v>
      </c>
      <c r="J73" s="2">
        <f>COUNTIF(C73:I73,"ERROR")</f>
        <v>0</v>
      </c>
      <c r="K73" s="2">
        <f>IF(J73&gt;0,"Проверить заказ","")</f>
        <v>0</v>
      </c>
    </row>
    <row r="74" spans="1:11">
      <c r="A74" s="2">
        <f>"Order"</f>
        <v>0</v>
      </c>
      <c r="B74" s="2">
        <f>'01_orders_raw'!A74</f>
        <v>0</v>
      </c>
      <c r="C74" s="2">
        <f>IF(COUNTIF('01_orders_raw'!$A$2:$A$161,'01_orders_raw'!A74)&gt;1,"ERROR","OK")</f>
        <v>0</v>
      </c>
      <c r="D74" s="2">
        <f>IF(OR('01_orders_raw'!C74="",'01_orders_raw'!D74=""),"ERROR","OK")</f>
        <v>0</v>
      </c>
      <c r="E74" s="2">
        <f>IF(COUNTIF('02_clients_raw'!$A$2:$A$47,'01_orders_raw'!C74)=0,"ERROR","OK")</f>
        <v>0</v>
      </c>
      <c r="F74" s="2">
        <f>IF('01_orders_raw'!I74&lt;&gt;'01_orders_raw'!G74*'01_orders_raw'!H74,"ERROR","OK")</f>
        <v>0</v>
      </c>
      <c r="G74" s="2">
        <f>IF('01_orders_raw'!H74&lt;0,"ERROR","OK")</f>
        <v>0</v>
      </c>
      <c r="H74" s="2">
        <f>IF('01_orders_raw'!B74&gt;DATE(2026,6,25),"ERROR","OK")</f>
        <v>0</v>
      </c>
      <c r="I74" s="2">
        <f>IF(OR('01_orders_raw'!J74="Выполнен",'01_orders_raw'!J74="В работе",'01_orders_raw'!J74="Отменен",'01_orders_raw'!J74="Ожидает оплаты"),"OK","ERROR")</f>
        <v>0</v>
      </c>
      <c r="J74" s="2">
        <f>COUNTIF(C74:I74,"ERROR")</f>
        <v>0</v>
      </c>
      <c r="K74" s="2">
        <f>IF(J74&gt;0,"Проверить заказ","")</f>
        <v>0</v>
      </c>
    </row>
    <row r="75" spans="1:11">
      <c r="A75" s="2">
        <f>"Order"</f>
        <v>0</v>
      </c>
      <c r="B75" s="2">
        <f>'01_orders_raw'!A75</f>
        <v>0</v>
      </c>
      <c r="C75" s="2">
        <f>IF(COUNTIF('01_orders_raw'!$A$2:$A$161,'01_orders_raw'!A75)&gt;1,"ERROR","OK")</f>
        <v>0</v>
      </c>
      <c r="D75" s="2">
        <f>IF(OR('01_orders_raw'!C75="",'01_orders_raw'!D75=""),"ERROR","OK")</f>
        <v>0</v>
      </c>
      <c r="E75" s="2">
        <f>IF(COUNTIF('02_clients_raw'!$A$2:$A$47,'01_orders_raw'!C75)=0,"ERROR","OK")</f>
        <v>0</v>
      </c>
      <c r="F75" s="2">
        <f>IF('01_orders_raw'!I75&lt;&gt;'01_orders_raw'!G75*'01_orders_raw'!H75,"ERROR","OK")</f>
        <v>0</v>
      </c>
      <c r="G75" s="2">
        <f>IF('01_orders_raw'!H75&lt;0,"ERROR","OK")</f>
        <v>0</v>
      </c>
      <c r="H75" s="2">
        <f>IF('01_orders_raw'!B75&gt;DATE(2026,6,25),"ERROR","OK")</f>
        <v>0</v>
      </c>
      <c r="I75" s="2">
        <f>IF(OR('01_orders_raw'!J75="Выполнен",'01_orders_raw'!J75="В работе",'01_orders_raw'!J75="Отменен",'01_orders_raw'!J75="Ожидает оплаты"),"OK","ERROR")</f>
        <v>0</v>
      </c>
      <c r="J75" s="2">
        <f>COUNTIF(C75:I75,"ERROR")</f>
        <v>0</v>
      </c>
      <c r="K75" s="2">
        <f>IF(J75&gt;0,"Проверить заказ","")</f>
        <v>0</v>
      </c>
    </row>
    <row r="76" spans="1:11">
      <c r="A76" s="2">
        <f>"Order"</f>
        <v>0</v>
      </c>
      <c r="B76" s="2">
        <f>'01_orders_raw'!A76</f>
        <v>0</v>
      </c>
      <c r="C76" s="2">
        <f>IF(COUNTIF('01_orders_raw'!$A$2:$A$161,'01_orders_raw'!A76)&gt;1,"ERROR","OK")</f>
        <v>0</v>
      </c>
      <c r="D76" s="2">
        <f>IF(OR('01_orders_raw'!C76="",'01_orders_raw'!D76=""),"ERROR","OK")</f>
        <v>0</v>
      </c>
      <c r="E76" s="2">
        <f>IF(COUNTIF('02_clients_raw'!$A$2:$A$47,'01_orders_raw'!C76)=0,"ERROR","OK")</f>
        <v>0</v>
      </c>
      <c r="F76" s="2">
        <f>IF('01_orders_raw'!I76&lt;&gt;'01_orders_raw'!G76*'01_orders_raw'!H76,"ERROR","OK")</f>
        <v>0</v>
      </c>
      <c r="G76" s="2">
        <f>IF('01_orders_raw'!H76&lt;0,"ERROR","OK")</f>
        <v>0</v>
      </c>
      <c r="H76" s="2">
        <f>IF('01_orders_raw'!B76&gt;DATE(2026,6,25),"ERROR","OK")</f>
        <v>0</v>
      </c>
      <c r="I76" s="2">
        <f>IF(OR('01_orders_raw'!J76="Выполнен",'01_orders_raw'!J76="В работе",'01_orders_raw'!J76="Отменен",'01_orders_raw'!J76="Ожидает оплаты"),"OK","ERROR")</f>
        <v>0</v>
      </c>
      <c r="J76" s="2">
        <f>COUNTIF(C76:I76,"ERROR")</f>
        <v>0</v>
      </c>
      <c r="K76" s="2">
        <f>IF(J76&gt;0,"Проверить заказ","")</f>
        <v>0</v>
      </c>
    </row>
    <row r="77" spans="1:11">
      <c r="A77" s="2">
        <f>"Order"</f>
        <v>0</v>
      </c>
      <c r="B77" s="2">
        <f>'01_orders_raw'!A77</f>
        <v>0</v>
      </c>
      <c r="C77" s="2">
        <f>IF(COUNTIF('01_orders_raw'!$A$2:$A$161,'01_orders_raw'!A77)&gt;1,"ERROR","OK")</f>
        <v>0</v>
      </c>
      <c r="D77" s="2">
        <f>IF(OR('01_orders_raw'!C77="",'01_orders_raw'!D77=""),"ERROR","OK")</f>
        <v>0</v>
      </c>
      <c r="E77" s="2">
        <f>IF(COUNTIF('02_clients_raw'!$A$2:$A$47,'01_orders_raw'!C77)=0,"ERROR","OK")</f>
        <v>0</v>
      </c>
      <c r="F77" s="2">
        <f>IF('01_orders_raw'!I77&lt;&gt;'01_orders_raw'!G77*'01_orders_raw'!H77,"ERROR","OK")</f>
        <v>0</v>
      </c>
      <c r="G77" s="2">
        <f>IF('01_orders_raw'!H77&lt;0,"ERROR","OK")</f>
        <v>0</v>
      </c>
      <c r="H77" s="2">
        <f>IF('01_orders_raw'!B77&gt;DATE(2026,6,25),"ERROR","OK")</f>
        <v>0</v>
      </c>
      <c r="I77" s="2">
        <f>IF(OR('01_orders_raw'!J77="Выполнен",'01_orders_raw'!J77="В работе",'01_orders_raw'!J77="Отменен",'01_orders_raw'!J77="Ожидает оплаты"),"OK","ERROR")</f>
        <v>0</v>
      </c>
      <c r="J77" s="2">
        <f>COUNTIF(C77:I77,"ERROR")</f>
        <v>0</v>
      </c>
      <c r="K77" s="2">
        <f>IF(J77&gt;0,"Проверить заказ","")</f>
        <v>0</v>
      </c>
    </row>
    <row r="78" spans="1:11">
      <c r="A78" s="2">
        <f>"Order"</f>
        <v>0</v>
      </c>
      <c r="B78" s="2">
        <f>'01_orders_raw'!A78</f>
        <v>0</v>
      </c>
      <c r="C78" s="2">
        <f>IF(COUNTIF('01_orders_raw'!$A$2:$A$161,'01_orders_raw'!A78)&gt;1,"ERROR","OK")</f>
        <v>0</v>
      </c>
      <c r="D78" s="2">
        <f>IF(OR('01_orders_raw'!C78="",'01_orders_raw'!D78=""),"ERROR","OK")</f>
        <v>0</v>
      </c>
      <c r="E78" s="2">
        <f>IF(COUNTIF('02_clients_raw'!$A$2:$A$47,'01_orders_raw'!C78)=0,"ERROR","OK")</f>
        <v>0</v>
      </c>
      <c r="F78" s="2">
        <f>IF('01_orders_raw'!I78&lt;&gt;'01_orders_raw'!G78*'01_orders_raw'!H78,"ERROR","OK")</f>
        <v>0</v>
      </c>
      <c r="G78" s="2">
        <f>IF('01_orders_raw'!H78&lt;0,"ERROR","OK")</f>
        <v>0</v>
      </c>
      <c r="H78" s="2">
        <f>IF('01_orders_raw'!B78&gt;DATE(2026,6,25),"ERROR","OK")</f>
        <v>0</v>
      </c>
      <c r="I78" s="2">
        <f>IF(OR('01_orders_raw'!J78="Выполнен",'01_orders_raw'!J78="В работе",'01_orders_raw'!J78="Отменен",'01_orders_raw'!J78="Ожидает оплаты"),"OK","ERROR")</f>
        <v>0</v>
      </c>
      <c r="J78" s="2">
        <f>COUNTIF(C78:I78,"ERROR")</f>
        <v>0</v>
      </c>
      <c r="K78" s="2">
        <f>IF(J78&gt;0,"Проверить заказ","")</f>
        <v>0</v>
      </c>
    </row>
    <row r="79" spans="1:11">
      <c r="A79" s="2">
        <f>"Order"</f>
        <v>0</v>
      </c>
      <c r="B79" s="2">
        <f>'01_orders_raw'!A79</f>
        <v>0</v>
      </c>
      <c r="C79" s="2">
        <f>IF(COUNTIF('01_orders_raw'!$A$2:$A$161,'01_orders_raw'!A79)&gt;1,"ERROR","OK")</f>
        <v>0</v>
      </c>
      <c r="D79" s="2">
        <f>IF(OR('01_orders_raw'!C79="",'01_orders_raw'!D79=""),"ERROR","OK")</f>
        <v>0</v>
      </c>
      <c r="E79" s="2">
        <f>IF(COUNTIF('02_clients_raw'!$A$2:$A$47,'01_orders_raw'!C79)=0,"ERROR","OK")</f>
        <v>0</v>
      </c>
      <c r="F79" s="2">
        <f>IF('01_orders_raw'!I79&lt;&gt;'01_orders_raw'!G79*'01_orders_raw'!H79,"ERROR","OK")</f>
        <v>0</v>
      </c>
      <c r="G79" s="2">
        <f>IF('01_orders_raw'!H79&lt;0,"ERROR","OK")</f>
        <v>0</v>
      </c>
      <c r="H79" s="2">
        <f>IF('01_orders_raw'!B79&gt;DATE(2026,6,25),"ERROR","OK")</f>
        <v>0</v>
      </c>
      <c r="I79" s="2">
        <f>IF(OR('01_orders_raw'!J79="Выполнен",'01_orders_raw'!J79="В работе",'01_orders_raw'!J79="Отменен",'01_orders_raw'!J79="Ожидает оплаты"),"OK","ERROR")</f>
        <v>0</v>
      </c>
      <c r="J79" s="2">
        <f>COUNTIF(C79:I79,"ERROR")</f>
        <v>0</v>
      </c>
      <c r="K79" s="2">
        <f>IF(J79&gt;0,"Проверить заказ","")</f>
        <v>0</v>
      </c>
    </row>
    <row r="80" spans="1:11">
      <c r="A80" s="2">
        <f>"Order"</f>
        <v>0</v>
      </c>
      <c r="B80" s="2">
        <f>'01_orders_raw'!A80</f>
        <v>0</v>
      </c>
      <c r="C80" s="2">
        <f>IF(COUNTIF('01_orders_raw'!$A$2:$A$161,'01_orders_raw'!A80)&gt;1,"ERROR","OK")</f>
        <v>0</v>
      </c>
      <c r="D80" s="2">
        <f>IF(OR('01_orders_raw'!C80="",'01_orders_raw'!D80=""),"ERROR","OK")</f>
        <v>0</v>
      </c>
      <c r="E80" s="2">
        <f>IF(COUNTIF('02_clients_raw'!$A$2:$A$47,'01_orders_raw'!C80)=0,"ERROR","OK")</f>
        <v>0</v>
      </c>
      <c r="F80" s="2">
        <f>IF('01_orders_raw'!I80&lt;&gt;'01_orders_raw'!G80*'01_orders_raw'!H80,"ERROR","OK")</f>
        <v>0</v>
      </c>
      <c r="G80" s="2">
        <f>IF('01_orders_raw'!H80&lt;0,"ERROR","OK")</f>
        <v>0</v>
      </c>
      <c r="H80" s="2">
        <f>IF('01_orders_raw'!B80&gt;DATE(2026,6,25),"ERROR","OK")</f>
        <v>0</v>
      </c>
      <c r="I80" s="2">
        <f>IF(OR('01_orders_raw'!J80="Выполнен",'01_orders_raw'!J80="В работе",'01_orders_raw'!J80="Отменен",'01_orders_raw'!J80="Ожидает оплаты"),"OK","ERROR")</f>
        <v>0</v>
      </c>
      <c r="J80" s="2">
        <f>COUNTIF(C80:I80,"ERROR")</f>
        <v>0</v>
      </c>
      <c r="K80" s="2">
        <f>IF(J80&gt;0,"Проверить заказ","")</f>
        <v>0</v>
      </c>
    </row>
    <row r="81" spans="1:11">
      <c r="A81" s="2">
        <f>"Order"</f>
        <v>0</v>
      </c>
      <c r="B81" s="2">
        <f>'01_orders_raw'!A81</f>
        <v>0</v>
      </c>
      <c r="C81" s="2">
        <f>IF(COUNTIF('01_orders_raw'!$A$2:$A$161,'01_orders_raw'!A81)&gt;1,"ERROR","OK")</f>
        <v>0</v>
      </c>
      <c r="D81" s="2">
        <f>IF(OR('01_orders_raw'!C81="",'01_orders_raw'!D81=""),"ERROR","OK")</f>
        <v>0</v>
      </c>
      <c r="E81" s="2">
        <f>IF(COUNTIF('02_clients_raw'!$A$2:$A$47,'01_orders_raw'!C81)=0,"ERROR","OK")</f>
        <v>0</v>
      </c>
      <c r="F81" s="2">
        <f>IF('01_orders_raw'!I81&lt;&gt;'01_orders_raw'!G81*'01_orders_raw'!H81,"ERROR","OK")</f>
        <v>0</v>
      </c>
      <c r="G81" s="2">
        <f>IF('01_orders_raw'!H81&lt;0,"ERROR","OK")</f>
        <v>0</v>
      </c>
      <c r="H81" s="2">
        <f>IF('01_orders_raw'!B81&gt;DATE(2026,6,25),"ERROR","OK")</f>
        <v>0</v>
      </c>
      <c r="I81" s="2">
        <f>IF(OR('01_orders_raw'!J81="Выполнен",'01_orders_raw'!J81="В работе",'01_orders_raw'!J81="Отменен",'01_orders_raw'!J81="Ожидает оплаты"),"OK","ERROR")</f>
        <v>0</v>
      </c>
      <c r="J81" s="2">
        <f>COUNTIF(C81:I81,"ERROR")</f>
        <v>0</v>
      </c>
      <c r="K81" s="2">
        <f>IF(J81&gt;0,"Проверить заказ","")</f>
        <v>0</v>
      </c>
    </row>
    <row r="82" spans="1:11">
      <c r="A82" s="2">
        <f>"Order"</f>
        <v>0</v>
      </c>
      <c r="B82" s="2">
        <f>'01_orders_raw'!A82</f>
        <v>0</v>
      </c>
      <c r="C82" s="2">
        <f>IF(COUNTIF('01_orders_raw'!$A$2:$A$161,'01_orders_raw'!A82)&gt;1,"ERROR","OK")</f>
        <v>0</v>
      </c>
      <c r="D82" s="2">
        <f>IF(OR('01_orders_raw'!C82="",'01_orders_raw'!D82=""),"ERROR","OK")</f>
        <v>0</v>
      </c>
      <c r="E82" s="2">
        <f>IF(COUNTIF('02_clients_raw'!$A$2:$A$47,'01_orders_raw'!C82)=0,"ERROR","OK")</f>
        <v>0</v>
      </c>
      <c r="F82" s="2">
        <f>IF('01_orders_raw'!I82&lt;&gt;'01_orders_raw'!G82*'01_orders_raw'!H82,"ERROR","OK")</f>
        <v>0</v>
      </c>
      <c r="G82" s="2">
        <f>IF('01_orders_raw'!H82&lt;0,"ERROR","OK")</f>
        <v>0</v>
      </c>
      <c r="H82" s="2">
        <f>IF('01_orders_raw'!B82&gt;DATE(2026,6,25),"ERROR","OK")</f>
        <v>0</v>
      </c>
      <c r="I82" s="2">
        <f>IF(OR('01_orders_raw'!J82="Выполнен",'01_orders_raw'!J82="В работе",'01_orders_raw'!J82="Отменен",'01_orders_raw'!J82="Ожидает оплаты"),"OK","ERROR")</f>
        <v>0</v>
      </c>
      <c r="J82" s="2">
        <f>COUNTIF(C82:I82,"ERROR")</f>
        <v>0</v>
      </c>
      <c r="K82" s="2">
        <f>IF(J82&gt;0,"Проверить заказ","")</f>
        <v>0</v>
      </c>
    </row>
    <row r="83" spans="1:11">
      <c r="A83" s="2">
        <f>"Order"</f>
        <v>0</v>
      </c>
      <c r="B83" s="2">
        <f>'01_orders_raw'!A83</f>
        <v>0</v>
      </c>
      <c r="C83" s="2">
        <f>IF(COUNTIF('01_orders_raw'!$A$2:$A$161,'01_orders_raw'!A83)&gt;1,"ERROR","OK")</f>
        <v>0</v>
      </c>
      <c r="D83" s="2">
        <f>IF(OR('01_orders_raw'!C83="",'01_orders_raw'!D83=""),"ERROR","OK")</f>
        <v>0</v>
      </c>
      <c r="E83" s="2">
        <f>IF(COUNTIF('02_clients_raw'!$A$2:$A$47,'01_orders_raw'!C83)=0,"ERROR","OK")</f>
        <v>0</v>
      </c>
      <c r="F83" s="2">
        <f>IF('01_orders_raw'!I83&lt;&gt;'01_orders_raw'!G83*'01_orders_raw'!H83,"ERROR","OK")</f>
        <v>0</v>
      </c>
      <c r="G83" s="2">
        <f>IF('01_orders_raw'!H83&lt;0,"ERROR","OK")</f>
        <v>0</v>
      </c>
      <c r="H83" s="2">
        <f>IF('01_orders_raw'!B83&gt;DATE(2026,6,25),"ERROR","OK")</f>
        <v>0</v>
      </c>
      <c r="I83" s="2">
        <f>IF(OR('01_orders_raw'!J83="Выполнен",'01_orders_raw'!J83="В работе",'01_orders_raw'!J83="Отменен",'01_orders_raw'!J83="Ожидает оплаты"),"OK","ERROR")</f>
        <v>0</v>
      </c>
      <c r="J83" s="2">
        <f>COUNTIF(C83:I83,"ERROR")</f>
        <v>0</v>
      </c>
      <c r="K83" s="2">
        <f>IF(J83&gt;0,"Проверить заказ","")</f>
        <v>0</v>
      </c>
    </row>
    <row r="84" spans="1:11">
      <c r="A84" s="2">
        <f>"Order"</f>
        <v>0</v>
      </c>
      <c r="B84" s="2">
        <f>'01_orders_raw'!A84</f>
        <v>0</v>
      </c>
      <c r="C84" s="2">
        <f>IF(COUNTIF('01_orders_raw'!$A$2:$A$161,'01_orders_raw'!A84)&gt;1,"ERROR","OK")</f>
        <v>0</v>
      </c>
      <c r="D84" s="2">
        <f>IF(OR('01_orders_raw'!C84="",'01_orders_raw'!D84=""),"ERROR","OK")</f>
        <v>0</v>
      </c>
      <c r="E84" s="2">
        <f>IF(COUNTIF('02_clients_raw'!$A$2:$A$47,'01_orders_raw'!C84)=0,"ERROR","OK")</f>
        <v>0</v>
      </c>
      <c r="F84" s="2">
        <f>IF('01_orders_raw'!I84&lt;&gt;'01_orders_raw'!G84*'01_orders_raw'!H84,"ERROR","OK")</f>
        <v>0</v>
      </c>
      <c r="G84" s="2">
        <f>IF('01_orders_raw'!H84&lt;0,"ERROR","OK")</f>
        <v>0</v>
      </c>
      <c r="H84" s="2">
        <f>IF('01_orders_raw'!B84&gt;DATE(2026,6,25),"ERROR","OK")</f>
        <v>0</v>
      </c>
      <c r="I84" s="2">
        <f>IF(OR('01_orders_raw'!J84="Выполнен",'01_orders_raw'!J84="В работе",'01_orders_raw'!J84="Отменен",'01_orders_raw'!J84="Ожидает оплаты"),"OK","ERROR")</f>
        <v>0</v>
      </c>
      <c r="J84" s="2">
        <f>COUNTIF(C84:I84,"ERROR")</f>
        <v>0</v>
      </c>
      <c r="K84" s="2">
        <f>IF(J84&gt;0,"Проверить заказ","")</f>
        <v>0</v>
      </c>
    </row>
    <row r="85" spans="1:11">
      <c r="A85" s="2">
        <f>"Order"</f>
        <v>0</v>
      </c>
      <c r="B85" s="2">
        <f>'01_orders_raw'!A85</f>
        <v>0</v>
      </c>
      <c r="C85" s="2">
        <f>IF(COUNTIF('01_orders_raw'!$A$2:$A$161,'01_orders_raw'!A85)&gt;1,"ERROR","OK")</f>
        <v>0</v>
      </c>
      <c r="D85" s="2">
        <f>IF(OR('01_orders_raw'!C85="",'01_orders_raw'!D85=""),"ERROR","OK")</f>
        <v>0</v>
      </c>
      <c r="E85" s="2">
        <f>IF(COUNTIF('02_clients_raw'!$A$2:$A$47,'01_orders_raw'!C85)=0,"ERROR","OK")</f>
        <v>0</v>
      </c>
      <c r="F85" s="2">
        <f>IF('01_orders_raw'!I85&lt;&gt;'01_orders_raw'!G85*'01_orders_raw'!H85,"ERROR","OK")</f>
        <v>0</v>
      </c>
      <c r="G85" s="2">
        <f>IF('01_orders_raw'!H85&lt;0,"ERROR","OK")</f>
        <v>0</v>
      </c>
      <c r="H85" s="2">
        <f>IF('01_orders_raw'!B85&gt;DATE(2026,6,25),"ERROR","OK")</f>
        <v>0</v>
      </c>
      <c r="I85" s="2">
        <f>IF(OR('01_orders_raw'!J85="Выполнен",'01_orders_raw'!J85="В работе",'01_orders_raw'!J85="Отменен",'01_orders_raw'!J85="Ожидает оплаты"),"OK","ERROR")</f>
        <v>0</v>
      </c>
      <c r="J85" s="2">
        <f>COUNTIF(C85:I85,"ERROR")</f>
        <v>0</v>
      </c>
      <c r="K85" s="2">
        <f>IF(J85&gt;0,"Проверить заказ","")</f>
        <v>0</v>
      </c>
    </row>
    <row r="86" spans="1:11">
      <c r="A86" s="2">
        <f>"Order"</f>
        <v>0</v>
      </c>
      <c r="B86" s="2">
        <f>'01_orders_raw'!A86</f>
        <v>0</v>
      </c>
      <c r="C86" s="2">
        <f>IF(COUNTIF('01_orders_raw'!$A$2:$A$161,'01_orders_raw'!A86)&gt;1,"ERROR","OK")</f>
        <v>0</v>
      </c>
      <c r="D86" s="2">
        <f>IF(OR('01_orders_raw'!C86="",'01_orders_raw'!D86=""),"ERROR","OK")</f>
        <v>0</v>
      </c>
      <c r="E86" s="2">
        <f>IF(COUNTIF('02_clients_raw'!$A$2:$A$47,'01_orders_raw'!C86)=0,"ERROR","OK")</f>
        <v>0</v>
      </c>
      <c r="F86" s="2">
        <f>IF('01_orders_raw'!I86&lt;&gt;'01_orders_raw'!G86*'01_orders_raw'!H86,"ERROR","OK")</f>
        <v>0</v>
      </c>
      <c r="G86" s="2">
        <f>IF('01_orders_raw'!H86&lt;0,"ERROR","OK")</f>
        <v>0</v>
      </c>
      <c r="H86" s="2">
        <f>IF('01_orders_raw'!B86&gt;DATE(2026,6,25),"ERROR","OK")</f>
        <v>0</v>
      </c>
      <c r="I86" s="2">
        <f>IF(OR('01_orders_raw'!J86="Выполнен",'01_orders_raw'!J86="В работе",'01_orders_raw'!J86="Отменен",'01_orders_raw'!J86="Ожидает оплаты"),"OK","ERROR")</f>
        <v>0</v>
      </c>
      <c r="J86" s="2">
        <f>COUNTIF(C86:I86,"ERROR")</f>
        <v>0</v>
      </c>
      <c r="K86" s="2">
        <f>IF(J86&gt;0,"Проверить заказ","")</f>
        <v>0</v>
      </c>
    </row>
    <row r="87" spans="1:11">
      <c r="A87" s="2">
        <f>"Order"</f>
        <v>0</v>
      </c>
      <c r="B87" s="2">
        <f>'01_orders_raw'!A87</f>
        <v>0</v>
      </c>
      <c r="C87" s="2">
        <f>IF(COUNTIF('01_orders_raw'!$A$2:$A$161,'01_orders_raw'!A87)&gt;1,"ERROR","OK")</f>
        <v>0</v>
      </c>
      <c r="D87" s="2">
        <f>IF(OR('01_orders_raw'!C87="",'01_orders_raw'!D87=""),"ERROR","OK")</f>
        <v>0</v>
      </c>
      <c r="E87" s="2">
        <f>IF(COUNTIF('02_clients_raw'!$A$2:$A$47,'01_orders_raw'!C87)=0,"ERROR","OK")</f>
        <v>0</v>
      </c>
      <c r="F87" s="2">
        <f>IF('01_orders_raw'!I87&lt;&gt;'01_orders_raw'!G87*'01_orders_raw'!H87,"ERROR","OK")</f>
        <v>0</v>
      </c>
      <c r="G87" s="2">
        <f>IF('01_orders_raw'!H87&lt;0,"ERROR","OK")</f>
        <v>0</v>
      </c>
      <c r="H87" s="2">
        <f>IF('01_orders_raw'!B87&gt;DATE(2026,6,25),"ERROR","OK")</f>
        <v>0</v>
      </c>
      <c r="I87" s="2">
        <f>IF(OR('01_orders_raw'!J87="Выполнен",'01_orders_raw'!J87="В работе",'01_orders_raw'!J87="Отменен",'01_orders_raw'!J87="Ожидает оплаты"),"OK","ERROR")</f>
        <v>0</v>
      </c>
      <c r="J87" s="2">
        <f>COUNTIF(C87:I87,"ERROR")</f>
        <v>0</v>
      </c>
      <c r="K87" s="2">
        <f>IF(J87&gt;0,"Проверить заказ","")</f>
        <v>0</v>
      </c>
    </row>
    <row r="88" spans="1:11">
      <c r="A88" s="2">
        <f>"Order"</f>
        <v>0</v>
      </c>
      <c r="B88" s="2">
        <f>'01_orders_raw'!A88</f>
        <v>0</v>
      </c>
      <c r="C88" s="2">
        <f>IF(COUNTIF('01_orders_raw'!$A$2:$A$161,'01_orders_raw'!A88)&gt;1,"ERROR","OK")</f>
        <v>0</v>
      </c>
      <c r="D88" s="2">
        <f>IF(OR('01_orders_raw'!C88="",'01_orders_raw'!D88=""),"ERROR","OK")</f>
        <v>0</v>
      </c>
      <c r="E88" s="2">
        <f>IF(COUNTIF('02_clients_raw'!$A$2:$A$47,'01_orders_raw'!C88)=0,"ERROR","OK")</f>
        <v>0</v>
      </c>
      <c r="F88" s="2">
        <f>IF('01_orders_raw'!I88&lt;&gt;'01_orders_raw'!G88*'01_orders_raw'!H88,"ERROR","OK")</f>
        <v>0</v>
      </c>
      <c r="G88" s="2">
        <f>IF('01_orders_raw'!H88&lt;0,"ERROR","OK")</f>
        <v>0</v>
      </c>
      <c r="H88" s="2">
        <f>IF('01_orders_raw'!B88&gt;DATE(2026,6,25),"ERROR","OK")</f>
        <v>0</v>
      </c>
      <c r="I88" s="2">
        <f>IF(OR('01_orders_raw'!J88="Выполнен",'01_orders_raw'!J88="В работе",'01_orders_raw'!J88="Отменен",'01_orders_raw'!J88="Ожидает оплаты"),"OK","ERROR")</f>
        <v>0</v>
      </c>
      <c r="J88" s="2">
        <f>COUNTIF(C88:I88,"ERROR")</f>
        <v>0</v>
      </c>
      <c r="K88" s="2">
        <f>IF(J88&gt;0,"Проверить заказ","")</f>
        <v>0</v>
      </c>
    </row>
    <row r="89" spans="1:11">
      <c r="A89" s="2">
        <f>"Order"</f>
        <v>0</v>
      </c>
      <c r="B89" s="2">
        <f>'01_orders_raw'!A89</f>
        <v>0</v>
      </c>
      <c r="C89" s="2">
        <f>IF(COUNTIF('01_orders_raw'!$A$2:$A$161,'01_orders_raw'!A89)&gt;1,"ERROR","OK")</f>
        <v>0</v>
      </c>
      <c r="D89" s="2">
        <f>IF(OR('01_orders_raw'!C89="",'01_orders_raw'!D89=""),"ERROR","OK")</f>
        <v>0</v>
      </c>
      <c r="E89" s="2">
        <f>IF(COUNTIF('02_clients_raw'!$A$2:$A$47,'01_orders_raw'!C89)=0,"ERROR","OK")</f>
        <v>0</v>
      </c>
      <c r="F89" s="2">
        <f>IF('01_orders_raw'!I89&lt;&gt;'01_orders_raw'!G89*'01_orders_raw'!H89,"ERROR","OK")</f>
        <v>0</v>
      </c>
      <c r="G89" s="2">
        <f>IF('01_orders_raw'!H89&lt;0,"ERROR","OK")</f>
        <v>0</v>
      </c>
      <c r="H89" s="2">
        <f>IF('01_orders_raw'!B89&gt;DATE(2026,6,25),"ERROR","OK")</f>
        <v>0</v>
      </c>
      <c r="I89" s="2">
        <f>IF(OR('01_orders_raw'!J89="Выполнен",'01_orders_raw'!J89="В работе",'01_orders_raw'!J89="Отменен",'01_orders_raw'!J89="Ожидает оплаты"),"OK","ERROR")</f>
        <v>0</v>
      </c>
      <c r="J89" s="2">
        <f>COUNTIF(C89:I89,"ERROR")</f>
        <v>0</v>
      </c>
      <c r="K89" s="2">
        <f>IF(J89&gt;0,"Проверить заказ","")</f>
        <v>0</v>
      </c>
    </row>
    <row r="90" spans="1:11">
      <c r="A90" s="2">
        <f>"Order"</f>
        <v>0</v>
      </c>
      <c r="B90" s="2">
        <f>'01_orders_raw'!A90</f>
        <v>0</v>
      </c>
      <c r="C90" s="2">
        <f>IF(COUNTIF('01_orders_raw'!$A$2:$A$161,'01_orders_raw'!A90)&gt;1,"ERROR","OK")</f>
        <v>0</v>
      </c>
      <c r="D90" s="2">
        <f>IF(OR('01_orders_raw'!C90="",'01_orders_raw'!D90=""),"ERROR","OK")</f>
        <v>0</v>
      </c>
      <c r="E90" s="2">
        <f>IF(COUNTIF('02_clients_raw'!$A$2:$A$47,'01_orders_raw'!C90)=0,"ERROR","OK")</f>
        <v>0</v>
      </c>
      <c r="F90" s="2">
        <f>IF('01_orders_raw'!I90&lt;&gt;'01_orders_raw'!G90*'01_orders_raw'!H90,"ERROR","OK")</f>
        <v>0</v>
      </c>
      <c r="G90" s="2">
        <f>IF('01_orders_raw'!H90&lt;0,"ERROR","OK")</f>
        <v>0</v>
      </c>
      <c r="H90" s="2">
        <f>IF('01_orders_raw'!B90&gt;DATE(2026,6,25),"ERROR","OK")</f>
        <v>0</v>
      </c>
      <c r="I90" s="2">
        <f>IF(OR('01_orders_raw'!J90="Выполнен",'01_orders_raw'!J90="В работе",'01_orders_raw'!J90="Отменен",'01_orders_raw'!J90="Ожидает оплаты"),"OK","ERROR")</f>
        <v>0</v>
      </c>
      <c r="J90" s="2">
        <f>COUNTIF(C90:I90,"ERROR")</f>
        <v>0</v>
      </c>
      <c r="K90" s="2">
        <f>IF(J90&gt;0,"Проверить заказ","")</f>
        <v>0</v>
      </c>
    </row>
    <row r="91" spans="1:11">
      <c r="A91" s="2">
        <f>"Order"</f>
        <v>0</v>
      </c>
      <c r="B91" s="2">
        <f>'01_orders_raw'!A91</f>
        <v>0</v>
      </c>
      <c r="C91" s="2">
        <f>IF(COUNTIF('01_orders_raw'!$A$2:$A$161,'01_orders_raw'!A91)&gt;1,"ERROR","OK")</f>
        <v>0</v>
      </c>
      <c r="D91" s="2">
        <f>IF(OR('01_orders_raw'!C91="",'01_orders_raw'!D91=""),"ERROR","OK")</f>
        <v>0</v>
      </c>
      <c r="E91" s="2">
        <f>IF(COUNTIF('02_clients_raw'!$A$2:$A$47,'01_orders_raw'!C91)=0,"ERROR","OK")</f>
        <v>0</v>
      </c>
      <c r="F91" s="2">
        <f>IF('01_orders_raw'!I91&lt;&gt;'01_orders_raw'!G91*'01_orders_raw'!H91,"ERROR","OK")</f>
        <v>0</v>
      </c>
      <c r="G91" s="2">
        <f>IF('01_orders_raw'!H91&lt;0,"ERROR","OK")</f>
        <v>0</v>
      </c>
      <c r="H91" s="2">
        <f>IF('01_orders_raw'!B91&gt;DATE(2026,6,25),"ERROR","OK")</f>
        <v>0</v>
      </c>
      <c r="I91" s="2">
        <f>IF(OR('01_orders_raw'!J91="Выполнен",'01_orders_raw'!J91="В работе",'01_orders_raw'!J91="Отменен",'01_orders_raw'!J91="Ожидает оплаты"),"OK","ERROR")</f>
        <v>0</v>
      </c>
      <c r="J91" s="2">
        <f>COUNTIF(C91:I91,"ERROR")</f>
        <v>0</v>
      </c>
      <c r="K91" s="2">
        <f>IF(J91&gt;0,"Проверить заказ","")</f>
        <v>0</v>
      </c>
    </row>
    <row r="92" spans="1:11">
      <c r="A92" s="2">
        <f>"Order"</f>
        <v>0</v>
      </c>
      <c r="B92" s="2">
        <f>'01_orders_raw'!A92</f>
        <v>0</v>
      </c>
      <c r="C92" s="2">
        <f>IF(COUNTIF('01_orders_raw'!$A$2:$A$161,'01_orders_raw'!A92)&gt;1,"ERROR","OK")</f>
        <v>0</v>
      </c>
      <c r="D92" s="2">
        <f>IF(OR('01_orders_raw'!C92="",'01_orders_raw'!D92=""),"ERROR","OK")</f>
        <v>0</v>
      </c>
      <c r="E92" s="2">
        <f>IF(COUNTIF('02_clients_raw'!$A$2:$A$47,'01_orders_raw'!C92)=0,"ERROR","OK")</f>
        <v>0</v>
      </c>
      <c r="F92" s="2">
        <f>IF('01_orders_raw'!I92&lt;&gt;'01_orders_raw'!G92*'01_orders_raw'!H92,"ERROR","OK")</f>
        <v>0</v>
      </c>
      <c r="G92" s="2">
        <f>IF('01_orders_raw'!H92&lt;0,"ERROR","OK")</f>
        <v>0</v>
      </c>
      <c r="H92" s="2">
        <f>IF('01_orders_raw'!B92&gt;DATE(2026,6,25),"ERROR","OK")</f>
        <v>0</v>
      </c>
      <c r="I92" s="2">
        <f>IF(OR('01_orders_raw'!J92="Выполнен",'01_orders_raw'!J92="В работе",'01_orders_raw'!J92="Отменен",'01_orders_raw'!J92="Ожидает оплаты"),"OK","ERROR")</f>
        <v>0</v>
      </c>
      <c r="J92" s="2">
        <f>COUNTIF(C92:I92,"ERROR")</f>
        <v>0</v>
      </c>
      <c r="K92" s="2">
        <f>IF(J92&gt;0,"Проверить заказ","")</f>
        <v>0</v>
      </c>
    </row>
    <row r="93" spans="1:11">
      <c r="A93" s="2">
        <f>"Order"</f>
        <v>0</v>
      </c>
      <c r="B93" s="2">
        <f>'01_orders_raw'!A93</f>
        <v>0</v>
      </c>
      <c r="C93" s="2">
        <f>IF(COUNTIF('01_orders_raw'!$A$2:$A$161,'01_orders_raw'!A93)&gt;1,"ERROR","OK")</f>
        <v>0</v>
      </c>
      <c r="D93" s="2">
        <f>IF(OR('01_orders_raw'!C93="",'01_orders_raw'!D93=""),"ERROR","OK")</f>
        <v>0</v>
      </c>
      <c r="E93" s="2">
        <f>IF(COUNTIF('02_clients_raw'!$A$2:$A$47,'01_orders_raw'!C93)=0,"ERROR","OK")</f>
        <v>0</v>
      </c>
      <c r="F93" s="2">
        <f>IF('01_orders_raw'!I93&lt;&gt;'01_orders_raw'!G93*'01_orders_raw'!H93,"ERROR","OK")</f>
        <v>0</v>
      </c>
      <c r="G93" s="2">
        <f>IF('01_orders_raw'!H93&lt;0,"ERROR","OK")</f>
        <v>0</v>
      </c>
      <c r="H93" s="2">
        <f>IF('01_orders_raw'!B93&gt;DATE(2026,6,25),"ERROR","OK")</f>
        <v>0</v>
      </c>
      <c r="I93" s="2">
        <f>IF(OR('01_orders_raw'!J93="Выполнен",'01_orders_raw'!J93="В работе",'01_orders_raw'!J93="Отменен",'01_orders_raw'!J93="Ожидает оплаты"),"OK","ERROR")</f>
        <v>0</v>
      </c>
      <c r="J93" s="2">
        <f>COUNTIF(C93:I93,"ERROR")</f>
        <v>0</v>
      </c>
      <c r="K93" s="2">
        <f>IF(J93&gt;0,"Проверить заказ","")</f>
        <v>0</v>
      </c>
    </row>
    <row r="94" spans="1:11">
      <c r="A94" s="2">
        <f>"Order"</f>
        <v>0</v>
      </c>
      <c r="B94" s="2">
        <f>'01_orders_raw'!A94</f>
        <v>0</v>
      </c>
      <c r="C94" s="2">
        <f>IF(COUNTIF('01_orders_raw'!$A$2:$A$161,'01_orders_raw'!A94)&gt;1,"ERROR","OK")</f>
        <v>0</v>
      </c>
      <c r="D94" s="2">
        <f>IF(OR('01_orders_raw'!C94="",'01_orders_raw'!D94=""),"ERROR","OK")</f>
        <v>0</v>
      </c>
      <c r="E94" s="2">
        <f>IF(COUNTIF('02_clients_raw'!$A$2:$A$47,'01_orders_raw'!C94)=0,"ERROR","OK")</f>
        <v>0</v>
      </c>
      <c r="F94" s="2">
        <f>IF('01_orders_raw'!I94&lt;&gt;'01_orders_raw'!G94*'01_orders_raw'!H94,"ERROR","OK")</f>
        <v>0</v>
      </c>
      <c r="G94" s="2">
        <f>IF('01_orders_raw'!H94&lt;0,"ERROR","OK")</f>
        <v>0</v>
      </c>
      <c r="H94" s="2">
        <f>IF('01_orders_raw'!B94&gt;DATE(2026,6,25),"ERROR","OK")</f>
        <v>0</v>
      </c>
      <c r="I94" s="2">
        <f>IF(OR('01_orders_raw'!J94="Выполнен",'01_orders_raw'!J94="В работе",'01_orders_raw'!J94="Отменен",'01_orders_raw'!J94="Ожидает оплаты"),"OK","ERROR")</f>
        <v>0</v>
      </c>
      <c r="J94" s="2">
        <f>COUNTIF(C94:I94,"ERROR")</f>
        <v>0</v>
      </c>
      <c r="K94" s="2">
        <f>IF(J94&gt;0,"Проверить заказ","")</f>
        <v>0</v>
      </c>
    </row>
    <row r="95" spans="1:11">
      <c r="A95" s="2">
        <f>"Order"</f>
        <v>0</v>
      </c>
      <c r="B95" s="2">
        <f>'01_orders_raw'!A95</f>
        <v>0</v>
      </c>
      <c r="C95" s="2">
        <f>IF(COUNTIF('01_orders_raw'!$A$2:$A$161,'01_orders_raw'!A95)&gt;1,"ERROR","OK")</f>
        <v>0</v>
      </c>
      <c r="D95" s="2">
        <f>IF(OR('01_orders_raw'!C95="",'01_orders_raw'!D95=""),"ERROR","OK")</f>
        <v>0</v>
      </c>
      <c r="E95" s="2">
        <f>IF(COUNTIF('02_clients_raw'!$A$2:$A$47,'01_orders_raw'!C95)=0,"ERROR","OK")</f>
        <v>0</v>
      </c>
      <c r="F95" s="2">
        <f>IF('01_orders_raw'!I95&lt;&gt;'01_orders_raw'!G95*'01_orders_raw'!H95,"ERROR","OK")</f>
        <v>0</v>
      </c>
      <c r="G95" s="2">
        <f>IF('01_orders_raw'!H95&lt;0,"ERROR","OK")</f>
        <v>0</v>
      </c>
      <c r="H95" s="2">
        <f>IF('01_orders_raw'!B95&gt;DATE(2026,6,25),"ERROR","OK")</f>
        <v>0</v>
      </c>
      <c r="I95" s="2">
        <f>IF(OR('01_orders_raw'!J95="Выполнен",'01_orders_raw'!J95="В работе",'01_orders_raw'!J95="Отменен",'01_orders_raw'!J95="Ожидает оплаты"),"OK","ERROR")</f>
        <v>0</v>
      </c>
      <c r="J95" s="2">
        <f>COUNTIF(C95:I95,"ERROR")</f>
        <v>0</v>
      </c>
      <c r="K95" s="2">
        <f>IF(J95&gt;0,"Проверить заказ","")</f>
        <v>0</v>
      </c>
    </row>
    <row r="96" spans="1:11">
      <c r="A96" s="2">
        <f>"Order"</f>
        <v>0</v>
      </c>
      <c r="B96" s="2">
        <f>'01_orders_raw'!A96</f>
        <v>0</v>
      </c>
      <c r="C96" s="2">
        <f>IF(COUNTIF('01_orders_raw'!$A$2:$A$161,'01_orders_raw'!A96)&gt;1,"ERROR","OK")</f>
        <v>0</v>
      </c>
      <c r="D96" s="2">
        <f>IF(OR('01_orders_raw'!C96="",'01_orders_raw'!D96=""),"ERROR","OK")</f>
        <v>0</v>
      </c>
      <c r="E96" s="2">
        <f>IF(COUNTIF('02_clients_raw'!$A$2:$A$47,'01_orders_raw'!C96)=0,"ERROR","OK")</f>
        <v>0</v>
      </c>
      <c r="F96" s="2">
        <f>IF('01_orders_raw'!I96&lt;&gt;'01_orders_raw'!G96*'01_orders_raw'!H96,"ERROR","OK")</f>
        <v>0</v>
      </c>
      <c r="G96" s="2">
        <f>IF('01_orders_raw'!H96&lt;0,"ERROR","OK")</f>
        <v>0</v>
      </c>
      <c r="H96" s="2">
        <f>IF('01_orders_raw'!B96&gt;DATE(2026,6,25),"ERROR","OK")</f>
        <v>0</v>
      </c>
      <c r="I96" s="2">
        <f>IF(OR('01_orders_raw'!J96="Выполнен",'01_orders_raw'!J96="В работе",'01_orders_raw'!J96="Отменен",'01_orders_raw'!J96="Ожидает оплаты"),"OK","ERROR")</f>
        <v>0</v>
      </c>
      <c r="J96" s="2">
        <f>COUNTIF(C96:I96,"ERROR")</f>
        <v>0</v>
      </c>
      <c r="K96" s="2">
        <f>IF(J96&gt;0,"Проверить заказ","")</f>
        <v>0</v>
      </c>
    </row>
    <row r="97" spans="1:11">
      <c r="A97" s="2">
        <f>"Order"</f>
        <v>0</v>
      </c>
      <c r="B97" s="2">
        <f>'01_orders_raw'!A97</f>
        <v>0</v>
      </c>
      <c r="C97" s="2">
        <f>IF(COUNTIF('01_orders_raw'!$A$2:$A$161,'01_orders_raw'!A97)&gt;1,"ERROR","OK")</f>
        <v>0</v>
      </c>
      <c r="D97" s="2">
        <f>IF(OR('01_orders_raw'!C97="",'01_orders_raw'!D97=""),"ERROR","OK")</f>
        <v>0</v>
      </c>
      <c r="E97" s="2">
        <f>IF(COUNTIF('02_clients_raw'!$A$2:$A$47,'01_orders_raw'!C97)=0,"ERROR","OK")</f>
        <v>0</v>
      </c>
      <c r="F97" s="2">
        <f>IF('01_orders_raw'!I97&lt;&gt;'01_orders_raw'!G97*'01_orders_raw'!H97,"ERROR","OK")</f>
        <v>0</v>
      </c>
      <c r="G97" s="2">
        <f>IF('01_orders_raw'!H97&lt;0,"ERROR","OK")</f>
        <v>0</v>
      </c>
      <c r="H97" s="2">
        <f>IF('01_orders_raw'!B97&gt;DATE(2026,6,25),"ERROR","OK")</f>
        <v>0</v>
      </c>
      <c r="I97" s="2">
        <f>IF(OR('01_orders_raw'!J97="Выполнен",'01_orders_raw'!J97="В работе",'01_orders_raw'!J97="Отменен",'01_orders_raw'!J97="Ожидает оплаты"),"OK","ERROR")</f>
        <v>0</v>
      </c>
      <c r="J97" s="2">
        <f>COUNTIF(C97:I97,"ERROR")</f>
        <v>0</v>
      </c>
      <c r="K97" s="2">
        <f>IF(J97&gt;0,"Проверить заказ","")</f>
        <v>0</v>
      </c>
    </row>
    <row r="98" spans="1:11">
      <c r="A98" s="2">
        <f>"Order"</f>
        <v>0</v>
      </c>
      <c r="B98" s="2">
        <f>'01_orders_raw'!A98</f>
        <v>0</v>
      </c>
      <c r="C98" s="2">
        <f>IF(COUNTIF('01_orders_raw'!$A$2:$A$161,'01_orders_raw'!A98)&gt;1,"ERROR","OK")</f>
        <v>0</v>
      </c>
      <c r="D98" s="2">
        <f>IF(OR('01_orders_raw'!C98="",'01_orders_raw'!D98=""),"ERROR","OK")</f>
        <v>0</v>
      </c>
      <c r="E98" s="2">
        <f>IF(COUNTIF('02_clients_raw'!$A$2:$A$47,'01_orders_raw'!C98)=0,"ERROR","OK")</f>
        <v>0</v>
      </c>
      <c r="F98" s="2">
        <f>IF('01_orders_raw'!I98&lt;&gt;'01_orders_raw'!G98*'01_orders_raw'!H98,"ERROR","OK")</f>
        <v>0</v>
      </c>
      <c r="G98" s="2">
        <f>IF('01_orders_raw'!H98&lt;0,"ERROR","OK")</f>
        <v>0</v>
      </c>
      <c r="H98" s="2">
        <f>IF('01_orders_raw'!B98&gt;DATE(2026,6,25),"ERROR","OK")</f>
        <v>0</v>
      </c>
      <c r="I98" s="2">
        <f>IF(OR('01_orders_raw'!J98="Выполнен",'01_orders_raw'!J98="В работе",'01_orders_raw'!J98="Отменен",'01_orders_raw'!J98="Ожидает оплаты"),"OK","ERROR")</f>
        <v>0</v>
      </c>
      <c r="J98" s="2">
        <f>COUNTIF(C98:I98,"ERROR")</f>
        <v>0</v>
      </c>
      <c r="K98" s="2">
        <f>IF(J98&gt;0,"Проверить заказ","")</f>
        <v>0</v>
      </c>
    </row>
    <row r="99" spans="1:11">
      <c r="A99" s="2">
        <f>"Order"</f>
        <v>0</v>
      </c>
      <c r="B99" s="2">
        <f>'01_orders_raw'!A99</f>
        <v>0</v>
      </c>
      <c r="C99" s="2">
        <f>IF(COUNTIF('01_orders_raw'!$A$2:$A$161,'01_orders_raw'!A99)&gt;1,"ERROR","OK")</f>
        <v>0</v>
      </c>
      <c r="D99" s="2">
        <f>IF(OR('01_orders_raw'!C99="",'01_orders_raw'!D99=""),"ERROR","OK")</f>
        <v>0</v>
      </c>
      <c r="E99" s="2">
        <f>IF(COUNTIF('02_clients_raw'!$A$2:$A$47,'01_orders_raw'!C99)=0,"ERROR","OK")</f>
        <v>0</v>
      </c>
      <c r="F99" s="2">
        <f>IF('01_orders_raw'!I99&lt;&gt;'01_orders_raw'!G99*'01_orders_raw'!H99,"ERROR","OK")</f>
        <v>0</v>
      </c>
      <c r="G99" s="2">
        <f>IF('01_orders_raw'!H99&lt;0,"ERROR","OK")</f>
        <v>0</v>
      </c>
      <c r="H99" s="2">
        <f>IF('01_orders_raw'!B99&gt;DATE(2026,6,25),"ERROR","OK")</f>
        <v>0</v>
      </c>
      <c r="I99" s="2">
        <f>IF(OR('01_orders_raw'!J99="Выполнен",'01_orders_raw'!J99="В работе",'01_orders_raw'!J99="Отменен",'01_orders_raw'!J99="Ожидает оплаты"),"OK","ERROR")</f>
        <v>0</v>
      </c>
      <c r="J99" s="2">
        <f>COUNTIF(C99:I99,"ERROR")</f>
        <v>0</v>
      </c>
      <c r="K99" s="2">
        <f>IF(J99&gt;0,"Проверить заказ","")</f>
        <v>0</v>
      </c>
    </row>
    <row r="100" spans="1:11">
      <c r="A100" s="2">
        <f>"Order"</f>
        <v>0</v>
      </c>
      <c r="B100" s="2">
        <f>'01_orders_raw'!A100</f>
        <v>0</v>
      </c>
      <c r="C100" s="2">
        <f>IF(COUNTIF('01_orders_raw'!$A$2:$A$161,'01_orders_raw'!A100)&gt;1,"ERROR","OK")</f>
        <v>0</v>
      </c>
      <c r="D100" s="2">
        <f>IF(OR('01_orders_raw'!C100="",'01_orders_raw'!D100=""),"ERROR","OK")</f>
        <v>0</v>
      </c>
      <c r="E100" s="2">
        <f>IF(COUNTIF('02_clients_raw'!$A$2:$A$47,'01_orders_raw'!C100)=0,"ERROR","OK")</f>
        <v>0</v>
      </c>
      <c r="F100" s="2">
        <f>IF('01_orders_raw'!I100&lt;&gt;'01_orders_raw'!G100*'01_orders_raw'!H100,"ERROR","OK")</f>
        <v>0</v>
      </c>
      <c r="G100" s="2">
        <f>IF('01_orders_raw'!H100&lt;0,"ERROR","OK")</f>
        <v>0</v>
      </c>
      <c r="H100" s="2">
        <f>IF('01_orders_raw'!B100&gt;DATE(2026,6,25),"ERROR","OK")</f>
        <v>0</v>
      </c>
      <c r="I100" s="2">
        <f>IF(OR('01_orders_raw'!J100="Выполнен",'01_orders_raw'!J100="В работе",'01_orders_raw'!J100="Отменен",'01_orders_raw'!J100="Ожидает оплаты"),"OK","ERROR")</f>
        <v>0</v>
      </c>
      <c r="J100" s="2">
        <f>COUNTIF(C100:I100,"ERROR")</f>
        <v>0</v>
      </c>
      <c r="K100" s="2">
        <f>IF(J100&gt;0,"Проверить заказ","")</f>
        <v>0</v>
      </c>
    </row>
    <row r="101" spans="1:11">
      <c r="A101" s="2">
        <f>"Order"</f>
        <v>0</v>
      </c>
      <c r="B101" s="2">
        <f>'01_orders_raw'!A101</f>
        <v>0</v>
      </c>
      <c r="C101" s="2">
        <f>IF(COUNTIF('01_orders_raw'!$A$2:$A$161,'01_orders_raw'!A101)&gt;1,"ERROR","OK")</f>
        <v>0</v>
      </c>
      <c r="D101" s="2">
        <f>IF(OR('01_orders_raw'!C101="",'01_orders_raw'!D101=""),"ERROR","OK")</f>
        <v>0</v>
      </c>
      <c r="E101" s="2">
        <f>IF(COUNTIF('02_clients_raw'!$A$2:$A$47,'01_orders_raw'!C101)=0,"ERROR","OK")</f>
        <v>0</v>
      </c>
      <c r="F101" s="2">
        <f>IF('01_orders_raw'!I101&lt;&gt;'01_orders_raw'!G101*'01_orders_raw'!H101,"ERROR","OK")</f>
        <v>0</v>
      </c>
      <c r="G101" s="2">
        <f>IF('01_orders_raw'!H101&lt;0,"ERROR","OK")</f>
        <v>0</v>
      </c>
      <c r="H101" s="2">
        <f>IF('01_orders_raw'!B101&gt;DATE(2026,6,25),"ERROR","OK")</f>
        <v>0</v>
      </c>
      <c r="I101" s="2">
        <f>IF(OR('01_orders_raw'!J101="Выполнен",'01_orders_raw'!J101="В работе",'01_orders_raw'!J101="Отменен",'01_orders_raw'!J101="Ожидает оплаты"),"OK","ERROR")</f>
        <v>0</v>
      </c>
      <c r="J101" s="2">
        <f>COUNTIF(C101:I101,"ERROR")</f>
        <v>0</v>
      </c>
      <c r="K101" s="2">
        <f>IF(J101&gt;0,"Проверить заказ","")</f>
        <v>0</v>
      </c>
    </row>
    <row r="102" spans="1:11">
      <c r="A102" s="2">
        <f>"Order"</f>
        <v>0</v>
      </c>
      <c r="B102" s="2">
        <f>'01_orders_raw'!A102</f>
        <v>0</v>
      </c>
      <c r="C102" s="2">
        <f>IF(COUNTIF('01_orders_raw'!$A$2:$A$161,'01_orders_raw'!A102)&gt;1,"ERROR","OK")</f>
        <v>0</v>
      </c>
      <c r="D102" s="2">
        <f>IF(OR('01_orders_raw'!C102="",'01_orders_raw'!D102=""),"ERROR","OK")</f>
        <v>0</v>
      </c>
      <c r="E102" s="2">
        <f>IF(COUNTIF('02_clients_raw'!$A$2:$A$47,'01_orders_raw'!C102)=0,"ERROR","OK")</f>
        <v>0</v>
      </c>
      <c r="F102" s="2">
        <f>IF('01_orders_raw'!I102&lt;&gt;'01_orders_raw'!G102*'01_orders_raw'!H102,"ERROR","OK")</f>
        <v>0</v>
      </c>
      <c r="G102" s="2">
        <f>IF('01_orders_raw'!H102&lt;0,"ERROR","OK")</f>
        <v>0</v>
      </c>
      <c r="H102" s="2">
        <f>IF('01_orders_raw'!B102&gt;DATE(2026,6,25),"ERROR","OK")</f>
        <v>0</v>
      </c>
      <c r="I102" s="2">
        <f>IF(OR('01_orders_raw'!J102="Выполнен",'01_orders_raw'!J102="В работе",'01_orders_raw'!J102="Отменен",'01_orders_raw'!J102="Ожидает оплаты"),"OK","ERROR")</f>
        <v>0</v>
      </c>
      <c r="J102" s="2">
        <f>COUNTIF(C102:I102,"ERROR")</f>
        <v>0</v>
      </c>
      <c r="K102" s="2">
        <f>IF(J102&gt;0,"Проверить заказ","")</f>
        <v>0</v>
      </c>
    </row>
    <row r="103" spans="1:11">
      <c r="A103" s="2">
        <f>"Order"</f>
        <v>0</v>
      </c>
      <c r="B103" s="2">
        <f>'01_orders_raw'!A103</f>
        <v>0</v>
      </c>
      <c r="C103" s="2">
        <f>IF(COUNTIF('01_orders_raw'!$A$2:$A$161,'01_orders_raw'!A103)&gt;1,"ERROR","OK")</f>
        <v>0</v>
      </c>
      <c r="D103" s="2">
        <f>IF(OR('01_orders_raw'!C103="",'01_orders_raw'!D103=""),"ERROR","OK")</f>
        <v>0</v>
      </c>
      <c r="E103" s="2">
        <f>IF(COUNTIF('02_clients_raw'!$A$2:$A$47,'01_orders_raw'!C103)=0,"ERROR","OK")</f>
        <v>0</v>
      </c>
      <c r="F103" s="2">
        <f>IF('01_orders_raw'!I103&lt;&gt;'01_orders_raw'!G103*'01_orders_raw'!H103,"ERROR","OK")</f>
        <v>0</v>
      </c>
      <c r="G103" s="2">
        <f>IF('01_orders_raw'!H103&lt;0,"ERROR","OK")</f>
        <v>0</v>
      </c>
      <c r="H103" s="2">
        <f>IF('01_orders_raw'!B103&gt;DATE(2026,6,25),"ERROR","OK")</f>
        <v>0</v>
      </c>
      <c r="I103" s="2">
        <f>IF(OR('01_orders_raw'!J103="Выполнен",'01_orders_raw'!J103="В работе",'01_orders_raw'!J103="Отменен",'01_orders_raw'!J103="Ожидает оплаты"),"OK","ERROR")</f>
        <v>0</v>
      </c>
      <c r="J103" s="2">
        <f>COUNTIF(C103:I103,"ERROR")</f>
        <v>0</v>
      </c>
      <c r="K103" s="2">
        <f>IF(J103&gt;0,"Проверить заказ","")</f>
        <v>0</v>
      </c>
    </row>
    <row r="104" spans="1:11">
      <c r="A104" s="2">
        <f>"Order"</f>
        <v>0</v>
      </c>
      <c r="B104" s="2">
        <f>'01_orders_raw'!A104</f>
        <v>0</v>
      </c>
      <c r="C104" s="2">
        <f>IF(COUNTIF('01_orders_raw'!$A$2:$A$161,'01_orders_raw'!A104)&gt;1,"ERROR","OK")</f>
        <v>0</v>
      </c>
      <c r="D104" s="2">
        <f>IF(OR('01_orders_raw'!C104="",'01_orders_raw'!D104=""),"ERROR","OK")</f>
        <v>0</v>
      </c>
      <c r="E104" s="2">
        <f>IF(COUNTIF('02_clients_raw'!$A$2:$A$47,'01_orders_raw'!C104)=0,"ERROR","OK")</f>
        <v>0</v>
      </c>
      <c r="F104" s="2">
        <f>IF('01_orders_raw'!I104&lt;&gt;'01_orders_raw'!G104*'01_orders_raw'!H104,"ERROR","OK")</f>
        <v>0</v>
      </c>
      <c r="G104" s="2">
        <f>IF('01_orders_raw'!H104&lt;0,"ERROR","OK")</f>
        <v>0</v>
      </c>
      <c r="H104" s="2">
        <f>IF('01_orders_raw'!B104&gt;DATE(2026,6,25),"ERROR","OK")</f>
        <v>0</v>
      </c>
      <c r="I104" s="2">
        <f>IF(OR('01_orders_raw'!J104="Выполнен",'01_orders_raw'!J104="В работе",'01_orders_raw'!J104="Отменен",'01_orders_raw'!J104="Ожидает оплаты"),"OK","ERROR")</f>
        <v>0</v>
      </c>
      <c r="J104" s="2">
        <f>COUNTIF(C104:I104,"ERROR")</f>
        <v>0</v>
      </c>
      <c r="K104" s="2">
        <f>IF(J104&gt;0,"Проверить заказ","")</f>
        <v>0</v>
      </c>
    </row>
    <row r="105" spans="1:11">
      <c r="A105" s="2">
        <f>"Order"</f>
        <v>0</v>
      </c>
      <c r="B105" s="2">
        <f>'01_orders_raw'!A105</f>
        <v>0</v>
      </c>
      <c r="C105" s="2">
        <f>IF(COUNTIF('01_orders_raw'!$A$2:$A$161,'01_orders_raw'!A105)&gt;1,"ERROR","OK")</f>
        <v>0</v>
      </c>
      <c r="D105" s="2">
        <f>IF(OR('01_orders_raw'!C105="",'01_orders_raw'!D105=""),"ERROR","OK")</f>
        <v>0</v>
      </c>
      <c r="E105" s="2">
        <f>IF(COUNTIF('02_clients_raw'!$A$2:$A$47,'01_orders_raw'!C105)=0,"ERROR","OK")</f>
        <v>0</v>
      </c>
      <c r="F105" s="2">
        <f>IF('01_orders_raw'!I105&lt;&gt;'01_orders_raw'!G105*'01_orders_raw'!H105,"ERROR","OK")</f>
        <v>0</v>
      </c>
      <c r="G105" s="2">
        <f>IF('01_orders_raw'!H105&lt;0,"ERROR","OK")</f>
        <v>0</v>
      </c>
      <c r="H105" s="2">
        <f>IF('01_orders_raw'!B105&gt;DATE(2026,6,25),"ERROR","OK")</f>
        <v>0</v>
      </c>
      <c r="I105" s="2">
        <f>IF(OR('01_orders_raw'!J105="Выполнен",'01_orders_raw'!J105="В работе",'01_orders_raw'!J105="Отменен",'01_orders_raw'!J105="Ожидает оплаты"),"OK","ERROR")</f>
        <v>0</v>
      </c>
      <c r="J105" s="2">
        <f>COUNTIF(C105:I105,"ERROR")</f>
        <v>0</v>
      </c>
      <c r="K105" s="2">
        <f>IF(J105&gt;0,"Проверить заказ","")</f>
        <v>0</v>
      </c>
    </row>
    <row r="106" spans="1:11">
      <c r="A106" s="2">
        <f>"Order"</f>
        <v>0</v>
      </c>
      <c r="B106" s="2">
        <f>'01_orders_raw'!A106</f>
        <v>0</v>
      </c>
      <c r="C106" s="2">
        <f>IF(COUNTIF('01_orders_raw'!$A$2:$A$161,'01_orders_raw'!A106)&gt;1,"ERROR","OK")</f>
        <v>0</v>
      </c>
      <c r="D106" s="2">
        <f>IF(OR('01_orders_raw'!C106="",'01_orders_raw'!D106=""),"ERROR","OK")</f>
        <v>0</v>
      </c>
      <c r="E106" s="2">
        <f>IF(COUNTIF('02_clients_raw'!$A$2:$A$47,'01_orders_raw'!C106)=0,"ERROR","OK")</f>
        <v>0</v>
      </c>
      <c r="F106" s="2">
        <f>IF('01_orders_raw'!I106&lt;&gt;'01_orders_raw'!G106*'01_orders_raw'!H106,"ERROR","OK")</f>
        <v>0</v>
      </c>
      <c r="G106" s="2">
        <f>IF('01_orders_raw'!H106&lt;0,"ERROR","OK")</f>
        <v>0</v>
      </c>
      <c r="H106" s="2">
        <f>IF('01_orders_raw'!B106&gt;DATE(2026,6,25),"ERROR","OK")</f>
        <v>0</v>
      </c>
      <c r="I106" s="2">
        <f>IF(OR('01_orders_raw'!J106="Выполнен",'01_orders_raw'!J106="В работе",'01_orders_raw'!J106="Отменен",'01_orders_raw'!J106="Ожидает оплаты"),"OK","ERROR")</f>
        <v>0</v>
      </c>
      <c r="J106" s="2">
        <f>COUNTIF(C106:I106,"ERROR")</f>
        <v>0</v>
      </c>
      <c r="K106" s="2">
        <f>IF(J106&gt;0,"Проверить заказ","")</f>
        <v>0</v>
      </c>
    </row>
    <row r="107" spans="1:11">
      <c r="A107" s="2">
        <f>"Order"</f>
        <v>0</v>
      </c>
      <c r="B107" s="2">
        <f>'01_orders_raw'!A107</f>
        <v>0</v>
      </c>
      <c r="C107" s="2">
        <f>IF(COUNTIF('01_orders_raw'!$A$2:$A$161,'01_orders_raw'!A107)&gt;1,"ERROR","OK")</f>
        <v>0</v>
      </c>
      <c r="D107" s="2">
        <f>IF(OR('01_orders_raw'!C107="",'01_orders_raw'!D107=""),"ERROR","OK")</f>
        <v>0</v>
      </c>
      <c r="E107" s="2">
        <f>IF(COUNTIF('02_clients_raw'!$A$2:$A$47,'01_orders_raw'!C107)=0,"ERROR","OK")</f>
        <v>0</v>
      </c>
      <c r="F107" s="2">
        <f>IF('01_orders_raw'!I107&lt;&gt;'01_orders_raw'!G107*'01_orders_raw'!H107,"ERROR","OK")</f>
        <v>0</v>
      </c>
      <c r="G107" s="2">
        <f>IF('01_orders_raw'!H107&lt;0,"ERROR","OK")</f>
        <v>0</v>
      </c>
      <c r="H107" s="2">
        <f>IF('01_orders_raw'!B107&gt;DATE(2026,6,25),"ERROR","OK")</f>
        <v>0</v>
      </c>
      <c r="I107" s="2">
        <f>IF(OR('01_orders_raw'!J107="Выполнен",'01_orders_raw'!J107="В работе",'01_orders_raw'!J107="Отменен",'01_orders_raw'!J107="Ожидает оплаты"),"OK","ERROR")</f>
        <v>0</v>
      </c>
      <c r="J107" s="2">
        <f>COUNTIF(C107:I107,"ERROR")</f>
        <v>0</v>
      </c>
      <c r="K107" s="2">
        <f>IF(J107&gt;0,"Проверить заказ","")</f>
        <v>0</v>
      </c>
    </row>
    <row r="108" spans="1:11">
      <c r="A108" s="2">
        <f>"Order"</f>
        <v>0</v>
      </c>
      <c r="B108" s="2">
        <f>'01_orders_raw'!A108</f>
        <v>0</v>
      </c>
      <c r="C108" s="2">
        <f>IF(COUNTIF('01_orders_raw'!$A$2:$A$161,'01_orders_raw'!A108)&gt;1,"ERROR","OK")</f>
        <v>0</v>
      </c>
      <c r="D108" s="2">
        <f>IF(OR('01_orders_raw'!C108="",'01_orders_raw'!D108=""),"ERROR","OK")</f>
        <v>0</v>
      </c>
      <c r="E108" s="2">
        <f>IF(COUNTIF('02_clients_raw'!$A$2:$A$47,'01_orders_raw'!C108)=0,"ERROR","OK")</f>
        <v>0</v>
      </c>
      <c r="F108" s="2">
        <f>IF('01_orders_raw'!I108&lt;&gt;'01_orders_raw'!G108*'01_orders_raw'!H108,"ERROR","OK")</f>
        <v>0</v>
      </c>
      <c r="G108" s="2">
        <f>IF('01_orders_raw'!H108&lt;0,"ERROR","OK")</f>
        <v>0</v>
      </c>
      <c r="H108" s="2">
        <f>IF('01_orders_raw'!B108&gt;DATE(2026,6,25),"ERROR","OK")</f>
        <v>0</v>
      </c>
      <c r="I108" s="2">
        <f>IF(OR('01_orders_raw'!J108="Выполнен",'01_orders_raw'!J108="В работе",'01_orders_raw'!J108="Отменен",'01_orders_raw'!J108="Ожидает оплаты"),"OK","ERROR")</f>
        <v>0</v>
      </c>
      <c r="J108" s="2">
        <f>COUNTIF(C108:I108,"ERROR")</f>
        <v>0</v>
      </c>
      <c r="K108" s="2">
        <f>IF(J108&gt;0,"Проверить заказ","")</f>
        <v>0</v>
      </c>
    </row>
    <row r="109" spans="1:11">
      <c r="A109" s="2">
        <f>"Order"</f>
        <v>0</v>
      </c>
      <c r="B109" s="2">
        <f>'01_orders_raw'!A109</f>
        <v>0</v>
      </c>
      <c r="C109" s="2">
        <f>IF(COUNTIF('01_orders_raw'!$A$2:$A$161,'01_orders_raw'!A109)&gt;1,"ERROR","OK")</f>
        <v>0</v>
      </c>
      <c r="D109" s="2">
        <f>IF(OR('01_orders_raw'!C109="",'01_orders_raw'!D109=""),"ERROR","OK")</f>
        <v>0</v>
      </c>
      <c r="E109" s="2">
        <f>IF(COUNTIF('02_clients_raw'!$A$2:$A$47,'01_orders_raw'!C109)=0,"ERROR","OK")</f>
        <v>0</v>
      </c>
      <c r="F109" s="2">
        <f>IF('01_orders_raw'!I109&lt;&gt;'01_orders_raw'!G109*'01_orders_raw'!H109,"ERROR","OK")</f>
        <v>0</v>
      </c>
      <c r="G109" s="2">
        <f>IF('01_orders_raw'!H109&lt;0,"ERROR","OK")</f>
        <v>0</v>
      </c>
      <c r="H109" s="2">
        <f>IF('01_orders_raw'!B109&gt;DATE(2026,6,25),"ERROR","OK")</f>
        <v>0</v>
      </c>
      <c r="I109" s="2">
        <f>IF(OR('01_orders_raw'!J109="Выполнен",'01_orders_raw'!J109="В работе",'01_orders_raw'!J109="Отменен",'01_orders_raw'!J109="Ожидает оплаты"),"OK","ERROR")</f>
        <v>0</v>
      </c>
      <c r="J109" s="2">
        <f>COUNTIF(C109:I109,"ERROR")</f>
        <v>0</v>
      </c>
      <c r="K109" s="2">
        <f>IF(J109&gt;0,"Проверить заказ","")</f>
        <v>0</v>
      </c>
    </row>
    <row r="110" spans="1:11">
      <c r="A110" s="2">
        <f>"Order"</f>
        <v>0</v>
      </c>
      <c r="B110" s="2">
        <f>'01_orders_raw'!A110</f>
        <v>0</v>
      </c>
      <c r="C110" s="2">
        <f>IF(COUNTIF('01_orders_raw'!$A$2:$A$161,'01_orders_raw'!A110)&gt;1,"ERROR","OK")</f>
        <v>0</v>
      </c>
      <c r="D110" s="2">
        <f>IF(OR('01_orders_raw'!C110="",'01_orders_raw'!D110=""),"ERROR","OK")</f>
        <v>0</v>
      </c>
      <c r="E110" s="2">
        <f>IF(COUNTIF('02_clients_raw'!$A$2:$A$47,'01_orders_raw'!C110)=0,"ERROR","OK")</f>
        <v>0</v>
      </c>
      <c r="F110" s="2">
        <f>IF('01_orders_raw'!I110&lt;&gt;'01_orders_raw'!G110*'01_orders_raw'!H110,"ERROR","OK")</f>
        <v>0</v>
      </c>
      <c r="G110" s="2">
        <f>IF('01_orders_raw'!H110&lt;0,"ERROR","OK")</f>
        <v>0</v>
      </c>
      <c r="H110" s="2">
        <f>IF('01_orders_raw'!B110&gt;DATE(2026,6,25),"ERROR","OK")</f>
        <v>0</v>
      </c>
      <c r="I110" s="2">
        <f>IF(OR('01_orders_raw'!J110="Выполнен",'01_orders_raw'!J110="В работе",'01_orders_raw'!J110="Отменен",'01_orders_raw'!J110="Ожидает оплаты"),"OK","ERROR")</f>
        <v>0</v>
      </c>
      <c r="J110" s="2">
        <f>COUNTIF(C110:I110,"ERROR")</f>
        <v>0</v>
      </c>
      <c r="K110" s="2">
        <f>IF(J110&gt;0,"Проверить заказ","")</f>
        <v>0</v>
      </c>
    </row>
    <row r="111" spans="1:11">
      <c r="A111" s="2">
        <f>"Order"</f>
        <v>0</v>
      </c>
      <c r="B111" s="2">
        <f>'01_orders_raw'!A111</f>
        <v>0</v>
      </c>
      <c r="C111" s="2">
        <f>IF(COUNTIF('01_orders_raw'!$A$2:$A$161,'01_orders_raw'!A111)&gt;1,"ERROR","OK")</f>
        <v>0</v>
      </c>
      <c r="D111" s="2">
        <f>IF(OR('01_orders_raw'!C111="",'01_orders_raw'!D111=""),"ERROR","OK")</f>
        <v>0</v>
      </c>
      <c r="E111" s="2">
        <f>IF(COUNTIF('02_clients_raw'!$A$2:$A$47,'01_orders_raw'!C111)=0,"ERROR","OK")</f>
        <v>0</v>
      </c>
      <c r="F111" s="2">
        <f>IF('01_orders_raw'!I111&lt;&gt;'01_orders_raw'!G111*'01_orders_raw'!H111,"ERROR","OK")</f>
        <v>0</v>
      </c>
      <c r="G111" s="2">
        <f>IF('01_orders_raw'!H111&lt;0,"ERROR","OK")</f>
        <v>0</v>
      </c>
      <c r="H111" s="2">
        <f>IF('01_orders_raw'!B111&gt;DATE(2026,6,25),"ERROR","OK")</f>
        <v>0</v>
      </c>
      <c r="I111" s="2">
        <f>IF(OR('01_orders_raw'!J111="Выполнен",'01_orders_raw'!J111="В работе",'01_orders_raw'!J111="Отменен",'01_orders_raw'!J111="Ожидает оплаты"),"OK","ERROR")</f>
        <v>0</v>
      </c>
      <c r="J111" s="2">
        <f>COUNTIF(C111:I111,"ERROR")</f>
        <v>0</v>
      </c>
      <c r="K111" s="2">
        <f>IF(J111&gt;0,"Проверить заказ","")</f>
        <v>0</v>
      </c>
    </row>
    <row r="112" spans="1:11">
      <c r="A112" s="2">
        <f>"Order"</f>
        <v>0</v>
      </c>
      <c r="B112" s="2">
        <f>'01_orders_raw'!A112</f>
        <v>0</v>
      </c>
      <c r="C112" s="2">
        <f>IF(COUNTIF('01_orders_raw'!$A$2:$A$161,'01_orders_raw'!A112)&gt;1,"ERROR","OK")</f>
        <v>0</v>
      </c>
      <c r="D112" s="2">
        <f>IF(OR('01_orders_raw'!C112="",'01_orders_raw'!D112=""),"ERROR","OK")</f>
        <v>0</v>
      </c>
      <c r="E112" s="2">
        <f>IF(COUNTIF('02_clients_raw'!$A$2:$A$47,'01_orders_raw'!C112)=0,"ERROR","OK")</f>
        <v>0</v>
      </c>
      <c r="F112" s="2">
        <f>IF('01_orders_raw'!I112&lt;&gt;'01_orders_raw'!G112*'01_orders_raw'!H112,"ERROR","OK")</f>
        <v>0</v>
      </c>
      <c r="G112" s="2">
        <f>IF('01_orders_raw'!H112&lt;0,"ERROR","OK")</f>
        <v>0</v>
      </c>
      <c r="H112" s="2">
        <f>IF('01_orders_raw'!B112&gt;DATE(2026,6,25),"ERROR","OK")</f>
        <v>0</v>
      </c>
      <c r="I112" s="2">
        <f>IF(OR('01_orders_raw'!J112="Выполнен",'01_orders_raw'!J112="В работе",'01_orders_raw'!J112="Отменен",'01_orders_raw'!J112="Ожидает оплаты"),"OK","ERROR")</f>
        <v>0</v>
      </c>
      <c r="J112" s="2">
        <f>COUNTIF(C112:I112,"ERROR")</f>
        <v>0</v>
      </c>
      <c r="K112" s="2">
        <f>IF(J112&gt;0,"Проверить заказ","")</f>
        <v>0</v>
      </c>
    </row>
    <row r="113" spans="1:11">
      <c r="A113" s="2">
        <f>"Order"</f>
        <v>0</v>
      </c>
      <c r="B113" s="2">
        <f>'01_orders_raw'!A113</f>
        <v>0</v>
      </c>
      <c r="C113" s="2">
        <f>IF(COUNTIF('01_orders_raw'!$A$2:$A$161,'01_orders_raw'!A113)&gt;1,"ERROR","OK")</f>
        <v>0</v>
      </c>
      <c r="D113" s="2">
        <f>IF(OR('01_orders_raw'!C113="",'01_orders_raw'!D113=""),"ERROR","OK")</f>
        <v>0</v>
      </c>
      <c r="E113" s="2">
        <f>IF(COUNTIF('02_clients_raw'!$A$2:$A$47,'01_orders_raw'!C113)=0,"ERROR","OK")</f>
        <v>0</v>
      </c>
      <c r="F113" s="2">
        <f>IF('01_orders_raw'!I113&lt;&gt;'01_orders_raw'!G113*'01_orders_raw'!H113,"ERROR","OK")</f>
        <v>0</v>
      </c>
      <c r="G113" s="2">
        <f>IF('01_orders_raw'!H113&lt;0,"ERROR","OK")</f>
        <v>0</v>
      </c>
      <c r="H113" s="2">
        <f>IF('01_orders_raw'!B113&gt;DATE(2026,6,25),"ERROR","OK")</f>
        <v>0</v>
      </c>
      <c r="I113" s="2">
        <f>IF(OR('01_orders_raw'!J113="Выполнен",'01_orders_raw'!J113="В работе",'01_orders_raw'!J113="Отменен",'01_orders_raw'!J113="Ожидает оплаты"),"OK","ERROR")</f>
        <v>0</v>
      </c>
      <c r="J113" s="2">
        <f>COUNTIF(C113:I113,"ERROR")</f>
        <v>0</v>
      </c>
      <c r="K113" s="2">
        <f>IF(J113&gt;0,"Проверить заказ","")</f>
        <v>0</v>
      </c>
    </row>
    <row r="114" spans="1:11">
      <c r="A114" s="2">
        <f>"Order"</f>
        <v>0</v>
      </c>
      <c r="B114" s="2">
        <f>'01_orders_raw'!A114</f>
        <v>0</v>
      </c>
      <c r="C114" s="2">
        <f>IF(COUNTIF('01_orders_raw'!$A$2:$A$161,'01_orders_raw'!A114)&gt;1,"ERROR","OK")</f>
        <v>0</v>
      </c>
      <c r="D114" s="2">
        <f>IF(OR('01_orders_raw'!C114="",'01_orders_raw'!D114=""),"ERROR","OK")</f>
        <v>0</v>
      </c>
      <c r="E114" s="2">
        <f>IF(COUNTIF('02_clients_raw'!$A$2:$A$47,'01_orders_raw'!C114)=0,"ERROR","OK")</f>
        <v>0</v>
      </c>
      <c r="F114" s="2">
        <f>IF('01_orders_raw'!I114&lt;&gt;'01_orders_raw'!G114*'01_orders_raw'!H114,"ERROR","OK")</f>
        <v>0</v>
      </c>
      <c r="G114" s="2">
        <f>IF('01_orders_raw'!H114&lt;0,"ERROR","OK")</f>
        <v>0</v>
      </c>
      <c r="H114" s="2">
        <f>IF('01_orders_raw'!B114&gt;DATE(2026,6,25),"ERROR","OK")</f>
        <v>0</v>
      </c>
      <c r="I114" s="2">
        <f>IF(OR('01_orders_raw'!J114="Выполнен",'01_orders_raw'!J114="В работе",'01_orders_raw'!J114="Отменен",'01_orders_raw'!J114="Ожидает оплаты"),"OK","ERROR")</f>
        <v>0</v>
      </c>
      <c r="J114" s="2">
        <f>COUNTIF(C114:I114,"ERROR")</f>
        <v>0</v>
      </c>
      <c r="K114" s="2">
        <f>IF(J114&gt;0,"Проверить заказ","")</f>
        <v>0</v>
      </c>
    </row>
    <row r="115" spans="1:11">
      <c r="A115" s="2">
        <f>"Order"</f>
        <v>0</v>
      </c>
      <c r="B115" s="2">
        <f>'01_orders_raw'!A115</f>
        <v>0</v>
      </c>
      <c r="C115" s="2">
        <f>IF(COUNTIF('01_orders_raw'!$A$2:$A$161,'01_orders_raw'!A115)&gt;1,"ERROR","OK")</f>
        <v>0</v>
      </c>
      <c r="D115" s="2">
        <f>IF(OR('01_orders_raw'!C115="",'01_orders_raw'!D115=""),"ERROR","OK")</f>
        <v>0</v>
      </c>
      <c r="E115" s="2">
        <f>IF(COUNTIF('02_clients_raw'!$A$2:$A$47,'01_orders_raw'!C115)=0,"ERROR","OK")</f>
        <v>0</v>
      </c>
      <c r="F115" s="2">
        <f>IF('01_orders_raw'!I115&lt;&gt;'01_orders_raw'!G115*'01_orders_raw'!H115,"ERROR","OK")</f>
        <v>0</v>
      </c>
      <c r="G115" s="2">
        <f>IF('01_orders_raw'!H115&lt;0,"ERROR","OK")</f>
        <v>0</v>
      </c>
      <c r="H115" s="2">
        <f>IF('01_orders_raw'!B115&gt;DATE(2026,6,25),"ERROR","OK")</f>
        <v>0</v>
      </c>
      <c r="I115" s="2">
        <f>IF(OR('01_orders_raw'!J115="Выполнен",'01_orders_raw'!J115="В работе",'01_orders_raw'!J115="Отменен",'01_orders_raw'!J115="Ожидает оплаты"),"OK","ERROR")</f>
        <v>0</v>
      </c>
      <c r="J115" s="2">
        <f>COUNTIF(C115:I115,"ERROR")</f>
        <v>0</v>
      </c>
      <c r="K115" s="2">
        <f>IF(J115&gt;0,"Проверить заказ","")</f>
        <v>0</v>
      </c>
    </row>
    <row r="116" spans="1:11">
      <c r="A116" s="2">
        <f>"Order"</f>
        <v>0</v>
      </c>
      <c r="B116" s="2">
        <f>'01_orders_raw'!A116</f>
        <v>0</v>
      </c>
      <c r="C116" s="2">
        <f>IF(COUNTIF('01_orders_raw'!$A$2:$A$161,'01_orders_raw'!A116)&gt;1,"ERROR","OK")</f>
        <v>0</v>
      </c>
      <c r="D116" s="2">
        <f>IF(OR('01_orders_raw'!C116="",'01_orders_raw'!D116=""),"ERROR","OK")</f>
        <v>0</v>
      </c>
      <c r="E116" s="2">
        <f>IF(COUNTIF('02_clients_raw'!$A$2:$A$47,'01_orders_raw'!C116)=0,"ERROR","OK")</f>
        <v>0</v>
      </c>
      <c r="F116" s="2">
        <f>IF('01_orders_raw'!I116&lt;&gt;'01_orders_raw'!G116*'01_orders_raw'!H116,"ERROR","OK")</f>
        <v>0</v>
      </c>
      <c r="G116" s="2">
        <f>IF('01_orders_raw'!H116&lt;0,"ERROR","OK")</f>
        <v>0</v>
      </c>
      <c r="H116" s="2">
        <f>IF('01_orders_raw'!B116&gt;DATE(2026,6,25),"ERROR","OK")</f>
        <v>0</v>
      </c>
      <c r="I116" s="2">
        <f>IF(OR('01_orders_raw'!J116="Выполнен",'01_orders_raw'!J116="В работе",'01_orders_raw'!J116="Отменен",'01_orders_raw'!J116="Ожидает оплаты"),"OK","ERROR")</f>
        <v>0</v>
      </c>
      <c r="J116" s="2">
        <f>COUNTIF(C116:I116,"ERROR")</f>
        <v>0</v>
      </c>
      <c r="K116" s="2">
        <f>IF(J116&gt;0,"Проверить заказ","")</f>
        <v>0</v>
      </c>
    </row>
    <row r="117" spans="1:11">
      <c r="A117" s="2">
        <f>"Order"</f>
        <v>0</v>
      </c>
      <c r="B117" s="2">
        <f>'01_orders_raw'!A117</f>
        <v>0</v>
      </c>
      <c r="C117" s="2">
        <f>IF(COUNTIF('01_orders_raw'!$A$2:$A$161,'01_orders_raw'!A117)&gt;1,"ERROR","OK")</f>
        <v>0</v>
      </c>
      <c r="D117" s="2">
        <f>IF(OR('01_orders_raw'!C117="",'01_orders_raw'!D117=""),"ERROR","OK")</f>
        <v>0</v>
      </c>
      <c r="E117" s="2">
        <f>IF(COUNTIF('02_clients_raw'!$A$2:$A$47,'01_orders_raw'!C117)=0,"ERROR","OK")</f>
        <v>0</v>
      </c>
      <c r="F117" s="2">
        <f>IF('01_orders_raw'!I117&lt;&gt;'01_orders_raw'!G117*'01_orders_raw'!H117,"ERROR","OK")</f>
        <v>0</v>
      </c>
      <c r="G117" s="2">
        <f>IF('01_orders_raw'!H117&lt;0,"ERROR","OK")</f>
        <v>0</v>
      </c>
      <c r="H117" s="2">
        <f>IF('01_orders_raw'!B117&gt;DATE(2026,6,25),"ERROR","OK")</f>
        <v>0</v>
      </c>
      <c r="I117" s="2">
        <f>IF(OR('01_orders_raw'!J117="Выполнен",'01_orders_raw'!J117="В работе",'01_orders_raw'!J117="Отменен",'01_orders_raw'!J117="Ожидает оплаты"),"OK","ERROR")</f>
        <v>0</v>
      </c>
      <c r="J117" s="2">
        <f>COUNTIF(C117:I117,"ERROR")</f>
        <v>0</v>
      </c>
      <c r="K117" s="2">
        <f>IF(J117&gt;0,"Проверить заказ","")</f>
        <v>0</v>
      </c>
    </row>
    <row r="118" spans="1:11">
      <c r="A118" s="2">
        <f>"Order"</f>
        <v>0</v>
      </c>
      <c r="B118" s="2">
        <f>'01_orders_raw'!A118</f>
        <v>0</v>
      </c>
      <c r="C118" s="2">
        <f>IF(COUNTIF('01_orders_raw'!$A$2:$A$161,'01_orders_raw'!A118)&gt;1,"ERROR","OK")</f>
        <v>0</v>
      </c>
      <c r="D118" s="2">
        <f>IF(OR('01_orders_raw'!C118="",'01_orders_raw'!D118=""),"ERROR","OK")</f>
        <v>0</v>
      </c>
      <c r="E118" s="2">
        <f>IF(COUNTIF('02_clients_raw'!$A$2:$A$47,'01_orders_raw'!C118)=0,"ERROR","OK")</f>
        <v>0</v>
      </c>
      <c r="F118" s="2">
        <f>IF('01_orders_raw'!I118&lt;&gt;'01_orders_raw'!G118*'01_orders_raw'!H118,"ERROR","OK")</f>
        <v>0</v>
      </c>
      <c r="G118" s="2">
        <f>IF('01_orders_raw'!H118&lt;0,"ERROR","OK")</f>
        <v>0</v>
      </c>
      <c r="H118" s="2">
        <f>IF('01_orders_raw'!B118&gt;DATE(2026,6,25),"ERROR","OK")</f>
        <v>0</v>
      </c>
      <c r="I118" s="2">
        <f>IF(OR('01_orders_raw'!J118="Выполнен",'01_orders_raw'!J118="В работе",'01_orders_raw'!J118="Отменен",'01_orders_raw'!J118="Ожидает оплаты"),"OK","ERROR")</f>
        <v>0</v>
      </c>
      <c r="J118" s="2">
        <f>COUNTIF(C118:I118,"ERROR")</f>
        <v>0</v>
      </c>
      <c r="K118" s="2">
        <f>IF(J118&gt;0,"Проверить заказ","")</f>
        <v>0</v>
      </c>
    </row>
    <row r="119" spans="1:11">
      <c r="A119" s="2">
        <f>"Order"</f>
        <v>0</v>
      </c>
      <c r="B119" s="2">
        <f>'01_orders_raw'!A119</f>
        <v>0</v>
      </c>
      <c r="C119" s="2">
        <f>IF(COUNTIF('01_orders_raw'!$A$2:$A$161,'01_orders_raw'!A119)&gt;1,"ERROR","OK")</f>
        <v>0</v>
      </c>
      <c r="D119" s="2">
        <f>IF(OR('01_orders_raw'!C119="",'01_orders_raw'!D119=""),"ERROR","OK")</f>
        <v>0</v>
      </c>
      <c r="E119" s="2">
        <f>IF(COUNTIF('02_clients_raw'!$A$2:$A$47,'01_orders_raw'!C119)=0,"ERROR","OK")</f>
        <v>0</v>
      </c>
      <c r="F119" s="2">
        <f>IF('01_orders_raw'!I119&lt;&gt;'01_orders_raw'!G119*'01_orders_raw'!H119,"ERROR","OK")</f>
        <v>0</v>
      </c>
      <c r="G119" s="2">
        <f>IF('01_orders_raw'!H119&lt;0,"ERROR","OK")</f>
        <v>0</v>
      </c>
      <c r="H119" s="2">
        <f>IF('01_orders_raw'!B119&gt;DATE(2026,6,25),"ERROR","OK")</f>
        <v>0</v>
      </c>
      <c r="I119" s="2">
        <f>IF(OR('01_orders_raw'!J119="Выполнен",'01_orders_raw'!J119="В работе",'01_orders_raw'!J119="Отменен",'01_orders_raw'!J119="Ожидает оплаты"),"OK","ERROR")</f>
        <v>0</v>
      </c>
      <c r="J119" s="2">
        <f>COUNTIF(C119:I119,"ERROR")</f>
        <v>0</v>
      </c>
      <c r="K119" s="2">
        <f>IF(J119&gt;0,"Проверить заказ","")</f>
        <v>0</v>
      </c>
    </row>
    <row r="120" spans="1:11">
      <c r="A120" s="2">
        <f>"Order"</f>
        <v>0</v>
      </c>
      <c r="B120" s="2">
        <f>'01_orders_raw'!A120</f>
        <v>0</v>
      </c>
      <c r="C120" s="2">
        <f>IF(COUNTIF('01_orders_raw'!$A$2:$A$161,'01_orders_raw'!A120)&gt;1,"ERROR","OK")</f>
        <v>0</v>
      </c>
      <c r="D120" s="2">
        <f>IF(OR('01_orders_raw'!C120="",'01_orders_raw'!D120=""),"ERROR","OK")</f>
        <v>0</v>
      </c>
      <c r="E120" s="2">
        <f>IF(COUNTIF('02_clients_raw'!$A$2:$A$47,'01_orders_raw'!C120)=0,"ERROR","OK")</f>
        <v>0</v>
      </c>
      <c r="F120" s="2">
        <f>IF('01_orders_raw'!I120&lt;&gt;'01_orders_raw'!G120*'01_orders_raw'!H120,"ERROR","OK")</f>
        <v>0</v>
      </c>
      <c r="G120" s="2">
        <f>IF('01_orders_raw'!H120&lt;0,"ERROR","OK")</f>
        <v>0</v>
      </c>
      <c r="H120" s="2">
        <f>IF('01_orders_raw'!B120&gt;DATE(2026,6,25),"ERROR","OK")</f>
        <v>0</v>
      </c>
      <c r="I120" s="2">
        <f>IF(OR('01_orders_raw'!J120="Выполнен",'01_orders_raw'!J120="В работе",'01_orders_raw'!J120="Отменен",'01_orders_raw'!J120="Ожидает оплаты"),"OK","ERROR")</f>
        <v>0</v>
      </c>
      <c r="J120" s="2">
        <f>COUNTIF(C120:I120,"ERROR")</f>
        <v>0</v>
      </c>
      <c r="K120" s="2">
        <f>IF(J120&gt;0,"Проверить заказ","")</f>
        <v>0</v>
      </c>
    </row>
    <row r="121" spans="1:11">
      <c r="A121" s="2">
        <f>"Order"</f>
        <v>0</v>
      </c>
      <c r="B121" s="2">
        <f>'01_orders_raw'!A121</f>
        <v>0</v>
      </c>
      <c r="C121" s="2">
        <f>IF(COUNTIF('01_orders_raw'!$A$2:$A$161,'01_orders_raw'!A121)&gt;1,"ERROR","OK")</f>
        <v>0</v>
      </c>
      <c r="D121" s="2">
        <f>IF(OR('01_orders_raw'!C121="",'01_orders_raw'!D121=""),"ERROR","OK")</f>
        <v>0</v>
      </c>
      <c r="E121" s="2">
        <f>IF(COUNTIF('02_clients_raw'!$A$2:$A$47,'01_orders_raw'!C121)=0,"ERROR","OK")</f>
        <v>0</v>
      </c>
      <c r="F121" s="2">
        <f>IF('01_orders_raw'!I121&lt;&gt;'01_orders_raw'!G121*'01_orders_raw'!H121,"ERROR","OK")</f>
        <v>0</v>
      </c>
      <c r="G121" s="2">
        <f>IF('01_orders_raw'!H121&lt;0,"ERROR","OK")</f>
        <v>0</v>
      </c>
      <c r="H121" s="2">
        <f>IF('01_orders_raw'!B121&gt;DATE(2026,6,25),"ERROR","OK")</f>
        <v>0</v>
      </c>
      <c r="I121" s="2">
        <f>IF(OR('01_orders_raw'!J121="Выполнен",'01_orders_raw'!J121="В работе",'01_orders_raw'!J121="Отменен",'01_orders_raw'!J121="Ожидает оплаты"),"OK","ERROR")</f>
        <v>0</v>
      </c>
      <c r="J121" s="2">
        <f>COUNTIF(C121:I121,"ERROR")</f>
        <v>0</v>
      </c>
      <c r="K121" s="2">
        <f>IF(J121&gt;0,"Проверить заказ","")</f>
        <v>0</v>
      </c>
    </row>
    <row r="122" spans="1:11">
      <c r="A122" s="2">
        <f>"Order"</f>
        <v>0</v>
      </c>
      <c r="B122" s="2">
        <f>'01_orders_raw'!A122</f>
        <v>0</v>
      </c>
      <c r="C122" s="2">
        <f>IF(COUNTIF('01_orders_raw'!$A$2:$A$161,'01_orders_raw'!A122)&gt;1,"ERROR","OK")</f>
        <v>0</v>
      </c>
      <c r="D122" s="2">
        <f>IF(OR('01_orders_raw'!C122="",'01_orders_raw'!D122=""),"ERROR","OK")</f>
        <v>0</v>
      </c>
      <c r="E122" s="2">
        <f>IF(COUNTIF('02_clients_raw'!$A$2:$A$47,'01_orders_raw'!C122)=0,"ERROR","OK")</f>
        <v>0</v>
      </c>
      <c r="F122" s="2">
        <f>IF('01_orders_raw'!I122&lt;&gt;'01_orders_raw'!G122*'01_orders_raw'!H122,"ERROR","OK")</f>
        <v>0</v>
      </c>
      <c r="G122" s="2">
        <f>IF('01_orders_raw'!H122&lt;0,"ERROR","OK")</f>
        <v>0</v>
      </c>
      <c r="H122" s="2">
        <f>IF('01_orders_raw'!B122&gt;DATE(2026,6,25),"ERROR","OK")</f>
        <v>0</v>
      </c>
      <c r="I122" s="2">
        <f>IF(OR('01_orders_raw'!J122="Выполнен",'01_orders_raw'!J122="В работе",'01_orders_raw'!J122="Отменен",'01_orders_raw'!J122="Ожидает оплаты"),"OK","ERROR")</f>
        <v>0</v>
      </c>
      <c r="J122" s="2">
        <f>COUNTIF(C122:I122,"ERROR")</f>
        <v>0</v>
      </c>
      <c r="K122" s="2">
        <f>IF(J122&gt;0,"Проверить заказ","")</f>
        <v>0</v>
      </c>
    </row>
    <row r="123" spans="1:11">
      <c r="A123" s="2">
        <f>"Order"</f>
        <v>0</v>
      </c>
      <c r="B123" s="2">
        <f>'01_orders_raw'!A123</f>
        <v>0</v>
      </c>
      <c r="C123" s="2">
        <f>IF(COUNTIF('01_orders_raw'!$A$2:$A$161,'01_orders_raw'!A123)&gt;1,"ERROR","OK")</f>
        <v>0</v>
      </c>
      <c r="D123" s="2">
        <f>IF(OR('01_orders_raw'!C123="",'01_orders_raw'!D123=""),"ERROR","OK")</f>
        <v>0</v>
      </c>
      <c r="E123" s="2">
        <f>IF(COUNTIF('02_clients_raw'!$A$2:$A$47,'01_orders_raw'!C123)=0,"ERROR","OK")</f>
        <v>0</v>
      </c>
      <c r="F123" s="2">
        <f>IF('01_orders_raw'!I123&lt;&gt;'01_orders_raw'!G123*'01_orders_raw'!H123,"ERROR","OK")</f>
        <v>0</v>
      </c>
      <c r="G123" s="2">
        <f>IF('01_orders_raw'!H123&lt;0,"ERROR","OK")</f>
        <v>0</v>
      </c>
      <c r="H123" s="2">
        <f>IF('01_orders_raw'!B123&gt;DATE(2026,6,25),"ERROR","OK")</f>
        <v>0</v>
      </c>
      <c r="I123" s="2">
        <f>IF(OR('01_orders_raw'!J123="Выполнен",'01_orders_raw'!J123="В работе",'01_orders_raw'!J123="Отменен",'01_orders_raw'!J123="Ожидает оплаты"),"OK","ERROR")</f>
        <v>0</v>
      </c>
      <c r="J123" s="2">
        <f>COUNTIF(C123:I123,"ERROR")</f>
        <v>0</v>
      </c>
      <c r="K123" s="2">
        <f>IF(J123&gt;0,"Проверить заказ","")</f>
        <v>0</v>
      </c>
    </row>
    <row r="124" spans="1:11">
      <c r="A124" s="2">
        <f>"Order"</f>
        <v>0</v>
      </c>
      <c r="B124" s="2">
        <f>'01_orders_raw'!A124</f>
        <v>0</v>
      </c>
      <c r="C124" s="2">
        <f>IF(COUNTIF('01_orders_raw'!$A$2:$A$161,'01_orders_raw'!A124)&gt;1,"ERROR","OK")</f>
        <v>0</v>
      </c>
      <c r="D124" s="2">
        <f>IF(OR('01_orders_raw'!C124="",'01_orders_raw'!D124=""),"ERROR","OK")</f>
        <v>0</v>
      </c>
      <c r="E124" s="2">
        <f>IF(COUNTIF('02_clients_raw'!$A$2:$A$47,'01_orders_raw'!C124)=0,"ERROR","OK")</f>
        <v>0</v>
      </c>
      <c r="F124" s="2">
        <f>IF('01_orders_raw'!I124&lt;&gt;'01_orders_raw'!G124*'01_orders_raw'!H124,"ERROR","OK")</f>
        <v>0</v>
      </c>
      <c r="G124" s="2">
        <f>IF('01_orders_raw'!H124&lt;0,"ERROR","OK")</f>
        <v>0</v>
      </c>
      <c r="H124" s="2">
        <f>IF('01_orders_raw'!B124&gt;DATE(2026,6,25),"ERROR","OK")</f>
        <v>0</v>
      </c>
      <c r="I124" s="2">
        <f>IF(OR('01_orders_raw'!J124="Выполнен",'01_orders_raw'!J124="В работе",'01_orders_raw'!J124="Отменен",'01_orders_raw'!J124="Ожидает оплаты"),"OK","ERROR")</f>
        <v>0</v>
      </c>
      <c r="J124" s="2">
        <f>COUNTIF(C124:I124,"ERROR")</f>
        <v>0</v>
      </c>
      <c r="K124" s="2">
        <f>IF(J124&gt;0,"Проверить заказ","")</f>
        <v>0</v>
      </c>
    </row>
    <row r="125" spans="1:11">
      <c r="A125" s="2">
        <f>"Order"</f>
        <v>0</v>
      </c>
      <c r="B125" s="2">
        <f>'01_orders_raw'!A125</f>
        <v>0</v>
      </c>
      <c r="C125" s="2">
        <f>IF(COUNTIF('01_orders_raw'!$A$2:$A$161,'01_orders_raw'!A125)&gt;1,"ERROR","OK")</f>
        <v>0</v>
      </c>
      <c r="D125" s="2">
        <f>IF(OR('01_orders_raw'!C125="",'01_orders_raw'!D125=""),"ERROR","OK")</f>
        <v>0</v>
      </c>
      <c r="E125" s="2">
        <f>IF(COUNTIF('02_clients_raw'!$A$2:$A$47,'01_orders_raw'!C125)=0,"ERROR","OK")</f>
        <v>0</v>
      </c>
      <c r="F125" s="2">
        <f>IF('01_orders_raw'!I125&lt;&gt;'01_orders_raw'!G125*'01_orders_raw'!H125,"ERROR","OK")</f>
        <v>0</v>
      </c>
      <c r="G125" s="2">
        <f>IF('01_orders_raw'!H125&lt;0,"ERROR","OK")</f>
        <v>0</v>
      </c>
      <c r="H125" s="2">
        <f>IF('01_orders_raw'!B125&gt;DATE(2026,6,25),"ERROR","OK")</f>
        <v>0</v>
      </c>
      <c r="I125" s="2">
        <f>IF(OR('01_orders_raw'!J125="Выполнен",'01_orders_raw'!J125="В работе",'01_orders_raw'!J125="Отменен",'01_orders_raw'!J125="Ожидает оплаты"),"OK","ERROR")</f>
        <v>0</v>
      </c>
      <c r="J125" s="2">
        <f>COUNTIF(C125:I125,"ERROR")</f>
        <v>0</v>
      </c>
      <c r="K125" s="2">
        <f>IF(J125&gt;0,"Проверить заказ","")</f>
        <v>0</v>
      </c>
    </row>
    <row r="126" spans="1:11">
      <c r="A126" s="2">
        <f>"Order"</f>
        <v>0</v>
      </c>
      <c r="B126" s="2">
        <f>'01_orders_raw'!A126</f>
        <v>0</v>
      </c>
      <c r="C126" s="2">
        <f>IF(COUNTIF('01_orders_raw'!$A$2:$A$161,'01_orders_raw'!A126)&gt;1,"ERROR","OK")</f>
        <v>0</v>
      </c>
      <c r="D126" s="2">
        <f>IF(OR('01_orders_raw'!C126="",'01_orders_raw'!D126=""),"ERROR","OK")</f>
        <v>0</v>
      </c>
      <c r="E126" s="2">
        <f>IF(COUNTIF('02_clients_raw'!$A$2:$A$47,'01_orders_raw'!C126)=0,"ERROR","OK")</f>
        <v>0</v>
      </c>
      <c r="F126" s="2">
        <f>IF('01_orders_raw'!I126&lt;&gt;'01_orders_raw'!G126*'01_orders_raw'!H126,"ERROR","OK")</f>
        <v>0</v>
      </c>
      <c r="G126" s="2">
        <f>IF('01_orders_raw'!H126&lt;0,"ERROR","OK")</f>
        <v>0</v>
      </c>
      <c r="H126" s="2">
        <f>IF('01_orders_raw'!B126&gt;DATE(2026,6,25),"ERROR","OK")</f>
        <v>0</v>
      </c>
      <c r="I126" s="2">
        <f>IF(OR('01_orders_raw'!J126="Выполнен",'01_orders_raw'!J126="В работе",'01_orders_raw'!J126="Отменен",'01_orders_raw'!J126="Ожидает оплаты"),"OK","ERROR")</f>
        <v>0</v>
      </c>
      <c r="J126" s="2">
        <f>COUNTIF(C126:I126,"ERROR")</f>
        <v>0</v>
      </c>
      <c r="K126" s="2">
        <f>IF(J126&gt;0,"Проверить заказ","")</f>
        <v>0</v>
      </c>
    </row>
    <row r="127" spans="1:11">
      <c r="A127" s="2">
        <f>"Order"</f>
        <v>0</v>
      </c>
      <c r="B127" s="2">
        <f>'01_orders_raw'!A127</f>
        <v>0</v>
      </c>
      <c r="C127" s="2">
        <f>IF(COUNTIF('01_orders_raw'!$A$2:$A$161,'01_orders_raw'!A127)&gt;1,"ERROR","OK")</f>
        <v>0</v>
      </c>
      <c r="D127" s="2">
        <f>IF(OR('01_orders_raw'!C127="",'01_orders_raw'!D127=""),"ERROR","OK")</f>
        <v>0</v>
      </c>
      <c r="E127" s="2">
        <f>IF(COUNTIF('02_clients_raw'!$A$2:$A$47,'01_orders_raw'!C127)=0,"ERROR","OK")</f>
        <v>0</v>
      </c>
      <c r="F127" s="2">
        <f>IF('01_orders_raw'!I127&lt;&gt;'01_orders_raw'!G127*'01_orders_raw'!H127,"ERROR","OK")</f>
        <v>0</v>
      </c>
      <c r="G127" s="2">
        <f>IF('01_orders_raw'!H127&lt;0,"ERROR","OK")</f>
        <v>0</v>
      </c>
      <c r="H127" s="2">
        <f>IF('01_orders_raw'!B127&gt;DATE(2026,6,25),"ERROR","OK")</f>
        <v>0</v>
      </c>
      <c r="I127" s="2">
        <f>IF(OR('01_orders_raw'!J127="Выполнен",'01_orders_raw'!J127="В работе",'01_orders_raw'!J127="Отменен",'01_orders_raw'!J127="Ожидает оплаты"),"OK","ERROR")</f>
        <v>0</v>
      </c>
      <c r="J127" s="2">
        <f>COUNTIF(C127:I127,"ERROR")</f>
        <v>0</v>
      </c>
      <c r="K127" s="2">
        <f>IF(J127&gt;0,"Проверить заказ","")</f>
        <v>0</v>
      </c>
    </row>
    <row r="128" spans="1:11">
      <c r="A128" s="2">
        <f>"Order"</f>
        <v>0</v>
      </c>
      <c r="B128" s="2">
        <f>'01_orders_raw'!A128</f>
        <v>0</v>
      </c>
      <c r="C128" s="2">
        <f>IF(COUNTIF('01_orders_raw'!$A$2:$A$161,'01_orders_raw'!A128)&gt;1,"ERROR","OK")</f>
        <v>0</v>
      </c>
      <c r="D128" s="2">
        <f>IF(OR('01_orders_raw'!C128="",'01_orders_raw'!D128=""),"ERROR","OK")</f>
        <v>0</v>
      </c>
      <c r="E128" s="2">
        <f>IF(COUNTIF('02_clients_raw'!$A$2:$A$47,'01_orders_raw'!C128)=0,"ERROR","OK")</f>
        <v>0</v>
      </c>
      <c r="F128" s="2">
        <f>IF('01_orders_raw'!I128&lt;&gt;'01_orders_raw'!G128*'01_orders_raw'!H128,"ERROR","OK")</f>
        <v>0</v>
      </c>
      <c r="G128" s="2">
        <f>IF('01_orders_raw'!H128&lt;0,"ERROR","OK")</f>
        <v>0</v>
      </c>
      <c r="H128" s="2">
        <f>IF('01_orders_raw'!B128&gt;DATE(2026,6,25),"ERROR","OK")</f>
        <v>0</v>
      </c>
      <c r="I128" s="2">
        <f>IF(OR('01_orders_raw'!J128="Выполнен",'01_orders_raw'!J128="В работе",'01_orders_raw'!J128="Отменен",'01_orders_raw'!J128="Ожидает оплаты"),"OK","ERROR")</f>
        <v>0</v>
      </c>
      <c r="J128" s="2">
        <f>COUNTIF(C128:I128,"ERROR")</f>
        <v>0</v>
      </c>
      <c r="K128" s="2">
        <f>IF(J128&gt;0,"Проверить заказ","")</f>
        <v>0</v>
      </c>
    </row>
    <row r="129" spans="1:11">
      <c r="A129" s="2">
        <f>"Order"</f>
        <v>0</v>
      </c>
      <c r="B129" s="2">
        <f>'01_orders_raw'!A129</f>
        <v>0</v>
      </c>
      <c r="C129" s="2">
        <f>IF(COUNTIF('01_orders_raw'!$A$2:$A$161,'01_orders_raw'!A129)&gt;1,"ERROR","OK")</f>
        <v>0</v>
      </c>
      <c r="D129" s="2">
        <f>IF(OR('01_orders_raw'!C129="",'01_orders_raw'!D129=""),"ERROR","OK")</f>
        <v>0</v>
      </c>
      <c r="E129" s="2">
        <f>IF(COUNTIF('02_clients_raw'!$A$2:$A$47,'01_orders_raw'!C129)=0,"ERROR","OK")</f>
        <v>0</v>
      </c>
      <c r="F129" s="2">
        <f>IF('01_orders_raw'!I129&lt;&gt;'01_orders_raw'!G129*'01_orders_raw'!H129,"ERROR","OK")</f>
        <v>0</v>
      </c>
      <c r="G129" s="2">
        <f>IF('01_orders_raw'!H129&lt;0,"ERROR","OK")</f>
        <v>0</v>
      </c>
      <c r="H129" s="2">
        <f>IF('01_orders_raw'!B129&gt;DATE(2026,6,25),"ERROR","OK")</f>
        <v>0</v>
      </c>
      <c r="I129" s="2">
        <f>IF(OR('01_orders_raw'!J129="Выполнен",'01_orders_raw'!J129="В работе",'01_orders_raw'!J129="Отменен",'01_orders_raw'!J129="Ожидает оплаты"),"OK","ERROR")</f>
        <v>0</v>
      </c>
      <c r="J129" s="2">
        <f>COUNTIF(C129:I129,"ERROR")</f>
        <v>0</v>
      </c>
      <c r="K129" s="2">
        <f>IF(J129&gt;0,"Проверить заказ","")</f>
        <v>0</v>
      </c>
    </row>
    <row r="130" spans="1:11">
      <c r="A130" s="2">
        <f>"Order"</f>
        <v>0</v>
      </c>
      <c r="B130" s="2">
        <f>'01_orders_raw'!A130</f>
        <v>0</v>
      </c>
      <c r="C130" s="2">
        <f>IF(COUNTIF('01_orders_raw'!$A$2:$A$161,'01_orders_raw'!A130)&gt;1,"ERROR","OK")</f>
        <v>0</v>
      </c>
      <c r="D130" s="2">
        <f>IF(OR('01_orders_raw'!C130="",'01_orders_raw'!D130=""),"ERROR","OK")</f>
        <v>0</v>
      </c>
      <c r="E130" s="2">
        <f>IF(COUNTIF('02_clients_raw'!$A$2:$A$47,'01_orders_raw'!C130)=0,"ERROR","OK")</f>
        <v>0</v>
      </c>
      <c r="F130" s="2">
        <f>IF('01_orders_raw'!I130&lt;&gt;'01_orders_raw'!G130*'01_orders_raw'!H130,"ERROR","OK")</f>
        <v>0</v>
      </c>
      <c r="G130" s="2">
        <f>IF('01_orders_raw'!H130&lt;0,"ERROR","OK")</f>
        <v>0</v>
      </c>
      <c r="H130" s="2">
        <f>IF('01_orders_raw'!B130&gt;DATE(2026,6,25),"ERROR","OK")</f>
        <v>0</v>
      </c>
      <c r="I130" s="2">
        <f>IF(OR('01_orders_raw'!J130="Выполнен",'01_orders_raw'!J130="В работе",'01_orders_raw'!J130="Отменен",'01_orders_raw'!J130="Ожидает оплаты"),"OK","ERROR")</f>
        <v>0</v>
      </c>
      <c r="J130" s="2">
        <f>COUNTIF(C130:I130,"ERROR")</f>
        <v>0</v>
      </c>
      <c r="K130" s="2">
        <f>IF(J130&gt;0,"Проверить заказ","")</f>
        <v>0</v>
      </c>
    </row>
    <row r="131" spans="1:11">
      <c r="A131" s="2">
        <f>"Order"</f>
        <v>0</v>
      </c>
      <c r="B131" s="2">
        <f>'01_orders_raw'!A131</f>
        <v>0</v>
      </c>
      <c r="C131" s="2">
        <f>IF(COUNTIF('01_orders_raw'!$A$2:$A$161,'01_orders_raw'!A131)&gt;1,"ERROR","OK")</f>
        <v>0</v>
      </c>
      <c r="D131" s="2">
        <f>IF(OR('01_orders_raw'!C131="",'01_orders_raw'!D131=""),"ERROR","OK")</f>
        <v>0</v>
      </c>
      <c r="E131" s="2">
        <f>IF(COUNTIF('02_clients_raw'!$A$2:$A$47,'01_orders_raw'!C131)=0,"ERROR","OK")</f>
        <v>0</v>
      </c>
      <c r="F131" s="2">
        <f>IF('01_orders_raw'!I131&lt;&gt;'01_orders_raw'!G131*'01_orders_raw'!H131,"ERROR","OK")</f>
        <v>0</v>
      </c>
      <c r="G131" s="2">
        <f>IF('01_orders_raw'!H131&lt;0,"ERROR","OK")</f>
        <v>0</v>
      </c>
      <c r="H131" s="2">
        <f>IF('01_orders_raw'!B131&gt;DATE(2026,6,25),"ERROR","OK")</f>
        <v>0</v>
      </c>
      <c r="I131" s="2">
        <f>IF(OR('01_orders_raw'!J131="Выполнен",'01_orders_raw'!J131="В работе",'01_orders_raw'!J131="Отменен",'01_orders_raw'!J131="Ожидает оплаты"),"OK","ERROR")</f>
        <v>0</v>
      </c>
      <c r="J131" s="2">
        <f>COUNTIF(C131:I131,"ERROR")</f>
        <v>0</v>
      </c>
      <c r="K131" s="2">
        <f>IF(J131&gt;0,"Проверить заказ","")</f>
        <v>0</v>
      </c>
    </row>
    <row r="132" spans="1:11">
      <c r="A132" s="2">
        <f>"Order"</f>
        <v>0</v>
      </c>
      <c r="B132" s="2">
        <f>'01_orders_raw'!A132</f>
        <v>0</v>
      </c>
      <c r="C132" s="2">
        <f>IF(COUNTIF('01_orders_raw'!$A$2:$A$161,'01_orders_raw'!A132)&gt;1,"ERROR","OK")</f>
        <v>0</v>
      </c>
      <c r="D132" s="2">
        <f>IF(OR('01_orders_raw'!C132="",'01_orders_raw'!D132=""),"ERROR","OK")</f>
        <v>0</v>
      </c>
      <c r="E132" s="2">
        <f>IF(COUNTIF('02_clients_raw'!$A$2:$A$47,'01_orders_raw'!C132)=0,"ERROR","OK")</f>
        <v>0</v>
      </c>
      <c r="F132" s="2">
        <f>IF('01_orders_raw'!I132&lt;&gt;'01_orders_raw'!G132*'01_orders_raw'!H132,"ERROR","OK")</f>
        <v>0</v>
      </c>
      <c r="G132" s="2">
        <f>IF('01_orders_raw'!H132&lt;0,"ERROR","OK")</f>
        <v>0</v>
      </c>
      <c r="H132" s="2">
        <f>IF('01_orders_raw'!B132&gt;DATE(2026,6,25),"ERROR","OK")</f>
        <v>0</v>
      </c>
      <c r="I132" s="2">
        <f>IF(OR('01_orders_raw'!J132="Выполнен",'01_orders_raw'!J132="В работе",'01_orders_raw'!J132="Отменен",'01_orders_raw'!J132="Ожидает оплаты"),"OK","ERROR")</f>
        <v>0</v>
      </c>
      <c r="J132" s="2">
        <f>COUNTIF(C132:I132,"ERROR")</f>
        <v>0</v>
      </c>
      <c r="K132" s="2">
        <f>IF(J132&gt;0,"Проверить заказ","")</f>
        <v>0</v>
      </c>
    </row>
    <row r="133" spans="1:11">
      <c r="A133" s="2">
        <f>"Order"</f>
        <v>0</v>
      </c>
      <c r="B133" s="2">
        <f>'01_orders_raw'!A133</f>
        <v>0</v>
      </c>
      <c r="C133" s="2">
        <f>IF(COUNTIF('01_orders_raw'!$A$2:$A$161,'01_orders_raw'!A133)&gt;1,"ERROR","OK")</f>
        <v>0</v>
      </c>
      <c r="D133" s="2">
        <f>IF(OR('01_orders_raw'!C133="",'01_orders_raw'!D133=""),"ERROR","OK")</f>
        <v>0</v>
      </c>
      <c r="E133" s="2">
        <f>IF(COUNTIF('02_clients_raw'!$A$2:$A$47,'01_orders_raw'!C133)=0,"ERROR","OK")</f>
        <v>0</v>
      </c>
      <c r="F133" s="2">
        <f>IF('01_orders_raw'!I133&lt;&gt;'01_orders_raw'!G133*'01_orders_raw'!H133,"ERROR","OK")</f>
        <v>0</v>
      </c>
      <c r="G133" s="2">
        <f>IF('01_orders_raw'!H133&lt;0,"ERROR","OK")</f>
        <v>0</v>
      </c>
      <c r="H133" s="2">
        <f>IF('01_orders_raw'!B133&gt;DATE(2026,6,25),"ERROR","OK")</f>
        <v>0</v>
      </c>
      <c r="I133" s="2">
        <f>IF(OR('01_orders_raw'!J133="Выполнен",'01_orders_raw'!J133="В работе",'01_orders_raw'!J133="Отменен",'01_orders_raw'!J133="Ожидает оплаты"),"OK","ERROR")</f>
        <v>0</v>
      </c>
      <c r="J133" s="2">
        <f>COUNTIF(C133:I133,"ERROR")</f>
        <v>0</v>
      </c>
      <c r="K133" s="2">
        <f>IF(J133&gt;0,"Проверить заказ","")</f>
        <v>0</v>
      </c>
    </row>
    <row r="134" spans="1:11">
      <c r="A134" s="2">
        <f>"Order"</f>
        <v>0</v>
      </c>
      <c r="B134" s="2">
        <f>'01_orders_raw'!A134</f>
        <v>0</v>
      </c>
      <c r="C134" s="2">
        <f>IF(COUNTIF('01_orders_raw'!$A$2:$A$161,'01_orders_raw'!A134)&gt;1,"ERROR","OK")</f>
        <v>0</v>
      </c>
      <c r="D134" s="2">
        <f>IF(OR('01_orders_raw'!C134="",'01_orders_raw'!D134=""),"ERROR","OK")</f>
        <v>0</v>
      </c>
      <c r="E134" s="2">
        <f>IF(COUNTIF('02_clients_raw'!$A$2:$A$47,'01_orders_raw'!C134)=0,"ERROR","OK")</f>
        <v>0</v>
      </c>
      <c r="F134" s="2">
        <f>IF('01_orders_raw'!I134&lt;&gt;'01_orders_raw'!G134*'01_orders_raw'!H134,"ERROR","OK")</f>
        <v>0</v>
      </c>
      <c r="G134" s="2">
        <f>IF('01_orders_raw'!H134&lt;0,"ERROR","OK")</f>
        <v>0</v>
      </c>
      <c r="H134" s="2">
        <f>IF('01_orders_raw'!B134&gt;DATE(2026,6,25),"ERROR","OK")</f>
        <v>0</v>
      </c>
      <c r="I134" s="2">
        <f>IF(OR('01_orders_raw'!J134="Выполнен",'01_orders_raw'!J134="В работе",'01_orders_raw'!J134="Отменен",'01_orders_raw'!J134="Ожидает оплаты"),"OK","ERROR")</f>
        <v>0</v>
      </c>
      <c r="J134" s="2">
        <f>COUNTIF(C134:I134,"ERROR")</f>
        <v>0</v>
      </c>
      <c r="K134" s="2">
        <f>IF(J134&gt;0,"Проверить заказ","")</f>
        <v>0</v>
      </c>
    </row>
    <row r="135" spans="1:11">
      <c r="A135" s="2">
        <f>"Order"</f>
        <v>0</v>
      </c>
      <c r="B135" s="2">
        <f>'01_orders_raw'!A135</f>
        <v>0</v>
      </c>
      <c r="C135" s="2">
        <f>IF(COUNTIF('01_orders_raw'!$A$2:$A$161,'01_orders_raw'!A135)&gt;1,"ERROR","OK")</f>
        <v>0</v>
      </c>
      <c r="D135" s="2">
        <f>IF(OR('01_orders_raw'!C135="",'01_orders_raw'!D135=""),"ERROR","OK")</f>
        <v>0</v>
      </c>
      <c r="E135" s="2">
        <f>IF(COUNTIF('02_clients_raw'!$A$2:$A$47,'01_orders_raw'!C135)=0,"ERROR","OK")</f>
        <v>0</v>
      </c>
      <c r="F135" s="2">
        <f>IF('01_orders_raw'!I135&lt;&gt;'01_orders_raw'!G135*'01_orders_raw'!H135,"ERROR","OK")</f>
        <v>0</v>
      </c>
      <c r="G135" s="2">
        <f>IF('01_orders_raw'!H135&lt;0,"ERROR","OK")</f>
        <v>0</v>
      </c>
      <c r="H135" s="2">
        <f>IF('01_orders_raw'!B135&gt;DATE(2026,6,25),"ERROR","OK")</f>
        <v>0</v>
      </c>
      <c r="I135" s="2">
        <f>IF(OR('01_orders_raw'!J135="Выполнен",'01_orders_raw'!J135="В работе",'01_orders_raw'!J135="Отменен",'01_orders_raw'!J135="Ожидает оплаты"),"OK","ERROR")</f>
        <v>0</v>
      </c>
      <c r="J135" s="2">
        <f>COUNTIF(C135:I135,"ERROR")</f>
        <v>0</v>
      </c>
      <c r="K135" s="2">
        <f>IF(J135&gt;0,"Проверить заказ","")</f>
        <v>0</v>
      </c>
    </row>
    <row r="136" spans="1:11">
      <c r="A136" s="2">
        <f>"Order"</f>
        <v>0</v>
      </c>
      <c r="B136" s="2">
        <f>'01_orders_raw'!A136</f>
        <v>0</v>
      </c>
      <c r="C136" s="2">
        <f>IF(COUNTIF('01_orders_raw'!$A$2:$A$161,'01_orders_raw'!A136)&gt;1,"ERROR","OK")</f>
        <v>0</v>
      </c>
      <c r="D136" s="2">
        <f>IF(OR('01_orders_raw'!C136="",'01_orders_raw'!D136=""),"ERROR","OK")</f>
        <v>0</v>
      </c>
      <c r="E136" s="2">
        <f>IF(COUNTIF('02_clients_raw'!$A$2:$A$47,'01_orders_raw'!C136)=0,"ERROR","OK")</f>
        <v>0</v>
      </c>
      <c r="F136" s="2">
        <f>IF('01_orders_raw'!I136&lt;&gt;'01_orders_raw'!G136*'01_orders_raw'!H136,"ERROR","OK")</f>
        <v>0</v>
      </c>
      <c r="G136" s="2">
        <f>IF('01_orders_raw'!H136&lt;0,"ERROR","OK")</f>
        <v>0</v>
      </c>
      <c r="H136" s="2">
        <f>IF('01_orders_raw'!B136&gt;DATE(2026,6,25),"ERROR","OK")</f>
        <v>0</v>
      </c>
      <c r="I136" s="2">
        <f>IF(OR('01_orders_raw'!J136="Выполнен",'01_orders_raw'!J136="В работе",'01_orders_raw'!J136="Отменен",'01_orders_raw'!J136="Ожидает оплаты"),"OK","ERROR")</f>
        <v>0</v>
      </c>
      <c r="J136" s="2">
        <f>COUNTIF(C136:I136,"ERROR")</f>
        <v>0</v>
      </c>
      <c r="K136" s="2">
        <f>IF(J136&gt;0,"Проверить заказ","")</f>
        <v>0</v>
      </c>
    </row>
    <row r="137" spans="1:11">
      <c r="A137" s="2">
        <f>"Order"</f>
        <v>0</v>
      </c>
      <c r="B137" s="2">
        <f>'01_orders_raw'!A137</f>
        <v>0</v>
      </c>
      <c r="C137" s="2">
        <f>IF(COUNTIF('01_orders_raw'!$A$2:$A$161,'01_orders_raw'!A137)&gt;1,"ERROR","OK")</f>
        <v>0</v>
      </c>
      <c r="D137" s="2">
        <f>IF(OR('01_orders_raw'!C137="",'01_orders_raw'!D137=""),"ERROR","OK")</f>
        <v>0</v>
      </c>
      <c r="E137" s="2">
        <f>IF(COUNTIF('02_clients_raw'!$A$2:$A$47,'01_orders_raw'!C137)=0,"ERROR","OK")</f>
        <v>0</v>
      </c>
      <c r="F137" s="2">
        <f>IF('01_orders_raw'!I137&lt;&gt;'01_orders_raw'!G137*'01_orders_raw'!H137,"ERROR","OK")</f>
        <v>0</v>
      </c>
      <c r="G137" s="2">
        <f>IF('01_orders_raw'!H137&lt;0,"ERROR","OK")</f>
        <v>0</v>
      </c>
      <c r="H137" s="2">
        <f>IF('01_orders_raw'!B137&gt;DATE(2026,6,25),"ERROR","OK")</f>
        <v>0</v>
      </c>
      <c r="I137" s="2">
        <f>IF(OR('01_orders_raw'!J137="Выполнен",'01_orders_raw'!J137="В работе",'01_orders_raw'!J137="Отменен",'01_orders_raw'!J137="Ожидает оплаты"),"OK","ERROR")</f>
        <v>0</v>
      </c>
      <c r="J137" s="2">
        <f>COUNTIF(C137:I137,"ERROR")</f>
        <v>0</v>
      </c>
      <c r="K137" s="2">
        <f>IF(J137&gt;0,"Проверить заказ","")</f>
        <v>0</v>
      </c>
    </row>
    <row r="138" spans="1:11">
      <c r="A138" s="2">
        <f>"Order"</f>
        <v>0</v>
      </c>
      <c r="B138" s="2">
        <f>'01_orders_raw'!A138</f>
        <v>0</v>
      </c>
      <c r="C138" s="2">
        <f>IF(COUNTIF('01_orders_raw'!$A$2:$A$161,'01_orders_raw'!A138)&gt;1,"ERROR","OK")</f>
        <v>0</v>
      </c>
      <c r="D138" s="2">
        <f>IF(OR('01_orders_raw'!C138="",'01_orders_raw'!D138=""),"ERROR","OK")</f>
        <v>0</v>
      </c>
      <c r="E138" s="2">
        <f>IF(COUNTIF('02_clients_raw'!$A$2:$A$47,'01_orders_raw'!C138)=0,"ERROR","OK")</f>
        <v>0</v>
      </c>
      <c r="F138" s="2">
        <f>IF('01_orders_raw'!I138&lt;&gt;'01_orders_raw'!G138*'01_orders_raw'!H138,"ERROR","OK")</f>
        <v>0</v>
      </c>
      <c r="G138" s="2">
        <f>IF('01_orders_raw'!H138&lt;0,"ERROR","OK")</f>
        <v>0</v>
      </c>
      <c r="H138" s="2">
        <f>IF('01_orders_raw'!B138&gt;DATE(2026,6,25),"ERROR","OK")</f>
        <v>0</v>
      </c>
      <c r="I138" s="2">
        <f>IF(OR('01_orders_raw'!J138="Выполнен",'01_orders_raw'!J138="В работе",'01_orders_raw'!J138="Отменен",'01_orders_raw'!J138="Ожидает оплаты"),"OK","ERROR")</f>
        <v>0</v>
      </c>
      <c r="J138" s="2">
        <f>COUNTIF(C138:I138,"ERROR")</f>
        <v>0</v>
      </c>
      <c r="K138" s="2">
        <f>IF(J138&gt;0,"Проверить заказ","")</f>
        <v>0</v>
      </c>
    </row>
    <row r="139" spans="1:11">
      <c r="A139" s="2">
        <f>"Order"</f>
        <v>0</v>
      </c>
      <c r="B139" s="2">
        <f>'01_orders_raw'!A139</f>
        <v>0</v>
      </c>
      <c r="C139" s="2">
        <f>IF(COUNTIF('01_orders_raw'!$A$2:$A$161,'01_orders_raw'!A139)&gt;1,"ERROR","OK")</f>
        <v>0</v>
      </c>
      <c r="D139" s="2">
        <f>IF(OR('01_orders_raw'!C139="",'01_orders_raw'!D139=""),"ERROR","OK")</f>
        <v>0</v>
      </c>
      <c r="E139" s="2">
        <f>IF(COUNTIF('02_clients_raw'!$A$2:$A$47,'01_orders_raw'!C139)=0,"ERROR","OK")</f>
        <v>0</v>
      </c>
      <c r="F139" s="2">
        <f>IF('01_orders_raw'!I139&lt;&gt;'01_orders_raw'!G139*'01_orders_raw'!H139,"ERROR","OK")</f>
        <v>0</v>
      </c>
      <c r="G139" s="2">
        <f>IF('01_orders_raw'!H139&lt;0,"ERROR","OK")</f>
        <v>0</v>
      </c>
      <c r="H139" s="2">
        <f>IF('01_orders_raw'!B139&gt;DATE(2026,6,25),"ERROR","OK")</f>
        <v>0</v>
      </c>
      <c r="I139" s="2">
        <f>IF(OR('01_orders_raw'!J139="Выполнен",'01_orders_raw'!J139="В работе",'01_orders_raw'!J139="Отменен",'01_orders_raw'!J139="Ожидает оплаты"),"OK","ERROR")</f>
        <v>0</v>
      </c>
      <c r="J139" s="2">
        <f>COUNTIF(C139:I139,"ERROR")</f>
        <v>0</v>
      </c>
      <c r="K139" s="2">
        <f>IF(J139&gt;0,"Проверить заказ","")</f>
        <v>0</v>
      </c>
    </row>
    <row r="140" spans="1:11">
      <c r="A140" s="2">
        <f>"Order"</f>
        <v>0</v>
      </c>
      <c r="B140" s="2">
        <f>'01_orders_raw'!A140</f>
        <v>0</v>
      </c>
      <c r="C140" s="2">
        <f>IF(COUNTIF('01_orders_raw'!$A$2:$A$161,'01_orders_raw'!A140)&gt;1,"ERROR","OK")</f>
        <v>0</v>
      </c>
      <c r="D140" s="2">
        <f>IF(OR('01_orders_raw'!C140="",'01_orders_raw'!D140=""),"ERROR","OK")</f>
        <v>0</v>
      </c>
      <c r="E140" s="2">
        <f>IF(COUNTIF('02_clients_raw'!$A$2:$A$47,'01_orders_raw'!C140)=0,"ERROR","OK")</f>
        <v>0</v>
      </c>
      <c r="F140" s="2">
        <f>IF('01_orders_raw'!I140&lt;&gt;'01_orders_raw'!G140*'01_orders_raw'!H140,"ERROR","OK")</f>
        <v>0</v>
      </c>
      <c r="G140" s="2">
        <f>IF('01_orders_raw'!H140&lt;0,"ERROR","OK")</f>
        <v>0</v>
      </c>
      <c r="H140" s="2">
        <f>IF('01_orders_raw'!B140&gt;DATE(2026,6,25),"ERROR","OK")</f>
        <v>0</v>
      </c>
      <c r="I140" s="2">
        <f>IF(OR('01_orders_raw'!J140="Выполнен",'01_orders_raw'!J140="В работе",'01_orders_raw'!J140="Отменен",'01_orders_raw'!J140="Ожидает оплаты"),"OK","ERROR")</f>
        <v>0</v>
      </c>
      <c r="J140" s="2">
        <f>COUNTIF(C140:I140,"ERROR")</f>
        <v>0</v>
      </c>
      <c r="K140" s="2">
        <f>IF(J140&gt;0,"Проверить заказ","")</f>
        <v>0</v>
      </c>
    </row>
    <row r="141" spans="1:11">
      <c r="A141" s="2">
        <f>"Order"</f>
        <v>0</v>
      </c>
      <c r="B141" s="2">
        <f>'01_orders_raw'!A141</f>
        <v>0</v>
      </c>
      <c r="C141" s="2">
        <f>IF(COUNTIF('01_orders_raw'!$A$2:$A$161,'01_orders_raw'!A141)&gt;1,"ERROR","OK")</f>
        <v>0</v>
      </c>
      <c r="D141" s="2">
        <f>IF(OR('01_orders_raw'!C141="",'01_orders_raw'!D141=""),"ERROR","OK")</f>
        <v>0</v>
      </c>
      <c r="E141" s="2">
        <f>IF(COUNTIF('02_clients_raw'!$A$2:$A$47,'01_orders_raw'!C141)=0,"ERROR","OK")</f>
        <v>0</v>
      </c>
      <c r="F141" s="2">
        <f>IF('01_orders_raw'!I141&lt;&gt;'01_orders_raw'!G141*'01_orders_raw'!H141,"ERROR","OK")</f>
        <v>0</v>
      </c>
      <c r="G141" s="2">
        <f>IF('01_orders_raw'!H141&lt;0,"ERROR","OK")</f>
        <v>0</v>
      </c>
      <c r="H141" s="2">
        <f>IF('01_orders_raw'!B141&gt;DATE(2026,6,25),"ERROR","OK")</f>
        <v>0</v>
      </c>
      <c r="I141" s="2">
        <f>IF(OR('01_orders_raw'!J141="Выполнен",'01_orders_raw'!J141="В работе",'01_orders_raw'!J141="Отменен",'01_orders_raw'!J141="Ожидает оплаты"),"OK","ERROR")</f>
        <v>0</v>
      </c>
      <c r="J141" s="2">
        <f>COUNTIF(C141:I141,"ERROR")</f>
        <v>0</v>
      </c>
      <c r="K141" s="2">
        <f>IF(J141&gt;0,"Проверить заказ","")</f>
        <v>0</v>
      </c>
    </row>
    <row r="142" spans="1:11">
      <c r="A142" s="2">
        <f>"Order"</f>
        <v>0</v>
      </c>
      <c r="B142" s="2">
        <f>'01_orders_raw'!A142</f>
        <v>0</v>
      </c>
      <c r="C142" s="2">
        <f>IF(COUNTIF('01_orders_raw'!$A$2:$A$161,'01_orders_raw'!A142)&gt;1,"ERROR","OK")</f>
        <v>0</v>
      </c>
      <c r="D142" s="2">
        <f>IF(OR('01_orders_raw'!C142="",'01_orders_raw'!D142=""),"ERROR","OK")</f>
        <v>0</v>
      </c>
      <c r="E142" s="2">
        <f>IF(COUNTIF('02_clients_raw'!$A$2:$A$47,'01_orders_raw'!C142)=0,"ERROR","OK")</f>
        <v>0</v>
      </c>
      <c r="F142" s="2">
        <f>IF('01_orders_raw'!I142&lt;&gt;'01_orders_raw'!G142*'01_orders_raw'!H142,"ERROR","OK")</f>
        <v>0</v>
      </c>
      <c r="G142" s="2">
        <f>IF('01_orders_raw'!H142&lt;0,"ERROR","OK")</f>
        <v>0</v>
      </c>
      <c r="H142" s="2">
        <f>IF('01_orders_raw'!B142&gt;DATE(2026,6,25),"ERROR","OK")</f>
        <v>0</v>
      </c>
      <c r="I142" s="2">
        <f>IF(OR('01_orders_raw'!J142="Выполнен",'01_orders_raw'!J142="В работе",'01_orders_raw'!J142="Отменен",'01_orders_raw'!J142="Ожидает оплаты"),"OK","ERROR")</f>
        <v>0</v>
      </c>
      <c r="J142" s="2">
        <f>COUNTIF(C142:I142,"ERROR")</f>
        <v>0</v>
      </c>
      <c r="K142" s="2">
        <f>IF(J142&gt;0,"Проверить заказ","")</f>
        <v>0</v>
      </c>
    </row>
    <row r="143" spans="1:11">
      <c r="A143" s="2">
        <f>"Order"</f>
        <v>0</v>
      </c>
      <c r="B143" s="2">
        <f>'01_orders_raw'!A143</f>
        <v>0</v>
      </c>
      <c r="C143" s="2">
        <f>IF(COUNTIF('01_orders_raw'!$A$2:$A$161,'01_orders_raw'!A143)&gt;1,"ERROR","OK")</f>
        <v>0</v>
      </c>
      <c r="D143" s="2">
        <f>IF(OR('01_orders_raw'!C143="",'01_orders_raw'!D143=""),"ERROR","OK")</f>
        <v>0</v>
      </c>
      <c r="E143" s="2">
        <f>IF(COUNTIF('02_clients_raw'!$A$2:$A$47,'01_orders_raw'!C143)=0,"ERROR","OK")</f>
        <v>0</v>
      </c>
      <c r="F143" s="2">
        <f>IF('01_orders_raw'!I143&lt;&gt;'01_orders_raw'!G143*'01_orders_raw'!H143,"ERROR","OK")</f>
        <v>0</v>
      </c>
      <c r="G143" s="2">
        <f>IF('01_orders_raw'!H143&lt;0,"ERROR","OK")</f>
        <v>0</v>
      </c>
      <c r="H143" s="2">
        <f>IF('01_orders_raw'!B143&gt;DATE(2026,6,25),"ERROR","OK")</f>
        <v>0</v>
      </c>
      <c r="I143" s="2">
        <f>IF(OR('01_orders_raw'!J143="Выполнен",'01_orders_raw'!J143="В работе",'01_orders_raw'!J143="Отменен",'01_orders_raw'!J143="Ожидает оплаты"),"OK","ERROR")</f>
        <v>0</v>
      </c>
      <c r="J143" s="2">
        <f>COUNTIF(C143:I143,"ERROR")</f>
        <v>0</v>
      </c>
      <c r="K143" s="2">
        <f>IF(J143&gt;0,"Проверить заказ","")</f>
        <v>0</v>
      </c>
    </row>
    <row r="144" spans="1:11">
      <c r="A144" s="2">
        <f>"Order"</f>
        <v>0</v>
      </c>
      <c r="B144" s="2">
        <f>'01_orders_raw'!A144</f>
        <v>0</v>
      </c>
      <c r="C144" s="2">
        <f>IF(COUNTIF('01_orders_raw'!$A$2:$A$161,'01_orders_raw'!A144)&gt;1,"ERROR","OK")</f>
        <v>0</v>
      </c>
      <c r="D144" s="2">
        <f>IF(OR('01_orders_raw'!C144="",'01_orders_raw'!D144=""),"ERROR","OK")</f>
        <v>0</v>
      </c>
      <c r="E144" s="2">
        <f>IF(COUNTIF('02_clients_raw'!$A$2:$A$47,'01_orders_raw'!C144)=0,"ERROR","OK")</f>
        <v>0</v>
      </c>
      <c r="F144" s="2">
        <f>IF('01_orders_raw'!I144&lt;&gt;'01_orders_raw'!G144*'01_orders_raw'!H144,"ERROR","OK")</f>
        <v>0</v>
      </c>
      <c r="G144" s="2">
        <f>IF('01_orders_raw'!H144&lt;0,"ERROR","OK")</f>
        <v>0</v>
      </c>
      <c r="H144" s="2">
        <f>IF('01_orders_raw'!B144&gt;DATE(2026,6,25),"ERROR","OK")</f>
        <v>0</v>
      </c>
      <c r="I144" s="2">
        <f>IF(OR('01_orders_raw'!J144="Выполнен",'01_orders_raw'!J144="В работе",'01_orders_raw'!J144="Отменен",'01_orders_raw'!J144="Ожидает оплаты"),"OK","ERROR")</f>
        <v>0</v>
      </c>
      <c r="J144" s="2">
        <f>COUNTIF(C144:I144,"ERROR")</f>
        <v>0</v>
      </c>
      <c r="K144" s="2">
        <f>IF(J144&gt;0,"Проверить заказ","")</f>
        <v>0</v>
      </c>
    </row>
    <row r="145" spans="1:11">
      <c r="A145" s="2">
        <f>"Order"</f>
        <v>0</v>
      </c>
      <c r="B145" s="2">
        <f>'01_orders_raw'!A145</f>
        <v>0</v>
      </c>
      <c r="C145" s="2">
        <f>IF(COUNTIF('01_orders_raw'!$A$2:$A$161,'01_orders_raw'!A145)&gt;1,"ERROR","OK")</f>
        <v>0</v>
      </c>
      <c r="D145" s="2">
        <f>IF(OR('01_orders_raw'!C145="",'01_orders_raw'!D145=""),"ERROR","OK")</f>
        <v>0</v>
      </c>
      <c r="E145" s="2">
        <f>IF(COUNTIF('02_clients_raw'!$A$2:$A$47,'01_orders_raw'!C145)=0,"ERROR","OK")</f>
        <v>0</v>
      </c>
      <c r="F145" s="2">
        <f>IF('01_orders_raw'!I145&lt;&gt;'01_orders_raw'!G145*'01_orders_raw'!H145,"ERROR","OK")</f>
        <v>0</v>
      </c>
      <c r="G145" s="2">
        <f>IF('01_orders_raw'!H145&lt;0,"ERROR","OK")</f>
        <v>0</v>
      </c>
      <c r="H145" s="2">
        <f>IF('01_orders_raw'!B145&gt;DATE(2026,6,25),"ERROR","OK")</f>
        <v>0</v>
      </c>
      <c r="I145" s="2">
        <f>IF(OR('01_orders_raw'!J145="Выполнен",'01_orders_raw'!J145="В работе",'01_orders_raw'!J145="Отменен",'01_orders_raw'!J145="Ожидает оплаты"),"OK","ERROR")</f>
        <v>0</v>
      </c>
      <c r="J145" s="2">
        <f>COUNTIF(C145:I145,"ERROR")</f>
        <v>0</v>
      </c>
      <c r="K145" s="2">
        <f>IF(J145&gt;0,"Проверить заказ","")</f>
        <v>0</v>
      </c>
    </row>
    <row r="146" spans="1:11">
      <c r="A146" s="2">
        <f>"Order"</f>
        <v>0</v>
      </c>
      <c r="B146" s="2">
        <f>'01_orders_raw'!A146</f>
        <v>0</v>
      </c>
      <c r="C146" s="2">
        <f>IF(COUNTIF('01_orders_raw'!$A$2:$A$161,'01_orders_raw'!A146)&gt;1,"ERROR","OK")</f>
        <v>0</v>
      </c>
      <c r="D146" s="2">
        <f>IF(OR('01_orders_raw'!C146="",'01_orders_raw'!D146=""),"ERROR","OK")</f>
        <v>0</v>
      </c>
      <c r="E146" s="2">
        <f>IF(COUNTIF('02_clients_raw'!$A$2:$A$47,'01_orders_raw'!C146)=0,"ERROR","OK")</f>
        <v>0</v>
      </c>
      <c r="F146" s="2">
        <f>IF('01_orders_raw'!I146&lt;&gt;'01_orders_raw'!G146*'01_orders_raw'!H146,"ERROR","OK")</f>
        <v>0</v>
      </c>
      <c r="G146" s="2">
        <f>IF('01_orders_raw'!H146&lt;0,"ERROR","OK")</f>
        <v>0</v>
      </c>
      <c r="H146" s="2">
        <f>IF('01_orders_raw'!B146&gt;DATE(2026,6,25),"ERROR","OK")</f>
        <v>0</v>
      </c>
      <c r="I146" s="2">
        <f>IF(OR('01_orders_raw'!J146="Выполнен",'01_orders_raw'!J146="В работе",'01_orders_raw'!J146="Отменен",'01_orders_raw'!J146="Ожидает оплаты"),"OK","ERROR")</f>
        <v>0</v>
      </c>
      <c r="J146" s="2">
        <f>COUNTIF(C146:I146,"ERROR")</f>
        <v>0</v>
      </c>
      <c r="K146" s="2">
        <f>IF(J146&gt;0,"Проверить заказ","")</f>
        <v>0</v>
      </c>
    </row>
    <row r="147" spans="1:11">
      <c r="A147" s="2">
        <f>"Order"</f>
        <v>0</v>
      </c>
      <c r="B147" s="2">
        <f>'01_orders_raw'!A147</f>
        <v>0</v>
      </c>
      <c r="C147" s="2">
        <f>IF(COUNTIF('01_orders_raw'!$A$2:$A$161,'01_orders_raw'!A147)&gt;1,"ERROR","OK")</f>
        <v>0</v>
      </c>
      <c r="D147" s="2">
        <f>IF(OR('01_orders_raw'!C147="",'01_orders_raw'!D147=""),"ERROR","OK")</f>
        <v>0</v>
      </c>
      <c r="E147" s="2">
        <f>IF(COUNTIF('02_clients_raw'!$A$2:$A$47,'01_orders_raw'!C147)=0,"ERROR","OK")</f>
        <v>0</v>
      </c>
      <c r="F147" s="2">
        <f>IF('01_orders_raw'!I147&lt;&gt;'01_orders_raw'!G147*'01_orders_raw'!H147,"ERROR","OK")</f>
        <v>0</v>
      </c>
      <c r="G147" s="2">
        <f>IF('01_orders_raw'!H147&lt;0,"ERROR","OK")</f>
        <v>0</v>
      </c>
      <c r="H147" s="2">
        <f>IF('01_orders_raw'!B147&gt;DATE(2026,6,25),"ERROR","OK")</f>
        <v>0</v>
      </c>
      <c r="I147" s="2">
        <f>IF(OR('01_orders_raw'!J147="Выполнен",'01_orders_raw'!J147="В работе",'01_orders_raw'!J147="Отменен",'01_orders_raw'!J147="Ожидает оплаты"),"OK","ERROR")</f>
        <v>0</v>
      </c>
      <c r="J147" s="2">
        <f>COUNTIF(C147:I147,"ERROR")</f>
        <v>0</v>
      </c>
      <c r="K147" s="2">
        <f>IF(J147&gt;0,"Проверить заказ","")</f>
        <v>0</v>
      </c>
    </row>
    <row r="148" spans="1:11">
      <c r="A148" s="2">
        <f>"Order"</f>
        <v>0</v>
      </c>
      <c r="B148" s="2">
        <f>'01_orders_raw'!A148</f>
        <v>0</v>
      </c>
      <c r="C148" s="2">
        <f>IF(COUNTIF('01_orders_raw'!$A$2:$A$161,'01_orders_raw'!A148)&gt;1,"ERROR","OK")</f>
        <v>0</v>
      </c>
      <c r="D148" s="2">
        <f>IF(OR('01_orders_raw'!C148="",'01_orders_raw'!D148=""),"ERROR","OK")</f>
        <v>0</v>
      </c>
      <c r="E148" s="2">
        <f>IF(COUNTIF('02_clients_raw'!$A$2:$A$47,'01_orders_raw'!C148)=0,"ERROR","OK")</f>
        <v>0</v>
      </c>
      <c r="F148" s="2">
        <f>IF('01_orders_raw'!I148&lt;&gt;'01_orders_raw'!G148*'01_orders_raw'!H148,"ERROR","OK")</f>
        <v>0</v>
      </c>
      <c r="G148" s="2">
        <f>IF('01_orders_raw'!H148&lt;0,"ERROR","OK")</f>
        <v>0</v>
      </c>
      <c r="H148" s="2">
        <f>IF('01_orders_raw'!B148&gt;DATE(2026,6,25),"ERROR","OK")</f>
        <v>0</v>
      </c>
      <c r="I148" s="2">
        <f>IF(OR('01_orders_raw'!J148="Выполнен",'01_orders_raw'!J148="В работе",'01_orders_raw'!J148="Отменен",'01_orders_raw'!J148="Ожидает оплаты"),"OK","ERROR")</f>
        <v>0</v>
      </c>
      <c r="J148" s="2">
        <f>COUNTIF(C148:I148,"ERROR")</f>
        <v>0</v>
      </c>
      <c r="K148" s="2">
        <f>IF(J148&gt;0,"Проверить заказ","")</f>
        <v>0</v>
      </c>
    </row>
    <row r="149" spans="1:11">
      <c r="A149" s="2">
        <f>"Order"</f>
        <v>0</v>
      </c>
      <c r="B149" s="2">
        <f>'01_orders_raw'!A149</f>
        <v>0</v>
      </c>
      <c r="C149" s="2">
        <f>IF(COUNTIF('01_orders_raw'!$A$2:$A$161,'01_orders_raw'!A149)&gt;1,"ERROR","OK")</f>
        <v>0</v>
      </c>
      <c r="D149" s="2">
        <f>IF(OR('01_orders_raw'!C149="",'01_orders_raw'!D149=""),"ERROR","OK")</f>
        <v>0</v>
      </c>
      <c r="E149" s="2">
        <f>IF(COUNTIF('02_clients_raw'!$A$2:$A$47,'01_orders_raw'!C149)=0,"ERROR","OK")</f>
        <v>0</v>
      </c>
      <c r="F149" s="2">
        <f>IF('01_orders_raw'!I149&lt;&gt;'01_orders_raw'!G149*'01_orders_raw'!H149,"ERROR","OK")</f>
        <v>0</v>
      </c>
      <c r="G149" s="2">
        <f>IF('01_orders_raw'!H149&lt;0,"ERROR","OK")</f>
        <v>0</v>
      </c>
      <c r="H149" s="2">
        <f>IF('01_orders_raw'!B149&gt;DATE(2026,6,25),"ERROR","OK")</f>
        <v>0</v>
      </c>
      <c r="I149" s="2">
        <f>IF(OR('01_orders_raw'!J149="Выполнен",'01_orders_raw'!J149="В работе",'01_orders_raw'!J149="Отменен",'01_orders_raw'!J149="Ожидает оплаты"),"OK","ERROR")</f>
        <v>0</v>
      </c>
      <c r="J149" s="2">
        <f>COUNTIF(C149:I149,"ERROR")</f>
        <v>0</v>
      </c>
      <c r="K149" s="2">
        <f>IF(J149&gt;0,"Проверить заказ","")</f>
        <v>0</v>
      </c>
    </row>
    <row r="150" spans="1:11">
      <c r="A150" s="2">
        <f>"Order"</f>
        <v>0</v>
      </c>
      <c r="B150" s="2">
        <f>'01_orders_raw'!A150</f>
        <v>0</v>
      </c>
      <c r="C150" s="2">
        <f>IF(COUNTIF('01_orders_raw'!$A$2:$A$161,'01_orders_raw'!A150)&gt;1,"ERROR","OK")</f>
        <v>0</v>
      </c>
      <c r="D150" s="2">
        <f>IF(OR('01_orders_raw'!C150="",'01_orders_raw'!D150=""),"ERROR","OK")</f>
        <v>0</v>
      </c>
      <c r="E150" s="2">
        <f>IF(COUNTIF('02_clients_raw'!$A$2:$A$47,'01_orders_raw'!C150)=0,"ERROR","OK")</f>
        <v>0</v>
      </c>
      <c r="F150" s="2">
        <f>IF('01_orders_raw'!I150&lt;&gt;'01_orders_raw'!G150*'01_orders_raw'!H150,"ERROR","OK")</f>
        <v>0</v>
      </c>
      <c r="G150" s="2">
        <f>IF('01_orders_raw'!H150&lt;0,"ERROR","OK")</f>
        <v>0</v>
      </c>
      <c r="H150" s="2">
        <f>IF('01_orders_raw'!B150&gt;DATE(2026,6,25),"ERROR","OK")</f>
        <v>0</v>
      </c>
      <c r="I150" s="2">
        <f>IF(OR('01_orders_raw'!J150="Выполнен",'01_orders_raw'!J150="В работе",'01_orders_raw'!J150="Отменен",'01_orders_raw'!J150="Ожидает оплаты"),"OK","ERROR")</f>
        <v>0</v>
      </c>
      <c r="J150" s="2">
        <f>COUNTIF(C150:I150,"ERROR")</f>
        <v>0</v>
      </c>
      <c r="K150" s="2">
        <f>IF(J150&gt;0,"Проверить заказ","")</f>
        <v>0</v>
      </c>
    </row>
    <row r="151" spans="1:11">
      <c r="A151" s="2">
        <f>"Order"</f>
        <v>0</v>
      </c>
      <c r="B151" s="2">
        <f>'01_orders_raw'!A151</f>
        <v>0</v>
      </c>
      <c r="C151" s="2">
        <f>IF(COUNTIF('01_orders_raw'!$A$2:$A$161,'01_orders_raw'!A151)&gt;1,"ERROR","OK")</f>
        <v>0</v>
      </c>
      <c r="D151" s="2">
        <f>IF(OR('01_orders_raw'!C151="",'01_orders_raw'!D151=""),"ERROR","OK")</f>
        <v>0</v>
      </c>
      <c r="E151" s="2">
        <f>IF(COUNTIF('02_clients_raw'!$A$2:$A$47,'01_orders_raw'!C151)=0,"ERROR","OK")</f>
        <v>0</v>
      </c>
      <c r="F151" s="2">
        <f>IF('01_orders_raw'!I151&lt;&gt;'01_orders_raw'!G151*'01_orders_raw'!H151,"ERROR","OK")</f>
        <v>0</v>
      </c>
      <c r="G151" s="2">
        <f>IF('01_orders_raw'!H151&lt;0,"ERROR","OK")</f>
        <v>0</v>
      </c>
      <c r="H151" s="2">
        <f>IF('01_orders_raw'!B151&gt;DATE(2026,6,25),"ERROR","OK")</f>
        <v>0</v>
      </c>
      <c r="I151" s="2">
        <f>IF(OR('01_orders_raw'!J151="Выполнен",'01_orders_raw'!J151="В работе",'01_orders_raw'!J151="Отменен",'01_orders_raw'!J151="Ожидает оплаты"),"OK","ERROR")</f>
        <v>0</v>
      </c>
      <c r="J151" s="2">
        <f>COUNTIF(C151:I151,"ERROR")</f>
        <v>0</v>
      </c>
      <c r="K151" s="2">
        <f>IF(J151&gt;0,"Проверить заказ","")</f>
        <v>0</v>
      </c>
    </row>
    <row r="152" spans="1:11">
      <c r="A152" s="2">
        <f>"Order"</f>
        <v>0</v>
      </c>
      <c r="B152" s="2">
        <f>'01_orders_raw'!A152</f>
        <v>0</v>
      </c>
      <c r="C152" s="2">
        <f>IF(COUNTIF('01_orders_raw'!$A$2:$A$161,'01_orders_raw'!A152)&gt;1,"ERROR","OK")</f>
        <v>0</v>
      </c>
      <c r="D152" s="2">
        <f>IF(OR('01_orders_raw'!C152="",'01_orders_raw'!D152=""),"ERROR","OK")</f>
        <v>0</v>
      </c>
      <c r="E152" s="2">
        <f>IF(COUNTIF('02_clients_raw'!$A$2:$A$47,'01_orders_raw'!C152)=0,"ERROR","OK")</f>
        <v>0</v>
      </c>
      <c r="F152" s="2">
        <f>IF('01_orders_raw'!I152&lt;&gt;'01_orders_raw'!G152*'01_orders_raw'!H152,"ERROR","OK")</f>
        <v>0</v>
      </c>
      <c r="G152" s="2">
        <f>IF('01_orders_raw'!H152&lt;0,"ERROR","OK")</f>
        <v>0</v>
      </c>
      <c r="H152" s="2">
        <f>IF('01_orders_raw'!B152&gt;DATE(2026,6,25),"ERROR","OK")</f>
        <v>0</v>
      </c>
      <c r="I152" s="2">
        <f>IF(OR('01_orders_raw'!J152="Выполнен",'01_orders_raw'!J152="В работе",'01_orders_raw'!J152="Отменен",'01_orders_raw'!J152="Ожидает оплаты"),"OK","ERROR")</f>
        <v>0</v>
      </c>
      <c r="J152" s="2">
        <f>COUNTIF(C152:I152,"ERROR")</f>
        <v>0</v>
      </c>
      <c r="K152" s="2">
        <f>IF(J152&gt;0,"Проверить заказ","")</f>
        <v>0</v>
      </c>
    </row>
    <row r="153" spans="1:11">
      <c r="A153" s="2">
        <f>"Order"</f>
        <v>0</v>
      </c>
      <c r="B153" s="2">
        <f>'01_orders_raw'!A153</f>
        <v>0</v>
      </c>
      <c r="C153" s="2">
        <f>IF(COUNTIF('01_orders_raw'!$A$2:$A$161,'01_orders_raw'!A153)&gt;1,"ERROR","OK")</f>
        <v>0</v>
      </c>
      <c r="D153" s="2">
        <f>IF(OR('01_orders_raw'!C153="",'01_orders_raw'!D153=""),"ERROR","OK")</f>
        <v>0</v>
      </c>
      <c r="E153" s="2">
        <f>IF(COUNTIF('02_clients_raw'!$A$2:$A$47,'01_orders_raw'!C153)=0,"ERROR","OK")</f>
        <v>0</v>
      </c>
      <c r="F153" s="2">
        <f>IF('01_orders_raw'!I153&lt;&gt;'01_orders_raw'!G153*'01_orders_raw'!H153,"ERROR","OK")</f>
        <v>0</v>
      </c>
      <c r="G153" s="2">
        <f>IF('01_orders_raw'!H153&lt;0,"ERROR","OK")</f>
        <v>0</v>
      </c>
      <c r="H153" s="2">
        <f>IF('01_orders_raw'!B153&gt;DATE(2026,6,25),"ERROR","OK")</f>
        <v>0</v>
      </c>
      <c r="I153" s="2">
        <f>IF(OR('01_orders_raw'!J153="Выполнен",'01_orders_raw'!J153="В работе",'01_orders_raw'!J153="Отменен",'01_orders_raw'!J153="Ожидает оплаты"),"OK","ERROR")</f>
        <v>0</v>
      </c>
      <c r="J153" s="2">
        <f>COUNTIF(C153:I153,"ERROR")</f>
        <v>0</v>
      </c>
      <c r="K153" s="2">
        <f>IF(J153&gt;0,"Проверить заказ","")</f>
        <v>0</v>
      </c>
    </row>
    <row r="154" spans="1:11">
      <c r="A154" s="2">
        <f>"Order"</f>
        <v>0</v>
      </c>
      <c r="B154" s="2">
        <f>'01_orders_raw'!A154</f>
        <v>0</v>
      </c>
      <c r="C154" s="2">
        <f>IF(COUNTIF('01_orders_raw'!$A$2:$A$161,'01_orders_raw'!A154)&gt;1,"ERROR","OK")</f>
        <v>0</v>
      </c>
      <c r="D154" s="2">
        <f>IF(OR('01_orders_raw'!C154="",'01_orders_raw'!D154=""),"ERROR","OK")</f>
        <v>0</v>
      </c>
      <c r="E154" s="2">
        <f>IF(COUNTIF('02_clients_raw'!$A$2:$A$47,'01_orders_raw'!C154)=0,"ERROR","OK")</f>
        <v>0</v>
      </c>
      <c r="F154" s="2">
        <f>IF('01_orders_raw'!I154&lt;&gt;'01_orders_raw'!G154*'01_orders_raw'!H154,"ERROR","OK")</f>
        <v>0</v>
      </c>
      <c r="G154" s="2">
        <f>IF('01_orders_raw'!H154&lt;0,"ERROR","OK")</f>
        <v>0</v>
      </c>
      <c r="H154" s="2">
        <f>IF('01_orders_raw'!B154&gt;DATE(2026,6,25),"ERROR","OK")</f>
        <v>0</v>
      </c>
      <c r="I154" s="2">
        <f>IF(OR('01_orders_raw'!J154="Выполнен",'01_orders_raw'!J154="В работе",'01_orders_raw'!J154="Отменен",'01_orders_raw'!J154="Ожидает оплаты"),"OK","ERROR")</f>
        <v>0</v>
      </c>
      <c r="J154" s="2">
        <f>COUNTIF(C154:I154,"ERROR")</f>
        <v>0</v>
      </c>
      <c r="K154" s="2">
        <f>IF(J154&gt;0,"Проверить заказ","")</f>
        <v>0</v>
      </c>
    </row>
    <row r="155" spans="1:11">
      <c r="A155" s="2">
        <f>"Order"</f>
        <v>0</v>
      </c>
      <c r="B155" s="2">
        <f>'01_orders_raw'!A155</f>
        <v>0</v>
      </c>
      <c r="C155" s="2">
        <f>IF(COUNTIF('01_orders_raw'!$A$2:$A$161,'01_orders_raw'!A155)&gt;1,"ERROR","OK")</f>
        <v>0</v>
      </c>
      <c r="D155" s="2">
        <f>IF(OR('01_orders_raw'!C155="",'01_orders_raw'!D155=""),"ERROR","OK")</f>
        <v>0</v>
      </c>
      <c r="E155" s="2">
        <f>IF(COUNTIF('02_clients_raw'!$A$2:$A$47,'01_orders_raw'!C155)=0,"ERROR","OK")</f>
        <v>0</v>
      </c>
      <c r="F155" s="2">
        <f>IF('01_orders_raw'!I155&lt;&gt;'01_orders_raw'!G155*'01_orders_raw'!H155,"ERROR","OK")</f>
        <v>0</v>
      </c>
      <c r="G155" s="2">
        <f>IF('01_orders_raw'!H155&lt;0,"ERROR","OK")</f>
        <v>0</v>
      </c>
      <c r="H155" s="2">
        <f>IF('01_orders_raw'!B155&gt;DATE(2026,6,25),"ERROR","OK")</f>
        <v>0</v>
      </c>
      <c r="I155" s="2">
        <f>IF(OR('01_orders_raw'!J155="Выполнен",'01_orders_raw'!J155="В работе",'01_orders_raw'!J155="Отменен",'01_orders_raw'!J155="Ожидает оплаты"),"OK","ERROR")</f>
        <v>0</v>
      </c>
      <c r="J155" s="2">
        <f>COUNTIF(C155:I155,"ERROR")</f>
        <v>0</v>
      </c>
      <c r="K155" s="2">
        <f>IF(J155&gt;0,"Проверить заказ","")</f>
        <v>0</v>
      </c>
    </row>
    <row r="156" spans="1:11">
      <c r="A156" s="2">
        <f>"Order"</f>
        <v>0</v>
      </c>
      <c r="B156" s="2">
        <f>'01_orders_raw'!A156</f>
        <v>0</v>
      </c>
      <c r="C156" s="2">
        <f>IF(COUNTIF('01_orders_raw'!$A$2:$A$161,'01_orders_raw'!A156)&gt;1,"ERROR","OK")</f>
        <v>0</v>
      </c>
      <c r="D156" s="2">
        <f>IF(OR('01_orders_raw'!C156="",'01_orders_raw'!D156=""),"ERROR","OK")</f>
        <v>0</v>
      </c>
      <c r="E156" s="2">
        <f>IF(COUNTIF('02_clients_raw'!$A$2:$A$47,'01_orders_raw'!C156)=0,"ERROR","OK")</f>
        <v>0</v>
      </c>
      <c r="F156" s="2">
        <f>IF('01_orders_raw'!I156&lt;&gt;'01_orders_raw'!G156*'01_orders_raw'!H156,"ERROR","OK")</f>
        <v>0</v>
      </c>
      <c r="G156" s="2">
        <f>IF('01_orders_raw'!H156&lt;0,"ERROR","OK")</f>
        <v>0</v>
      </c>
      <c r="H156" s="2">
        <f>IF('01_orders_raw'!B156&gt;DATE(2026,6,25),"ERROR","OK")</f>
        <v>0</v>
      </c>
      <c r="I156" s="2">
        <f>IF(OR('01_orders_raw'!J156="Выполнен",'01_orders_raw'!J156="В работе",'01_orders_raw'!J156="Отменен",'01_orders_raw'!J156="Ожидает оплаты"),"OK","ERROR")</f>
        <v>0</v>
      </c>
      <c r="J156" s="2">
        <f>COUNTIF(C156:I156,"ERROR")</f>
        <v>0</v>
      </c>
      <c r="K156" s="2">
        <f>IF(J156&gt;0,"Проверить заказ","")</f>
        <v>0</v>
      </c>
    </row>
    <row r="157" spans="1:11">
      <c r="A157" s="2">
        <f>"Order"</f>
        <v>0</v>
      </c>
      <c r="B157" s="2">
        <f>'01_orders_raw'!A157</f>
        <v>0</v>
      </c>
      <c r="C157" s="2">
        <f>IF(COUNTIF('01_orders_raw'!$A$2:$A$161,'01_orders_raw'!A157)&gt;1,"ERROR","OK")</f>
        <v>0</v>
      </c>
      <c r="D157" s="2">
        <f>IF(OR('01_orders_raw'!C157="",'01_orders_raw'!D157=""),"ERROR","OK")</f>
        <v>0</v>
      </c>
      <c r="E157" s="2">
        <f>IF(COUNTIF('02_clients_raw'!$A$2:$A$47,'01_orders_raw'!C157)=0,"ERROR","OK")</f>
        <v>0</v>
      </c>
      <c r="F157" s="2">
        <f>IF('01_orders_raw'!I157&lt;&gt;'01_orders_raw'!G157*'01_orders_raw'!H157,"ERROR","OK")</f>
        <v>0</v>
      </c>
      <c r="G157" s="2">
        <f>IF('01_orders_raw'!H157&lt;0,"ERROR","OK")</f>
        <v>0</v>
      </c>
      <c r="H157" s="2">
        <f>IF('01_orders_raw'!B157&gt;DATE(2026,6,25),"ERROR","OK")</f>
        <v>0</v>
      </c>
      <c r="I157" s="2">
        <f>IF(OR('01_orders_raw'!J157="Выполнен",'01_orders_raw'!J157="В работе",'01_orders_raw'!J157="Отменен",'01_orders_raw'!J157="Ожидает оплаты"),"OK","ERROR")</f>
        <v>0</v>
      </c>
      <c r="J157" s="2">
        <f>COUNTIF(C157:I157,"ERROR")</f>
        <v>0</v>
      </c>
      <c r="K157" s="2">
        <f>IF(J157&gt;0,"Проверить заказ","")</f>
        <v>0</v>
      </c>
    </row>
    <row r="158" spans="1:11">
      <c r="A158" s="2">
        <f>"Order"</f>
        <v>0</v>
      </c>
      <c r="B158" s="2">
        <f>'01_orders_raw'!A158</f>
        <v>0</v>
      </c>
      <c r="C158" s="2">
        <f>IF(COUNTIF('01_orders_raw'!$A$2:$A$161,'01_orders_raw'!A158)&gt;1,"ERROR","OK")</f>
        <v>0</v>
      </c>
      <c r="D158" s="2">
        <f>IF(OR('01_orders_raw'!C158="",'01_orders_raw'!D158=""),"ERROR","OK")</f>
        <v>0</v>
      </c>
      <c r="E158" s="2">
        <f>IF(COUNTIF('02_clients_raw'!$A$2:$A$47,'01_orders_raw'!C158)=0,"ERROR","OK")</f>
        <v>0</v>
      </c>
      <c r="F158" s="2">
        <f>IF('01_orders_raw'!I158&lt;&gt;'01_orders_raw'!G158*'01_orders_raw'!H158,"ERROR","OK")</f>
        <v>0</v>
      </c>
      <c r="G158" s="2">
        <f>IF('01_orders_raw'!H158&lt;0,"ERROR","OK")</f>
        <v>0</v>
      </c>
      <c r="H158" s="2">
        <f>IF('01_orders_raw'!B158&gt;DATE(2026,6,25),"ERROR","OK")</f>
        <v>0</v>
      </c>
      <c r="I158" s="2">
        <f>IF(OR('01_orders_raw'!J158="Выполнен",'01_orders_raw'!J158="В работе",'01_orders_raw'!J158="Отменен",'01_orders_raw'!J158="Ожидает оплаты"),"OK","ERROR")</f>
        <v>0</v>
      </c>
      <c r="J158" s="2">
        <f>COUNTIF(C158:I158,"ERROR")</f>
        <v>0</v>
      </c>
      <c r="K158" s="2">
        <f>IF(J158&gt;0,"Проверить заказ","")</f>
        <v>0</v>
      </c>
    </row>
    <row r="159" spans="1:11">
      <c r="A159" s="2">
        <f>"Order"</f>
        <v>0</v>
      </c>
      <c r="B159" s="2">
        <f>'01_orders_raw'!A159</f>
        <v>0</v>
      </c>
      <c r="C159" s="2">
        <f>IF(COUNTIF('01_orders_raw'!$A$2:$A$161,'01_orders_raw'!A159)&gt;1,"ERROR","OK")</f>
        <v>0</v>
      </c>
      <c r="D159" s="2">
        <f>IF(OR('01_orders_raw'!C159="",'01_orders_raw'!D159=""),"ERROR","OK")</f>
        <v>0</v>
      </c>
      <c r="E159" s="2">
        <f>IF(COUNTIF('02_clients_raw'!$A$2:$A$47,'01_orders_raw'!C159)=0,"ERROR","OK")</f>
        <v>0</v>
      </c>
      <c r="F159" s="2">
        <f>IF('01_orders_raw'!I159&lt;&gt;'01_orders_raw'!G159*'01_orders_raw'!H159,"ERROR","OK")</f>
        <v>0</v>
      </c>
      <c r="G159" s="2">
        <f>IF('01_orders_raw'!H159&lt;0,"ERROR","OK")</f>
        <v>0</v>
      </c>
      <c r="H159" s="2">
        <f>IF('01_orders_raw'!B159&gt;DATE(2026,6,25),"ERROR","OK")</f>
        <v>0</v>
      </c>
      <c r="I159" s="2">
        <f>IF(OR('01_orders_raw'!J159="Выполнен",'01_orders_raw'!J159="В работе",'01_orders_raw'!J159="Отменен",'01_orders_raw'!J159="Ожидает оплаты"),"OK","ERROR")</f>
        <v>0</v>
      </c>
      <c r="J159" s="2">
        <f>COUNTIF(C159:I159,"ERROR")</f>
        <v>0</v>
      </c>
      <c r="K159" s="2">
        <f>IF(J159&gt;0,"Проверить заказ","")</f>
        <v>0</v>
      </c>
    </row>
    <row r="160" spans="1:11">
      <c r="A160" s="2">
        <f>"Order"</f>
        <v>0</v>
      </c>
      <c r="B160" s="2">
        <f>'01_orders_raw'!A160</f>
        <v>0</v>
      </c>
      <c r="C160" s="2">
        <f>IF(COUNTIF('01_orders_raw'!$A$2:$A$161,'01_orders_raw'!A160)&gt;1,"ERROR","OK")</f>
        <v>0</v>
      </c>
      <c r="D160" s="2">
        <f>IF(OR('01_orders_raw'!C160="",'01_orders_raw'!D160=""),"ERROR","OK")</f>
        <v>0</v>
      </c>
      <c r="E160" s="2">
        <f>IF(COUNTIF('02_clients_raw'!$A$2:$A$47,'01_orders_raw'!C160)=0,"ERROR","OK")</f>
        <v>0</v>
      </c>
      <c r="F160" s="2">
        <f>IF('01_orders_raw'!I160&lt;&gt;'01_orders_raw'!G160*'01_orders_raw'!H160,"ERROR","OK")</f>
        <v>0</v>
      </c>
      <c r="G160" s="2">
        <f>IF('01_orders_raw'!H160&lt;0,"ERROR","OK")</f>
        <v>0</v>
      </c>
      <c r="H160" s="2">
        <f>IF('01_orders_raw'!B160&gt;DATE(2026,6,25),"ERROR","OK")</f>
        <v>0</v>
      </c>
      <c r="I160" s="2">
        <f>IF(OR('01_orders_raw'!J160="Выполнен",'01_orders_raw'!J160="В работе",'01_orders_raw'!J160="Отменен",'01_orders_raw'!J160="Ожидает оплаты"),"OK","ERROR")</f>
        <v>0</v>
      </c>
      <c r="J160" s="2">
        <f>COUNTIF(C160:I160,"ERROR")</f>
        <v>0</v>
      </c>
      <c r="K160" s="2">
        <f>IF(J160&gt;0,"Проверить заказ","")</f>
        <v>0</v>
      </c>
    </row>
    <row r="161" spans="1:11">
      <c r="A161" s="2">
        <f>"Order"</f>
        <v>0</v>
      </c>
      <c r="B161" s="2">
        <f>'01_orders_raw'!A161</f>
        <v>0</v>
      </c>
      <c r="C161" s="2">
        <f>IF(COUNTIF('01_orders_raw'!$A$2:$A$161,'01_orders_raw'!A161)&gt;1,"ERROR","OK")</f>
        <v>0</v>
      </c>
      <c r="D161" s="2">
        <f>IF(OR('01_orders_raw'!C161="",'01_orders_raw'!D161=""),"ERROR","OK")</f>
        <v>0</v>
      </c>
      <c r="E161" s="2">
        <f>IF(COUNTIF('02_clients_raw'!$A$2:$A$47,'01_orders_raw'!C161)=0,"ERROR","OK")</f>
        <v>0</v>
      </c>
      <c r="F161" s="2">
        <f>IF('01_orders_raw'!I161&lt;&gt;'01_orders_raw'!G161*'01_orders_raw'!H161,"ERROR","OK")</f>
        <v>0</v>
      </c>
      <c r="G161" s="2">
        <f>IF('01_orders_raw'!H161&lt;0,"ERROR","OK")</f>
        <v>0</v>
      </c>
      <c r="H161" s="2">
        <f>IF('01_orders_raw'!B161&gt;DATE(2026,6,25),"ERROR","OK")</f>
        <v>0</v>
      </c>
      <c r="I161" s="2">
        <f>IF(OR('01_orders_raw'!J161="Выполнен",'01_orders_raw'!J161="В работе",'01_orders_raw'!J161="Отменен",'01_orders_raw'!J161="Ожидает оплаты"),"OK","ERROR")</f>
        <v>0</v>
      </c>
      <c r="J161" s="2">
        <f>COUNTIF(C161:I161,"ERROR")</f>
        <v>0</v>
      </c>
      <c r="K161" s="2">
        <f>IF(J161&gt;0,"Проверить заказ","")</f>
        <v>0</v>
      </c>
    </row>
    <row r="162" spans="1:11">
      <c r="A162" s="2">
        <f>"Client"</f>
        <v>0</v>
      </c>
      <c r="B162" s="2">
        <f>'02_clients_raw'!A2</f>
        <v>0</v>
      </c>
      <c r="C162" s="2">
        <f>IF(COUNTIF('02_clients_raw'!$A$2:$A$47,'02_clients_raw'!A2)&gt;1,"ERROR","OK")</f>
        <v>0</v>
      </c>
      <c r="D162" s="2">
        <f>IF(OR('02_clients_raw'!C2="",'02_clients_raw'!D2="",'02_clients_raw'!E2=""),"ERROR","OK")</f>
        <v>0</v>
      </c>
      <c r="E162" s="2">
        <f>"OK"</f>
        <v>0</v>
      </c>
      <c r="F162" s="2">
        <f>IF(AND('02_clients_raw'!C2&lt;&gt;"",LEN('02_clients_raw'!C2)&lt;&gt;10),"ERROR","OK")</f>
        <v>0</v>
      </c>
      <c r="G162" s="2">
        <f>"OK"</f>
        <v>0</v>
      </c>
      <c r="H162" s="2">
        <f>"OK"</f>
        <v>0</v>
      </c>
      <c r="I162" s="2">
        <f>"OK"</f>
        <v>0</v>
      </c>
      <c r="J162" s="2">
        <f>COUNTIF(C162:I162,"ERROR")</f>
        <v>0</v>
      </c>
      <c r="K162" s="2">
        <f>IF(J162&gt;0,"Проверить клиента","")</f>
        <v>0</v>
      </c>
    </row>
    <row r="163" spans="1:11">
      <c r="A163" s="2">
        <f>"Client"</f>
        <v>0</v>
      </c>
      <c r="B163" s="2">
        <f>'02_clients_raw'!A3</f>
        <v>0</v>
      </c>
      <c r="C163" s="2">
        <f>IF(COUNTIF('02_clients_raw'!$A$2:$A$47,'02_clients_raw'!A3)&gt;1,"ERROR","OK")</f>
        <v>0</v>
      </c>
      <c r="D163" s="2">
        <f>IF(OR('02_clients_raw'!C3="",'02_clients_raw'!D3="",'02_clients_raw'!E3=""),"ERROR","OK")</f>
        <v>0</v>
      </c>
      <c r="E163" s="2">
        <f>"OK"</f>
        <v>0</v>
      </c>
      <c r="F163" s="2">
        <f>IF(AND('02_clients_raw'!C3&lt;&gt;"",LEN('02_clients_raw'!C3)&lt;&gt;10),"ERROR","OK")</f>
        <v>0</v>
      </c>
      <c r="G163" s="2">
        <f>"OK"</f>
        <v>0</v>
      </c>
      <c r="H163" s="2">
        <f>"OK"</f>
        <v>0</v>
      </c>
      <c r="I163" s="2">
        <f>"OK"</f>
        <v>0</v>
      </c>
      <c r="J163" s="2">
        <f>COUNTIF(C163:I163,"ERROR")</f>
        <v>0</v>
      </c>
      <c r="K163" s="2">
        <f>IF(J163&gt;0,"Проверить клиента","")</f>
        <v>0</v>
      </c>
    </row>
    <row r="164" spans="1:11">
      <c r="A164" s="2">
        <f>"Client"</f>
        <v>0</v>
      </c>
      <c r="B164" s="2">
        <f>'02_clients_raw'!A4</f>
        <v>0</v>
      </c>
      <c r="C164" s="2">
        <f>IF(COUNTIF('02_clients_raw'!$A$2:$A$47,'02_clients_raw'!A4)&gt;1,"ERROR","OK")</f>
        <v>0</v>
      </c>
      <c r="D164" s="2">
        <f>IF(OR('02_clients_raw'!C4="",'02_clients_raw'!D4="",'02_clients_raw'!E4=""),"ERROR","OK")</f>
        <v>0</v>
      </c>
      <c r="E164" s="2">
        <f>"OK"</f>
        <v>0</v>
      </c>
      <c r="F164" s="2">
        <f>IF(AND('02_clients_raw'!C4&lt;&gt;"",LEN('02_clients_raw'!C4)&lt;&gt;10),"ERROR","OK")</f>
        <v>0</v>
      </c>
      <c r="G164" s="2">
        <f>"OK"</f>
        <v>0</v>
      </c>
      <c r="H164" s="2">
        <f>"OK"</f>
        <v>0</v>
      </c>
      <c r="I164" s="2">
        <f>"OK"</f>
        <v>0</v>
      </c>
      <c r="J164" s="2">
        <f>COUNTIF(C164:I164,"ERROR")</f>
        <v>0</v>
      </c>
      <c r="K164" s="2">
        <f>IF(J164&gt;0,"Проверить клиента","")</f>
        <v>0</v>
      </c>
    </row>
    <row r="165" spans="1:11">
      <c r="A165" s="2">
        <f>"Client"</f>
        <v>0</v>
      </c>
      <c r="B165" s="2">
        <f>'02_clients_raw'!A5</f>
        <v>0</v>
      </c>
      <c r="C165" s="2">
        <f>IF(COUNTIF('02_clients_raw'!$A$2:$A$47,'02_clients_raw'!A5)&gt;1,"ERROR","OK")</f>
        <v>0</v>
      </c>
      <c r="D165" s="2">
        <f>IF(OR('02_clients_raw'!C5="",'02_clients_raw'!D5="",'02_clients_raw'!E5=""),"ERROR","OK")</f>
        <v>0</v>
      </c>
      <c r="E165" s="2">
        <f>"OK"</f>
        <v>0</v>
      </c>
      <c r="F165" s="2">
        <f>IF(AND('02_clients_raw'!C5&lt;&gt;"",LEN('02_clients_raw'!C5)&lt;&gt;10),"ERROR","OK")</f>
        <v>0</v>
      </c>
      <c r="G165" s="2">
        <f>"OK"</f>
        <v>0</v>
      </c>
      <c r="H165" s="2">
        <f>"OK"</f>
        <v>0</v>
      </c>
      <c r="I165" s="2">
        <f>"OK"</f>
        <v>0</v>
      </c>
      <c r="J165" s="2">
        <f>COUNTIF(C165:I165,"ERROR")</f>
        <v>0</v>
      </c>
      <c r="K165" s="2">
        <f>IF(J165&gt;0,"Проверить клиента","")</f>
        <v>0</v>
      </c>
    </row>
    <row r="166" spans="1:11">
      <c r="A166" s="2">
        <f>"Client"</f>
        <v>0</v>
      </c>
      <c r="B166" s="2">
        <f>'02_clients_raw'!A6</f>
        <v>0</v>
      </c>
      <c r="C166" s="2">
        <f>IF(COUNTIF('02_clients_raw'!$A$2:$A$47,'02_clients_raw'!A6)&gt;1,"ERROR","OK")</f>
        <v>0</v>
      </c>
      <c r="D166" s="2">
        <f>IF(OR('02_clients_raw'!C6="",'02_clients_raw'!D6="",'02_clients_raw'!E6=""),"ERROR","OK")</f>
        <v>0</v>
      </c>
      <c r="E166" s="2">
        <f>"OK"</f>
        <v>0</v>
      </c>
      <c r="F166" s="2">
        <f>IF(AND('02_clients_raw'!C6&lt;&gt;"",LEN('02_clients_raw'!C6)&lt;&gt;10),"ERROR","OK")</f>
        <v>0</v>
      </c>
      <c r="G166" s="2">
        <f>"OK"</f>
        <v>0</v>
      </c>
      <c r="H166" s="2">
        <f>"OK"</f>
        <v>0</v>
      </c>
      <c r="I166" s="2">
        <f>"OK"</f>
        <v>0</v>
      </c>
      <c r="J166" s="2">
        <f>COUNTIF(C166:I166,"ERROR")</f>
        <v>0</v>
      </c>
      <c r="K166" s="2">
        <f>IF(J166&gt;0,"Проверить клиента","")</f>
        <v>0</v>
      </c>
    </row>
    <row r="167" spans="1:11">
      <c r="A167" s="2">
        <f>"Client"</f>
        <v>0</v>
      </c>
      <c r="B167" s="2">
        <f>'02_clients_raw'!A7</f>
        <v>0</v>
      </c>
      <c r="C167" s="2">
        <f>IF(COUNTIF('02_clients_raw'!$A$2:$A$47,'02_clients_raw'!A7)&gt;1,"ERROR","OK")</f>
        <v>0</v>
      </c>
      <c r="D167" s="2">
        <f>IF(OR('02_clients_raw'!C7="",'02_clients_raw'!D7="",'02_clients_raw'!E7=""),"ERROR","OK")</f>
        <v>0</v>
      </c>
      <c r="E167" s="2">
        <f>"OK"</f>
        <v>0</v>
      </c>
      <c r="F167" s="2">
        <f>IF(AND('02_clients_raw'!C7&lt;&gt;"",LEN('02_clients_raw'!C7)&lt;&gt;10),"ERROR","OK")</f>
        <v>0</v>
      </c>
      <c r="G167" s="2">
        <f>"OK"</f>
        <v>0</v>
      </c>
      <c r="H167" s="2">
        <f>"OK"</f>
        <v>0</v>
      </c>
      <c r="I167" s="2">
        <f>"OK"</f>
        <v>0</v>
      </c>
      <c r="J167" s="2">
        <f>COUNTIF(C167:I167,"ERROR")</f>
        <v>0</v>
      </c>
      <c r="K167" s="2">
        <f>IF(J167&gt;0,"Проверить клиента","")</f>
        <v>0</v>
      </c>
    </row>
    <row r="168" spans="1:11">
      <c r="A168" s="2">
        <f>"Client"</f>
        <v>0</v>
      </c>
      <c r="B168" s="2">
        <f>'02_clients_raw'!A8</f>
        <v>0</v>
      </c>
      <c r="C168" s="2">
        <f>IF(COUNTIF('02_clients_raw'!$A$2:$A$47,'02_clients_raw'!A8)&gt;1,"ERROR","OK")</f>
        <v>0</v>
      </c>
      <c r="D168" s="2">
        <f>IF(OR('02_clients_raw'!C8="",'02_clients_raw'!D8="",'02_clients_raw'!E8=""),"ERROR","OK")</f>
        <v>0</v>
      </c>
      <c r="E168" s="2">
        <f>"OK"</f>
        <v>0</v>
      </c>
      <c r="F168" s="2">
        <f>IF(AND('02_clients_raw'!C8&lt;&gt;"",LEN('02_clients_raw'!C8)&lt;&gt;10),"ERROR","OK")</f>
        <v>0</v>
      </c>
      <c r="G168" s="2">
        <f>"OK"</f>
        <v>0</v>
      </c>
      <c r="H168" s="2">
        <f>"OK"</f>
        <v>0</v>
      </c>
      <c r="I168" s="2">
        <f>"OK"</f>
        <v>0</v>
      </c>
      <c r="J168" s="2">
        <f>COUNTIF(C168:I168,"ERROR")</f>
        <v>0</v>
      </c>
      <c r="K168" s="2">
        <f>IF(J168&gt;0,"Проверить клиента","")</f>
        <v>0</v>
      </c>
    </row>
    <row r="169" spans="1:11">
      <c r="A169" s="2">
        <f>"Client"</f>
        <v>0</v>
      </c>
      <c r="B169" s="2">
        <f>'02_clients_raw'!A9</f>
        <v>0</v>
      </c>
      <c r="C169" s="2">
        <f>IF(COUNTIF('02_clients_raw'!$A$2:$A$47,'02_clients_raw'!A9)&gt;1,"ERROR","OK")</f>
        <v>0</v>
      </c>
      <c r="D169" s="2">
        <f>IF(OR('02_clients_raw'!C9="",'02_clients_raw'!D9="",'02_clients_raw'!E9=""),"ERROR","OK")</f>
        <v>0</v>
      </c>
      <c r="E169" s="2">
        <f>"OK"</f>
        <v>0</v>
      </c>
      <c r="F169" s="2">
        <f>IF(AND('02_clients_raw'!C9&lt;&gt;"",LEN('02_clients_raw'!C9)&lt;&gt;10),"ERROR","OK")</f>
        <v>0</v>
      </c>
      <c r="G169" s="2">
        <f>"OK"</f>
        <v>0</v>
      </c>
      <c r="H169" s="2">
        <f>"OK"</f>
        <v>0</v>
      </c>
      <c r="I169" s="2">
        <f>"OK"</f>
        <v>0</v>
      </c>
      <c r="J169" s="2">
        <f>COUNTIF(C169:I169,"ERROR")</f>
        <v>0</v>
      </c>
      <c r="K169" s="2">
        <f>IF(J169&gt;0,"Проверить клиента","")</f>
        <v>0</v>
      </c>
    </row>
    <row r="170" spans="1:11">
      <c r="A170" s="2">
        <f>"Client"</f>
        <v>0</v>
      </c>
      <c r="B170" s="2">
        <f>'02_clients_raw'!A10</f>
        <v>0</v>
      </c>
      <c r="C170" s="2">
        <f>IF(COUNTIF('02_clients_raw'!$A$2:$A$47,'02_clients_raw'!A10)&gt;1,"ERROR","OK")</f>
        <v>0</v>
      </c>
      <c r="D170" s="2">
        <f>IF(OR('02_clients_raw'!C10="",'02_clients_raw'!D10="",'02_clients_raw'!E10=""),"ERROR","OK")</f>
        <v>0</v>
      </c>
      <c r="E170" s="2">
        <f>"OK"</f>
        <v>0</v>
      </c>
      <c r="F170" s="2">
        <f>IF(AND('02_clients_raw'!C10&lt;&gt;"",LEN('02_clients_raw'!C10)&lt;&gt;10),"ERROR","OK")</f>
        <v>0</v>
      </c>
      <c r="G170" s="2">
        <f>"OK"</f>
        <v>0</v>
      </c>
      <c r="H170" s="2">
        <f>"OK"</f>
        <v>0</v>
      </c>
      <c r="I170" s="2">
        <f>"OK"</f>
        <v>0</v>
      </c>
      <c r="J170" s="2">
        <f>COUNTIF(C170:I170,"ERROR")</f>
        <v>0</v>
      </c>
      <c r="K170" s="2">
        <f>IF(J170&gt;0,"Проверить клиента","")</f>
        <v>0</v>
      </c>
    </row>
    <row r="171" spans="1:11">
      <c r="A171" s="2">
        <f>"Client"</f>
        <v>0</v>
      </c>
      <c r="B171" s="2">
        <f>'02_clients_raw'!A11</f>
        <v>0</v>
      </c>
      <c r="C171" s="2">
        <f>IF(COUNTIF('02_clients_raw'!$A$2:$A$47,'02_clients_raw'!A11)&gt;1,"ERROR","OK")</f>
        <v>0</v>
      </c>
      <c r="D171" s="2">
        <f>IF(OR('02_clients_raw'!C11="",'02_clients_raw'!D11="",'02_clients_raw'!E11=""),"ERROR","OK")</f>
        <v>0</v>
      </c>
      <c r="E171" s="2">
        <f>"OK"</f>
        <v>0</v>
      </c>
      <c r="F171" s="2">
        <f>IF(AND('02_clients_raw'!C11&lt;&gt;"",LEN('02_clients_raw'!C11)&lt;&gt;10),"ERROR","OK")</f>
        <v>0</v>
      </c>
      <c r="G171" s="2">
        <f>"OK"</f>
        <v>0</v>
      </c>
      <c r="H171" s="2">
        <f>"OK"</f>
        <v>0</v>
      </c>
      <c r="I171" s="2">
        <f>"OK"</f>
        <v>0</v>
      </c>
      <c r="J171" s="2">
        <f>COUNTIF(C171:I171,"ERROR")</f>
        <v>0</v>
      </c>
      <c r="K171" s="2">
        <f>IF(J171&gt;0,"Проверить клиента","")</f>
        <v>0</v>
      </c>
    </row>
    <row r="172" spans="1:11">
      <c r="A172" s="2">
        <f>"Client"</f>
        <v>0</v>
      </c>
      <c r="B172" s="2">
        <f>'02_clients_raw'!A12</f>
        <v>0</v>
      </c>
      <c r="C172" s="2">
        <f>IF(COUNTIF('02_clients_raw'!$A$2:$A$47,'02_clients_raw'!A12)&gt;1,"ERROR","OK")</f>
        <v>0</v>
      </c>
      <c r="D172" s="2">
        <f>IF(OR('02_clients_raw'!C12="",'02_clients_raw'!D12="",'02_clients_raw'!E12=""),"ERROR","OK")</f>
        <v>0</v>
      </c>
      <c r="E172" s="2">
        <f>"OK"</f>
        <v>0</v>
      </c>
      <c r="F172" s="2">
        <f>IF(AND('02_clients_raw'!C12&lt;&gt;"",LEN('02_clients_raw'!C12)&lt;&gt;10),"ERROR","OK")</f>
        <v>0</v>
      </c>
      <c r="G172" s="2">
        <f>"OK"</f>
        <v>0</v>
      </c>
      <c r="H172" s="2">
        <f>"OK"</f>
        <v>0</v>
      </c>
      <c r="I172" s="2">
        <f>"OK"</f>
        <v>0</v>
      </c>
      <c r="J172" s="2">
        <f>COUNTIF(C172:I172,"ERROR")</f>
        <v>0</v>
      </c>
      <c r="K172" s="2">
        <f>IF(J172&gt;0,"Проверить клиента","")</f>
        <v>0</v>
      </c>
    </row>
    <row r="173" spans="1:11">
      <c r="A173" s="2">
        <f>"Client"</f>
        <v>0</v>
      </c>
      <c r="B173" s="2">
        <f>'02_clients_raw'!A13</f>
        <v>0</v>
      </c>
      <c r="C173" s="2">
        <f>IF(COUNTIF('02_clients_raw'!$A$2:$A$47,'02_clients_raw'!A13)&gt;1,"ERROR","OK")</f>
        <v>0</v>
      </c>
      <c r="D173" s="2">
        <f>IF(OR('02_clients_raw'!C13="",'02_clients_raw'!D13="",'02_clients_raw'!E13=""),"ERROR","OK")</f>
        <v>0</v>
      </c>
      <c r="E173" s="2">
        <f>"OK"</f>
        <v>0</v>
      </c>
      <c r="F173" s="2">
        <f>IF(AND('02_clients_raw'!C13&lt;&gt;"",LEN('02_clients_raw'!C13)&lt;&gt;10),"ERROR","OK")</f>
        <v>0</v>
      </c>
      <c r="G173" s="2">
        <f>"OK"</f>
        <v>0</v>
      </c>
      <c r="H173" s="2">
        <f>"OK"</f>
        <v>0</v>
      </c>
      <c r="I173" s="2">
        <f>"OK"</f>
        <v>0</v>
      </c>
      <c r="J173" s="2">
        <f>COUNTIF(C173:I173,"ERROR")</f>
        <v>0</v>
      </c>
      <c r="K173" s="2">
        <f>IF(J173&gt;0,"Проверить клиента","")</f>
        <v>0</v>
      </c>
    </row>
    <row r="174" spans="1:11">
      <c r="A174" s="2">
        <f>"Client"</f>
        <v>0</v>
      </c>
      <c r="B174" s="2">
        <f>'02_clients_raw'!A14</f>
        <v>0</v>
      </c>
      <c r="C174" s="2">
        <f>IF(COUNTIF('02_clients_raw'!$A$2:$A$47,'02_clients_raw'!A14)&gt;1,"ERROR","OK")</f>
        <v>0</v>
      </c>
      <c r="D174" s="2">
        <f>IF(OR('02_clients_raw'!C14="",'02_clients_raw'!D14="",'02_clients_raw'!E14=""),"ERROR","OK")</f>
        <v>0</v>
      </c>
      <c r="E174" s="2">
        <f>"OK"</f>
        <v>0</v>
      </c>
      <c r="F174" s="2">
        <f>IF(AND('02_clients_raw'!C14&lt;&gt;"",LEN('02_clients_raw'!C14)&lt;&gt;10),"ERROR","OK")</f>
        <v>0</v>
      </c>
      <c r="G174" s="2">
        <f>"OK"</f>
        <v>0</v>
      </c>
      <c r="H174" s="2">
        <f>"OK"</f>
        <v>0</v>
      </c>
      <c r="I174" s="2">
        <f>"OK"</f>
        <v>0</v>
      </c>
      <c r="J174" s="2">
        <f>COUNTIF(C174:I174,"ERROR")</f>
        <v>0</v>
      </c>
      <c r="K174" s="2">
        <f>IF(J174&gt;0,"Проверить клиента","")</f>
        <v>0</v>
      </c>
    </row>
    <row r="175" spans="1:11">
      <c r="A175" s="2">
        <f>"Client"</f>
        <v>0</v>
      </c>
      <c r="B175" s="2">
        <f>'02_clients_raw'!A15</f>
        <v>0</v>
      </c>
      <c r="C175" s="2">
        <f>IF(COUNTIF('02_clients_raw'!$A$2:$A$47,'02_clients_raw'!A15)&gt;1,"ERROR","OK")</f>
        <v>0</v>
      </c>
      <c r="D175" s="2">
        <f>IF(OR('02_clients_raw'!C15="",'02_clients_raw'!D15="",'02_clients_raw'!E15=""),"ERROR","OK")</f>
        <v>0</v>
      </c>
      <c r="E175" s="2">
        <f>"OK"</f>
        <v>0</v>
      </c>
      <c r="F175" s="2">
        <f>IF(AND('02_clients_raw'!C15&lt;&gt;"",LEN('02_clients_raw'!C15)&lt;&gt;10),"ERROR","OK")</f>
        <v>0</v>
      </c>
      <c r="G175" s="2">
        <f>"OK"</f>
        <v>0</v>
      </c>
      <c r="H175" s="2">
        <f>"OK"</f>
        <v>0</v>
      </c>
      <c r="I175" s="2">
        <f>"OK"</f>
        <v>0</v>
      </c>
      <c r="J175" s="2">
        <f>COUNTIF(C175:I175,"ERROR")</f>
        <v>0</v>
      </c>
      <c r="K175" s="2">
        <f>IF(J175&gt;0,"Проверить клиента","")</f>
        <v>0</v>
      </c>
    </row>
    <row r="176" spans="1:11">
      <c r="A176" s="2">
        <f>"Client"</f>
        <v>0</v>
      </c>
      <c r="B176" s="2">
        <f>'02_clients_raw'!A16</f>
        <v>0</v>
      </c>
      <c r="C176" s="2">
        <f>IF(COUNTIF('02_clients_raw'!$A$2:$A$47,'02_clients_raw'!A16)&gt;1,"ERROR","OK")</f>
        <v>0</v>
      </c>
      <c r="D176" s="2">
        <f>IF(OR('02_clients_raw'!C16="",'02_clients_raw'!D16="",'02_clients_raw'!E16=""),"ERROR","OK")</f>
        <v>0</v>
      </c>
      <c r="E176" s="2">
        <f>"OK"</f>
        <v>0</v>
      </c>
      <c r="F176" s="2">
        <f>IF(AND('02_clients_raw'!C16&lt;&gt;"",LEN('02_clients_raw'!C16)&lt;&gt;10),"ERROR","OK")</f>
        <v>0</v>
      </c>
      <c r="G176" s="2">
        <f>"OK"</f>
        <v>0</v>
      </c>
      <c r="H176" s="2">
        <f>"OK"</f>
        <v>0</v>
      </c>
      <c r="I176" s="2">
        <f>"OK"</f>
        <v>0</v>
      </c>
      <c r="J176" s="2">
        <f>COUNTIF(C176:I176,"ERROR")</f>
        <v>0</v>
      </c>
      <c r="K176" s="2">
        <f>IF(J176&gt;0,"Проверить клиента","")</f>
        <v>0</v>
      </c>
    </row>
    <row r="177" spans="1:11">
      <c r="A177" s="2">
        <f>"Client"</f>
        <v>0</v>
      </c>
      <c r="B177" s="2">
        <f>'02_clients_raw'!A17</f>
        <v>0</v>
      </c>
      <c r="C177" s="2">
        <f>IF(COUNTIF('02_clients_raw'!$A$2:$A$47,'02_clients_raw'!A17)&gt;1,"ERROR","OK")</f>
        <v>0</v>
      </c>
      <c r="D177" s="2">
        <f>IF(OR('02_clients_raw'!C17="",'02_clients_raw'!D17="",'02_clients_raw'!E17=""),"ERROR","OK")</f>
        <v>0</v>
      </c>
      <c r="E177" s="2">
        <f>"OK"</f>
        <v>0</v>
      </c>
      <c r="F177" s="2">
        <f>IF(AND('02_clients_raw'!C17&lt;&gt;"",LEN('02_clients_raw'!C17)&lt;&gt;10),"ERROR","OK")</f>
        <v>0</v>
      </c>
      <c r="G177" s="2">
        <f>"OK"</f>
        <v>0</v>
      </c>
      <c r="H177" s="2">
        <f>"OK"</f>
        <v>0</v>
      </c>
      <c r="I177" s="2">
        <f>"OK"</f>
        <v>0</v>
      </c>
      <c r="J177" s="2">
        <f>COUNTIF(C177:I177,"ERROR")</f>
        <v>0</v>
      </c>
      <c r="K177" s="2">
        <f>IF(J177&gt;0,"Проверить клиента","")</f>
        <v>0</v>
      </c>
    </row>
    <row r="178" spans="1:11">
      <c r="A178" s="2">
        <f>"Client"</f>
        <v>0</v>
      </c>
      <c r="B178" s="2">
        <f>'02_clients_raw'!A18</f>
        <v>0</v>
      </c>
      <c r="C178" s="2">
        <f>IF(COUNTIF('02_clients_raw'!$A$2:$A$47,'02_clients_raw'!A18)&gt;1,"ERROR","OK")</f>
        <v>0</v>
      </c>
      <c r="D178" s="2">
        <f>IF(OR('02_clients_raw'!C18="",'02_clients_raw'!D18="",'02_clients_raw'!E18=""),"ERROR","OK")</f>
        <v>0</v>
      </c>
      <c r="E178" s="2">
        <f>"OK"</f>
        <v>0</v>
      </c>
      <c r="F178" s="2">
        <f>IF(AND('02_clients_raw'!C18&lt;&gt;"",LEN('02_clients_raw'!C18)&lt;&gt;10),"ERROR","OK")</f>
        <v>0</v>
      </c>
      <c r="G178" s="2">
        <f>"OK"</f>
        <v>0</v>
      </c>
      <c r="H178" s="2">
        <f>"OK"</f>
        <v>0</v>
      </c>
      <c r="I178" s="2">
        <f>"OK"</f>
        <v>0</v>
      </c>
      <c r="J178" s="2">
        <f>COUNTIF(C178:I178,"ERROR")</f>
        <v>0</v>
      </c>
      <c r="K178" s="2">
        <f>IF(J178&gt;0,"Проверить клиента","")</f>
        <v>0</v>
      </c>
    </row>
    <row r="179" spans="1:11">
      <c r="A179" s="2">
        <f>"Client"</f>
        <v>0</v>
      </c>
      <c r="B179" s="2">
        <f>'02_clients_raw'!A19</f>
        <v>0</v>
      </c>
      <c r="C179" s="2">
        <f>IF(COUNTIF('02_clients_raw'!$A$2:$A$47,'02_clients_raw'!A19)&gt;1,"ERROR","OK")</f>
        <v>0</v>
      </c>
      <c r="D179" s="2">
        <f>IF(OR('02_clients_raw'!C19="",'02_clients_raw'!D19="",'02_clients_raw'!E19=""),"ERROR","OK")</f>
        <v>0</v>
      </c>
      <c r="E179" s="2">
        <f>"OK"</f>
        <v>0</v>
      </c>
      <c r="F179" s="2">
        <f>IF(AND('02_clients_raw'!C19&lt;&gt;"",LEN('02_clients_raw'!C19)&lt;&gt;10),"ERROR","OK")</f>
        <v>0</v>
      </c>
      <c r="G179" s="2">
        <f>"OK"</f>
        <v>0</v>
      </c>
      <c r="H179" s="2">
        <f>"OK"</f>
        <v>0</v>
      </c>
      <c r="I179" s="2">
        <f>"OK"</f>
        <v>0</v>
      </c>
      <c r="J179" s="2">
        <f>COUNTIF(C179:I179,"ERROR")</f>
        <v>0</v>
      </c>
      <c r="K179" s="2">
        <f>IF(J179&gt;0,"Проверить клиента","")</f>
        <v>0</v>
      </c>
    </row>
    <row r="180" spans="1:11">
      <c r="A180" s="2">
        <f>"Client"</f>
        <v>0</v>
      </c>
      <c r="B180" s="2">
        <f>'02_clients_raw'!A20</f>
        <v>0</v>
      </c>
      <c r="C180" s="2">
        <f>IF(COUNTIF('02_clients_raw'!$A$2:$A$47,'02_clients_raw'!A20)&gt;1,"ERROR","OK")</f>
        <v>0</v>
      </c>
      <c r="D180" s="2">
        <f>IF(OR('02_clients_raw'!C20="",'02_clients_raw'!D20="",'02_clients_raw'!E20=""),"ERROR","OK")</f>
        <v>0</v>
      </c>
      <c r="E180" s="2">
        <f>"OK"</f>
        <v>0</v>
      </c>
      <c r="F180" s="2">
        <f>IF(AND('02_clients_raw'!C20&lt;&gt;"",LEN('02_clients_raw'!C20)&lt;&gt;10),"ERROR","OK")</f>
        <v>0</v>
      </c>
      <c r="G180" s="2">
        <f>"OK"</f>
        <v>0</v>
      </c>
      <c r="H180" s="2">
        <f>"OK"</f>
        <v>0</v>
      </c>
      <c r="I180" s="2">
        <f>"OK"</f>
        <v>0</v>
      </c>
      <c r="J180" s="2">
        <f>COUNTIF(C180:I180,"ERROR")</f>
        <v>0</v>
      </c>
      <c r="K180" s="2">
        <f>IF(J180&gt;0,"Проверить клиента","")</f>
        <v>0</v>
      </c>
    </row>
    <row r="181" spans="1:11">
      <c r="A181" s="2">
        <f>"Client"</f>
        <v>0</v>
      </c>
      <c r="B181" s="2">
        <f>'02_clients_raw'!A21</f>
        <v>0</v>
      </c>
      <c r="C181" s="2">
        <f>IF(COUNTIF('02_clients_raw'!$A$2:$A$47,'02_clients_raw'!A21)&gt;1,"ERROR","OK")</f>
        <v>0</v>
      </c>
      <c r="D181" s="2">
        <f>IF(OR('02_clients_raw'!C21="",'02_clients_raw'!D21="",'02_clients_raw'!E21=""),"ERROR","OK")</f>
        <v>0</v>
      </c>
      <c r="E181" s="2">
        <f>"OK"</f>
        <v>0</v>
      </c>
      <c r="F181" s="2">
        <f>IF(AND('02_clients_raw'!C21&lt;&gt;"",LEN('02_clients_raw'!C21)&lt;&gt;10),"ERROR","OK")</f>
        <v>0</v>
      </c>
      <c r="G181" s="2">
        <f>"OK"</f>
        <v>0</v>
      </c>
      <c r="H181" s="2">
        <f>"OK"</f>
        <v>0</v>
      </c>
      <c r="I181" s="2">
        <f>"OK"</f>
        <v>0</v>
      </c>
      <c r="J181" s="2">
        <f>COUNTIF(C181:I181,"ERROR")</f>
        <v>0</v>
      </c>
      <c r="K181" s="2">
        <f>IF(J181&gt;0,"Проверить клиента","")</f>
        <v>0</v>
      </c>
    </row>
    <row r="182" spans="1:11">
      <c r="A182" s="2">
        <f>"Client"</f>
        <v>0</v>
      </c>
      <c r="B182" s="2">
        <f>'02_clients_raw'!A22</f>
        <v>0</v>
      </c>
      <c r="C182" s="2">
        <f>IF(COUNTIF('02_clients_raw'!$A$2:$A$47,'02_clients_raw'!A22)&gt;1,"ERROR","OK")</f>
        <v>0</v>
      </c>
      <c r="D182" s="2">
        <f>IF(OR('02_clients_raw'!C22="",'02_clients_raw'!D22="",'02_clients_raw'!E22=""),"ERROR","OK")</f>
        <v>0</v>
      </c>
      <c r="E182" s="2">
        <f>"OK"</f>
        <v>0</v>
      </c>
      <c r="F182" s="2">
        <f>IF(AND('02_clients_raw'!C22&lt;&gt;"",LEN('02_clients_raw'!C22)&lt;&gt;10),"ERROR","OK")</f>
        <v>0</v>
      </c>
      <c r="G182" s="2">
        <f>"OK"</f>
        <v>0</v>
      </c>
      <c r="H182" s="2">
        <f>"OK"</f>
        <v>0</v>
      </c>
      <c r="I182" s="2">
        <f>"OK"</f>
        <v>0</v>
      </c>
      <c r="J182" s="2">
        <f>COUNTIF(C182:I182,"ERROR")</f>
        <v>0</v>
      </c>
      <c r="K182" s="2">
        <f>IF(J182&gt;0,"Проверить клиента","")</f>
        <v>0</v>
      </c>
    </row>
    <row r="183" spans="1:11">
      <c r="A183" s="2">
        <f>"Client"</f>
        <v>0</v>
      </c>
      <c r="B183" s="2">
        <f>'02_clients_raw'!A23</f>
        <v>0</v>
      </c>
      <c r="C183" s="2">
        <f>IF(COUNTIF('02_clients_raw'!$A$2:$A$47,'02_clients_raw'!A23)&gt;1,"ERROR","OK")</f>
        <v>0</v>
      </c>
      <c r="D183" s="2">
        <f>IF(OR('02_clients_raw'!C23="",'02_clients_raw'!D23="",'02_clients_raw'!E23=""),"ERROR","OK")</f>
        <v>0</v>
      </c>
      <c r="E183" s="2">
        <f>"OK"</f>
        <v>0</v>
      </c>
      <c r="F183" s="2">
        <f>IF(AND('02_clients_raw'!C23&lt;&gt;"",LEN('02_clients_raw'!C23)&lt;&gt;10),"ERROR","OK")</f>
        <v>0</v>
      </c>
      <c r="G183" s="2">
        <f>"OK"</f>
        <v>0</v>
      </c>
      <c r="H183" s="2">
        <f>"OK"</f>
        <v>0</v>
      </c>
      <c r="I183" s="2">
        <f>"OK"</f>
        <v>0</v>
      </c>
      <c r="J183" s="2">
        <f>COUNTIF(C183:I183,"ERROR")</f>
        <v>0</v>
      </c>
      <c r="K183" s="2">
        <f>IF(J183&gt;0,"Проверить клиента","")</f>
        <v>0</v>
      </c>
    </row>
    <row r="184" spans="1:11">
      <c r="A184" s="2">
        <f>"Client"</f>
        <v>0</v>
      </c>
      <c r="B184" s="2">
        <f>'02_clients_raw'!A24</f>
        <v>0</v>
      </c>
      <c r="C184" s="2">
        <f>IF(COUNTIF('02_clients_raw'!$A$2:$A$47,'02_clients_raw'!A24)&gt;1,"ERROR","OK")</f>
        <v>0</v>
      </c>
      <c r="D184" s="2">
        <f>IF(OR('02_clients_raw'!C24="",'02_clients_raw'!D24="",'02_clients_raw'!E24=""),"ERROR","OK")</f>
        <v>0</v>
      </c>
      <c r="E184" s="2">
        <f>"OK"</f>
        <v>0</v>
      </c>
      <c r="F184" s="2">
        <f>IF(AND('02_clients_raw'!C24&lt;&gt;"",LEN('02_clients_raw'!C24)&lt;&gt;10),"ERROR","OK")</f>
        <v>0</v>
      </c>
      <c r="G184" s="2">
        <f>"OK"</f>
        <v>0</v>
      </c>
      <c r="H184" s="2">
        <f>"OK"</f>
        <v>0</v>
      </c>
      <c r="I184" s="2">
        <f>"OK"</f>
        <v>0</v>
      </c>
      <c r="J184" s="2">
        <f>COUNTIF(C184:I184,"ERROR")</f>
        <v>0</v>
      </c>
      <c r="K184" s="2">
        <f>IF(J184&gt;0,"Проверить клиента","")</f>
        <v>0</v>
      </c>
    </row>
    <row r="185" spans="1:11">
      <c r="A185" s="2">
        <f>"Client"</f>
        <v>0</v>
      </c>
      <c r="B185" s="2">
        <f>'02_clients_raw'!A25</f>
        <v>0</v>
      </c>
      <c r="C185" s="2">
        <f>IF(COUNTIF('02_clients_raw'!$A$2:$A$47,'02_clients_raw'!A25)&gt;1,"ERROR","OK")</f>
        <v>0</v>
      </c>
      <c r="D185" s="2">
        <f>IF(OR('02_clients_raw'!C25="",'02_clients_raw'!D25="",'02_clients_raw'!E25=""),"ERROR","OK")</f>
        <v>0</v>
      </c>
      <c r="E185" s="2">
        <f>"OK"</f>
        <v>0</v>
      </c>
      <c r="F185" s="2">
        <f>IF(AND('02_clients_raw'!C25&lt;&gt;"",LEN('02_clients_raw'!C25)&lt;&gt;10),"ERROR","OK")</f>
        <v>0</v>
      </c>
      <c r="G185" s="2">
        <f>"OK"</f>
        <v>0</v>
      </c>
      <c r="H185" s="2">
        <f>"OK"</f>
        <v>0</v>
      </c>
      <c r="I185" s="2">
        <f>"OK"</f>
        <v>0</v>
      </c>
      <c r="J185" s="2">
        <f>COUNTIF(C185:I185,"ERROR")</f>
        <v>0</v>
      </c>
      <c r="K185" s="2">
        <f>IF(J185&gt;0,"Проверить клиента","")</f>
        <v>0</v>
      </c>
    </row>
    <row r="186" spans="1:11">
      <c r="A186" s="2">
        <f>"Client"</f>
        <v>0</v>
      </c>
      <c r="B186" s="2">
        <f>'02_clients_raw'!A26</f>
        <v>0</v>
      </c>
      <c r="C186" s="2">
        <f>IF(COUNTIF('02_clients_raw'!$A$2:$A$47,'02_clients_raw'!A26)&gt;1,"ERROR","OK")</f>
        <v>0</v>
      </c>
      <c r="D186" s="2">
        <f>IF(OR('02_clients_raw'!C26="",'02_clients_raw'!D26="",'02_clients_raw'!E26=""),"ERROR","OK")</f>
        <v>0</v>
      </c>
      <c r="E186" s="2">
        <f>"OK"</f>
        <v>0</v>
      </c>
      <c r="F186" s="2">
        <f>IF(AND('02_clients_raw'!C26&lt;&gt;"",LEN('02_clients_raw'!C26)&lt;&gt;10),"ERROR","OK")</f>
        <v>0</v>
      </c>
      <c r="G186" s="2">
        <f>"OK"</f>
        <v>0</v>
      </c>
      <c r="H186" s="2">
        <f>"OK"</f>
        <v>0</v>
      </c>
      <c r="I186" s="2">
        <f>"OK"</f>
        <v>0</v>
      </c>
      <c r="J186" s="2">
        <f>COUNTIF(C186:I186,"ERROR")</f>
        <v>0</v>
      </c>
      <c r="K186" s="2">
        <f>IF(J186&gt;0,"Проверить клиента","")</f>
        <v>0</v>
      </c>
    </row>
    <row r="187" spans="1:11">
      <c r="A187" s="2">
        <f>"Client"</f>
        <v>0</v>
      </c>
      <c r="B187" s="2">
        <f>'02_clients_raw'!A27</f>
        <v>0</v>
      </c>
      <c r="C187" s="2">
        <f>IF(COUNTIF('02_clients_raw'!$A$2:$A$47,'02_clients_raw'!A27)&gt;1,"ERROR","OK")</f>
        <v>0</v>
      </c>
      <c r="D187" s="2">
        <f>IF(OR('02_clients_raw'!C27="",'02_clients_raw'!D27="",'02_clients_raw'!E27=""),"ERROR","OK")</f>
        <v>0</v>
      </c>
      <c r="E187" s="2">
        <f>"OK"</f>
        <v>0</v>
      </c>
      <c r="F187" s="2">
        <f>IF(AND('02_clients_raw'!C27&lt;&gt;"",LEN('02_clients_raw'!C27)&lt;&gt;10),"ERROR","OK")</f>
        <v>0</v>
      </c>
      <c r="G187" s="2">
        <f>"OK"</f>
        <v>0</v>
      </c>
      <c r="H187" s="2">
        <f>"OK"</f>
        <v>0</v>
      </c>
      <c r="I187" s="2">
        <f>"OK"</f>
        <v>0</v>
      </c>
      <c r="J187" s="2">
        <f>COUNTIF(C187:I187,"ERROR")</f>
        <v>0</v>
      </c>
      <c r="K187" s="2">
        <f>IF(J187&gt;0,"Проверить клиента","")</f>
        <v>0</v>
      </c>
    </row>
    <row r="188" spans="1:11">
      <c r="A188" s="2">
        <f>"Client"</f>
        <v>0</v>
      </c>
      <c r="B188" s="2">
        <f>'02_clients_raw'!A28</f>
        <v>0</v>
      </c>
      <c r="C188" s="2">
        <f>IF(COUNTIF('02_clients_raw'!$A$2:$A$47,'02_clients_raw'!A28)&gt;1,"ERROR","OK")</f>
        <v>0</v>
      </c>
      <c r="D188" s="2">
        <f>IF(OR('02_clients_raw'!C28="",'02_clients_raw'!D28="",'02_clients_raw'!E28=""),"ERROR","OK")</f>
        <v>0</v>
      </c>
      <c r="E188" s="2">
        <f>"OK"</f>
        <v>0</v>
      </c>
      <c r="F188" s="2">
        <f>IF(AND('02_clients_raw'!C28&lt;&gt;"",LEN('02_clients_raw'!C28)&lt;&gt;10),"ERROR","OK")</f>
        <v>0</v>
      </c>
      <c r="G188" s="2">
        <f>"OK"</f>
        <v>0</v>
      </c>
      <c r="H188" s="2">
        <f>"OK"</f>
        <v>0</v>
      </c>
      <c r="I188" s="2">
        <f>"OK"</f>
        <v>0</v>
      </c>
      <c r="J188" s="2">
        <f>COUNTIF(C188:I188,"ERROR")</f>
        <v>0</v>
      </c>
      <c r="K188" s="2">
        <f>IF(J188&gt;0,"Проверить клиента","")</f>
        <v>0</v>
      </c>
    </row>
    <row r="189" spans="1:11">
      <c r="A189" s="2">
        <f>"Client"</f>
        <v>0</v>
      </c>
      <c r="B189" s="2">
        <f>'02_clients_raw'!A29</f>
        <v>0</v>
      </c>
      <c r="C189" s="2">
        <f>IF(COUNTIF('02_clients_raw'!$A$2:$A$47,'02_clients_raw'!A29)&gt;1,"ERROR","OK")</f>
        <v>0</v>
      </c>
      <c r="D189" s="2">
        <f>IF(OR('02_clients_raw'!C29="",'02_clients_raw'!D29="",'02_clients_raw'!E29=""),"ERROR","OK")</f>
        <v>0</v>
      </c>
      <c r="E189" s="2">
        <f>"OK"</f>
        <v>0</v>
      </c>
      <c r="F189" s="2">
        <f>IF(AND('02_clients_raw'!C29&lt;&gt;"",LEN('02_clients_raw'!C29)&lt;&gt;10),"ERROR","OK")</f>
        <v>0</v>
      </c>
      <c r="G189" s="2">
        <f>"OK"</f>
        <v>0</v>
      </c>
      <c r="H189" s="2">
        <f>"OK"</f>
        <v>0</v>
      </c>
      <c r="I189" s="2">
        <f>"OK"</f>
        <v>0</v>
      </c>
      <c r="J189" s="2">
        <f>COUNTIF(C189:I189,"ERROR")</f>
        <v>0</v>
      </c>
      <c r="K189" s="2">
        <f>IF(J189&gt;0,"Проверить клиента","")</f>
        <v>0</v>
      </c>
    </row>
    <row r="190" spans="1:11">
      <c r="A190" s="2">
        <f>"Client"</f>
        <v>0</v>
      </c>
      <c r="B190" s="2">
        <f>'02_clients_raw'!A30</f>
        <v>0</v>
      </c>
      <c r="C190" s="2">
        <f>IF(COUNTIF('02_clients_raw'!$A$2:$A$47,'02_clients_raw'!A30)&gt;1,"ERROR","OK")</f>
        <v>0</v>
      </c>
      <c r="D190" s="2">
        <f>IF(OR('02_clients_raw'!C30="",'02_clients_raw'!D30="",'02_clients_raw'!E30=""),"ERROR","OK")</f>
        <v>0</v>
      </c>
      <c r="E190" s="2">
        <f>"OK"</f>
        <v>0</v>
      </c>
      <c r="F190" s="2">
        <f>IF(AND('02_clients_raw'!C30&lt;&gt;"",LEN('02_clients_raw'!C30)&lt;&gt;10),"ERROR","OK")</f>
        <v>0</v>
      </c>
      <c r="G190" s="2">
        <f>"OK"</f>
        <v>0</v>
      </c>
      <c r="H190" s="2">
        <f>"OK"</f>
        <v>0</v>
      </c>
      <c r="I190" s="2">
        <f>"OK"</f>
        <v>0</v>
      </c>
      <c r="J190" s="2">
        <f>COUNTIF(C190:I190,"ERROR")</f>
        <v>0</v>
      </c>
      <c r="K190" s="2">
        <f>IF(J190&gt;0,"Проверить клиента","")</f>
        <v>0</v>
      </c>
    </row>
    <row r="191" spans="1:11">
      <c r="A191" s="2">
        <f>"Client"</f>
        <v>0</v>
      </c>
      <c r="B191" s="2">
        <f>'02_clients_raw'!A31</f>
        <v>0</v>
      </c>
      <c r="C191" s="2">
        <f>IF(COUNTIF('02_clients_raw'!$A$2:$A$47,'02_clients_raw'!A31)&gt;1,"ERROR","OK")</f>
        <v>0</v>
      </c>
      <c r="D191" s="2">
        <f>IF(OR('02_clients_raw'!C31="",'02_clients_raw'!D31="",'02_clients_raw'!E31=""),"ERROR","OK")</f>
        <v>0</v>
      </c>
      <c r="E191" s="2">
        <f>"OK"</f>
        <v>0</v>
      </c>
      <c r="F191" s="2">
        <f>IF(AND('02_clients_raw'!C31&lt;&gt;"",LEN('02_clients_raw'!C31)&lt;&gt;10),"ERROR","OK")</f>
        <v>0</v>
      </c>
      <c r="G191" s="2">
        <f>"OK"</f>
        <v>0</v>
      </c>
      <c r="H191" s="2">
        <f>"OK"</f>
        <v>0</v>
      </c>
      <c r="I191" s="2">
        <f>"OK"</f>
        <v>0</v>
      </c>
      <c r="J191" s="2">
        <f>COUNTIF(C191:I191,"ERROR")</f>
        <v>0</v>
      </c>
      <c r="K191" s="2">
        <f>IF(J191&gt;0,"Проверить клиента","")</f>
        <v>0</v>
      </c>
    </row>
    <row r="192" spans="1:11">
      <c r="A192" s="2">
        <f>"Client"</f>
        <v>0</v>
      </c>
      <c r="B192" s="2">
        <f>'02_clients_raw'!A32</f>
        <v>0</v>
      </c>
      <c r="C192" s="2">
        <f>IF(COUNTIF('02_clients_raw'!$A$2:$A$47,'02_clients_raw'!A32)&gt;1,"ERROR","OK")</f>
        <v>0</v>
      </c>
      <c r="D192" s="2">
        <f>IF(OR('02_clients_raw'!C32="",'02_clients_raw'!D32="",'02_clients_raw'!E32=""),"ERROR","OK")</f>
        <v>0</v>
      </c>
      <c r="E192" s="2">
        <f>"OK"</f>
        <v>0</v>
      </c>
      <c r="F192" s="2">
        <f>IF(AND('02_clients_raw'!C32&lt;&gt;"",LEN('02_clients_raw'!C32)&lt;&gt;10),"ERROR","OK")</f>
        <v>0</v>
      </c>
      <c r="G192" s="2">
        <f>"OK"</f>
        <v>0</v>
      </c>
      <c r="H192" s="2">
        <f>"OK"</f>
        <v>0</v>
      </c>
      <c r="I192" s="2">
        <f>"OK"</f>
        <v>0</v>
      </c>
      <c r="J192" s="2">
        <f>COUNTIF(C192:I192,"ERROR")</f>
        <v>0</v>
      </c>
      <c r="K192" s="2">
        <f>IF(J192&gt;0,"Проверить клиента","")</f>
        <v>0</v>
      </c>
    </row>
    <row r="193" spans="1:11">
      <c r="A193" s="2">
        <f>"Client"</f>
        <v>0</v>
      </c>
      <c r="B193" s="2">
        <f>'02_clients_raw'!A33</f>
        <v>0</v>
      </c>
      <c r="C193" s="2">
        <f>IF(COUNTIF('02_clients_raw'!$A$2:$A$47,'02_clients_raw'!A33)&gt;1,"ERROR","OK")</f>
        <v>0</v>
      </c>
      <c r="D193" s="2">
        <f>IF(OR('02_clients_raw'!C33="",'02_clients_raw'!D33="",'02_clients_raw'!E33=""),"ERROR","OK")</f>
        <v>0</v>
      </c>
      <c r="E193" s="2">
        <f>"OK"</f>
        <v>0</v>
      </c>
      <c r="F193" s="2">
        <f>IF(AND('02_clients_raw'!C33&lt;&gt;"",LEN('02_clients_raw'!C33)&lt;&gt;10),"ERROR","OK")</f>
        <v>0</v>
      </c>
      <c r="G193" s="2">
        <f>"OK"</f>
        <v>0</v>
      </c>
      <c r="H193" s="2">
        <f>"OK"</f>
        <v>0</v>
      </c>
      <c r="I193" s="2">
        <f>"OK"</f>
        <v>0</v>
      </c>
      <c r="J193" s="2">
        <f>COUNTIF(C193:I193,"ERROR")</f>
        <v>0</v>
      </c>
      <c r="K193" s="2">
        <f>IF(J193&gt;0,"Проверить клиента","")</f>
        <v>0</v>
      </c>
    </row>
    <row r="194" spans="1:11">
      <c r="A194" s="2">
        <f>"Client"</f>
        <v>0</v>
      </c>
      <c r="B194" s="2">
        <f>'02_clients_raw'!A34</f>
        <v>0</v>
      </c>
      <c r="C194" s="2">
        <f>IF(COUNTIF('02_clients_raw'!$A$2:$A$47,'02_clients_raw'!A34)&gt;1,"ERROR","OK")</f>
        <v>0</v>
      </c>
      <c r="D194" s="2">
        <f>IF(OR('02_clients_raw'!C34="",'02_clients_raw'!D34="",'02_clients_raw'!E34=""),"ERROR","OK")</f>
        <v>0</v>
      </c>
      <c r="E194" s="2">
        <f>"OK"</f>
        <v>0</v>
      </c>
      <c r="F194" s="2">
        <f>IF(AND('02_clients_raw'!C34&lt;&gt;"",LEN('02_clients_raw'!C34)&lt;&gt;10),"ERROR","OK")</f>
        <v>0</v>
      </c>
      <c r="G194" s="2">
        <f>"OK"</f>
        <v>0</v>
      </c>
      <c r="H194" s="2">
        <f>"OK"</f>
        <v>0</v>
      </c>
      <c r="I194" s="2">
        <f>"OK"</f>
        <v>0</v>
      </c>
      <c r="J194" s="2">
        <f>COUNTIF(C194:I194,"ERROR")</f>
        <v>0</v>
      </c>
      <c r="K194" s="2">
        <f>IF(J194&gt;0,"Проверить клиента","")</f>
        <v>0</v>
      </c>
    </row>
    <row r="195" spans="1:11">
      <c r="A195" s="2">
        <f>"Client"</f>
        <v>0</v>
      </c>
      <c r="B195" s="2">
        <f>'02_clients_raw'!A35</f>
        <v>0</v>
      </c>
      <c r="C195" s="2">
        <f>IF(COUNTIF('02_clients_raw'!$A$2:$A$47,'02_clients_raw'!A35)&gt;1,"ERROR","OK")</f>
        <v>0</v>
      </c>
      <c r="D195" s="2">
        <f>IF(OR('02_clients_raw'!C35="",'02_clients_raw'!D35="",'02_clients_raw'!E35=""),"ERROR","OK")</f>
        <v>0</v>
      </c>
      <c r="E195" s="2">
        <f>"OK"</f>
        <v>0</v>
      </c>
      <c r="F195" s="2">
        <f>IF(AND('02_clients_raw'!C35&lt;&gt;"",LEN('02_clients_raw'!C35)&lt;&gt;10),"ERROR","OK")</f>
        <v>0</v>
      </c>
      <c r="G195" s="2">
        <f>"OK"</f>
        <v>0</v>
      </c>
      <c r="H195" s="2">
        <f>"OK"</f>
        <v>0</v>
      </c>
      <c r="I195" s="2">
        <f>"OK"</f>
        <v>0</v>
      </c>
      <c r="J195" s="2">
        <f>COUNTIF(C195:I195,"ERROR")</f>
        <v>0</v>
      </c>
      <c r="K195" s="2">
        <f>IF(J195&gt;0,"Проверить клиента","")</f>
        <v>0</v>
      </c>
    </row>
    <row r="196" spans="1:11">
      <c r="A196" s="2">
        <f>"Client"</f>
        <v>0</v>
      </c>
      <c r="B196" s="2">
        <f>'02_clients_raw'!A36</f>
        <v>0</v>
      </c>
      <c r="C196" s="2">
        <f>IF(COUNTIF('02_clients_raw'!$A$2:$A$47,'02_clients_raw'!A36)&gt;1,"ERROR","OK")</f>
        <v>0</v>
      </c>
      <c r="D196" s="2">
        <f>IF(OR('02_clients_raw'!C36="",'02_clients_raw'!D36="",'02_clients_raw'!E36=""),"ERROR","OK")</f>
        <v>0</v>
      </c>
      <c r="E196" s="2">
        <f>"OK"</f>
        <v>0</v>
      </c>
      <c r="F196" s="2">
        <f>IF(AND('02_clients_raw'!C36&lt;&gt;"",LEN('02_clients_raw'!C36)&lt;&gt;10),"ERROR","OK")</f>
        <v>0</v>
      </c>
      <c r="G196" s="2">
        <f>"OK"</f>
        <v>0</v>
      </c>
      <c r="H196" s="2">
        <f>"OK"</f>
        <v>0</v>
      </c>
      <c r="I196" s="2">
        <f>"OK"</f>
        <v>0</v>
      </c>
      <c r="J196" s="2">
        <f>COUNTIF(C196:I196,"ERROR")</f>
        <v>0</v>
      </c>
      <c r="K196" s="2">
        <f>IF(J196&gt;0,"Проверить клиента","")</f>
        <v>0</v>
      </c>
    </row>
    <row r="197" spans="1:11">
      <c r="A197" s="2">
        <f>"Client"</f>
        <v>0</v>
      </c>
      <c r="B197" s="2">
        <f>'02_clients_raw'!A37</f>
        <v>0</v>
      </c>
      <c r="C197" s="2">
        <f>IF(COUNTIF('02_clients_raw'!$A$2:$A$47,'02_clients_raw'!A37)&gt;1,"ERROR","OK")</f>
        <v>0</v>
      </c>
      <c r="D197" s="2">
        <f>IF(OR('02_clients_raw'!C37="",'02_clients_raw'!D37="",'02_clients_raw'!E37=""),"ERROR","OK")</f>
        <v>0</v>
      </c>
      <c r="E197" s="2">
        <f>"OK"</f>
        <v>0</v>
      </c>
      <c r="F197" s="2">
        <f>IF(AND('02_clients_raw'!C37&lt;&gt;"",LEN('02_clients_raw'!C37)&lt;&gt;10),"ERROR","OK")</f>
        <v>0</v>
      </c>
      <c r="G197" s="2">
        <f>"OK"</f>
        <v>0</v>
      </c>
      <c r="H197" s="2">
        <f>"OK"</f>
        <v>0</v>
      </c>
      <c r="I197" s="2">
        <f>"OK"</f>
        <v>0</v>
      </c>
      <c r="J197" s="2">
        <f>COUNTIF(C197:I197,"ERROR")</f>
        <v>0</v>
      </c>
      <c r="K197" s="2">
        <f>IF(J197&gt;0,"Проверить клиента","")</f>
        <v>0</v>
      </c>
    </row>
    <row r="198" spans="1:11">
      <c r="A198" s="2">
        <f>"Client"</f>
        <v>0</v>
      </c>
      <c r="B198" s="2">
        <f>'02_clients_raw'!A38</f>
        <v>0</v>
      </c>
      <c r="C198" s="2">
        <f>IF(COUNTIF('02_clients_raw'!$A$2:$A$47,'02_clients_raw'!A38)&gt;1,"ERROR","OK")</f>
        <v>0</v>
      </c>
      <c r="D198" s="2">
        <f>IF(OR('02_clients_raw'!C38="",'02_clients_raw'!D38="",'02_clients_raw'!E38=""),"ERROR","OK")</f>
        <v>0</v>
      </c>
      <c r="E198" s="2">
        <f>"OK"</f>
        <v>0</v>
      </c>
      <c r="F198" s="2">
        <f>IF(AND('02_clients_raw'!C38&lt;&gt;"",LEN('02_clients_raw'!C38)&lt;&gt;10),"ERROR","OK")</f>
        <v>0</v>
      </c>
      <c r="G198" s="2">
        <f>"OK"</f>
        <v>0</v>
      </c>
      <c r="H198" s="2">
        <f>"OK"</f>
        <v>0</v>
      </c>
      <c r="I198" s="2">
        <f>"OK"</f>
        <v>0</v>
      </c>
      <c r="J198" s="2">
        <f>COUNTIF(C198:I198,"ERROR")</f>
        <v>0</v>
      </c>
      <c r="K198" s="2">
        <f>IF(J198&gt;0,"Проверить клиента","")</f>
        <v>0</v>
      </c>
    </row>
    <row r="199" spans="1:11">
      <c r="A199" s="2">
        <f>"Client"</f>
        <v>0</v>
      </c>
      <c r="B199" s="2">
        <f>'02_clients_raw'!A39</f>
        <v>0</v>
      </c>
      <c r="C199" s="2">
        <f>IF(COUNTIF('02_clients_raw'!$A$2:$A$47,'02_clients_raw'!A39)&gt;1,"ERROR","OK")</f>
        <v>0</v>
      </c>
      <c r="D199" s="2">
        <f>IF(OR('02_clients_raw'!C39="",'02_clients_raw'!D39="",'02_clients_raw'!E39=""),"ERROR","OK")</f>
        <v>0</v>
      </c>
      <c r="E199" s="2">
        <f>"OK"</f>
        <v>0</v>
      </c>
      <c r="F199" s="2">
        <f>IF(AND('02_clients_raw'!C39&lt;&gt;"",LEN('02_clients_raw'!C39)&lt;&gt;10),"ERROR","OK")</f>
        <v>0</v>
      </c>
      <c r="G199" s="2">
        <f>"OK"</f>
        <v>0</v>
      </c>
      <c r="H199" s="2">
        <f>"OK"</f>
        <v>0</v>
      </c>
      <c r="I199" s="2">
        <f>"OK"</f>
        <v>0</v>
      </c>
      <c r="J199" s="2">
        <f>COUNTIF(C199:I199,"ERROR")</f>
        <v>0</v>
      </c>
      <c r="K199" s="2">
        <f>IF(J199&gt;0,"Проверить клиента","")</f>
        <v>0</v>
      </c>
    </row>
    <row r="200" spans="1:11">
      <c r="A200" s="2">
        <f>"Client"</f>
        <v>0</v>
      </c>
      <c r="B200" s="2">
        <f>'02_clients_raw'!A40</f>
        <v>0</v>
      </c>
      <c r="C200" s="2">
        <f>IF(COUNTIF('02_clients_raw'!$A$2:$A$47,'02_clients_raw'!A40)&gt;1,"ERROR","OK")</f>
        <v>0</v>
      </c>
      <c r="D200" s="2">
        <f>IF(OR('02_clients_raw'!C40="",'02_clients_raw'!D40="",'02_clients_raw'!E40=""),"ERROR","OK")</f>
        <v>0</v>
      </c>
      <c r="E200" s="2">
        <f>"OK"</f>
        <v>0</v>
      </c>
      <c r="F200" s="2">
        <f>IF(AND('02_clients_raw'!C40&lt;&gt;"",LEN('02_clients_raw'!C40)&lt;&gt;10),"ERROR","OK")</f>
        <v>0</v>
      </c>
      <c r="G200" s="2">
        <f>"OK"</f>
        <v>0</v>
      </c>
      <c r="H200" s="2">
        <f>"OK"</f>
        <v>0</v>
      </c>
      <c r="I200" s="2">
        <f>"OK"</f>
        <v>0</v>
      </c>
      <c r="J200" s="2">
        <f>COUNTIF(C200:I200,"ERROR")</f>
        <v>0</v>
      </c>
      <c r="K200" s="2">
        <f>IF(J200&gt;0,"Проверить клиента","")</f>
        <v>0</v>
      </c>
    </row>
    <row r="201" spans="1:11">
      <c r="A201" s="2">
        <f>"Client"</f>
        <v>0</v>
      </c>
      <c r="B201" s="2">
        <f>'02_clients_raw'!A41</f>
        <v>0</v>
      </c>
      <c r="C201" s="2">
        <f>IF(COUNTIF('02_clients_raw'!$A$2:$A$47,'02_clients_raw'!A41)&gt;1,"ERROR","OK")</f>
        <v>0</v>
      </c>
      <c r="D201" s="2">
        <f>IF(OR('02_clients_raw'!C41="",'02_clients_raw'!D41="",'02_clients_raw'!E41=""),"ERROR","OK")</f>
        <v>0</v>
      </c>
      <c r="E201" s="2">
        <f>"OK"</f>
        <v>0</v>
      </c>
      <c r="F201" s="2">
        <f>IF(AND('02_clients_raw'!C41&lt;&gt;"",LEN('02_clients_raw'!C41)&lt;&gt;10),"ERROR","OK")</f>
        <v>0</v>
      </c>
      <c r="G201" s="2">
        <f>"OK"</f>
        <v>0</v>
      </c>
      <c r="H201" s="2">
        <f>"OK"</f>
        <v>0</v>
      </c>
      <c r="I201" s="2">
        <f>"OK"</f>
        <v>0</v>
      </c>
      <c r="J201" s="2">
        <f>COUNTIF(C201:I201,"ERROR")</f>
        <v>0</v>
      </c>
      <c r="K201" s="2">
        <f>IF(J201&gt;0,"Проверить клиента","")</f>
        <v>0</v>
      </c>
    </row>
    <row r="202" spans="1:11">
      <c r="A202" s="2">
        <f>"Client"</f>
        <v>0</v>
      </c>
      <c r="B202" s="2">
        <f>'02_clients_raw'!A42</f>
        <v>0</v>
      </c>
      <c r="C202" s="2">
        <f>IF(COUNTIF('02_clients_raw'!$A$2:$A$47,'02_clients_raw'!A42)&gt;1,"ERROR","OK")</f>
        <v>0</v>
      </c>
      <c r="D202" s="2">
        <f>IF(OR('02_clients_raw'!C42="",'02_clients_raw'!D42="",'02_clients_raw'!E42=""),"ERROR","OK")</f>
        <v>0</v>
      </c>
      <c r="E202" s="2">
        <f>"OK"</f>
        <v>0</v>
      </c>
      <c r="F202" s="2">
        <f>IF(AND('02_clients_raw'!C42&lt;&gt;"",LEN('02_clients_raw'!C42)&lt;&gt;10),"ERROR","OK")</f>
        <v>0</v>
      </c>
      <c r="G202" s="2">
        <f>"OK"</f>
        <v>0</v>
      </c>
      <c r="H202" s="2">
        <f>"OK"</f>
        <v>0</v>
      </c>
      <c r="I202" s="2">
        <f>"OK"</f>
        <v>0</v>
      </c>
      <c r="J202" s="2">
        <f>COUNTIF(C202:I202,"ERROR")</f>
        <v>0</v>
      </c>
      <c r="K202" s="2">
        <f>IF(J202&gt;0,"Проверить клиента","")</f>
        <v>0</v>
      </c>
    </row>
    <row r="203" spans="1:11">
      <c r="A203" s="2">
        <f>"Client"</f>
        <v>0</v>
      </c>
      <c r="B203" s="2">
        <f>'02_clients_raw'!A43</f>
        <v>0</v>
      </c>
      <c r="C203" s="2">
        <f>IF(COUNTIF('02_clients_raw'!$A$2:$A$47,'02_clients_raw'!A43)&gt;1,"ERROR","OK")</f>
        <v>0</v>
      </c>
      <c r="D203" s="2">
        <f>IF(OR('02_clients_raw'!C43="",'02_clients_raw'!D43="",'02_clients_raw'!E43=""),"ERROR","OK")</f>
        <v>0</v>
      </c>
      <c r="E203" s="2">
        <f>"OK"</f>
        <v>0</v>
      </c>
      <c r="F203" s="2">
        <f>IF(AND('02_clients_raw'!C43&lt;&gt;"",LEN('02_clients_raw'!C43)&lt;&gt;10),"ERROR","OK")</f>
        <v>0</v>
      </c>
      <c r="G203" s="2">
        <f>"OK"</f>
        <v>0</v>
      </c>
      <c r="H203" s="2">
        <f>"OK"</f>
        <v>0</v>
      </c>
      <c r="I203" s="2">
        <f>"OK"</f>
        <v>0</v>
      </c>
      <c r="J203" s="2">
        <f>COUNTIF(C203:I203,"ERROR")</f>
        <v>0</v>
      </c>
      <c r="K203" s="2">
        <f>IF(J203&gt;0,"Проверить клиента","")</f>
        <v>0</v>
      </c>
    </row>
    <row r="204" spans="1:11">
      <c r="A204" s="2">
        <f>"Client"</f>
        <v>0</v>
      </c>
      <c r="B204" s="2">
        <f>'02_clients_raw'!A44</f>
        <v>0</v>
      </c>
      <c r="C204" s="2">
        <f>IF(COUNTIF('02_clients_raw'!$A$2:$A$47,'02_clients_raw'!A44)&gt;1,"ERROR","OK")</f>
        <v>0</v>
      </c>
      <c r="D204" s="2">
        <f>IF(OR('02_clients_raw'!C44="",'02_clients_raw'!D44="",'02_clients_raw'!E44=""),"ERROR","OK")</f>
        <v>0</v>
      </c>
      <c r="E204" s="2">
        <f>"OK"</f>
        <v>0</v>
      </c>
      <c r="F204" s="2">
        <f>IF(AND('02_clients_raw'!C44&lt;&gt;"",LEN('02_clients_raw'!C44)&lt;&gt;10),"ERROR","OK")</f>
        <v>0</v>
      </c>
      <c r="G204" s="2">
        <f>"OK"</f>
        <v>0</v>
      </c>
      <c r="H204" s="2">
        <f>"OK"</f>
        <v>0</v>
      </c>
      <c r="I204" s="2">
        <f>"OK"</f>
        <v>0</v>
      </c>
      <c r="J204" s="2">
        <f>COUNTIF(C204:I204,"ERROR")</f>
        <v>0</v>
      </c>
      <c r="K204" s="2">
        <f>IF(J204&gt;0,"Проверить клиента","")</f>
        <v>0</v>
      </c>
    </row>
    <row r="205" spans="1:11">
      <c r="A205" s="2">
        <f>"Client"</f>
        <v>0</v>
      </c>
      <c r="B205" s="2">
        <f>'02_clients_raw'!A45</f>
        <v>0</v>
      </c>
      <c r="C205" s="2">
        <f>IF(COUNTIF('02_clients_raw'!$A$2:$A$47,'02_clients_raw'!A45)&gt;1,"ERROR","OK")</f>
        <v>0</v>
      </c>
      <c r="D205" s="2">
        <f>IF(OR('02_clients_raw'!C45="",'02_clients_raw'!D45="",'02_clients_raw'!E45=""),"ERROR","OK")</f>
        <v>0</v>
      </c>
      <c r="E205" s="2">
        <f>"OK"</f>
        <v>0</v>
      </c>
      <c r="F205" s="2">
        <f>IF(AND('02_clients_raw'!C45&lt;&gt;"",LEN('02_clients_raw'!C45)&lt;&gt;10),"ERROR","OK")</f>
        <v>0</v>
      </c>
      <c r="G205" s="2">
        <f>"OK"</f>
        <v>0</v>
      </c>
      <c r="H205" s="2">
        <f>"OK"</f>
        <v>0</v>
      </c>
      <c r="I205" s="2">
        <f>"OK"</f>
        <v>0</v>
      </c>
      <c r="J205" s="2">
        <f>COUNTIF(C205:I205,"ERROR")</f>
        <v>0</v>
      </c>
      <c r="K205" s="2">
        <f>IF(J205&gt;0,"Проверить клиента","")</f>
        <v>0</v>
      </c>
    </row>
    <row r="206" spans="1:11">
      <c r="A206" s="2">
        <f>"Client"</f>
        <v>0</v>
      </c>
      <c r="B206" s="2">
        <f>'02_clients_raw'!A46</f>
        <v>0</v>
      </c>
      <c r="C206" s="2">
        <f>IF(COUNTIF('02_clients_raw'!$A$2:$A$47,'02_clients_raw'!A46)&gt;1,"ERROR","OK")</f>
        <v>0</v>
      </c>
      <c r="D206" s="2">
        <f>IF(OR('02_clients_raw'!C46="",'02_clients_raw'!D46="",'02_clients_raw'!E46=""),"ERROR","OK")</f>
        <v>0</v>
      </c>
      <c r="E206" s="2">
        <f>"OK"</f>
        <v>0</v>
      </c>
      <c r="F206" s="2">
        <f>IF(AND('02_clients_raw'!C46&lt;&gt;"",LEN('02_clients_raw'!C46)&lt;&gt;10),"ERROR","OK")</f>
        <v>0</v>
      </c>
      <c r="G206" s="2">
        <f>"OK"</f>
        <v>0</v>
      </c>
      <c r="H206" s="2">
        <f>"OK"</f>
        <v>0</v>
      </c>
      <c r="I206" s="2">
        <f>"OK"</f>
        <v>0</v>
      </c>
      <c r="J206" s="2">
        <f>COUNTIF(C206:I206,"ERROR")</f>
        <v>0</v>
      </c>
      <c r="K206" s="2">
        <f>IF(J206&gt;0,"Проверить клиента","")</f>
        <v>0</v>
      </c>
    </row>
    <row r="207" spans="1:11">
      <c r="A207" s="2">
        <f>"Client"</f>
        <v>0</v>
      </c>
      <c r="B207" s="2">
        <f>'02_clients_raw'!A47</f>
        <v>0</v>
      </c>
      <c r="C207" s="2">
        <f>IF(COUNTIF('02_clients_raw'!$A$2:$A$47,'02_clients_raw'!A47)&gt;1,"ERROR","OK")</f>
        <v>0</v>
      </c>
      <c r="D207" s="2">
        <f>IF(OR('02_clients_raw'!C47="",'02_clients_raw'!D47="",'02_clients_raw'!E47=""),"ERROR","OK")</f>
        <v>0</v>
      </c>
      <c r="E207" s="2">
        <f>"OK"</f>
        <v>0</v>
      </c>
      <c r="F207" s="2">
        <f>IF(AND('02_clients_raw'!C47&lt;&gt;"",LEN('02_clients_raw'!C47)&lt;&gt;10),"ERROR","OK")</f>
        <v>0</v>
      </c>
      <c r="G207" s="2">
        <f>"OK"</f>
        <v>0</v>
      </c>
      <c r="H207" s="2">
        <f>"OK"</f>
        <v>0</v>
      </c>
      <c r="I207" s="2">
        <f>"OK"</f>
        <v>0</v>
      </c>
      <c r="J207" s="2">
        <f>COUNTIF(C207:I207,"ERROR")</f>
        <v>0</v>
      </c>
      <c r="K207" s="2">
        <f>IF(J207&gt;0,"Проверить клиента","")</f>
        <v>0</v>
      </c>
    </row>
    <row r="208" spans="1:11">
      <c r="A208" s="2">
        <f>"Payment"</f>
        <v>0</v>
      </c>
      <c r="B208" s="2">
        <f>'03_payments_raw'!A2</f>
        <v>0</v>
      </c>
      <c r="C208" s="2">
        <f>"OK"</f>
        <v>0</v>
      </c>
      <c r="D208" s="2">
        <f>IF(OR('03_payments_raw'!B2="",'03_payments_raw'!E2=""),"ERROR","OK")</f>
        <v>0</v>
      </c>
      <c r="E208" s="2">
        <f>IF(COUNTIF('01_orders_raw'!$A$2:$A$161,'03_payments_raw'!B2)=0,"ERROR","OK")</f>
        <v>0</v>
      </c>
      <c r="F208" s="2">
        <f>IFERROR(IF('03_payments_raw'!D2&gt;INDEX('01_orders_raw'!$I$2:$I$161,MATCH('03_payments_raw'!B2,'01_orders_raw'!$A$2:$A$161,0)),"ERROR","OK"),"ERROR")</f>
        <v>0</v>
      </c>
      <c r="G208" s="2">
        <f>"OK"</f>
        <v>0</v>
      </c>
      <c r="H208" s="2">
        <f>IFERROR(IF('03_payments_raw'!C2&lt;INDEX('01_orders_raw'!$B$2:$B$161,MATCH('03_payments_raw'!B2,'01_orders_raw'!$A$2:$A$161,0)),"ERROR","OK"),"ERROR")</f>
        <v>0</v>
      </c>
      <c r="I208" s="2">
        <f>IF(OR('03_payments_raw'!E2="Оплачено",'03_payments_raw'!E2="Частично оплачено",'03_payments_raw'!E2="Не оплачено"),"OK","ERROR")</f>
        <v>0</v>
      </c>
      <c r="J208" s="2">
        <f>COUNTIF(C208:I208,"ERROR")</f>
        <v>0</v>
      </c>
      <c r="K208" s="2">
        <f>IF(J208&gt;0,"Проверить оплату","")</f>
        <v>0</v>
      </c>
    </row>
    <row r="209" spans="1:11">
      <c r="A209" s="2">
        <f>"Payment"</f>
        <v>0</v>
      </c>
      <c r="B209" s="2">
        <f>'03_payments_raw'!A3</f>
        <v>0</v>
      </c>
      <c r="C209" s="2">
        <f>"OK"</f>
        <v>0</v>
      </c>
      <c r="D209" s="2">
        <f>IF(OR('03_payments_raw'!B3="",'03_payments_raw'!E3=""),"ERROR","OK")</f>
        <v>0</v>
      </c>
      <c r="E209" s="2">
        <f>IF(COUNTIF('01_orders_raw'!$A$2:$A$161,'03_payments_raw'!B3)=0,"ERROR","OK")</f>
        <v>0</v>
      </c>
      <c r="F209" s="2">
        <f>IFERROR(IF('03_payments_raw'!D3&gt;INDEX('01_orders_raw'!$I$2:$I$161,MATCH('03_payments_raw'!B3,'01_orders_raw'!$A$2:$A$161,0)),"ERROR","OK"),"ERROR")</f>
        <v>0</v>
      </c>
      <c r="G209" s="2">
        <f>"OK"</f>
        <v>0</v>
      </c>
      <c r="H209" s="2">
        <f>IFERROR(IF('03_payments_raw'!C3&lt;INDEX('01_orders_raw'!$B$2:$B$161,MATCH('03_payments_raw'!B3,'01_orders_raw'!$A$2:$A$161,0)),"ERROR","OK"),"ERROR")</f>
        <v>0</v>
      </c>
      <c r="I209" s="2">
        <f>IF(OR('03_payments_raw'!E3="Оплачено",'03_payments_raw'!E3="Частично оплачено",'03_payments_raw'!E3="Не оплачено"),"OK","ERROR")</f>
        <v>0</v>
      </c>
      <c r="J209" s="2">
        <f>COUNTIF(C209:I209,"ERROR")</f>
        <v>0</v>
      </c>
      <c r="K209" s="2">
        <f>IF(J209&gt;0,"Проверить оплату","")</f>
        <v>0</v>
      </c>
    </row>
    <row r="210" spans="1:11">
      <c r="A210" s="2">
        <f>"Payment"</f>
        <v>0</v>
      </c>
      <c r="B210" s="2">
        <f>'03_payments_raw'!A4</f>
        <v>0</v>
      </c>
      <c r="C210" s="2">
        <f>"OK"</f>
        <v>0</v>
      </c>
      <c r="D210" s="2">
        <f>IF(OR('03_payments_raw'!B4="",'03_payments_raw'!E4=""),"ERROR","OK")</f>
        <v>0</v>
      </c>
      <c r="E210" s="2">
        <f>IF(COUNTIF('01_orders_raw'!$A$2:$A$161,'03_payments_raw'!B4)=0,"ERROR","OK")</f>
        <v>0</v>
      </c>
      <c r="F210" s="2">
        <f>IFERROR(IF('03_payments_raw'!D4&gt;INDEX('01_orders_raw'!$I$2:$I$161,MATCH('03_payments_raw'!B4,'01_orders_raw'!$A$2:$A$161,0)),"ERROR","OK"),"ERROR")</f>
        <v>0</v>
      </c>
      <c r="G210" s="2">
        <f>"OK"</f>
        <v>0</v>
      </c>
      <c r="H210" s="2">
        <f>IFERROR(IF('03_payments_raw'!C4&lt;INDEX('01_orders_raw'!$B$2:$B$161,MATCH('03_payments_raw'!B4,'01_orders_raw'!$A$2:$A$161,0)),"ERROR","OK"),"ERROR")</f>
        <v>0</v>
      </c>
      <c r="I210" s="2">
        <f>IF(OR('03_payments_raw'!E4="Оплачено",'03_payments_raw'!E4="Частично оплачено",'03_payments_raw'!E4="Не оплачено"),"OK","ERROR")</f>
        <v>0</v>
      </c>
      <c r="J210" s="2">
        <f>COUNTIF(C210:I210,"ERROR")</f>
        <v>0</v>
      </c>
      <c r="K210" s="2">
        <f>IF(J210&gt;0,"Проверить оплату","")</f>
        <v>0</v>
      </c>
    </row>
    <row r="211" spans="1:11">
      <c r="A211" s="2">
        <f>"Payment"</f>
        <v>0</v>
      </c>
      <c r="B211" s="2">
        <f>'03_payments_raw'!A5</f>
        <v>0</v>
      </c>
      <c r="C211" s="2">
        <f>"OK"</f>
        <v>0</v>
      </c>
      <c r="D211" s="2">
        <f>IF(OR('03_payments_raw'!B5="",'03_payments_raw'!E5=""),"ERROR","OK")</f>
        <v>0</v>
      </c>
      <c r="E211" s="2">
        <f>IF(COUNTIF('01_orders_raw'!$A$2:$A$161,'03_payments_raw'!B5)=0,"ERROR","OK")</f>
        <v>0</v>
      </c>
      <c r="F211" s="2">
        <f>IFERROR(IF('03_payments_raw'!D5&gt;INDEX('01_orders_raw'!$I$2:$I$161,MATCH('03_payments_raw'!B5,'01_orders_raw'!$A$2:$A$161,0)),"ERROR","OK"),"ERROR")</f>
        <v>0</v>
      </c>
      <c r="G211" s="2">
        <f>"OK"</f>
        <v>0</v>
      </c>
      <c r="H211" s="2">
        <f>IFERROR(IF('03_payments_raw'!C5&lt;INDEX('01_orders_raw'!$B$2:$B$161,MATCH('03_payments_raw'!B5,'01_orders_raw'!$A$2:$A$161,0)),"ERROR","OK"),"ERROR")</f>
        <v>0</v>
      </c>
      <c r="I211" s="2">
        <f>IF(OR('03_payments_raw'!E5="Оплачено",'03_payments_raw'!E5="Частично оплачено",'03_payments_raw'!E5="Не оплачено"),"OK","ERROR")</f>
        <v>0</v>
      </c>
      <c r="J211" s="2">
        <f>COUNTIF(C211:I211,"ERROR")</f>
        <v>0</v>
      </c>
      <c r="K211" s="2">
        <f>IF(J211&gt;0,"Проверить оплату","")</f>
        <v>0</v>
      </c>
    </row>
    <row r="212" spans="1:11">
      <c r="A212" s="2">
        <f>"Payment"</f>
        <v>0</v>
      </c>
      <c r="B212" s="2">
        <f>'03_payments_raw'!A6</f>
        <v>0</v>
      </c>
      <c r="C212" s="2">
        <f>"OK"</f>
        <v>0</v>
      </c>
      <c r="D212" s="2">
        <f>IF(OR('03_payments_raw'!B6="",'03_payments_raw'!E6=""),"ERROR","OK")</f>
        <v>0</v>
      </c>
      <c r="E212" s="2">
        <f>IF(COUNTIF('01_orders_raw'!$A$2:$A$161,'03_payments_raw'!B6)=0,"ERROR","OK")</f>
        <v>0</v>
      </c>
      <c r="F212" s="2">
        <f>IFERROR(IF('03_payments_raw'!D6&gt;INDEX('01_orders_raw'!$I$2:$I$161,MATCH('03_payments_raw'!B6,'01_orders_raw'!$A$2:$A$161,0)),"ERROR","OK"),"ERROR")</f>
        <v>0</v>
      </c>
      <c r="G212" s="2">
        <f>"OK"</f>
        <v>0</v>
      </c>
      <c r="H212" s="2">
        <f>IFERROR(IF('03_payments_raw'!C6&lt;INDEX('01_orders_raw'!$B$2:$B$161,MATCH('03_payments_raw'!B6,'01_orders_raw'!$A$2:$A$161,0)),"ERROR","OK"),"ERROR")</f>
        <v>0</v>
      </c>
      <c r="I212" s="2">
        <f>IF(OR('03_payments_raw'!E6="Оплачено",'03_payments_raw'!E6="Частично оплачено",'03_payments_raw'!E6="Не оплачено"),"OK","ERROR")</f>
        <v>0</v>
      </c>
      <c r="J212" s="2">
        <f>COUNTIF(C212:I212,"ERROR")</f>
        <v>0</v>
      </c>
      <c r="K212" s="2">
        <f>IF(J212&gt;0,"Проверить оплату","")</f>
        <v>0</v>
      </c>
    </row>
    <row r="213" spans="1:11">
      <c r="A213" s="2">
        <f>"Payment"</f>
        <v>0</v>
      </c>
      <c r="B213" s="2">
        <f>'03_payments_raw'!A7</f>
        <v>0</v>
      </c>
      <c r="C213" s="2">
        <f>"OK"</f>
        <v>0</v>
      </c>
      <c r="D213" s="2">
        <f>IF(OR('03_payments_raw'!B7="",'03_payments_raw'!E7=""),"ERROR","OK")</f>
        <v>0</v>
      </c>
      <c r="E213" s="2">
        <f>IF(COUNTIF('01_orders_raw'!$A$2:$A$161,'03_payments_raw'!B7)=0,"ERROR","OK")</f>
        <v>0</v>
      </c>
      <c r="F213" s="2">
        <f>IFERROR(IF('03_payments_raw'!D7&gt;INDEX('01_orders_raw'!$I$2:$I$161,MATCH('03_payments_raw'!B7,'01_orders_raw'!$A$2:$A$161,0)),"ERROR","OK"),"ERROR")</f>
        <v>0</v>
      </c>
      <c r="G213" s="2">
        <f>"OK"</f>
        <v>0</v>
      </c>
      <c r="H213" s="2">
        <f>IFERROR(IF('03_payments_raw'!C7&lt;INDEX('01_orders_raw'!$B$2:$B$161,MATCH('03_payments_raw'!B7,'01_orders_raw'!$A$2:$A$161,0)),"ERROR","OK"),"ERROR")</f>
        <v>0</v>
      </c>
      <c r="I213" s="2">
        <f>IF(OR('03_payments_raw'!E7="Оплачено",'03_payments_raw'!E7="Частично оплачено",'03_payments_raw'!E7="Не оплачено"),"OK","ERROR")</f>
        <v>0</v>
      </c>
      <c r="J213" s="2">
        <f>COUNTIF(C213:I213,"ERROR")</f>
        <v>0</v>
      </c>
      <c r="K213" s="2">
        <f>IF(J213&gt;0,"Проверить оплату","")</f>
        <v>0</v>
      </c>
    </row>
    <row r="214" spans="1:11">
      <c r="A214" s="2">
        <f>"Payment"</f>
        <v>0</v>
      </c>
      <c r="B214" s="2">
        <f>'03_payments_raw'!A8</f>
        <v>0</v>
      </c>
      <c r="C214" s="2">
        <f>"OK"</f>
        <v>0</v>
      </c>
      <c r="D214" s="2">
        <f>IF(OR('03_payments_raw'!B8="",'03_payments_raw'!E8=""),"ERROR","OK")</f>
        <v>0</v>
      </c>
      <c r="E214" s="2">
        <f>IF(COUNTIF('01_orders_raw'!$A$2:$A$161,'03_payments_raw'!B8)=0,"ERROR","OK")</f>
        <v>0</v>
      </c>
      <c r="F214" s="2">
        <f>IFERROR(IF('03_payments_raw'!D8&gt;INDEX('01_orders_raw'!$I$2:$I$161,MATCH('03_payments_raw'!B8,'01_orders_raw'!$A$2:$A$161,0)),"ERROR","OK"),"ERROR")</f>
        <v>0</v>
      </c>
      <c r="G214" s="2">
        <f>"OK"</f>
        <v>0</v>
      </c>
      <c r="H214" s="2">
        <f>IFERROR(IF('03_payments_raw'!C8&lt;INDEX('01_orders_raw'!$B$2:$B$161,MATCH('03_payments_raw'!B8,'01_orders_raw'!$A$2:$A$161,0)),"ERROR","OK"),"ERROR")</f>
        <v>0</v>
      </c>
      <c r="I214" s="2">
        <f>IF(OR('03_payments_raw'!E8="Оплачено",'03_payments_raw'!E8="Частично оплачено",'03_payments_raw'!E8="Не оплачено"),"OK","ERROR")</f>
        <v>0</v>
      </c>
      <c r="J214" s="2">
        <f>COUNTIF(C214:I214,"ERROR")</f>
        <v>0</v>
      </c>
      <c r="K214" s="2">
        <f>IF(J214&gt;0,"Проверить оплату","")</f>
        <v>0</v>
      </c>
    </row>
    <row r="215" spans="1:11">
      <c r="A215" s="2">
        <f>"Payment"</f>
        <v>0</v>
      </c>
      <c r="B215" s="2">
        <f>'03_payments_raw'!A9</f>
        <v>0</v>
      </c>
      <c r="C215" s="2">
        <f>"OK"</f>
        <v>0</v>
      </c>
      <c r="D215" s="2">
        <f>IF(OR('03_payments_raw'!B9="",'03_payments_raw'!E9=""),"ERROR","OK")</f>
        <v>0</v>
      </c>
      <c r="E215" s="2">
        <f>IF(COUNTIF('01_orders_raw'!$A$2:$A$161,'03_payments_raw'!B9)=0,"ERROR","OK")</f>
        <v>0</v>
      </c>
      <c r="F215" s="2">
        <f>IFERROR(IF('03_payments_raw'!D9&gt;INDEX('01_orders_raw'!$I$2:$I$161,MATCH('03_payments_raw'!B9,'01_orders_raw'!$A$2:$A$161,0)),"ERROR","OK"),"ERROR")</f>
        <v>0</v>
      </c>
      <c r="G215" s="2">
        <f>"OK"</f>
        <v>0</v>
      </c>
      <c r="H215" s="2">
        <f>IFERROR(IF('03_payments_raw'!C9&lt;INDEX('01_orders_raw'!$B$2:$B$161,MATCH('03_payments_raw'!B9,'01_orders_raw'!$A$2:$A$161,0)),"ERROR","OK"),"ERROR")</f>
        <v>0</v>
      </c>
      <c r="I215" s="2">
        <f>IF(OR('03_payments_raw'!E9="Оплачено",'03_payments_raw'!E9="Частично оплачено",'03_payments_raw'!E9="Не оплачено"),"OK","ERROR")</f>
        <v>0</v>
      </c>
      <c r="J215" s="2">
        <f>COUNTIF(C215:I215,"ERROR")</f>
        <v>0</v>
      </c>
      <c r="K215" s="2">
        <f>IF(J215&gt;0,"Проверить оплату","")</f>
        <v>0</v>
      </c>
    </row>
    <row r="216" spans="1:11">
      <c r="A216" s="2">
        <f>"Payment"</f>
        <v>0</v>
      </c>
      <c r="B216" s="2">
        <f>'03_payments_raw'!A10</f>
        <v>0</v>
      </c>
      <c r="C216" s="2">
        <f>"OK"</f>
        <v>0</v>
      </c>
      <c r="D216" s="2">
        <f>IF(OR('03_payments_raw'!B10="",'03_payments_raw'!E10=""),"ERROR","OK")</f>
        <v>0</v>
      </c>
      <c r="E216" s="2">
        <f>IF(COUNTIF('01_orders_raw'!$A$2:$A$161,'03_payments_raw'!B10)=0,"ERROR","OK")</f>
        <v>0</v>
      </c>
      <c r="F216" s="2">
        <f>IFERROR(IF('03_payments_raw'!D10&gt;INDEX('01_orders_raw'!$I$2:$I$161,MATCH('03_payments_raw'!B10,'01_orders_raw'!$A$2:$A$161,0)),"ERROR","OK"),"ERROR")</f>
        <v>0</v>
      </c>
      <c r="G216" s="2">
        <f>"OK"</f>
        <v>0</v>
      </c>
      <c r="H216" s="2">
        <f>IFERROR(IF('03_payments_raw'!C10&lt;INDEX('01_orders_raw'!$B$2:$B$161,MATCH('03_payments_raw'!B10,'01_orders_raw'!$A$2:$A$161,0)),"ERROR","OK"),"ERROR")</f>
        <v>0</v>
      </c>
      <c r="I216" s="2">
        <f>IF(OR('03_payments_raw'!E10="Оплачено",'03_payments_raw'!E10="Частично оплачено",'03_payments_raw'!E10="Не оплачено"),"OK","ERROR")</f>
        <v>0</v>
      </c>
      <c r="J216" s="2">
        <f>COUNTIF(C216:I216,"ERROR")</f>
        <v>0</v>
      </c>
      <c r="K216" s="2">
        <f>IF(J216&gt;0,"Проверить оплату","")</f>
        <v>0</v>
      </c>
    </row>
    <row r="217" spans="1:11">
      <c r="A217" s="2">
        <f>"Payment"</f>
        <v>0</v>
      </c>
      <c r="B217" s="2">
        <f>'03_payments_raw'!A11</f>
        <v>0</v>
      </c>
      <c r="C217" s="2">
        <f>"OK"</f>
        <v>0</v>
      </c>
      <c r="D217" s="2">
        <f>IF(OR('03_payments_raw'!B11="",'03_payments_raw'!E11=""),"ERROR","OK")</f>
        <v>0</v>
      </c>
      <c r="E217" s="2">
        <f>IF(COUNTIF('01_orders_raw'!$A$2:$A$161,'03_payments_raw'!B11)=0,"ERROR","OK")</f>
        <v>0</v>
      </c>
      <c r="F217" s="2">
        <f>IFERROR(IF('03_payments_raw'!D11&gt;INDEX('01_orders_raw'!$I$2:$I$161,MATCH('03_payments_raw'!B11,'01_orders_raw'!$A$2:$A$161,0)),"ERROR","OK"),"ERROR")</f>
        <v>0</v>
      </c>
      <c r="G217" s="2">
        <f>"OK"</f>
        <v>0</v>
      </c>
      <c r="H217" s="2">
        <f>IFERROR(IF('03_payments_raw'!C11&lt;INDEX('01_orders_raw'!$B$2:$B$161,MATCH('03_payments_raw'!B11,'01_orders_raw'!$A$2:$A$161,0)),"ERROR","OK"),"ERROR")</f>
        <v>0</v>
      </c>
      <c r="I217" s="2">
        <f>IF(OR('03_payments_raw'!E11="Оплачено",'03_payments_raw'!E11="Частично оплачено",'03_payments_raw'!E11="Не оплачено"),"OK","ERROR")</f>
        <v>0</v>
      </c>
      <c r="J217" s="2">
        <f>COUNTIF(C217:I217,"ERROR")</f>
        <v>0</v>
      </c>
      <c r="K217" s="2">
        <f>IF(J217&gt;0,"Проверить оплату","")</f>
        <v>0</v>
      </c>
    </row>
    <row r="218" spans="1:11">
      <c r="A218" s="2">
        <f>"Payment"</f>
        <v>0</v>
      </c>
      <c r="B218" s="2">
        <f>'03_payments_raw'!A12</f>
        <v>0</v>
      </c>
      <c r="C218" s="2">
        <f>"OK"</f>
        <v>0</v>
      </c>
      <c r="D218" s="2">
        <f>IF(OR('03_payments_raw'!B12="",'03_payments_raw'!E12=""),"ERROR","OK")</f>
        <v>0</v>
      </c>
      <c r="E218" s="2">
        <f>IF(COUNTIF('01_orders_raw'!$A$2:$A$161,'03_payments_raw'!B12)=0,"ERROR","OK")</f>
        <v>0</v>
      </c>
      <c r="F218" s="2">
        <f>IFERROR(IF('03_payments_raw'!D12&gt;INDEX('01_orders_raw'!$I$2:$I$161,MATCH('03_payments_raw'!B12,'01_orders_raw'!$A$2:$A$161,0)),"ERROR","OK"),"ERROR")</f>
        <v>0</v>
      </c>
      <c r="G218" s="2">
        <f>"OK"</f>
        <v>0</v>
      </c>
      <c r="H218" s="2">
        <f>IFERROR(IF('03_payments_raw'!C12&lt;INDEX('01_orders_raw'!$B$2:$B$161,MATCH('03_payments_raw'!B12,'01_orders_raw'!$A$2:$A$161,0)),"ERROR","OK"),"ERROR")</f>
        <v>0</v>
      </c>
      <c r="I218" s="2">
        <f>IF(OR('03_payments_raw'!E12="Оплачено",'03_payments_raw'!E12="Частично оплачено",'03_payments_raw'!E12="Не оплачено"),"OK","ERROR")</f>
        <v>0</v>
      </c>
      <c r="J218" s="2">
        <f>COUNTIF(C218:I218,"ERROR")</f>
        <v>0</v>
      </c>
      <c r="K218" s="2">
        <f>IF(J218&gt;0,"Проверить оплату","")</f>
        <v>0</v>
      </c>
    </row>
    <row r="219" spans="1:11">
      <c r="A219" s="2">
        <f>"Payment"</f>
        <v>0</v>
      </c>
      <c r="B219" s="2">
        <f>'03_payments_raw'!A13</f>
        <v>0</v>
      </c>
      <c r="C219" s="2">
        <f>"OK"</f>
        <v>0</v>
      </c>
      <c r="D219" s="2">
        <f>IF(OR('03_payments_raw'!B13="",'03_payments_raw'!E13=""),"ERROR","OK")</f>
        <v>0</v>
      </c>
      <c r="E219" s="2">
        <f>IF(COUNTIF('01_orders_raw'!$A$2:$A$161,'03_payments_raw'!B13)=0,"ERROR","OK")</f>
        <v>0</v>
      </c>
      <c r="F219" s="2">
        <f>IFERROR(IF('03_payments_raw'!D13&gt;INDEX('01_orders_raw'!$I$2:$I$161,MATCH('03_payments_raw'!B13,'01_orders_raw'!$A$2:$A$161,0)),"ERROR","OK"),"ERROR")</f>
        <v>0</v>
      </c>
      <c r="G219" s="2">
        <f>"OK"</f>
        <v>0</v>
      </c>
      <c r="H219" s="2">
        <f>IFERROR(IF('03_payments_raw'!C13&lt;INDEX('01_orders_raw'!$B$2:$B$161,MATCH('03_payments_raw'!B13,'01_orders_raw'!$A$2:$A$161,0)),"ERROR","OK"),"ERROR")</f>
        <v>0</v>
      </c>
      <c r="I219" s="2">
        <f>IF(OR('03_payments_raw'!E13="Оплачено",'03_payments_raw'!E13="Частично оплачено",'03_payments_raw'!E13="Не оплачено"),"OK","ERROR")</f>
        <v>0</v>
      </c>
      <c r="J219" s="2">
        <f>COUNTIF(C219:I219,"ERROR")</f>
        <v>0</v>
      </c>
      <c r="K219" s="2">
        <f>IF(J219&gt;0,"Проверить оплату","")</f>
        <v>0</v>
      </c>
    </row>
    <row r="220" spans="1:11">
      <c r="A220" s="2">
        <f>"Payment"</f>
        <v>0</v>
      </c>
      <c r="B220" s="2">
        <f>'03_payments_raw'!A14</f>
        <v>0</v>
      </c>
      <c r="C220" s="2">
        <f>"OK"</f>
        <v>0</v>
      </c>
      <c r="D220" s="2">
        <f>IF(OR('03_payments_raw'!B14="",'03_payments_raw'!E14=""),"ERROR","OK")</f>
        <v>0</v>
      </c>
      <c r="E220" s="2">
        <f>IF(COUNTIF('01_orders_raw'!$A$2:$A$161,'03_payments_raw'!B14)=0,"ERROR","OK")</f>
        <v>0</v>
      </c>
      <c r="F220" s="2">
        <f>IFERROR(IF('03_payments_raw'!D14&gt;INDEX('01_orders_raw'!$I$2:$I$161,MATCH('03_payments_raw'!B14,'01_orders_raw'!$A$2:$A$161,0)),"ERROR","OK"),"ERROR")</f>
        <v>0</v>
      </c>
      <c r="G220" s="2">
        <f>"OK"</f>
        <v>0</v>
      </c>
      <c r="H220" s="2">
        <f>IFERROR(IF('03_payments_raw'!C14&lt;INDEX('01_orders_raw'!$B$2:$B$161,MATCH('03_payments_raw'!B14,'01_orders_raw'!$A$2:$A$161,0)),"ERROR","OK"),"ERROR")</f>
        <v>0</v>
      </c>
      <c r="I220" s="2">
        <f>IF(OR('03_payments_raw'!E14="Оплачено",'03_payments_raw'!E14="Частично оплачено",'03_payments_raw'!E14="Не оплачено"),"OK","ERROR")</f>
        <v>0</v>
      </c>
      <c r="J220" s="2">
        <f>COUNTIF(C220:I220,"ERROR")</f>
        <v>0</v>
      </c>
      <c r="K220" s="2">
        <f>IF(J220&gt;0,"Проверить оплату","")</f>
        <v>0</v>
      </c>
    </row>
    <row r="221" spans="1:11">
      <c r="A221" s="2">
        <f>"Payment"</f>
        <v>0</v>
      </c>
      <c r="B221" s="2">
        <f>'03_payments_raw'!A15</f>
        <v>0</v>
      </c>
      <c r="C221" s="2">
        <f>"OK"</f>
        <v>0</v>
      </c>
      <c r="D221" s="2">
        <f>IF(OR('03_payments_raw'!B15="",'03_payments_raw'!E15=""),"ERROR","OK")</f>
        <v>0</v>
      </c>
      <c r="E221" s="2">
        <f>IF(COUNTIF('01_orders_raw'!$A$2:$A$161,'03_payments_raw'!B15)=0,"ERROR","OK")</f>
        <v>0</v>
      </c>
      <c r="F221" s="2">
        <f>IFERROR(IF('03_payments_raw'!D15&gt;INDEX('01_orders_raw'!$I$2:$I$161,MATCH('03_payments_raw'!B15,'01_orders_raw'!$A$2:$A$161,0)),"ERROR","OK"),"ERROR")</f>
        <v>0</v>
      </c>
      <c r="G221" s="2">
        <f>"OK"</f>
        <v>0</v>
      </c>
      <c r="H221" s="2">
        <f>IFERROR(IF('03_payments_raw'!C15&lt;INDEX('01_orders_raw'!$B$2:$B$161,MATCH('03_payments_raw'!B15,'01_orders_raw'!$A$2:$A$161,0)),"ERROR","OK"),"ERROR")</f>
        <v>0</v>
      </c>
      <c r="I221" s="2">
        <f>IF(OR('03_payments_raw'!E15="Оплачено",'03_payments_raw'!E15="Частично оплачено",'03_payments_raw'!E15="Не оплачено"),"OK","ERROR")</f>
        <v>0</v>
      </c>
      <c r="J221" s="2">
        <f>COUNTIF(C221:I221,"ERROR")</f>
        <v>0</v>
      </c>
      <c r="K221" s="2">
        <f>IF(J221&gt;0,"Проверить оплату","")</f>
        <v>0</v>
      </c>
    </row>
    <row r="222" spans="1:11">
      <c r="A222" s="2">
        <f>"Payment"</f>
        <v>0</v>
      </c>
      <c r="B222" s="2">
        <f>'03_payments_raw'!A16</f>
        <v>0</v>
      </c>
      <c r="C222" s="2">
        <f>"OK"</f>
        <v>0</v>
      </c>
      <c r="D222" s="2">
        <f>IF(OR('03_payments_raw'!B16="",'03_payments_raw'!E16=""),"ERROR","OK")</f>
        <v>0</v>
      </c>
      <c r="E222" s="2">
        <f>IF(COUNTIF('01_orders_raw'!$A$2:$A$161,'03_payments_raw'!B16)=0,"ERROR","OK")</f>
        <v>0</v>
      </c>
      <c r="F222" s="2">
        <f>IFERROR(IF('03_payments_raw'!D16&gt;INDEX('01_orders_raw'!$I$2:$I$161,MATCH('03_payments_raw'!B16,'01_orders_raw'!$A$2:$A$161,0)),"ERROR","OK"),"ERROR")</f>
        <v>0</v>
      </c>
      <c r="G222" s="2">
        <f>"OK"</f>
        <v>0</v>
      </c>
      <c r="H222" s="2">
        <f>IFERROR(IF('03_payments_raw'!C16&lt;INDEX('01_orders_raw'!$B$2:$B$161,MATCH('03_payments_raw'!B16,'01_orders_raw'!$A$2:$A$161,0)),"ERROR","OK"),"ERROR")</f>
        <v>0</v>
      </c>
      <c r="I222" s="2">
        <f>IF(OR('03_payments_raw'!E16="Оплачено",'03_payments_raw'!E16="Частично оплачено",'03_payments_raw'!E16="Не оплачено"),"OK","ERROR")</f>
        <v>0</v>
      </c>
      <c r="J222" s="2">
        <f>COUNTIF(C222:I222,"ERROR")</f>
        <v>0</v>
      </c>
      <c r="K222" s="2">
        <f>IF(J222&gt;0,"Проверить оплату","")</f>
        <v>0</v>
      </c>
    </row>
    <row r="223" spans="1:11">
      <c r="A223" s="2">
        <f>"Payment"</f>
        <v>0</v>
      </c>
      <c r="B223" s="2">
        <f>'03_payments_raw'!A17</f>
        <v>0</v>
      </c>
      <c r="C223" s="2">
        <f>"OK"</f>
        <v>0</v>
      </c>
      <c r="D223" s="2">
        <f>IF(OR('03_payments_raw'!B17="",'03_payments_raw'!E17=""),"ERROR","OK")</f>
        <v>0</v>
      </c>
      <c r="E223" s="2">
        <f>IF(COUNTIF('01_orders_raw'!$A$2:$A$161,'03_payments_raw'!B17)=0,"ERROR","OK")</f>
        <v>0</v>
      </c>
      <c r="F223" s="2">
        <f>IFERROR(IF('03_payments_raw'!D17&gt;INDEX('01_orders_raw'!$I$2:$I$161,MATCH('03_payments_raw'!B17,'01_orders_raw'!$A$2:$A$161,0)),"ERROR","OK"),"ERROR")</f>
        <v>0</v>
      </c>
      <c r="G223" s="2">
        <f>"OK"</f>
        <v>0</v>
      </c>
      <c r="H223" s="2">
        <f>IFERROR(IF('03_payments_raw'!C17&lt;INDEX('01_orders_raw'!$B$2:$B$161,MATCH('03_payments_raw'!B17,'01_orders_raw'!$A$2:$A$161,0)),"ERROR","OK"),"ERROR")</f>
        <v>0</v>
      </c>
      <c r="I223" s="2">
        <f>IF(OR('03_payments_raw'!E17="Оплачено",'03_payments_raw'!E17="Частично оплачено",'03_payments_raw'!E17="Не оплачено"),"OK","ERROR")</f>
        <v>0</v>
      </c>
      <c r="J223" s="2">
        <f>COUNTIF(C223:I223,"ERROR")</f>
        <v>0</v>
      </c>
      <c r="K223" s="2">
        <f>IF(J223&gt;0,"Проверить оплату","")</f>
        <v>0</v>
      </c>
    </row>
    <row r="224" spans="1:11">
      <c r="A224" s="2">
        <f>"Payment"</f>
        <v>0</v>
      </c>
      <c r="B224" s="2">
        <f>'03_payments_raw'!A18</f>
        <v>0</v>
      </c>
      <c r="C224" s="2">
        <f>"OK"</f>
        <v>0</v>
      </c>
      <c r="D224" s="2">
        <f>IF(OR('03_payments_raw'!B18="",'03_payments_raw'!E18=""),"ERROR","OK")</f>
        <v>0</v>
      </c>
      <c r="E224" s="2">
        <f>IF(COUNTIF('01_orders_raw'!$A$2:$A$161,'03_payments_raw'!B18)=0,"ERROR","OK")</f>
        <v>0</v>
      </c>
      <c r="F224" s="2">
        <f>IFERROR(IF('03_payments_raw'!D18&gt;INDEX('01_orders_raw'!$I$2:$I$161,MATCH('03_payments_raw'!B18,'01_orders_raw'!$A$2:$A$161,0)),"ERROR","OK"),"ERROR")</f>
        <v>0</v>
      </c>
      <c r="G224" s="2">
        <f>"OK"</f>
        <v>0</v>
      </c>
      <c r="H224" s="2">
        <f>IFERROR(IF('03_payments_raw'!C18&lt;INDEX('01_orders_raw'!$B$2:$B$161,MATCH('03_payments_raw'!B18,'01_orders_raw'!$A$2:$A$161,0)),"ERROR","OK"),"ERROR")</f>
        <v>0</v>
      </c>
      <c r="I224" s="2">
        <f>IF(OR('03_payments_raw'!E18="Оплачено",'03_payments_raw'!E18="Частично оплачено",'03_payments_raw'!E18="Не оплачено"),"OK","ERROR")</f>
        <v>0</v>
      </c>
      <c r="J224" s="2">
        <f>COUNTIF(C224:I224,"ERROR")</f>
        <v>0</v>
      </c>
      <c r="K224" s="2">
        <f>IF(J224&gt;0,"Проверить оплату","")</f>
        <v>0</v>
      </c>
    </row>
    <row r="225" spans="1:11">
      <c r="A225" s="2">
        <f>"Payment"</f>
        <v>0</v>
      </c>
      <c r="B225" s="2">
        <f>'03_payments_raw'!A19</f>
        <v>0</v>
      </c>
      <c r="C225" s="2">
        <f>"OK"</f>
        <v>0</v>
      </c>
      <c r="D225" s="2">
        <f>IF(OR('03_payments_raw'!B19="",'03_payments_raw'!E19=""),"ERROR","OK")</f>
        <v>0</v>
      </c>
      <c r="E225" s="2">
        <f>IF(COUNTIF('01_orders_raw'!$A$2:$A$161,'03_payments_raw'!B19)=0,"ERROR","OK")</f>
        <v>0</v>
      </c>
      <c r="F225" s="2">
        <f>IFERROR(IF('03_payments_raw'!D19&gt;INDEX('01_orders_raw'!$I$2:$I$161,MATCH('03_payments_raw'!B19,'01_orders_raw'!$A$2:$A$161,0)),"ERROR","OK"),"ERROR")</f>
        <v>0</v>
      </c>
      <c r="G225" s="2">
        <f>"OK"</f>
        <v>0</v>
      </c>
      <c r="H225" s="2">
        <f>IFERROR(IF('03_payments_raw'!C19&lt;INDEX('01_orders_raw'!$B$2:$B$161,MATCH('03_payments_raw'!B19,'01_orders_raw'!$A$2:$A$161,0)),"ERROR","OK"),"ERROR")</f>
        <v>0</v>
      </c>
      <c r="I225" s="2">
        <f>IF(OR('03_payments_raw'!E19="Оплачено",'03_payments_raw'!E19="Частично оплачено",'03_payments_raw'!E19="Не оплачено"),"OK","ERROR")</f>
        <v>0</v>
      </c>
      <c r="J225" s="2">
        <f>COUNTIF(C225:I225,"ERROR")</f>
        <v>0</v>
      </c>
      <c r="K225" s="2">
        <f>IF(J225&gt;0,"Проверить оплату","")</f>
        <v>0</v>
      </c>
    </row>
    <row r="226" spans="1:11">
      <c r="A226" s="2">
        <f>"Payment"</f>
        <v>0</v>
      </c>
      <c r="B226" s="2">
        <f>'03_payments_raw'!A20</f>
        <v>0</v>
      </c>
      <c r="C226" s="2">
        <f>"OK"</f>
        <v>0</v>
      </c>
      <c r="D226" s="2">
        <f>IF(OR('03_payments_raw'!B20="",'03_payments_raw'!E20=""),"ERROR","OK")</f>
        <v>0</v>
      </c>
      <c r="E226" s="2">
        <f>IF(COUNTIF('01_orders_raw'!$A$2:$A$161,'03_payments_raw'!B20)=0,"ERROR","OK")</f>
        <v>0</v>
      </c>
      <c r="F226" s="2">
        <f>IFERROR(IF('03_payments_raw'!D20&gt;INDEX('01_orders_raw'!$I$2:$I$161,MATCH('03_payments_raw'!B20,'01_orders_raw'!$A$2:$A$161,0)),"ERROR","OK"),"ERROR")</f>
        <v>0</v>
      </c>
      <c r="G226" s="2">
        <f>"OK"</f>
        <v>0</v>
      </c>
      <c r="H226" s="2">
        <f>IFERROR(IF('03_payments_raw'!C20&lt;INDEX('01_orders_raw'!$B$2:$B$161,MATCH('03_payments_raw'!B20,'01_orders_raw'!$A$2:$A$161,0)),"ERROR","OK"),"ERROR")</f>
        <v>0</v>
      </c>
      <c r="I226" s="2">
        <f>IF(OR('03_payments_raw'!E20="Оплачено",'03_payments_raw'!E20="Частично оплачено",'03_payments_raw'!E20="Не оплачено"),"OK","ERROR")</f>
        <v>0</v>
      </c>
      <c r="J226" s="2">
        <f>COUNTIF(C226:I226,"ERROR")</f>
        <v>0</v>
      </c>
      <c r="K226" s="2">
        <f>IF(J226&gt;0,"Проверить оплату","")</f>
        <v>0</v>
      </c>
    </row>
    <row r="227" spans="1:11">
      <c r="A227" s="2">
        <f>"Payment"</f>
        <v>0</v>
      </c>
      <c r="B227" s="2">
        <f>'03_payments_raw'!A21</f>
        <v>0</v>
      </c>
      <c r="C227" s="2">
        <f>"OK"</f>
        <v>0</v>
      </c>
      <c r="D227" s="2">
        <f>IF(OR('03_payments_raw'!B21="",'03_payments_raw'!E21=""),"ERROR","OK")</f>
        <v>0</v>
      </c>
      <c r="E227" s="2">
        <f>IF(COUNTIF('01_orders_raw'!$A$2:$A$161,'03_payments_raw'!B21)=0,"ERROR","OK")</f>
        <v>0</v>
      </c>
      <c r="F227" s="2">
        <f>IFERROR(IF('03_payments_raw'!D21&gt;INDEX('01_orders_raw'!$I$2:$I$161,MATCH('03_payments_raw'!B21,'01_orders_raw'!$A$2:$A$161,0)),"ERROR","OK"),"ERROR")</f>
        <v>0</v>
      </c>
      <c r="G227" s="2">
        <f>"OK"</f>
        <v>0</v>
      </c>
      <c r="H227" s="2">
        <f>IFERROR(IF('03_payments_raw'!C21&lt;INDEX('01_orders_raw'!$B$2:$B$161,MATCH('03_payments_raw'!B21,'01_orders_raw'!$A$2:$A$161,0)),"ERROR","OK"),"ERROR")</f>
        <v>0</v>
      </c>
      <c r="I227" s="2">
        <f>IF(OR('03_payments_raw'!E21="Оплачено",'03_payments_raw'!E21="Частично оплачено",'03_payments_raw'!E21="Не оплачено"),"OK","ERROR")</f>
        <v>0</v>
      </c>
      <c r="J227" s="2">
        <f>COUNTIF(C227:I227,"ERROR")</f>
        <v>0</v>
      </c>
      <c r="K227" s="2">
        <f>IF(J227&gt;0,"Проверить оплату","")</f>
        <v>0</v>
      </c>
    </row>
    <row r="228" spans="1:11">
      <c r="A228" s="2">
        <f>"Payment"</f>
        <v>0</v>
      </c>
      <c r="B228" s="2">
        <f>'03_payments_raw'!A22</f>
        <v>0</v>
      </c>
      <c r="C228" s="2">
        <f>"OK"</f>
        <v>0</v>
      </c>
      <c r="D228" s="2">
        <f>IF(OR('03_payments_raw'!B22="",'03_payments_raw'!E22=""),"ERROR","OK")</f>
        <v>0</v>
      </c>
      <c r="E228" s="2">
        <f>IF(COUNTIF('01_orders_raw'!$A$2:$A$161,'03_payments_raw'!B22)=0,"ERROR","OK")</f>
        <v>0</v>
      </c>
      <c r="F228" s="2">
        <f>IFERROR(IF('03_payments_raw'!D22&gt;INDEX('01_orders_raw'!$I$2:$I$161,MATCH('03_payments_raw'!B22,'01_orders_raw'!$A$2:$A$161,0)),"ERROR","OK"),"ERROR")</f>
        <v>0</v>
      </c>
      <c r="G228" s="2">
        <f>"OK"</f>
        <v>0</v>
      </c>
      <c r="H228" s="2">
        <f>IFERROR(IF('03_payments_raw'!C22&lt;INDEX('01_orders_raw'!$B$2:$B$161,MATCH('03_payments_raw'!B22,'01_orders_raw'!$A$2:$A$161,0)),"ERROR","OK"),"ERROR")</f>
        <v>0</v>
      </c>
      <c r="I228" s="2">
        <f>IF(OR('03_payments_raw'!E22="Оплачено",'03_payments_raw'!E22="Частично оплачено",'03_payments_raw'!E22="Не оплачено"),"OK","ERROR")</f>
        <v>0</v>
      </c>
      <c r="J228" s="2">
        <f>COUNTIF(C228:I228,"ERROR")</f>
        <v>0</v>
      </c>
      <c r="K228" s="2">
        <f>IF(J228&gt;0,"Проверить оплату","")</f>
        <v>0</v>
      </c>
    </row>
    <row r="229" spans="1:11">
      <c r="A229" s="2">
        <f>"Payment"</f>
        <v>0</v>
      </c>
      <c r="B229" s="2">
        <f>'03_payments_raw'!A23</f>
        <v>0</v>
      </c>
      <c r="C229" s="2">
        <f>"OK"</f>
        <v>0</v>
      </c>
      <c r="D229" s="2">
        <f>IF(OR('03_payments_raw'!B23="",'03_payments_raw'!E23=""),"ERROR","OK")</f>
        <v>0</v>
      </c>
      <c r="E229" s="2">
        <f>IF(COUNTIF('01_orders_raw'!$A$2:$A$161,'03_payments_raw'!B23)=0,"ERROR","OK")</f>
        <v>0</v>
      </c>
      <c r="F229" s="2">
        <f>IFERROR(IF('03_payments_raw'!D23&gt;INDEX('01_orders_raw'!$I$2:$I$161,MATCH('03_payments_raw'!B23,'01_orders_raw'!$A$2:$A$161,0)),"ERROR","OK"),"ERROR")</f>
        <v>0</v>
      </c>
      <c r="G229" s="2">
        <f>"OK"</f>
        <v>0</v>
      </c>
      <c r="H229" s="2">
        <f>IFERROR(IF('03_payments_raw'!C23&lt;INDEX('01_orders_raw'!$B$2:$B$161,MATCH('03_payments_raw'!B23,'01_orders_raw'!$A$2:$A$161,0)),"ERROR","OK"),"ERROR")</f>
        <v>0</v>
      </c>
      <c r="I229" s="2">
        <f>IF(OR('03_payments_raw'!E23="Оплачено",'03_payments_raw'!E23="Частично оплачено",'03_payments_raw'!E23="Не оплачено"),"OK","ERROR")</f>
        <v>0</v>
      </c>
      <c r="J229" s="2">
        <f>COUNTIF(C229:I229,"ERROR")</f>
        <v>0</v>
      </c>
      <c r="K229" s="2">
        <f>IF(J229&gt;0,"Проверить оплату","")</f>
        <v>0</v>
      </c>
    </row>
    <row r="230" spans="1:11">
      <c r="A230" s="2">
        <f>"Payment"</f>
        <v>0</v>
      </c>
      <c r="B230" s="2">
        <f>'03_payments_raw'!A24</f>
        <v>0</v>
      </c>
      <c r="C230" s="2">
        <f>"OK"</f>
        <v>0</v>
      </c>
      <c r="D230" s="2">
        <f>IF(OR('03_payments_raw'!B24="",'03_payments_raw'!E24=""),"ERROR","OK")</f>
        <v>0</v>
      </c>
      <c r="E230" s="2">
        <f>IF(COUNTIF('01_orders_raw'!$A$2:$A$161,'03_payments_raw'!B24)=0,"ERROR","OK")</f>
        <v>0</v>
      </c>
      <c r="F230" s="2">
        <f>IFERROR(IF('03_payments_raw'!D24&gt;INDEX('01_orders_raw'!$I$2:$I$161,MATCH('03_payments_raw'!B24,'01_orders_raw'!$A$2:$A$161,0)),"ERROR","OK"),"ERROR")</f>
        <v>0</v>
      </c>
      <c r="G230" s="2">
        <f>"OK"</f>
        <v>0</v>
      </c>
      <c r="H230" s="2">
        <f>IFERROR(IF('03_payments_raw'!C24&lt;INDEX('01_orders_raw'!$B$2:$B$161,MATCH('03_payments_raw'!B24,'01_orders_raw'!$A$2:$A$161,0)),"ERROR","OK"),"ERROR")</f>
        <v>0</v>
      </c>
      <c r="I230" s="2">
        <f>IF(OR('03_payments_raw'!E24="Оплачено",'03_payments_raw'!E24="Частично оплачено",'03_payments_raw'!E24="Не оплачено"),"OK","ERROR")</f>
        <v>0</v>
      </c>
      <c r="J230" s="2">
        <f>COUNTIF(C230:I230,"ERROR")</f>
        <v>0</v>
      </c>
      <c r="K230" s="2">
        <f>IF(J230&gt;0,"Проверить оплату","")</f>
        <v>0</v>
      </c>
    </row>
    <row r="231" spans="1:11">
      <c r="A231" s="2">
        <f>"Payment"</f>
        <v>0</v>
      </c>
      <c r="B231" s="2">
        <f>'03_payments_raw'!A25</f>
        <v>0</v>
      </c>
      <c r="C231" s="2">
        <f>"OK"</f>
        <v>0</v>
      </c>
      <c r="D231" s="2">
        <f>IF(OR('03_payments_raw'!B25="",'03_payments_raw'!E25=""),"ERROR","OK")</f>
        <v>0</v>
      </c>
      <c r="E231" s="2">
        <f>IF(COUNTIF('01_orders_raw'!$A$2:$A$161,'03_payments_raw'!B25)=0,"ERROR","OK")</f>
        <v>0</v>
      </c>
      <c r="F231" s="2">
        <f>IFERROR(IF('03_payments_raw'!D25&gt;INDEX('01_orders_raw'!$I$2:$I$161,MATCH('03_payments_raw'!B25,'01_orders_raw'!$A$2:$A$161,0)),"ERROR","OK"),"ERROR")</f>
        <v>0</v>
      </c>
      <c r="G231" s="2">
        <f>"OK"</f>
        <v>0</v>
      </c>
      <c r="H231" s="2">
        <f>IFERROR(IF('03_payments_raw'!C25&lt;INDEX('01_orders_raw'!$B$2:$B$161,MATCH('03_payments_raw'!B25,'01_orders_raw'!$A$2:$A$161,0)),"ERROR","OK"),"ERROR")</f>
        <v>0</v>
      </c>
      <c r="I231" s="2">
        <f>IF(OR('03_payments_raw'!E25="Оплачено",'03_payments_raw'!E25="Частично оплачено",'03_payments_raw'!E25="Не оплачено"),"OK","ERROR")</f>
        <v>0</v>
      </c>
      <c r="J231" s="2">
        <f>COUNTIF(C231:I231,"ERROR")</f>
        <v>0</v>
      </c>
      <c r="K231" s="2">
        <f>IF(J231&gt;0,"Проверить оплату","")</f>
        <v>0</v>
      </c>
    </row>
    <row r="232" spans="1:11">
      <c r="A232" s="2">
        <f>"Payment"</f>
        <v>0</v>
      </c>
      <c r="B232" s="2">
        <f>'03_payments_raw'!A26</f>
        <v>0</v>
      </c>
      <c r="C232" s="2">
        <f>"OK"</f>
        <v>0</v>
      </c>
      <c r="D232" s="2">
        <f>IF(OR('03_payments_raw'!B26="",'03_payments_raw'!E26=""),"ERROR","OK")</f>
        <v>0</v>
      </c>
      <c r="E232" s="2">
        <f>IF(COUNTIF('01_orders_raw'!$A$2:$A$161,'03_payments_raw'!B26)=0,"ERROR","OK")</f>
        <v>0</v>
      </c>
      <c r="F232" s="2">
        <f>IFERROR(IF('03_payments_raw'!D26&gt;INDEX('01_orders_raw'!$I$2:$I$161,MATCH('03_payments_raw'!B26,'01_orders_raw'!$A$2:$A$161,0)),"ERROR","OK"),"ERROR")</f>
        <v>0</v>
      </c>
      <c r="G232" s="2">
        <f>"OK"</f>
        <v>0</v>
      </c>
      <c r="H232" s="2">
        <f>IFERROR(IF('03_payments_raw'!C26&lt;INDEX('01_orders_raw'!$B$2:$B$161,MATCH('03_payments_raw'!B26,'01_orders_raw'!$A$2:$A$161,0)),"ERROR","OK"),"ERROR")</f>
        <v>0</v>
      </c>
      <c r="I232" s="2">
        <f>IF(OR('03_payments_raw'!E26="Оплачено",'03_payments_raw'!E26="Частично оплачено",'03_payments_raw'!E26="Не оплачено"),"OK","ERROR")</f>
        <v>0</v>
      </c>
      <c r="J232" s="2">
        <f>COUNTIF(C232:I232,"ERROR")</f>
        <v>0</v>
      </c>
      <c r="K232" s="2">
        <f>IF(J232&gt;0,"Проверить оплату","")</f>
        <v>0</v>
      </c>
    </row>
    <row r="233" spans="1:11">
      <c r="A233" s="2">
        <f>"Payment"</f>
        <v>0</v>
      </c>
      <c r="B233" s="2">
        <f>'03_payments_raw'!A27</f>
        <v>0</v>
      </c>
      <c r="C233" s="2">
        <f>"OK"</f>
        <v>0</v>
      </c>
      <c r="D233" s="2">
        <f>IF(OR('03_payments_raw'!B27="",'03_payments_raw'!E27=""),"ERROR","OK")</f>
        <v>0</v>
      </c>
      <c r="E233" s="2">
        <f>IF(COUNTIF('01_orders_raw'!$A$2:$A$161,'03_payments_raw'!B27)=0,"ERROR","OK")</f>
        <v>0</v>
      </c>
      <c r="F233" s="2">
        <f>IFERROR(IF('03_payments_raw'!D27&gt;INDEX('01_orders_raw'!$I$2:$I$161,MATCH('03_payments_raw'!B27,'01_orders_raw'!$A$2:$A$161,0)),"ERROR","OK"),"ERROR")</f>
        <v>0</v>
      </c>
      <c r="G233" s="2">
        <f>"OK"</f>
        <v>0</v>
      </c>
      <c r="H233" s="2">
        <f>IFERROR(IF('03_payments_raw'!C27&lt;INDEX('01_orders_raw'!$B$2:$B$161,MATCH('03_payments_raw'!B27,'01_orders_raw'!$A$2:$A$161,0)),"ERROR","OK"),"ERROR")</f>
        <v>0</v>
      </c>
      <c r="I233" s="2">
        <f>IF(OR('03_payments_raw'!E27="Оплачено",'03_payments_raw'!E27="Частично оплачено",'03_payments_raw'!E27="Не оплачено"),"OK","ERROR")</f>
        <v>0</v>
      </c>
      <c r="J233" s="2">
        <f>COUNTIF(C233:I233,"ERROR")</f>
        <v>0</v>
      </c>
      <c r="K233" s="2">
        <f>IF(J233&gt;0,"Проверить оплату","")</f>
        <v>0</v>
      </c>
    </row>
    <row r="234" spans="1:11">
      <c r="A234" s="2">
        <f>"Payment"</f>
        <v>0</v>
      </c>
      <c r="B234" s="2">
        <f>'03_payments_raw'!A28</f>
        <v>0</v>
      </c>
      <c r="C234" s="2">
        <f>"OK"</f>
        <v>0</v>
      </c>
      <c r="D234" s="2">
        <f>IF(OR('03_payments_raw'!B28="",'03_payments_raw'!E28=""),"ERROR","OK")</f>
        <v>0</v>
      </c>
      <c r="E234" s="2">
        <f>IF(COUNTIF('01_orders_raw'!$A$2:$A$161,'03_payments_raw'!B28)=0,"ERROR","OK")</f>
        <v>0</v>
      </c>
      <c r="F234" s="2">
        <f>IFERROR(IF('03_payments_raw'!D28&gt;INDEX('01_orders_raw'!$I$2:$I$161,MATCH('03_payments_raw'!B28,'01_orders_raw'!$A$2:$A$161,0)),"ERROR","OK"),"ERROR")</f>
        <v>0</v>
      </c>
      <c r="G234" s="2">
        <f>"OK"</f>
        <v>0</v>
      </c>
      <c r="H234" s="2">
        <f>IFERROR(IF('03_payments_raw'!C28&lt;INDEX('01_orders_raw'!$B$2:$B$161,MATCH('03_payments_raw'!B28,'01_orders_raw'!$A$2:$A$161,0)),"ERROR","OK"),"ERROR")</f>
        <v>0</v>
      </c>
      <c r="I234" s="2">
        <f>IF(OR('03_payments_raw'!E28="Оплачено",'03_payments_raw'!E28="Частично оплачено",'03_payments_raw'!E28="Не оплачено"),"OK","ERROR")</f>
        <v>0</v>
      </c>
      <c r="J234" s="2">
        <f>COUNTIF(C234:I234,"ERROR")</f>
        <v>0</v>
      </c>
      <c r="K234" s="2">
        <f>IF(J234&gt;0,"Проверить оплату","")</f>
        <v>0</v>
      </c>
    </row>
    <row r="235" spans="1:11">
      <c r="A235" s="2">
        <f>"Payment"</f>
        <v>0</v>
      </c>
      <c r="B235" s="2">
        <f>'03_payments_raw'!A29</f>
        <v>0</v>
      </c>
      <c r="C235" s="2">
        <f>"OK"</f>
        <v>0</v>
      </c>
      <c r="D235" s="2">
        <f>IF(OR('03_payments_raw'!B29="",'03_payments_raw'!E29=""),"ERROR","OK")</f>
        <v>0</v>
      </c>
      <c r="E235" s="2">
        <f>IF(COUNTIF('01_orders_raw'!$A$2:$A$161,'03_payments_raw'!B29)=0,"ERROR","OK")</f>
        <v>0</v>
      </c>
      <c r="F235" s="2">
        <f>IFERROR(IF('03_payments_raw'!D29&gt;INDEX('01_orders_raw'!$I$2:$I$161,MATCH('03_payments_raw'!B29,'01_orders_raw'!$A$2:$A$161,0)),"ERROR","OK"),"ERROR")</f>
        <v>0</v>
      </c>
      <c r="G235" s="2">
        <f>"OK"</f>
        <v>0</v>
      </c>
      <c r="H235" s="2">
        <f>IFERROR(IF('03_payments_raw'!C29&lt;INDEX('01_orders_raw'!$B$2:$B$161,MATCH('03_payments_raw'!B29,'01_orders_raw'!$A$2:$A$161,0)),"ERROR","OK"),"ERROR")</f>
        <v>0</v>
      </c>
      <c r="I235" s="2">
        <f>IF(OR('03_payments_raw'!E29="Оплачено",'03_payments_raw'!E29="Частично оплачено",'03_payments_raw'!E29="Не оплачено"),"OK","ERROR")</f>
        <v>0</v>
      </c>
      <c r="J235" s="2">
        <f>COUNTIF(C235:I235,"ERROR")</f>
        <v>0</v>
      </c>
      <c r="K235" s="2">
        <f>IF(J235&gt;0,"Проверить оплату","")</f>
        <v>0</v>
      </c>
    </row>
    <row r="236" spans="1:11">
      <c r="A236" s="2">
        <f>"Payment"</f>
        <v>0</v>
      </c>
      <c r="B236" s="2">
        <f>'03_payments_raw'!A30</f>
        <v>0</v>
      </c>
      <c r="C236" s="2">
        <f>"OK"</f>
        <v>0</v>
      </c>
      <c r="D236" s="2">
        <f>IF(OR('03_payments_raw'!B30="",'03_payments_raw'!E30=""),"ERROR","OK")</f>
        <v>0</v>
      </c>
      <c r="E236" s="2">
        <f>IF(COUNTIF('01_orders_raw'!$A$2:$A$161,'03_payments_raw'!B30)=0,"ERROR","OK")</f>
        <v>0</v>
      </c>
      <c r="F236" s="2">
        <f>IFERROR(IF('03_payments_raw'!D30&gt;INDEX('01_orders_raw'!$I$2:$I$161,MATCH('03_payments_raw'!B30,'01_orders_raw'!$A$2:$A$161,0)),"ERROR","OK"),"ERROR")</f>
        <v>0</v>
      </c>
      <c r="G236" s="2">
        <f>"OK"</f>
        <v>0</v>
      </c>
      <c r="H236" s="2">
        <f>IFERROR(IF('03_payments_raw'!C30&lt;INDEX('01_orders_raw'!$B$2:$B$161,MATCH('03_payments_raw'!B30,'01_orders_raw'!$A$2:$A$161,0)),"ERROR","OK"),"ERROR")</f>
        <v>0</v>
      </c>
      <c r="I236" s="2">
        <f>IF(OR('03_payments_raw'!E30="Оплачено",'03_payments_raw'!E30="Частично оплачено",'03_payments_raw'!E30="Не оплачено"),"OK","ERROR")</f>
        <v>0</v>
      </c>
      <c r="J236" s="2">
        <f>COUNTIF(C236:I236,"ERROR")</f>
        <v>0</v>
      </c>
      <c r="K236" s="2">
        <f>IF(J236&gt;0,"Проверить оплату","")</f>
        <v>0</v>
      </c>
    </row>
    <row r="237" spans="1:11">
      <c r="A237" s="2">
        <f>"Payment"</f>
        <v>0</v>
      </c>
      <c r="B237" s="2">
        <f>'03_payments_raw'!A31</f>
        <v>0</v>
      </c>
      <c r="C237" s="2">
        <f>"OK"</f>
        <v>0</v>
      </c>
      <c r="D237" s="2">
        <f>IF(OR('03_payments_raw'!B31="",'03_payments_raw'!E31=""),"ERROR","OK")</f>
        <v>0</v>
      </c>
      <c r="E237" s="2">
        <f>IF(COUNTIF('01_orders_raw'!$A$2:$A$161,'03_payments_raw'!B31)=0,"ERROR","OK")</f>
        <v>0</v>
      </c>
      <c r="F237" s="2">
        <f>IFERROR(IF('03_payments_raw'!D31&gt;INDEX('01_orders_raw'!$I$2:$I$161,MATCH('03_payments_raw'!B31,'01_orders_raw'!$A$2:$A$161,0)),"ERROR","OK"),"ERROR")</f>
        <v>0</v>
      </c>
      <c r="G237" s="2">
        <f>"OK"</f>
        <v>0</v>
      </c>
      <c r="H237" s="2">
        <f>IFERROR(IF('03_payments_raw'!C31&lt;INDEX('01_orders_raw'!$B$2:$B$161,MATCH('03_payments_raw'!B31,'01_orders_raw'!$A$2:$A$161,0)),"ERROR","OK"),"ERROR")</f>
        <v>0</v>
      </c>
      <c r="I237" s="2">
        <f>IF(OR('03_payments_raw'!E31="Оплачено",'03_payments_raw'!E31="Частично оплачено",'03_payments_raw'!E31="Не оплачено"),"OK","ERROR")</f>
        <v>0</v>
      </c>
      <c r="J237" s="2">
        <f>COUNTIF(C237:I237,"ERROR")</f>
        <v>0</v>
      </c>
      <c r="K237" s="2">
        <f>IF(J237&gt;0,"Проверить оплату","")</f>
        <v>0</v>
      </c>
    </row>
    <row r="238" spans="1:11">
      <c r="A238" s="2">
        <f>"Payment"</f>
        <v>0</v>
      </c>
      <c r="B238" s="2">
        <f>'03_payments_raw'!A32</f>
        <v>0</v>
      </c>
      <c r="C238" s="2">
        <f>"OK"</f>
        <v>0</v>
      </c>
      <c r="D238" s="2">
        <f>IF(OR('03_payments_raw'!B32="",'03_payments_raw'!E32=""),"ERROR","OK")</f>
        <v>0</v>
      </c>
      <c r="E238" s="2">
        <f>IF(COUNTIF('01_orders_raw'!$A$2:$A$161,'03_payments_raw'!B32)=0,"ERROR","OK")</f>
        <v>0</v>
      </c>
      <c r="F238" s="2">
        <f>IFERROR(IF('03_payments_raw'!D32&gt;INDEX('01_orders_raw'!$I$2:$I$161,MATCH('03_payments_raw'!B32,'01_orders_raw'!$A$2:$A$161,0)),"ERROR","OK"),"ERROR")</f>
        <v>0</v>
      </c>
      <c r="G238" s="2">
        <f>"OK"</f>
        <v>0</v>
      </c>
      <c r="H238" s="2">
        <f>IFERROR(IF('03_payments_raw'!C32&lt;INDEX('01_orders_raw'!$B$2:$B$161,MATCH('03_payments_raw'!B32,'01_orders_raw'!$A$2:$A$161,0)),"ERROR","OK"),"ERROR")</f>
        <v>0</v>
      </c>
      <c r="I238" s="2">
        <f>IF(OR('03_payments_raw'!E32="Оплачено",'03_payments_raw'!E32="Частично оплачено",'03_payments_raw'!E32="Не оплачено"),"OK","ERROR")</f>
        <v>0</v>
      </c>
      <c r="J238" s="2">
        <f>COUNTIF(C238:I238,"ERROR")</f>
        <v>0</v>
      </c>
      <c r="K238" s="2">
        <f>IF(J238&gt;0,"Проверить оплату","")</f>
        <v>0</v>
      </c>
    </row>
    <row r="239" spans="1:11">
      <c r="A239" s="2">
        <f>"Payment"</f>
        <v>0</v>
      </c>
      <c r="B239" s="2">
        <f>'03_payments_raw'!A33</f>
        <v>0</v>
      </c>
      <c r="C239" s="2">
        <f>"OK"</f>
        <v>0</v>
      </c>
      <c r="D239" s="2">
        <f>IF(OR('03_payments_raw'!B33="",'03_payments_raw'!E33=""),"ERROR","OK")</f>
        <v>0</v>
      </c>
      <c r="E239" s="2">
        <f>IF(COUNTIF('01_orders_raw'!$A$2:$A$161,'03_payments_raw'!B33)=0,"ERROR","OK")</f>
        <v>0</v>
      </c>
      <c r="F239" s="2">
        <f>IFERROR(IF('03_payments_raw'!D33&gt;INDEX('01_orders_raw'!$I$2:$I$161,MATCH('03_payments_raw'!B33,'01_orders_raw'!$A$2:$A$161,0)),"ERROR","OK"),"ERROR")</f>
        <v>0</v>
      </c>
      <c r="G239" s="2">
        <f>"OK"</f>
        <v>0</v>
      </c>
      <c r="H239" s="2">
        <f>IFERROR(IF('03_payments_raw'!C33&lt;INDEX('01_orders_raw'!$B$2:$B$161,MATCH('03_payments_raw'!B33,'01_orders_raw'!$A$2:$A$161,0)),"ERROR","OK"),"ERROR")</f>
        <v>0</v>
      </c>
      <c r="I239" s="2">
        <f>IF(OR('03_payments_raw'!E33="Оплачено",'03_payments_raw'!E33="Частично оплачено",'03_payments_raw'!E33="Не оплачено"),"OK","ERROR")</f>
        <v>0</v>
      </c>
      <c r="J239" s="2">
        <f>COUNTIF(C239:I239,"ERROR")</f>
        <v>0</v>
      </c>
      <c r="K239" s="2">
        <f>IF(J239&gt;0,"Проверить оплату","")</f>
        <v>0</v>
      </c>
    </row>
    <row r="240" spans="1:11">
      <c r="A240" s="2">
        <f>"Payment"</f>
        <v>0</v>
      </c>
      <c r="B240" s="2">
        <f>'03_payments_raw'!A34</f>
        <v>0</v>
      </c>
      <c r="C240" s="2">
        <f>"OK"</f>
        <v>0</v>
      </c>
      <c r="D240" s="2">
        <f>IF(OR('03_payments_raw'!B34="",'03_payments_raw'!E34=""),"ERROR","OK")</f>
        <v>0</v>
      </c>
      <c r="E240" s="2">
        <f>IF(COUNTIF('01_orders_raw'!$A$2:$A$161,'03_payments_raw'!B34)=0,"ERROR","OK")</f>
        <v>0</v>
      </c>
      <c r="F240" s="2">
        <f>IFERROR(IF('03_payments_raw'!D34&gt;INDEX('01_orders_raw'!$I$2:$I$161,MATCH('03_payments_raw'!B34,'01_orders_raw'!$A$2:$A$161,0)),"ERROR","OK"),"ERROR")</f>
        <v>0</v>
      </c>
      <c r="G240" s="2">
        <f>"OK"</f>
        <v>0</v>
      </c>
      <c r="H240" s="2">
        <f>IFERROR(IF('03_payments_raw'!C34&lt;INDEX('01_orders_raw'!$B$2:$B$161,MATCH('03_payments_raw'!B34,'01_orders_raw'!$A$2:$A$161,0)),"ERROR","OK"),"ERROR")</f>
        <v>0</v>
      </c>
      <c r="I240" s="2">
        <f>IF(OR('03_payments_raw'!E34="Оплачено",'03_payments_raw'!E34="Частично оплачено",'03_payments_raw'!E34="Не оплачено"),"OK","ERROR")</f>
        <v>0</v>
      </c>
      <c r="J240" s="2">
        <f>COUNTIF(C240:I240,"ERROR")</f>
        <v>0</v>
      </c>
      <c r="K240" s="2">
        <f>IF(J240&gt;0,"Проверить оплату","")</f>
        <v>0</v>
      </c>
    </row>
    <row r="241" spans="1:11">
      <c r="A241" s="2">
        <f>"Payment"</f>
        <v>0</v>
      </c>
      <c r="B241" s="2">
        <f>'03_payments_raw'!A35</f>
        <v>0</v>
      </c>
      <c r="C241" s="2">
        <f>"OK"</f>
        <v>0</v>
      </c>
      <c r="D241" s="2">
        <f>IF(OR('03_payments_raw'!B35="",'03_payments_raw'!E35=""),"ERROR","OK")</f>
        <v>0</v>
      </c>
      <c r="E241" s="2">
        <f>IF(COUNTIF('01_orders_raw'!$A$2:$A$161,'03_payments_raw'!B35)=0,"ERROR","OK")</f>
        <v>0</v>
      </c>
      <c r="F241" s="2">
        <f>IFERROR(IF('03_payments_raw'!D35&gt;INDEX('01_orders_raw'!$I$2:$I$161,MATCH('03_payments_raw'!B35,'01_orders_raw'!$A$2:$A$161,0)),"ERROR","OK"),"ERROR")</f>
        <v>0</v>
      </c>
      <c r="G241" s="2">
        <f>"OK"</f>
        <v>0</v>
      </c>
      <c r="H241" s="2">
        <f>IFERROR(IF('03_payments_raw'!C35&lt;INDEX('01_orders_raw'!$B$2:$B$161,MATCH('03_payments_raw'!B35,'01_orders_raw'!$A$2:$A$161,0)),"ERROR","OK"),"ERROR")</f>
        <v>0</v>
      </c>
      <c r="I241" s="2">
        <f>IF(OR('03_payments_raw'!E35="Оплачено",'03_payments_raw'!E35="Частично оплачено",'03_payments_raw'!E35="Не оплачено"),"OK","ERROR")</f>
        <v>0</v>
      </c>
      <c r="J241" s="2">
        <f>COUNTIF(C241:I241,"ERROR")</f>
        <v>0</v>
      </c>
      <c r="K241" s="2">
        <f>IF(J241&gt;0,"Проверить оплату","")</f>
        <v>0</v>
      </c>
    </row>
    <row r="242" spans="1:11">
      <c r="A242" s="2">
        <f>"Payment"</f>
        <v>0</v>
      </c>
      <c r="B242" s="2">
        <f>'03_payments_raw'!A36</f>
        <v>0</v>
      </c>
      <c r="C242" s="2">
        <f>"OK"</f>
        <v>0</v>
      </c>
      <c r="D242" s="2">
        <f>IF(OR('03_payments_raw'!B36="",'03_payments_raw'!E36=""),"ERROR","OK")</f>
        <v>0</v>
      </c>
      <c r="E242" s="2">
        <f>IF(COUNTIF('01_orders_raw'!$A$2:$A$161,'03_payments_raw'!B36)=0,"ERROR","OK")</f>
        <v>0</v>
      </c>
      <c r="F242" s="2">
        <f>IFERROR(IF('03_payments_raw'!D36&gt;INDEX('01_orders_raw'!$I$2:$I$161,MATCH('03_payments_raw'!B36,'01_orders_raw'!$A$2:$A$161,0)),"ERROR","OK"),"ERROR")</f>
        <v>0</v>
      </c>
      <c r="G242" s="2">
        <f>"OK"</f>
        <v>0</v>
      </c>
      <c r="H242" s="2">
        <f>IFERROR(IF('03_payments_raw'!C36&lt;INDEX('01_orders_raw'!$B$2:$B$161,MATCH('03_payments_raw'!B36,'01_orders_raw'!$A$2:$A$161,0)),"ERROR","OK"),"ERROR")</f>
        <v>0</v>
      </c>
      <c r="I242" s="2">
        <f>IF(OR('03_payments_raw'!E36="Оплачено",'03_payments_raw'!E36="Частично оплачено",'03_payments_raw'!E36="Не оплачено"),"OK","ERROR")</f>
        <v>0</v>
      </c>
      <c r="J242" s="2">
        <f>COUNTIF(C242:I242,"ERROR")</f>
        <v>0</v>
      </c>
      <c r="K242" s="2">
        <f>IF(J242&gt;0,"Проверить оплату","")</f>
        <v>0</v>
      </c>
    </row>
    <row r="243" spans="1:11">
      <c r="A243" s="2">
        <f>"Payment"</f>
        <v>0</v>
      </c>
      <c r="B243" s="2">
        <f>'03_payments_raw'!A37</f>
        <v>0</v>
      </c>
      <c r="C243" s="2">
        <f>"OK"</f>
        <v>0</v>
      </c>
      <c r="D243" s="2">
        <f>IF(OR('03_payments_raw'!B37="",'03_payments_raw'!E37=""),"ERROR","OK")</f>
        <v>0</v>
      </c>
      <c r="E243" s="2">
        <f>IF(COUNTIF('01_orders_raw'!$A$2:$A$161,'03_payments_raw'!B37)=0,"ERROR","OK")</f>
        <v>0</v>
      </c>
      <c r="F243" s="2">
        <f>IFERROR(IF('03_payments_raw'!D37&gt;INDEX('01_orders_raw'!$I$2:$I$161,MATCH('03_payments_raw'!B37,'01_orders_raw'!$A$2:$A$161,0)),"ERROR","OK"),"ERROR")</f>
        <v>0</v>
      </c>
      <c r="G243" s="2">
        <f>"OK"</f>
        <v>0</v>
      </c>
      <c r="H243" s="2">
        <f>IFERROR(IF('03_payments_raw'!C37&lt;INDEX('01_orders_raw'!$B$2:$B$161,MATCH('03_payments_raw'!B37,'01_orders_raw'!$A$2:$A$161,0)),"ERROR","OK"),"ERROR")</f>
        <v>0</v>
      </c>
      <c r="I243" s="2">
        <f>IF(OR('03_payments_raw'!E37="Оплачено",'03_payments_raw'!E37="Частично оплачено",'03_payments_raw'!E37="Не оплачено"),"OK","ERROR")</f>
        <v>0</v>
      </c>
      <c r="J243" s="2">
        <f>COUNTIF(C243:I243,"ERROR")</f>
        <v>0</v>
      </c>
      <c r="K243" s="2">
        <f>IF(J243&gt;0,"Проверить оплату","")</f>
        <v>0</v>
      </c>
    </row>
    <row r="244" spans="1:11">
      <c r="A244" s="2">
        <f>"Payment"</f>
        <v>0</v>
      </c>
      <c r="B244" s="2">
        <f>'03_payments_raw'!A38</f>
        <v>0</v>
      </c>
      <c r="C244" s="2">
        <f>"OK"</f>
        <v>0</v>
      </c>
      <c r="D244" s="2">
        <f>IF(OR('03_payments_raw'!B38="",'03_payments_raw'!E38=""),"ERROR","OK")</f>
        <v>0</v>
      </c>
      <c r="E244" s="2">
        <f>IF(COUNTIF('01_orders_raw'!$A$2:$A$161,'03_payments_raw'!B38)=0,"ERROR","OK")</f>
        <v>0</v>
      </c>
      <c r="F244" s="2">
        <f>IFERROR(IF('03_payments_raw'!D38&gt;INDEX('01_orders_raw'!$I$2:$I$161,MATCH('03_payments_raw'!B38,'01_orders_raw'!$A$2:$A$161,0)),"ERROR","OK"),"ERROR")</f>
        <v>0</v>
      </c>
      <c r="G244" s="2">
        <f>"OK"</f>
        <v>0</v>
      </c>
      <c r="H244" s="2">
        <f>IFERROR(IF('03_payments_raw'!C38&lt;INDEX('01_orders_raw'!$B$2:$B$161,MATCH('03_payments_raw'!B38,'01_orders_raw'!$A$2:$A$161,0)),"ERROR","OK"),"ERROR")</f>
        <v>0</v>
      </c>
      <c r="I244" s="2">
        <f>IF(OR('03_payments_raw'!E38="Оплачено",'03_payments_raw'!E38="Частично оплачено",'03_payments_raw'!E38="Не оплачено"),"OK","ERROR")</f>
        <v>0</v>
      </c>
      <c r="J244" s="2">
        <f>COUNTIF(C244:I244,"ERROR")</f>
        <v>0</v>
      </c>
      <c r="K244" s="2">
        <f>IF(J244&gt;0,"Проверить оплату","")</f>
        <v>0</v>
      </c>
    </row>
    <row r="245" spans="1:11">
      <c r="A245" s="2">
        <f>"Payment"</f>
        <v>0</v>
      </c>
      <c r="B245" s="2">
        <f>'03_payments_raw'!A39</f>
        <v>0</v>
      </c>
      <c r="C245" s="2">
        <f>"OK"</f>
        <v>0</v>
      </c>
      <c r="D245" s="2">
        <f>IF(OR('03_payments_raw'!B39="",'03_payments_raw'!E39=""),"ERROR","OK")</f>
        <v>0</v>
      </c>
      <c r="E245" s="2">
        <f>IF(COUNTIF('01_orders_raw'!$A$2:$A$161,'03_payments_raw'!B39)=0,"ERROR","OK")</f>
        <v>0</v>
      </c>
      <c r="F245" s="2">
        <f>IFERROR(IF('03_payments_raw'!D39&gt;INDEX('01_orders_raw'!$I$2:$I$161,MATCH('03_payments_raw'!B39,'01_orders_raw'!$A$2:$A$161,0)),"ERROR","OK"),"ERROR")</f>
        <v>0</v>
      </c>
      <c r="G245" s="2">
        <f>"OK"</f>
        <v>0</v>
      </c>
      <c r="H245" s="2">
        <f>IFERROR(IF('03_payments_raw'!C39&lt;INDEX('01_orders_raw'!$B$2:$B$161,MATCH('03_payments_raw'!B39,'01_orders_raw'!$A$2:$A$161,0)),"ERROR","OK"),"ERROR")</f>
        <v>0</v>
      </c>
      <c r="I245" s="2">
        <f>IF(OR('03_payments_raw'!E39="Оплачено",'03_payments_raw'!E39="Частично оплачено",'03_payments_raw'!E39="Не оплачено"),"OK","ERROR")</f>
        <v>0</v>
      </c>
      <c r="J245" s="2">
        <f>COUNTIF(C245:I245,"ERROR")</f>
        <v>0</v>
      </c>
      <c r="K245" s="2">
        <f>IF(J245&gt;0,"Проверить оплату","")</f>
        <v>0</v>
      </c>
    </row>
    <row r="246" spans="1:11">
      <c r="A246" s="2">
        <f>"Payment"</f>
        <v>0</v>
      </c>
      <c r="B246" s="2">
        <f>'03_payments_raw'!A40</f>
        <v>0</v>
      </c>
      <c r="C246" s="2">
        <f>"OK"</f>
        <v>0</v>
      </c>
      <c r="D246" s="2">
        <f>IF(OR('03_payments_raw'!B40="",'03_payments_raw'!E40=""),"ERROR","OK")</f>
        <v>0</v>
      </c>
      <c r="E246" s="2">
        <f>IF(COUNTIF('01_orders_raw'!$A$2:$A$161,'03_payments_raw'!B40)=0,"ERROR","OK")</f>
        <v>0</v>
      </c>
      <c r="F246" s="2">
        <f>IFERROR(IF('03_payments_raw'!D40&gt;INDEX('01_orders_raw'!$I$2:$I$161,MATCH('03_payments_raw'!B40,'01_orders_raw'!$A$2:$A$161,0)),"ERROR","OK"),"ERROR")</f>
        <v>0</v>
      </c>
      <c r="G246" s="2">
        <f>"OK"</f>
        <v>0</v>
      </c>
      <c r="H246" s="2">
        <f>IFERROR(IF('03_payments_raw'!C40&lt;INDEX('01_orders_raw'!$B$2:$B$161,MATCH('03_payments_raw'!B40,'01_orders_raw'!$A$2:$A$161,0)),"ERROR","OK"),"ERROR")</f>
        <v>0</v>
      </c>
      <c r="I246" s="2">
        <f>IF(OR('03_payments_raw'!E40="Оплачено",'03_payments_raw'!E40="Частично оплачено",'03_payments_raw'!E40="Не оплачено"),"OK","ERROR")</f>
        <v>0</v>
      </c>
      <c r="J246" s="2">
        <f>COUNTIF(C246:I246,"ERROR")</f>
        <v>0</v>
      </c>
      <c r="K246" s="2">
        <f>IF(J246&gt;0,"Проверить оплату","")</f>
        <v>0</v>
      </c>
    </row>
    <row r="247" spans="1:11">
      <c r="A247" s="2">
        <f>"Payment"</f>
        <v>0</v>
      </c>
      <c r="B247" s="2">
        <f>'03_payments_raw'!A41</f>
        <v>0</v>
      </c>
      <c r="C247" s="2">
        <f>"OK"</f>
        <v>0</v>
      </c>
      <c r="D247" s="2">
        <f>IF(OR('03_payments_raw'!B41="",'03_payments_raw'!E41=""),"ERROR","OK")</f>
        <v>0</v>
      </c>
      <c r="E247" s="2">
        <f>IF(COUNTIF('01_orders_raw'!$A$2:$A$161,'03_payments_raw'!B41)=0,"ERROR","OK")</f>
        <v>0</v>
      </c>
      <c r="F247" s="2">
        <f>IFERROR(IF('03_payments_raw'!D41&gt;INDEX('01_orders_raw'!$I$2:$I$161,MATCH('03_payments_raw'!B41,'01_orders_raw'!$A$2:$A$161,0)),"ERROR","OK"),"ERROR")</f>
        <v>0</v>
      </c>
      <c r="G247" s="2">
        <f>"OK"</f>
        <v>0</v>
      </c>
      <c r="H247" s="2">
        <f>IFERROR(IF('03_payments_raw'!C41&lt;INDEX('01_orders_raw'!$B$2:$B$161,MATCH('03_payments_raw'!B41,'01_orders_raw'!$A$2:$A$161,0)),"ERROR","OK"),"ERROR")</f>
        <v>0</v>
      </c>
      <c r="I247" s="2">
        <f>IF(OR('03_payments_raw'!E41="Оплачено",'03_payments_raw'!E41="Частично оплачено",'03_payments_raw'!E41="Не оплачено"),"OK","ERROR")</f>
        <v>0</v>
      </c>
      <c r="J247" s="2">
        <f>COUNTIF(C247:I247,"ERROR")</f>
        <v>0</v>
      </c>
      <c r="K247" s="2">
        <f>IF(J247&gt;0,"Проверить оплату","")</f>
        <v>0</v>
      </c>
    </row>
    <row r="248" spans="1:11">
      <c r="A248" s="2">
        <f>"Payment"</f>
        <v>0</v>
      </c>
      <c r="B248" s="2">
        <f>'03_payments_raw'!A42</f>
        <v>0</v>
      </c>
      <c r="C248" s="2">
        <f>"OK"</f>
        <v>0</v>
      </c>
      <c r="D248" s="2">
        <f>IF(OR('03_payments_raw'!B42="",'03_payments_raw'!E42=""),"ERROR","OK")</f>
        <v>0</v>
      </c>
      <c r="E248" s="2">
        <f>IF(COUNTIF('01_orders_raw'!$A$2:$A$161,'03_payments_raw'!B42)=0,"ERROR","OK")</f>
        <v>0</v>
      </c>
      <c r="F248" s="2">
        <f>IFERROR(IF('03_payments_raw'!D42&gt;INDEX('01_orders_raw'!$I$2:$I$161,MATCH('03_payments_raw'!B42,'01_orders_raw'!$A$2:$A$161,0)),"ERROR","OK"),"ERROR")</f>
        <v>0</v>
      </c>
      <c r="G248" s="2">
        <f>"OK"</f>
        <v>0</v>
      </c>
      <c r="H248" s="2">
        <f>IFERROR(IF('03_payments_raw'!C42&lt;INDEX('01_orders_raw'!$B$2:$B$161,MATCH('03_payments_raw'!B42,'01_orders_raw'!$A$2:$A$161,0)),"ERROR","OK"),"ERROR")</f>
        <v>0</v>
      </c>
      <c r="I248" s="2">
        <f>IF(OR('03_payments_raw'!E42="Оплачено",'03_payments_raw'!E42="Частично оплачено",'03_payments_raw'!E42="Не оплачено"),"OK","ERROR")</f>
        <v>0</v>
      </c>
      <c r="J248" s="2">
        <f>COUNTIF(C248:I248,"ERROR")</f>
        <v>0</v>
      </c>
      <c r="K248" s="2">
        <f>IF(J248&gt;0,"Проверить оплату","")</f>
        <v>0</v>
      </c>
    </row>
    <row r="249" spans="1:11">
      <c r="A249" s="2">
        <f>"Payment"</f>
        <v>0</v>
      </c>
      <c r="B249" s="2">
        <f>'03_payments_raw'!A43</f>
        <v>0</v>
      </c>
      <c r="C249" s="2">
        <f>"OK"</f>
        <v>0</v>
      </c>
      <c r="D249" s="2">
        <f>IF(OR('03_payments_raw'!B43="",'03_payments_raw'!E43=""),"ERROR","OK")</f>
        <v>0</v>
      </c>
      <c r="E249" s="2">
        <f>IF(COUNTIF('01_orders_raw'!$A$2:$A$161,'03_payments_raw'!B43)=0,"ERROR","OK")</f>
        <v>0</v>
      </c>
      <c r="F249" s="2">
        <f>IFERROR(IF('03_payments_raw'!D43&gt;INDEX('01_orders_raw'!$I$2:$I$161,MATCH('03_payments_raw'!B43,'01_orders_raw'!$A$2:$A$161,0)),"ERROR","OK"),"ERROR")</f>
        <v>0</v>
      </c>
      <c r="G249" s="2">
        <f>"OK"</f>
        <v>0</v>
      </c>
      <c r="H249" s="2">
        <f>IFERROR(IF('03_payments_raw'!C43&lt;INDEX('01_orders_raw'!$B$2:$B$161,MATCH('03_payments_raw'!B43,'01_orders_raw'!$A$2:$A$161,0)),"ERROR","OK"),"ERROR")</f>
        <v>0</v>
      </c>
      <c r="I249" s="2">
        <f>IF(OR('03_payments_raw'!E43="Оплачено",'03_payments_raw'!E43="Частично оплачено",'03_payments_raw'!E43="Не оплачено"),"OK","ERROR")</f>
        <v>0</v>
      </c>
      <c r="J249" s="2">
        <f>COUNTIF(C249:I249,"ERROR")</f>
        <v>0</v>
      </c>
      <c r="K249" s="2">
        <f>IF(J249&gt;0,"Проверить оплату","")</f>
        <v>0</v>
      </c>
    </row>
    <row r="250" spans="1:11">
      <c r="A250" s="2">
        <f>"Payment"</f>
        <v>0</v>
      </c>
      <c r="B250" s="2">
        <f>'03_payments_raw'!A44</f>
        <v>0</v>
      </c>
      <c r="C250" s="2">
        <f>"OK"</f>
        <v>0</v>
      </c>
      <c r="D250" s="2">
        <f>IF(OR('03_payments_raw'!B44="",'03_payments_raw'!E44=""),"ERROR","OK")</f>
        <v>0</v>
      </c>
      <c r="E250" s="2">
        <f>IF(COUNTIF('01_orders_raw'!$A$2:$A$161,'03_payments_raw'!B44)=0,"ERROR","OK")</f>
        <v>0</v>
      </c>
      <c r="F250" s="2">
        <f>IFERROR(IF('03_payments_raw'!D44&gt;INDEX('01_orders_raw'!$I$2:$I$161,MATCH('03_payments_raw'!B44,'01_orders_raw'!$A$2:$A$161,0)),"ERROR","OK"),"ERROR")</f>
        <v>0</v>
      </c>
      <c r="G250" s="2">
        <f>"OK"</f>
        <v>0</v>
      </c>
      <c r="H250" s="2">
        <f>IFERROR(IF('03_payments_raw'!C44&lt;INDEX('01_orders_raw'!$B$2:$B$161,MATCH('03_payments_raw'!B44,'01_orders_raw'!$A$2:$A$161,0)),"ERROR","OK"),"ERROR")</f>
        <v>0</v>
      </c>
      <c r="I250" s="2">
        <f>IF(OR('03_payments_raw'!E44="Оплачено",'03_payments_raw'!E44="Частично оплачено",'03_payments_raw'!E44="Не оплачено"),"OK","ERROR")</f>
        <v>0</v>
      </c>
      <c r="J250" s="2">
        <f>COUNTIF(C250:I250,"ERROR")</f>
        <v>0</v>
      </c>
      <c r="K250" s="2">
        <f>IF(J250&gt;0,"Проверить оплату","")</f>
        <v>0</v>
      </c>
    </row>
    <row r="251" spans="1:11">
      <c r="A251" s="2">
        <f>"Payment"</f>
        <v>0</v>
      </c>
      <c r="B251" s="2">
        <f>'03_payments_raw'!A45</f>
        <v>0</v>
      </c>
      <c r="C251" s="2">
        <f>"OK"</f>
        <v>0</v>
      </c>
      <c r="D251" s="2">
        <f>IF(OR('03_payments_raw'!B45="",'03_payments_raw'!E45=""),"ERROR","OK")</f>
        <v>0</v>
      </c>
      <c r="E251" s="2">
        <f>IF(COUNTIF('01_orders_raw'!$A$2:$A$161,'03_payments_raw'!B45)=0,"ERROR","OK")</f>
        <v>0</v>
      </c>
      <c r="F251" s="2">
        <f>IFERROR(IF('03_payments_raw'!D45&gt;INDEX('01_orders_raw'!$I$2:$I$161,MATCH('03_payments_raw'!B45,'01_orders_raw'!$A$2:$A$161,0)),"ERROR","OK"),"ERROR")</f>
        <v>0</v>
      </c>
      <c r="G251" s="2">
        <f>"OK"</f>
        <v>0</v>
      </c>
      <c r="H251" s="2">
        <f>IFERROR(IF('03_payments_raw'!C45&lt;INDEX('01_orders_raw'!$B$2:$B$161,MATCH('03_payments_raw'!B45,'01_orders_raw'!$A$2:$A$161,0)),"ERROR","OK"),"ERROR")</f>
        <v>0</v>
      </c>
      <c r="I251" s="2">
        <f>IF(OR('03_payments_raw'!E45="Оплачено",'03_payments_raw'!E45="Частично оплачено",'03_payments_raw'!E45="Не оплачено"),"OK","ERROR")</f>
        <v>0</v>
      </c>
      <c r="J251" s="2">
        <f>COUNTIF(C251:I251,"ERROR")</f>
        <v>0</v>
      </c>
      <c r="K251" s="2">
        <f>IF(J251&gt;0,"Проверить оплату","")</f>
        <v>0</v>
      </c>
    </row>
    <row r="252" spans="1:11">
      <c r="A252" s="2">
        <f>"Payment"</f>
        <v>0</v>
      </c>
      <c r="B252" s="2">
        <f>'03_payments_raw'!A46</f>
        <v>0</v>
      </c>
      <c r="C252" s="2">
        <f>"OK"</f>
        <v>0</v>
      </c>
      <c r="D252" s="2">
        <f>IF(OR('03_payments_raw'!B46="",'03_payments_raw'!E46=""),"ERROR","OK")</f>
        <v>0</v>
      </c>
      <c r="E252" s="2">
        <f>IF(COUNTIF('01_orders_raw'!$A$2:$A$161,'03_payments_raw'!B46)=0,"ERROR","OK")</f>
        <v>0</v>
      </c>
      <c r="F252" s="2">
        <f>IFERROR(IF('03_payments_raw'!D46&gt;INDEX('01_orders_raw'!$I$2:$I$161,MATCH('03_payments_raw'!B46,'01_orders_raw'!$A$2:$A$161,0)),"ERROR","OK"),"ERROR")</f>
        <v>0</v>
      </c>
      <c r="G252" s="2">
        <f>"OK"</f>
        <v>0</v>
      </c>
      <c r="H252" s="2">
        <f>IFERROR(IF('03_payments_raw'!C46&lt;INDEX('01_orders_raw'!$B$2:$B$161,MATCH('03_payments_raw'!B46,'01_orders_raw'!$A$2:$A$161,0)),"ERROR","OK"),"ERROR")</f>
        <v>0</v>
      </c>
      <c r="I252" s="2">
        <f>IF(OR('03_payments_raw'!E46="Оплачено",'03_payments_raw'!E46="Частично оплачено",'03_payments_raw'!E46="Не оплачено"),"OK","ERROR")</f>
        <v>0</v>
      </c>
      <c r="J252" s="2">
        <f>COUNTIF(C252:I252,"ERROR")</f>
        <v>0</v>
      </c>
      <c r="K252" s="2">
        <f>IF(J252&gt;0,"Проверить оплату","")</f>
        <v>0</v>
      </c>
    </row>
    <row r="253" spans="1:11">
      <c r="A253" s="2">
        <f>"Payment"</f>
        <v>0</v>
      </c>
      <c r="B253" s="2">
        <f>'03_payments_raw'!A47</f>
        <v>0</v>
      </c>
      <c r="C253" s="2">
        <f>"OK"</f>
        <v>0</v>
      </c>
      <c r="D253" s="2">
        <f>IF(OR('03_payments_raw'!B47="",'03_payments_raw'!E47=""),"ERROR","OK")</f>
        <v>0</v>
      </c>
      <c r="E253" s="2">
        <f>IF(COUNTIF('01_orders_raw'!$A$2:$A$161,'03_payments_raw'!B47)=0,"ERROR","OK")</f>
        <v>0</v>
      </c>
      <c r="F253" s="2">
        <f>IFERROR(IF('03_payments_raw'!D47&gt;INDEX('01_orders_raw'!$I$2:$I$161,MATCH('03_payments_raw'!B47,'01_orders_raw'!$A$2:$A$161,0)),"ERROR","OK"),"ERROR")</f>
        <v>0</v>
      </c>
      <c r="G253" s="2">
        <f>"OK"</f>
        <v>0</v>
      </c>
      <c r="H253" s="2">
        <f>IFERROR(IF('03_payments_raw'!C47&lt;INDEX('01_orders_raw'!$B$2:$B$161,MATCH('03_payments_raw'!B47,'01_orders_raw'!$A$2:$A$161,0)),"ERROR","OK"),"ERROR")</f>
        <v>0</v>
      </c>
      <c r="I253" s="2">
        <f>IF(OR('03_payments_raw'!E47="Оплачено",'03_payments_raw'!E47="Частично оплачено",'03_payments_raw'!E47="Не оплачено"),"OK","ERROR")</f>
        <v>0</v>
      </c>
      <c r="J253" s="2">
        <f>COUNTIF(C253:I253,"ERROR")</f>
        <v>0</v>
      </c>
      <c r="K253" s="2">
        <f>IF(J253&gt;0,"Проверить оплату","")</f>
        <v>0</v>
      </c>
    </row>
    <row r="254" spans="1:11">
      <c r="A254" s="2">
        <f>"Payment"</f>
        <v>0</v>
      </c>
      <c r="B254" s="2">
        <f>'03_payments_raw'!A48</f>
        <v>0</v>
      </c>
      <c r="C254" s="2">
        <f>"OK"</f>
        <v>0</v>
      </c>
      <c r="D254" s="2">
        <f>IF(OR('03_payments_raw'!B48="",'03_payments_raw'!E48=""),"ERROR","OK")</f>
        <v>0</v>
      </c>
      <c r="E254" s="2">
        <f>IF(COUNTIF('01_orders_raw'!$A$2:$A$161,'03_payments_raw'!B48)=0,"ERROR","OK")</f>
        <v>0</v>
      </c>
      <c r="F254" s="2">
        <f>IFERROR(IF('03_payments_raw'!D48&gt;INDEX('01_orders_raw'!$I$2:$I$161,MATCH('03_payments_raw'!B48,'01_orders_raw'!$A$2:$A$161,0)),"ERROR","OK"),"ERROR")</f>
        <v>0</v>
      </c>
      <c r="G254" s="2">
        <f>"OK"</f>
        <v>0</v>
      </c>
      <c r="H254" s="2">
        <f>IFERROR(IF('03_payments_raw'!C48&lt;INDEX('01_orders_raw'!$B$2:$B$161,MATCH('03_payments_raw'!B48,'01_orders_raw'!$A$2:$A$161,0)),"ERROR","OK"),"ERROR")</f>
        <v>0</v>
      </c>
      <c r="I254" s="2">
        <f>IF(OR('03_payments_raw'!E48="Оплачено",'03_payments_raw'!E48="Частично оплачено",'03_payments_raw'!E48="Не оплачено"),"OK","ERROR")</f>
        <v>0</v>
      </c>
      <c r="J254" s="2">
        <f>COUNTIF(C254:I254,"ERROR")</f>
        <v>0</v>
      </c>
      <c r="K254" s="2">
        <f>IF(J254&gt;0,"Проверить оплату","")</f>
        <v>0</v>
      </c>
    </row>
    <row r="255" spans="1:11">
      <c r="A255" s="2">
        <f>"Payment"</f>
        <v>0</v>
      </c>
      <c r="B255" s="2">
        <f>'03_payments_raw'!A49</f>
        <v>0</v>
      </c>
      <c r="C255" s="2">
        <f>"OK"</f>
        <v>0</v>
      </c>
      <c r="D255" s="2">
        <f>IF(OR('03_payments_raw'!B49="",'03_payments_raw'!E49=""),"ERROR","OK")</f>
        <v>0</v>
      </c>
      <c r="E255" s="2">
        <f>IF(COUNTIF('01_orders_raw'!$A$2:$A$161,'03_payments_raw'!B49)=0,"ERROR","OK")</f>
        <v>0</v>
      </c>
      <c r="F255" s="2">
        <f>IFERROR(IF('03_payments_raw'!D49&gt;INDEX('01_orders_raw'!$I$2:$I$161,MATCH('03_payments_raw'!B49,'01_orders_raw'!$A$2:$A$161,0)),"ERROR","OK"),"ERROR")</f>
        <v>0</v>
      </c>
      <c r="G255" s="2">
        <f>"OK"</f>
        <v>0</v>
      </c>
      <c r="H255" s="2">
        <f>IFERROR(IF('03_payments_raw'!C49&lt;INDEX('01_orders_raw'!$B$2:$B$161,MATCH('03_payments_raw'!B49,'01_orders_raw'!$A$2:$A$161,0)),"ERROR","OK"),"ERROR")</f>
        <v>0</v>
      </c>
      <c r="I255" s="2">
        <f>IF(OR('03_payments_raw'!E49="Оплачено",'03_payments_raw'!E49="Частично оплачено",'03_payments_raw'!E49="Не оплачено"),"OK","ERROR")</f>
        <v>0</v>
      </c>
      <c r="J255" s="2">
        <f>COUNTIF(C255:I255,"ERROR")</f>
        <v>0</v>
      </c>
      <c r="K255" s="2">
        <f>IF(J255&gt;0,"Проверить оплату","")</f>
        <v>0</v>
      </c>
    </row>
    <row r="256" spans="1:11">
      <c r="A256" s="2">
        <f>"Payment"</f>
        <v>0</v>
      </c>
      <c r="B256" s="2">
        <f>'03_payments_raw'!A50</f>
        <v>0</v>
      </c>
      <c r="C256" s="2">
        <f>"OK"</f>
        <v>0</v>
      </c>
      <c r="D256" s="2">
        <f>IF(OR('03_payments_raw'!B50="",'03_payments_raw'!E50=""),"ERROR","OK")</f>
        <v>0</v>
      </c>
      <c r="E256" s="2">
        <f>IF(COUNTIF('01_orders_raw'!$A$2:$A$161,'03_payments_raw'!B50)=0,"ERROR","OK")</f>
        <v>0</v>
      </c>
      <c r="F256" s="2">
        <f>IFERROR(IF('03_payments_raw'!D50&gt;INDEX('01_orders_raw'!$I$2:$I$161,MATCH('03_payments_raw'!B50,'01_orders_raw'!$A$2:$A$161,0)),"ERROR","OK"),"ERROR")</f>
        <v>0</v>
      </c>
      <c r="G256" s="2">
        <f>"OK"</f>
        <v>0</v>
      </c>
      <c r="H256" s="2">
        <f>IFERROR(IF('03_payments_raw'!C50&lt;INDEX('01_orders_raw'!$B$2:$B$161,MATCH('03_payments_raw'!B50,'01_orders_raw'!$A$2:$A$161,0)),"ERROR","OK"),"ERROR")</f>
        <v>0</v>
      </c>
      <c r="I256" s="2">
        <f>IF(OR('03_payments_raw'!E50="Оплачено",'03_payments_raw'!E50="Частично оплачено",'03_payments_raw'!E50="Не оплачено"),"OK","ERROR")</f>
        <v>0</v>
      </c>
      <c r="J256" s="2">
        <f>COUNTIF(C256:I256,"ERROR")</f>
        <v>0</v>
      </c>
      <c r="K256" s="2">
        <f>IF(J256&gt;0,"Проверить оплату","")</f>
        <v>0</v>
      </c>
    </row>
    <row r="257" spans="1:11">
      <c r="A257" s="2">
        <f>"Payment"</f>
        <v>0</v>
      </c>
      <c r="B257" s="2">
        <f>'03_payments_raw'!A51</f>
        <v>0</v>
      </c>
      <c r="C257" s="2">
        <f>"OK"</f>
        <v>0</v>
      </c>
      <c r="D257" s="2">
        <f>IF(OR('03_payments_raw'!B51="",'03_payments_raw'!E51=""),"ERROR","OK")</f>
        <v>0</v>
      </c>
      <c r="E257" s="2">
        <f>IF(COUNTIF('01_orders_raw'!$A$2:$A$161,'03_payments_raw'!B51)=0,"ERROR","OK")</f>
        <v>0</v>
      </c>
      <c r="F257" s="2">
        <f>IFERROR(IF('03_payments_raw'!D51&gt;INDEX('01_orders_raw'!$I$2:$I$161,MATCH('03_payments_raw'!B51,'01_orders_raw'!$A$2:$A$161,0)),"ERROR","OK"),"ERROR")</f>
        <v>0</v>
      </c>
      <c r="G257" s="2">
        <f>"OK"</f>
        <v>0</v>
      </c>
      <c r="H257" s="2">
        <f>IFERROR(IF('03_payments_raw'!C51&lt;INDEX('01_orders_raw'!$B$2:$B$161,MATCH('03_payments_raw'!B51,'01_orders_raw'!$A$2:$A$161,0)),"ERROR","OK"),"ERROR")</f>
        <v>0</v>
      </c>
      <c r="I257" s="2">
        <f>IF(OR('03_payments_raw'!E51="Оплачено",'03_payments_raw'!E51="Частично оплачено",'03_payments_raw'!E51="Не оплачено"),"OK","ERROR")</f>
        <v>0</v>
      </c>
      <c r="J257" s="2">
        <f>COUNTIF(C257:I257,"ERROR")</f>
        <v>0</v>
      </c>
      <c r="K257" s="2">
        <f>IF(J257&gt;0,"Проверить оплату","")</f>
        <v>0</v>
      </c>
    </row>
    <row r="258" spans="1:11">
      <c r="A258" s="2">
        <f>"Payment"</f>
        <v>0</v>
      </c>
      <c r="B258" s="2">
        <f>'03_payments_raw'!A52</f>
        <v>0</v>
      </c>
      <c r="C258" s="2">
        <f>"OK"</f>
        <v>0</v>
      </c>
      <c r="D258" s="2">
        <f>IF(OR('03_payments_raw'!B52="",'03_payments_raw'!E52=""),"ERROR","OK")</f>
        <v>0</v>
      </c>
      <c r="E258" s="2">
        <f>IF(COUNTIF('01_orders_raw'!$A$2:$A$161,'03_payments_raw'!B52)=0,"ERROR","OK")</f>
        <v>0</v>
      </c>
      <c r="F258" s="2">
        <f>IFERROR(IF('03_payments_raw'!D52&gt;INDEX('01_orders_raw'!$I$2:$I$161,MATCH('03_payments_raw'!B52,'01_orders_raw'!$A$2:$A$161,0)),"ERROR","OK"),"ERROR")</f>
        <v>0</v>
      </c>
      <c r="G258" s="2">
        <f>"OK"</f>
        <v>0</v>
      </c>
      <c r="H258" s="2">
        <f>IFERROR(IF('03_payments_raw'!C52&lt;INDEX('01_orders_raw'!$B$2:$B$161,MATCH('03_payments_raw'!B52,'01_orders_raw'!$A$2:$A$161,0)),"ERROR","OK"),"ERROR")</f>
        <v>0</v>
      </c>
      <c r="I258" s="2">
        <f>IF(OR('03_payments_raw'!E52="Оплачено",'03_payments_raw'!E52="Частично оплачено",'03_payments_raw'!E52="Не оплачено"),"OK","ERROR")</f>
        <v>0</v>
      </c>
      <c r="J258" s="2">
        <f>COUNTIF(C258:I258,"ERROR")</f>
        <v>0</v>
      </c>
      <c r="K258" s="2">
        <f>IF(J258&gt;0,"Проверить оплату","")</f>
        <v>0</v>
      </c>
    </row>
    <row r="259" spans="1:11">
      <c r="A259" s="2">
        <f>"Payment"</f>
        <v>0</v>
      </c>
      <c r="B259" s="2">
        <f>'03_payments_raw'!A53</f>
        <v>0</v>
      </c>
      <c r="C259" s="2">
        <f>"OK"</f>
        <v>0</v>
      </c>
      <c r="D259" s="2">
        <f>IF(OR('03_payments_raw'!B53="",'03_payments_raw'!E53=""),"ERROR","OK")</f>
        <v>0</v>
      </c>
      <c r="E259" s="2">
        <f>IF(COUNTIF('01_orders_raw'!$A$2:$A$161,'03_payments_raw'!B53)=0,"ERROR","OK")</f>
        <v>0</v>
      </c>
      <c r="F259" s="2">
        <f>IFERROR(IF('03_payments_raw'!D53&gt;INDEX('01_orders_raw'!$I$2:$I$161,MATCH('03_payments_raw'!B53,'01_orders_raw'!$A$2:$A$161,0)),"ERROR","OK"),"ERROR")</f>
        <v>0</v>
      </c>
      <c r="G259" s="2">
        <f>"OK"</f>
        <v>0</v>
      </c>
      <c r="H259" s="2">
        <f>IFERROR(IF('03_payments_raw'!C53&lt;INDEX('01_orders_raw'!$B$2:$B$161,MATCH('03_payments_raw'!B53,'01_orders_raw'!$A$2:$A$161,0)),"ERROR","OK"),"ERROR")</f>
        <v>0</v>
      </c>
      <c r="I259" s="2">
        <f>IF(OR('03_payments_raw'!E53="Оплачено",'03_payments_raw'!E53="Частично оплачено",'03_payments_raw'!E53="Не оплачено"),"OK","ERROR")</f>
        <v>0</v>
      </c>
      <c r="J259" s="2">
        <f>COUNTIF(C259:I259,"ERROR")</f>
        <v>0</v>
      </c>
      <c r="K259" s="2">
        <f>IF(J259&gt;0,"Проверить оплату","")</f>
        <v>0</v>
      </c>
    </row>
    <row r="260" spans="1:11">
      <c r="A260" s="2">
        <f>"Payment"</f>
        <v>0</v>
      </c>
      <c r="B260" s="2">
        <f>'03_payments_raw'!A54</f>
        <v>0</v>
      </c>
      <c r="C260" s="2">
        <f>"OK"</f>
        <v>0</v>
      </c>
      <c r="D260" s="2">
        <f>IF(OR('03_payments_raw'!B54="",'03_payments_raw'!E54=""),"ERROR","OK")</f>
        <v>0</v>
      </c>
      <c r="E260" s="2">
        <f>IF(COUNTIF('01_orders_raw'!$A$2:$A$161,'03_payments_raw'!B54)=0,"ERROR","OK")</f>
        <v>0</v>
      </c>
      <c r="F260" s="2">
        <f>IFERROR(IF('03_payments_raw'!D54&gt;INDEX('01_orders_raw'!$I$2:$I$161,MATCH('03_payments_raw'!B54,'01_orders_raw'!$A$2:$A$161,0)),"ERROR","OK"),"ERROR")</f>
        <v>0</v>
      </c>
      <c r="G260" s="2">
        <f>"OK"</f>
        <v>0</v>
      </c>
      <c r="H260" s="2">
        <f>IFERROR(IF('03_payments_raw'!C54&lt;INDEX('01_orders_raw'!$B$2:$B$161,MATCH('03_payments_raw'!B54,'01_orders_raw'!$A$2:$A$161,0)),"ERROR","OK"),"ERROR")</f>
        <v>0</v>
      </c>
      <c r="I260" s="2">
        <f>IF(OR('03_payments_raw'!E54="Оплачено",'03_payments_raw'!E54="Частично оплачено",'03_payments_raw'!E54="Не оплачено"),"OK","ERROR")</f>
        <v>0</v>
      </c>
      <c r="J260" s="2">
        <f>COUNTIF(C260:I260,"ERROR")</f>
        <v>0</v>
      </c>
      <c r="K260" s="2">
        <f>IF(J260&gt;0,"Проверить оплату","")</f>
        <v>0</v>
      </c>
    </row>
    <row r="261" spans="1:11">
      <c r="A261" s="2">
        <f>"Payment"</f>
        <v>0</v>
      </c>
      <c r="B261" s="2">
        <f>'03_payments_raw'!A55</f>
        <v>0</v>
      </c>
      <c r="C261" s="2">
        <f>"OK"</f>
        <v>0</v>
      </c>
      <c r="D261" s="2">
        <f>IF(OR('03_payments_raw'!B55="",'03_payments_raw'!E55=""),"ERROR","OK")</f>
        <v>0</v>
      </c>
      <c r="E261" s="2">
        <f>IF(COUNTIF('01_orders_raw'!$A$2:$A$161,'03_payments_raw'!B55)=0,"ERROR","OK")</f>
        <v>0</v>
      </c>
      <c r="F261" s="2">
        <f>IFERROR(IF('03_payments_raw'!D55&gt;INDEX('01_orders_raw'!$I$2:$I$161,MATCH('03_payments_raw'!B55,'01_orders_raw'!$A$2:$A$161,0)),"ERROR","OK"),"ERROR")</f>
        <v>0</v>
      </c>
      <c r="G261" s="2">
        <f>"OK"</f>
        <v>0</v>
      </c>
      <c r="H261" s="2">
        <f>IFERROR(IF('03_payments_raw'!C55&lt;INDEX('01_orders_raw'!$B$2:$B$161,MATCH('03_payments_raw'!B55,'01_orders_raw'!$A$2:$A$161,0)),"ERROR","OK"),"ERROR")</f>
        <v>0</v>
      </c>
      <c r="I261" s="2">
        <f>IF(OR('03_payments_raw'!E55="Оплачено",'03_payments_raw'!E55="Частично оплачено",'03_payments_raw'!E55="Не оплачено"),"OK","ERROR")</f>
        <v>0</v>
      </c>
      <c r="J261" s="2">
        <f>COUNTIF(C261:I261,"ERROR")</f>
        <v>0</v>
      </c>
      <c r="K261" s="2">
        <f>IF(J261&gt;0,"Проверить оплату","")</f>
        <v>0</v>
      </c>
    </row>
    <row r="262" spans="1:11">
      <c r="A262" s="2">
        <f>"Payment"</f>
        <v>0</v>
      </c>
      <c r="B262" s="2">
        <f>'03_payments_raw'!A56</f>
        <v>0</v>
      </c>
      <c r="C262" s="2">
        <f>"OK"</f>
        <v>0</v>
      </c>
      <c r="D262" s="2">
        <f>IF(OR('03_payments_raw'!B56="",'03_payments_raw'!E56=""),"ERROR","OK")</f>
        <v>0</v>
      </c>
      <c r="E262" s="2">
        <f>IF(COUNTIF('01_orders_raw'!$A$2:$A$161,'03_payments_raw'!B56)=0,"ERROR","OK")</f>
        <v>0</v>
      </c>
      <c r="F262" s="2">
        <f>IFERROR(IF('03_payments_raw'!D56&gt;INDEX('01_orders_raw'!$I$2:$I$161,MATCH('03_payments_raw'!B56,'01_orders_raw'!$A$2:$A$161,0)),"ERROR","OK"),"ERROR")</f>
        <v>0</v>
      </c>
      <c r="G262" s="2">
        <f>"OK"</f>
        <v>0</v>
      </c>
      <c r="H262" s="2">
        <f>IFERROR(IF('03_payments_raw'!C56&lt;INDEX('01_orders_raw'!$B$2:$B$161,MATCH('03_payments_raw'!B56,'01_orders_raw'!$A$2:$A$161,0)),"ERROR","OK"),"ERROR")</f>
        <v>0</v>
      </c>
      <c r="I262" s="2">
        <f>IF(OR('03_payments_raw'!E56="Оплачено",'03_payments_raw'!E56="Частично оплачено",'03_payments_raw'!E56="Не оплачено"),"OK","ERROR")</f>
        <v>0</v>
      </c>
      <c r="J262" s="2">
        <f>COUNTIF(C262:I262,"ERROR")</f>
        <v>0</v>
      </c>
      <c r="K262" s="2">
        <f>IF(J262&gt;0,"Проверить оплату","")</f>
        <v>0</v>
      </c>
    </row>
    <row r="263" spans="1:11">
      <c r="A263" s="2">
        <f>"Payment"</f>
        <v>0</v>
      </c>
      <c r="B263" s="2">
        <f>'03_payments_raw'!A57</f>
        <v>0</v>
      </c>
      <c r="C263" s="2">
        <f>"OK"</f>
        <v>0</v>
      </c>
      <c r="D263" s="2">
        <f>IF(OR('03_payments_raw'!B57="",'03_payments_raw'!E57=""),"ERROR","OK")</f>
        <v>0</v>
      </c>
      <c r="E263" s="2">
        <f>IF(COUNTIF('01_orders_raw'!$A$2:$A$161,'03_payments_raw'!B57)=0,"ERROR","OK")</f>
        <v>0</v>
      </c>
      <c r="F263" s="2">
        <f>IFERROR(IF('03_payments_raw'!D57&gt;INDEX('01_orders_raw'!$I$2:$I$161,MATCH('03_payments_raw'!B57,'01_orders_raw'!$A$2:$A$161,0)),"ERROR","OK"),"ERROR")</f>
        <v>0</v>
      </c>
      <c r="G263" s="2">
        <f>"OK"</f>
        <v>0</v>
      </c>
      <c r="H263" s="2">
        <f>IFERROR(IF('03_payments_raw'!C57&lt;INDEX('01_orders_raw'!$B$2:$B$161,MATCH('03_payments_raw'!B57,'01_orders_raw'!$A$2:$A$161,0)),"ERROR","OK"),"ERROR")</f>
        <v>0</v>
      </c>
      <c r="I263" s="2">
        <f>IF(OR('03_payments_raw'!E57="Оплачено",'03_payments_raw'!E57="Частично оплачено",'03_payments_raw'!E57="Не оплачено"),"OK","ERROR")</f>
        <v>0</v>
      </c>
      <c r="J263" s="2">
        <f>COUNTIF(C263:I263,"ERROR")</f>
        <v>0</v>
      </c>
      <c r="K263" s="2">
        <f>IF(J263&gt;0,"Проверить оплату","")</f>
        <v>0</v>
      </c>
    </row>
    <row r="264" spans="1:11">
      <c r="A264" s="2">
        <f>"Payment"</f>
        <v>0</v>
      </c>
      <c r="B264" s="2">
        <f>'03_payments_raw'!A58</f>
        <v>0</v>
      </c>
      <c r="C264" s="2">
        <f>"OK"</f>
        <v>0</v>
      </c>
      <c r="D264" s="2">
        <f>IF(OR('03_payments_raw'!B58="",'03_payments_raw'!E58=""),"ERROR","OK")</f>
        <v>0</v>
      </c>
      <c r="E264" s="2">
        <f>IF(COUNTIF('01_orders_raw'!$A$2:$A$161,'03_payments_raw'!B58)=0,"ERROR","OK")</f>
        <v>0</v>
      </c>
      <c r="F264" s="2">
        <f>IFERROR(IF('03_payments_raw'!D58&gt;INDEX('01_orders_raw'!$I$2:$I$161,MATCH('03_payments_raw'!B58,'01_orders_raw'!$A$2:$A$161,0)),"ERROR","OK"),"ERROR")</f>
        <v>0</v>
      </c>
      <c r="G264" s="2">
        <f>"OK"</f>
        <v>0</v>
      </c>
      <c r="H264" s="2">
        <f>IFERROR(IF('03_payments_raw'!C58&lt;INDEX('01_orders_raw'!$B$2:$B$161,MATCH('03_payments_raw'!B58,'01_orders_raw'!$A$2:$A$161,0)),"ERROR","OK"),"ERROR")</f>
        <v>0</v>
      </c>
      <c r="I264" s="2">
        <f>IF(OR('03_payments_raw'!E58="Оплачено",'03_payments_raw'!E58="Частично оплачено",'03_payments_raw'!E58="Не оплачено"),"OK","ERROR")</f>
        <v>0</v>
      </c>
      <c r="J264" s="2">
        <f>COUNTIF(C264:I264,"ERROR")</f>
        <v>0</v>
      </c>
      <c r="K264" s="2">
        <f>IF(J264&gt;0,"Проверить оплату","")</f>
        <v>0</v>
      </c>
    </row>
    <row r="265" spans="1:11">
      <c r="A265" s="2">
        <f>"Payment"</f>
        <v>0</v>
      </c>
      <c r="B265" s="2">
        <f>'03_payments_raw'!A59</f>
        <v>0</v>
      </c>
      <c r="C265" s="2">
        <f>"OK"</f>
        <v>0</v>
      </c>
      <c r="D265" s="2">
        <f>IF(OR('03_payments_raw'!B59="",'03_payments_raw'!E59=""),"ERROR","OK")</f>
        <v>0</v>
      </c>
      <c r="E265" s="2">
        <f>IF(COUNTIF('01_orders_raw'!$A$2:$A$161,'03_payments_raw'!B59)=0,"ERROR","OK")</f>
        <v>0</v>
      </c>
      <c r="F265" s="2">
        <f>IFERROR(IF('03_payments_raw'!D59&gt;INDEX('01_orders_raw'!$I$2:$I$161,MATCH('03_payments_raw'!B59,'01_orders_raw'!$A$2:$A$161,0)),"ERROR","OK"),"ERROR")</f>
        <v>0</v>
      </c>
      <c r="G265" s="2">
        <f>"OK"</f>
        <v>0</v>
      </c>
      <c r="H265" s="2">
        <f>IFERROR(IF('03_payments_raw'!C59&lt;INDEX('01_orders_raw'!$B$2:$B$161,MATCH('03_payments_raw'!B59,'01_orders_raw'!$A$2:$A$161,0)),"ERROR","OK"),"ERROR")</f>
        <v>0</v>
      </c>
      <c r="I265" s="2">
        <f>IF(OR('03_payments_raw'!E59="Оплачено",'03_payments_raw'!E59="Частично оплачено",'03_payments_raw'!E59="Не оплачено"),"OK","ERROR")</f>
        <v>0</v>
      </c>
      <c r="J265" s="2">
        <f>COUNTIF(C265:I265,"ERROR")</f>
        <v>0</v>
      </c>
      <c r="K265" s="2">
        <f>IF(J265&gt;0,"Проверить оплату","")</f>
        <v>0</v>
      </c>
    </row>
    <row r="266" spans="1:11">
      <c r="A266" s="2">
        <f>"Payment"</f>
        <v>0</v>
      </c>
      <c r="B266" s="2">
        <f>'03_payments_raw'!A60</f>
        <v>0</v>
      </c>
      <c r="C266" s="2">
        <f>"OK"</f>
        <v>0</v>
      </c>
      <c r="D266" s="2">
        <f>IF(OR('03_payments_raw'!B60="",'03_payments_raw'!E60=""),"ERROR","OK")</f>
        <v>0</v>
      </c>
      <c r="E266" s="2">
        <f>IF(COUNTIF('01_orders_raw'!$A$2:$A$161,'03_payments_raw'!B60)=0,"ERROR","OK")</f>
        <v>0</v>
      </c>
      <c r="F266" s="2">
        <f>IFERROR(IF('03_payments_raw'!D60&gt;INDEX('01_orders_raw'!$I$2:$I$161,MATCH('03_payments_raw'!B60,'01_orders_raw'!$A$2:$A$161,0)),"ERROR","OK"),"ERROR")</f>
        <v>0</v>
      </c>
      <c r="G266" s="2">
        <f>"OK"</f>
        <v>0</v>
      </c>
      <c r="H266" s="2">
        <f>IFERROR(IF('03_payments_raw'!C60&lt;INDEX('01_orders_raw'!$B$2:$B$161,MATCH('03_payments_raw'!B60,'01_orders_raw'!$A$2:$A$161,0)),"ERROR","OK"),"ERROR")</f>
        <v>0</v>
      </c>
      <c r="I266" s="2">
        <f>IF(OR('03_payments_raw'!E60="Оплачено",'03_payments_raw'!E60="Частично оплачено",'03_payments_raw'!E60="Не оплачено"),"OK","ERROR")</f>
        <v>0</v>
      </c>
      <c r="J266" s="2">
        <f>COUNTIF(C266:I266,"ERROR")</f>
        <v>0</v>
      </c>
      <c r="K266" s="2">
        <f>IF(J266&gt;0,"Проверить оплату","")</f>
        <v>0</v>
      </c>
    </row>
    <row r="267" spans="1:11">
      <c r="A267" s="2">
        <f>"Payment"</f>
        <v>0</v>
      </c>
      <c r="B267" s="2">
        <f>'03_payments_raw'!A61</f>
        <v>0</v>
      </c>
      <c r="C267" s="2">
        <f>"OK"</f>
        <v>0</v>
      </c>
      <c r="D267" s="2">
        <f>IF(OR('03_payments_raw'!B61="",'03_payments_raw'!E61=""),"ERROR","OK")</f>
        <v>0</v>
      </c>
      <c r="E267" s="2">
        <f>IF(COUNTIF('01_orders_raw'!$A$2:$A$161,'03_payments_raw'!B61)=0,"ERROR","OK")</f>
        <v>0</v>
      </c>
      <c r="F267" s="2">
        <f>IFERROR(IF('03_payments_raw'!D61&gt;INDEX('01_orders_raw'!$I$2:$I$161,MATCH('03_payments_raw'!B61,'01_orders_raw'!$A$2:$A$161,0)),"ERROR","OK"),"ERROR")</f>
        <v>0</v>
      </c>
      <c r="G267" s="2">
        <f>"OK"</f>
        <v>0</v>
      </c>
      <c r="H267" s="2">
        <f>IFERROR(IF('03_payments_raw'!C61&lt;INDEX('01_orders_raw'!$B$2:$B$161,MATCH('03_payments_raw'!B61,'01_orders_raw'!$A$2:$A$161,0)),"ERROR","OK"),"ERROR")</f>
        <v>0</v>
      </c>
      <c r="I267" s="2">
        <f>IF(OR('03_payments_raw'!E61="Оплачено",'03_payments_raw'!E61="Частично оплачено",'03_payments_raw'!E61="Не оплачено"),"OK","ERROR")</f>
        <v>0</v>
      </c>
      <c r="J267" s="2">
        <f>COUNTIF(C267:I267,"ERROR")</f>
        <v>0</v>
      </c>
      <c r="K267" s="2">
        <f>IF(J267&gt;0,"Проверить оплату","")</f>
        <v>0</v>
      </c>
    </row>
    <row r="268" spans="1:11">
      <c r="A268" s="2">
        <f>"Payment"</f>
        <v>0</v>
      </c>
      <c r="B268" s="2">
        <f>'03_payments_raw'!A62</f>
        <v>0</v>
      </c>
      <c r="C268" s="2">
        <f>"OK"</f>
        <v>0</v>
      </c>
      <c r="D268" s="2">
        <f>IF(OR('03_payments_raw'!B62="",'03_payments_raw'!E62=""),"ERROR","OK")</f>
        <v>0</v>
      </c>
      <c r="E268" s="2">
        <f>IF(COUNTIF('01_orders_raw'!$A$2:$A$161,'03_payments_raw'!B62)=0,"ERROR","OK")</f>
        <v>0</v>
      </c>
      <c r="F268" s="2">
        <f>IFERROR(IF('03_payments_raw'!D62&gt;INDEX('01_orders_raw'!$I$2:$I$161,MATCH('03_payments_raw'!B62,'01_orders_raw'!$A$2:$A$161,0)),"ERROR","OK"),"ERROR")</f>
        <v>0</v>
      </c>
      <c r="G268" s="2">
        <f>"OK"</f>
        <v>0</v>
      </c>
      <c r="H268" s="2">
        <f>IFERROR(IF('03_payments_raw'!C62&lt;INDEX('01_orders_raw'!$B$2:$B$161,MATCH('03_payments_raw'!B62,'01_orders_raw'!$A$2:$A$161,0)),"ERROR","OK"),"ERROR")</f>
        <v>0</v>
      </c>
      <c r="I268" s="2">
        <f>IF(OR('03_payments_raw'!E62="Оплачено",'03_payments_raw'!E62="Частично оплачено",'03_payments_raw'!E62="Не оплачено"),"OK","ERROR")</f>
        <v>0</v>
      </c>
      <c r="J268" s="2">
        <f>COUNTIF(C268:I268,"ERROR")</f>
        <v>0</v>
      </c>
      <c r="K268" s="2">
        <f>IF(J268&gt;0,"Проверить оплату","")</f>
        <v>0</v>
      </c>
    </row>
    <row r="269" spans="1:11">
      <c r="A269" s="2">
        <f>"Payment"</f>
        <v>0</v>
      </c>
      <c r="B269" s="2">
        <f>'03_payments_raw'!A63</f>
        <v>0</v>
      </c>
      <c r="C269" s="2">
        <f>"OK"</f>
        <v>0</v>
      </c>
      <c r="D269" s="2">
        <f>IF(OR('03_payments_raw'!B63="",'03_payments_raw'!E63=""),"ERROR","OK")</f>
        <v>0</v>
      </c>
      <c r="E269" s="2">
        <f>IF(COUNTIF('01_orders_raw'!$A$2:$A$161,'03_payments_raw'!B63)=0,"ERROR","OK")</f>
        <v>0</v>
      </c>
      <c r="F269" s="2">
        <f>IFERROR(IF('03_payments_raw'!D63&gt;INDEX('01_orders_raw'!$I$2:$I$161,MATCH('03_payments_raw'!B63,'01_orders_raw'!$A$2:$A$161,0)),"ERROR","OK"),"ERROR")</f>
        <v>0</v>
      </c>
      <c r="G269" s="2">
        <f>"OK"</f>
        <v>0</v>
      </c>
      <c r="H269" s="2">
        <f>IFERROR(IF('03_payments_raw'!C63&lt;INDEX('01_orders_raw'!$B$2:$B$161,MATCH('03_payments_raw'!B63,'01_orders_raw'!$A$2:$A$161,0)),"ERROR","OK"),"ERROR")</f>
        <v>0</v>
      </c>
      <c r="I269" s="2">
        <f>IF(OR('03_payments_raw'!E63="Оплачено",'03_payments_raw'!E63="Частично оплачено",'03_payments_raw'!E63="Не оплачено"),"OK","ERROR")</f>
        <v>0</v>
      </c>
      <c r="J269" s="2">
        <f>COUNTIF(C269:I269,"ERROR")</f>
        <v>0</v>
      </c>
      <c r="K269" s="2">
        <f>IF(J269&gt;0,"Проверить оплату","")</f>
        <v>0</v>
      </c>
    </row>
    <row r="270" spans="1:11">
      <c r="A270" s="2">
        <f>"Payment"</f>
        <v>0</v>
      </c>
      <c r="B270" s="2">
        <f>'03_payments_raw'!A64</f>
        <v>0</v>
      </c>
      <c r="C270" s="2">
        <f>"OK"</f>
        <v>0</v>
      </c>
      <c r="D270" s="2">
        <f>IF(OR('03_payments_raw'!B64="",'03_payments_raw'!E64=""),"ERROR","OK")</f>
        <v>0</v>
      </c>
      <c r="E270" s="2">
        <f>IF(COUNTIF('01_orders_raw'!$A$2:$A$161,'03_payments_raw'!B64)=0,"ERROR","OK")</f>
        <v>0</v>
      </c>
      <c r="F270" s="2">
        <f>IFERROR(IF('03_payments_raw'!D64&gt;INDEX('01_orders_raw'!$I$2:$I$161,MATCH('03_payments_raw'!B64,'01_orders_raw'!$A$2:$A$161,0)),"ERROR","OK"),"ERROR")</f>
        <v>0</v>
      </c>
      <c r="G270" s="2">
        <f>"OK"</f>
        <v>0</v>
      </c>
      <c r="H270" s="2">
        <f>IFERROR(IF('03_payments_raw'!C64&lt;INDEX('01_orders_raw'!$B$2:$B$161,MATCH('03_payments_raw'!B64,'01_orders_raw'!$A$2:$A$161,0)),"ERROR","OK"),"ERROR")</f>
        <v>0</v>
      </c>
      <c r="I270" s="2">
        <f>IF(OR('03_payments_raw'!E64="Оплачено",'03_payments_raw'!E64="Частично оплачено",'03_payments_raw'!E64="Не оплачено"),"OK","ERROR")</f>
        <v>0</v>
      </c>
      <c r="J270" s="2">
        <f>COUNTIF(C270:I270,"ERROR")</f>
        <v>0</v>
      </c>
      <c r="K270" s="2">
        <f>IF(J270&gt;0,"Проверить оплату","")</f>
        <v>0</v>
      </c>
    </row>
    <row r="271" spans="1:11">
      <c r="A271" s="2">
        <f>"Payment"</f>
        <v>0</v>
      </c>
      <c r="B271" s="2">
        <f>'03_payments_raw'!A65</f>
        <v>0</v>
      </c>
      <c r="C271" s="2">
        <f>"OK"</f>
        <v>0</v>
      </c>
      <c r="D271" s="2">
        <f>IF(OR('03_payments_raw'!B65="",'03_payments_raw'!E65=""),"ERROR","OK")</f>
        <v>0</v>
      </c>
      <c r="E271" s="2">
        <f>IF(COUNTIF('01_orders_raw'!$A$2:$A$161,'03_payments_raw'!B65)=0,"ERROR","OK")</f>
        <v>0</v>
      </c>
      <c r="F271" s="2">
        <f>IFERROR(IF('03_payments_raw'!D65&gt;INDEX('01_orders_raw'!$I$2:$I$161,MATCH('03_payments_raw'!B65,'01_orders_raw'!$A$2:$A$161,0)),"ERROR","OK"),"ERROR")</f>
        <v>0</v>
      </c>
      <c r="G271" s="2">
        <f>"OK"</f>
        <v>0</v>
      </c>
      <c r="H271" s="2">
        <f>IFERROR(IF('03_payments_raw'!C65&lt;INDEX('01_orders_raw'!$B$2:$B$161,MATCH('03_payments_raw'!B65,'01_orders_raw'!$A$2:$A$161,0)),"ERROR","OK"),"ERROR")</f>
        <v>0</v>
      </c>
      <c r="I271" s="2">
        <f>IF(OR('03_payments_raw'!E65="Оплачено",'03_payments_raw'!E65="Частично оплачено",'03_payments_raw'!E65="Не оплачено"),"OK","ERROR")</f>
        <v>0</v>
      </c>
      <c r="J271" s="2">
        <f>COUNTIF(C271:I271,"ERROR")</f>
        <v>0</v>
      </c>
      <c r="K271" s="2">
        <f>IF(J271&gt;0,"Проверить оплату","")</f>
        <v>0</v>
      </c>
    </row>
    <row r="272" spans="1:11">
      <c r="A272" s="2">
        <f>"Payment"</f>
        <v>0</v>
      </c>
      <c r="B272" s="2">
        <f>'03_payments_raw'!A66</f>
        <v>0</v>
      </c>
      <c r="C272" s="2">
        <f>"OK"</f>
        <v>0</v>
      </c>
      <c r="D272" s="2">
        <f>IF(OR('03_payments_raw'!B66="",'03_payments_raw'!E66=""),"ERROR","OK")</f>
        <v>0</v>
      </c>
      <c r="E272" s="2">
        <f>IF(COUNTIF('01_orders_raw'!$A$2:$A$161,'03_payments_raw'!B66)=0,"ERROR","OK")</f>
        <v>0</v>
      </c>
      <c r="F272" s="2">
        <f>IFERROR(IF('03_payments_raw'!D66&gt;INDEX('01_orders_raw'!$I$2:$I$161,MATCH('03_payments_raw'!B66,'01_orders_raw'!$A$2:$A$161,0)),"ERROR","OK"),"ERROR")</f>
        <v>0</v>
      </c>
      <c r="G272" s="2">
        <f>"OK"</f>
        <v>0</v>
      </c>
      <c r="H272" s="2">
        <f>IFERROR(IF('03_payments_raw'!C66&lt;INDEX('01_orders_raw'!$B$2:$B$161,MATCH('03_payments_raw'!B66,'01_orders_raw'!$A$2:$A$161,0)),"ERROR","OK"),"ERROR")</f>
        <v>0</v>
      </c>
      <c r="I272" s="2">
        <f>IF(OR('03_payments_raw'!E66="Оплачено",'03_payments_raw'!E66="Частично оплачено",'03_payments_raw'!E66="Не оплачено"),"OK","ERROR")</f>
        <v>0</v>
      </c>
      <c r="J272" s="2">
        <f>COUNTIF(C272:I272,"ERROR")</f>
        <v>0</v>
      </c>
      <c r="K272" s="2">
        <f>IF(J272&gt;0,"Проверить оплату","")</f>
        <v>0</v>
      </c>
    </row>
    <row r="273" spans="1:11">
      <c r="A273" s="2">
        <f>"Payment"</f>
        <v>0</v>
      </c>
      <c r="B273" s="2">
        <f>'03_payments_raw'!A67</f>
        <v>0</v>
      </c>
      <c r="C273" s="2">
        <f>"OK"</f>
        <v>0</v>
      </c>
      <c r="D273" s="2">
        <f>IF(OR('03_payments_raw'!B67="",'03_payments_raw'!E67=""),"ERROR","OK")</f>
        <v>0</v>
      </c>
      <c r="E273" s="2">
        <f>IF(COUNTIF('01_orders_raw'!$A$2:$A$161,'03_payments_raw'!B67)=0,"ERROR","OK")</f>
        <v>0</v>
      </c>
      <c r="F273" s="2">
        <f>IFERROR(IF('03_payments_raw'!D67&gt;INDEX('01_orders_raw'!$I$2:$I$161,MATCH('03_payments_raw'!B67,'01_orders_raw'!$A$2:$A$161,0)),"ERROR","OK"),"ERROR")</f>
        <v>0</v>
      </c>
      <c r="G273" s="2">
        <f>"OK"</f>
        <v>0</v>
      </c>
      <c r="H273" s="2">
        <f>IFERROR(IF('03_payments_raw'!C67&lt;INDEX('01_orders_raw'!$B$2:$B$161,MATCH('03_payments_raw'!B67,'01_orders_raw'!$A$2:$A$161,0)),"ERROR","OK"),"ERROR")</f>
        <v>0</v>
      </c>
      <c r="I273" s="2">
        <f>IF(OR('03_payments_raw'!E67="Оплачено",'03_payments_raw'!E67="Частично оплачено",'03_payments_raw'!E67="Не оплачено"),"OK","ERROR")</f>
        <v>0</v>
      </c>
      <c r="J273" s="2">
        <f>COUNTIF(C273:I273,"ERROR")</f>
        <v>0</v>
      </c>
      <c r="K273" s="2">
        <f>IF(J273&gt;0,"Проверить оплату","")</f>
        <v>0</v>
      </c>
    </row>
    <row r="274" spans="1:11">
      <c r="A274" s="2">
        <f>"Payment"</f>
        <v>0</v>
      </c>
      <c r="B274" s="2">
        <f>'03_payments_raw'!A68</f>
        <v>0</v>
      </c>
      <c r="C274" s="2">
        <f>"OK"</f>
        <v>0</v>
      </c>
      <c r="D274" s="2">
        <f>IF(OR('03_payments_raw'!B68="",'03_payments_raw'!E68=""),"ERROR","OK")</f>
        <v>0</v>
      </c>
      <c r="E274" s="2">
        <f>IF(COUNTIF('01_orders_raw'!$A$2:$A$161,'03_payments_raw'!B68)=0,"ERROR","OK")</f>
        <v>0</v>
      </c>
      <c r="F274" s="2">
        <f>IFERROR(IF('03_payments_raw'!D68&gt;INDEX('01_orders_raw'!$I$2:$I$161,MATCH('03_payments_raw'!B68,'01_orders_raw'!$A$2:$A$161,0)),"ERROR","OK"),"ERROR")</f>
        <v>0</v>
      </c>
      <c r="G274" s="2">
        <f>"OK"</f>
        <v>0</v>
      </c>
      <c r="H274" s="2">
        <f>IFERROR(IF('03_payments_raw'!C68&lt;INDEX('01_orders_raw'!$B$2:$B$161,MATCH('03_payments_raw'!B68,'01_orders_raw'!$A$2:$A$161,0)),"ERROR","OK"),"ERROR")</f>
        <v>0</v>
      </c>
      <c r="I274" s="2">
        <f>IF(OR('03_payments_raw'!E68="Оплачено",'03_payments_raw'!E68="Частично оплачено",'03_payments_raw'!E68="Не оплачено"),"OK","ERROR")</f>
        <v>0</v>
      </c>
      <c r="J274" s="2">
        <f>COUNTIF(C274:I274,"ERROR")</f>
        <v>0</v>
      </c>
      <c r="K274" s="2">
        <f>IF(J274&gt;0,"Проверить оплату","")</f>
        <v>0</v>
      </c>
    </row>
    <row r="275" spans="1:11">
      <c r="A275" s="2">
        <f>"Payment"</f>
        <v>0</v>
      </c>
      <c r="B275" s="2">
        <f>'03_payments_raw'!A69</f>
        <v>0</v>
      </c>
      <c r="C275" s="2">
        <f>"OK"</f>
        <v>0</v>
      </c>
      <c r="D275" s="2">
        <f>IF(OR('03_payments_raw'!B69="",'03_payments_raw'!E69=""),"ERROR","OK")</f>
        <v>0</v>
      </c>
      <c r="E275" s="2">
        <f>IF(COUNTIF('01_orders_raw'!$A$2:$A$161,'03_payments_raw'!B69)=0,"ERROR","OK")</f>
        <v>0</v>
      </c>
      <c r="F275" s="2">
        <f>IFERROR(IF('03_payments_raw'!D69&gt;INDEX('01_orders_raw'!$I$2:$I$161,MATCH('03_payments_raw'!B69,'01_orders_raw'!$A$2:$A$161,0)),"ERROR","OK"),"ERROR")</f>
        <v>0</v>
      </c>
      <c r="G275" s="2">
        <f>"OK"</f>
        <v>0</v>
      </c>
      <c r="H275" s="2">
        <f>IFERROR(IF('03_payments_raw'!C69&lt;INDEX('01_orders_raw'!$B$2:$B$161,MATCH('03_payments_raw'!B69,'01_orders_raw'!$A$2:$A$161,0)),"ERROR","OK"),"ERROR")</f>
        <v>0</v>
      </c>
      <c r="I275" s="2">
        <f>IF(OR('03_payments_raw'!E69="Оплачено",'03_payments_raw'!E69="Частично оплачено",'03_payments_raw'!E69="Не оплачено"),"OK","ERROR")</f>
        <v>0</v>
      </c>
      <c r="J275" s="2">
        <f>COUNTIF(C275:I275,"ERROR")</f>
        <v>0</v>
      </c>
      <c r="K275" s="2">
        <f>IF(J275&gt;0,"Проверить оплату","")</f>
        <v>0</v>
      </c>
    </row>
    <row r="276" spans="1:11">
      <c r="A276" s="2">
        <f>"Payment"</f>
        <v>0</v>
      </c>
      <c r="B276" s="2">
        <f>'03_payments_raw'!A70</f>
        <v>0</v>
      </c>
      <c r="C276" s="2">
        <f>"OK"</f>
        <v>0</v>
      </c>
      <c r="D276" s="2">
        <f>IF(OR('03_payments_raw'!B70="",'03_payments_raw'!E70=""),"ERROR","OK")</f>
        <v>0</v>
      </c>
      <c r="E276" s="2">
        <f>IF(COUNTIF('01_orders_raw'!$A$2:$A$161,'03_payments_raw'!B70)=0,"ERROR","OK")</f>
        <v>0</v>
      </c>
      <c r="F276" s="2">
        <f>IFERROR(IF('03_payments_raw'!D70&gt;INDEX('01_orders_raw'!$I$2:$I$161,MATCH('03_payments_raw'!B70,'01_orders_raw'!$A$2:$A$161,0)),"ERROR","OK"),"ERROR")</f>
        <v>0</v>
      </c>
      <c r="G276" s="2">
        <f>"OK"</f>
        <v>0</v>
      </c>
      <c r="H276" s="2">
        <f>IFERROR(IF('03_payments_raw'!C70&lt;INDEX('01_orders_raw'!$B$2:$B$161,MATCH('03_payments_raw'!B70,'01_orders_raw'!$A$2:$A$161,0)),"ERROR","OK"),"ERROR")</f>
        <v>0</v>
      </c>
      <c r="I276" s="2">
        <f>IF(OR('03_payments_raw'!E70="Оплачено",'03_payments_raw'!E70="Частично оплачено",'03_payments_raw'!E70="Не оплачено"),"OK","ERROR")</f>
        <v>0</v>
      </c>
      <c r="J276" s="2">
        <f>COUNTIF(C276:I276,"ERROR")</f>
        <v>0</v>
      </c>
      <c r="K276" s="2">
        <f>IF(J276&gt;0,"Проверить оплату","")</f>
        <v>0</v>
      </c>
    </row>
    <row r="277" spans="1:11">
      <c r="A277" s="2">
        <f>"Payment"</f>
        <v>0</v>
      </c>
      <c r="B277" s="2">
        <f>'03_payments_raw'!A71</f>
        <v>0</v>
      </c>
      <c r="C277" s="2">
        <f>"OK"</f>
        <v>0</v>
      </c>
      <c r="D277" s="2">
        <f>IF(OR('03_payments_raw'!B71="",'03_payments_raw'!E71=""),"ERROR","OK")</f>
        <v>0</v>
      </c>
      <c r="E277" s="2">
        <f>IF(COUNTIF('01_orders_raw'!$A$2:$A$161,'03_payments_raw'!B71)=0,"ERROR","OK")</f>
        <v>0</v>
      </c>
      <c r="F277" s="2">
        <f>IFERROR(IF('03_payments_raw'!D71&gt;INDEX('01_orders_raw'!$I$2:$I$161,MATCH('03_payments_raw'!B71,'01_orders_raw'!$A$2:$A$161,0)),"ERROR","OK"),"ERROR")</f>
        <v>0</v>
      </c>
      <c r="G277" s="2">
        <f>"OK"</f>
        <v>0</v>
      </c>
      <c r="H277" s="2">
        <f>IFERROR(IF('03_payments_raw'!C71&lt;INDEX('01_orders_raw'!$B$2:$B$161,MATCH('03_payments_raw'!B71,'01_orders_raw'!$A$2:$A$161,0)),"ERROR","OK"),"ERROR")</f>
        <v>0</v>
      </c>
      <c r="I277" s="2">
        <f>IF(OR('03_payments_raw'!E71="Оплачено",'03_payments_raw'!E71="Частично оплачено",'03_payments_raw'!E71="Не оплачено"),"OK","ERROR")</f>
        <v>0</v>
      </c>
      <c r="J277" s="2">
        <f>COUNTIF(C277:I277,"ERROR")</f>
        <v>0</v>
      </c>
      <c r="K277" s="2">
        <f>IF(J277&gt;0,"Проверить оплату","")</f>
        <v>0</v>
      </c>
    </row>
    <row r="278" spans="1:11">
      <c r="A278" s="2">
        <f>"Payment"</f>
        <v>0</v>
      </c>
      <c r="B278" s="2">
        <f>'03_payments_raw'!A72</f>
        <v>0</v>
      </c>
      <c r="C278" s="2">
        <f>"OK"</f>
        <v>0</v>
      </c>
      <c r="D278" s="2">
        <f>IF(OR('03_payments_raw'!B72="",'03_payments_raw'!E72=""),"ERROR","OK")</f>
        <v>0</v>
      </c>
      <c r="E278" s="2">
        <f>IF(COUNTIF('01_orders_raw'!$A$2:$A$161,'03_payments_raw'!B72)=0,"ERROR","OK")</f>
        <v>0</v>
      </c>
      <c r="F278" s="2">
        <f>IFERROR(IF('03_payments_raw'!D72&gt;INDEX('01_orders_raw'!$I$2:$I$161,MATCH('03_payments_raw'!B72,'01_orders_raw'!$A$2:$A$161,0)),"ERROR","OK"),"ERROR")</f>
        <v>0</v>
      </c>
      <c r="G278" s="2">
        <f>"OK"</f>
        <v>0</v>
      </c>
      <c r="H278" s="2">
        <f>IFERROR(IF('03_payments_raw'!C72&lt;INDEX('01_orders_raw'!$B$2:$B$161,MATCH('03_payments_raw'!B72,'01_orders_raw'!$A$2:$A$161,0)),"ERROR","OK"),"ERROR")</f>
        <v>0</v>
      </c>
      <c r="I278" s="2">
        <f>IF(OR('03_payments_raw'!E72="Оплачено",'03_payments_raw'!E72="Частично оплачено",'03_payments_raw'!E72="Не оплачено"),"OK","ERROR")</f>
        <v>0</v>
      </c>
      <c r="J278" s="2">
        <f>COUNTIF(C278:I278,"ERROR")</f>
        <v>0</v>
      </c>
      <c r="K278" s="2">
        <f>IF(J278&gt;0,"Проверить оплату","")</f>
        <v>0</v>
      </c>
    </row>
    <row r="279" spans="1:11">
      <c r="A279" s="2">
        <f>"Payment"</f>
        <v>0</v>
      </c>
      <c r="B279" s="2">
        <f>'03_payments_raw'!A73</f>
        <v>0</v>
      </c>
      <c r="C279" s="2">
        <f>"OK"</f>
        <v>0</v>
      </c>
      <c r="D279" s="2">
        <f>IF(OR('03_payments_raw'!B73="",'03_payments_raw'!E73=""),"ERROR","OK")</f>
        <v>0</v>
      </c>
      <c r="E279" s="2">
        <f>IF(COUNTIF('01_orders_raw'!$A$2:$A$161,'03_payments_raw'!B73)=0,"ERROR","OK")</f>
        <v>0</v>
      </c>
      <c r="F279" s="2">
        <f>IFERROR(IF('03_payments_raw'!D73&gt;INDEX('01_orders_raw'!$I$2:$I$161,MATCH('03_payments_raw'!B73,'01_orders_raw'!$A$2:$A$161,0)),"ERROR","OK"),"ERROR")</f>
        <v>0</v>
      </c>
      <c r="G279" s="2">
        <f>"OK"</f>
        <v>0</v>
      </c>
      <c r="H279" s="2">
        <f>IFERROR(IF('03_payments_raw'!C73&lt;INDEX('01_orders_raw'!$B$2:$B$161,MATCH('03_payments_raw'!B73,'01_orders_raw'!$A$2:$A$161,0)),"ERROR","OK"),"ERROR")</f>
        <v>0</v>
      </c>
      <c r="I279" s="2">
        <f>IF(OR('03_payments_raw'!E73="Оплачено",'03_payments_raw'!E73="Частично оплачено",'03_payments_raw'!E73="Не оплачено"),"OK","ERROR")</f>
        <v>0</v>
      </c>
      <c r="J279" s="2">
        <f>COUNTIF(C279:I279,"ERROR")</f>
        <v>0</v>
      </c>
      <c r="K279" s="2">
        <f>IF(J279&gt;0,"Проверить оплату","")</f>
        <v>0</v>
      </c>
    </row>
    <row r="280" spans="1:11">
      <c r="A280" s="2">
        <f>"Payment"</f>
        <v>0</v>
      </c>
      <c r="B280" s="2">
        <f>'03_payments_raw'!A74</f>
        <v>0</v>
      </c>
      <c r="C280" s="2">
        <f>"OK"</f>
        <v>0</v>
      </c>
      <c r="D280" s="2">
        <f>IF(OR('03_payments_raw'!B74="",'03_payments_raw'!E74=""),"ERROR","OK")</f>
        <v>0</v>
      </c>
      <c r="E280" s="2">
        <f>IF(COUNTIF('01_orders_raw'!$A$2:$A$161,'03_payments_raw'!B74)=0,"ERROR","OK")</f>
        <v>0</v>
      </c>
      <c r="F280" s="2">
        <f>IFERROR(IF('03_payments_raw'!D74&gt;INDEX('01_orders_raw'!$I$2:$I$161,MATCH('03_payments_raw'!B74,'01_orders_raw'!$A$2:$A$161,0)),"ERROR","OK"),"ERROR")</f>
        <v>0</v>
      </c>
      <c r="G280" s="2">
        <f>"OK"</f>
        <v>0</v>
      </c>
      <c r="H280" s="2">
        <f>IFERROR(IF('03_payments_raw'!C74&lt;INDEX('01_orders_raw'!$B$2:$B$161,MATCH('03_payments_raw'!B74,'01_orders_raw'!$A$2:$A$161,0)),"ERROR","OK"),"ERROR")</f>
        <v>0</v>
      </c>
      <c r="I280" s="2">
        <f>IF(OR('03_payments_raw'!E74="Оплачено",'03_payments_raw'!E74="Частично оплачено",'03_payments_raw'!E74="Не оплачено"),"OK","ERROR")</f>
        <v>0</v>
      </c>
      <c r="J280" s="2">
        <f>COUNTIF(C280:I280,"ERROR")</f>
        <v>0</v>
      </c>
      <c r="K280" s="2">
        <f>IF(J280&gt;0,"Проверить оплату","")</f>
        <v>0</v>
      </c>
    </row>
    <row r="281" spans="1:11">
      <c r="A281" s="2">
        <f>"Payment"</f>
        <v>0</v>
      </c>
      <c r="B281" s="2">
        <f>'03_payments_raw'!A75</f>
        <v>0</v>
      </c>
      <c r="C281" s="2">
        <f>"OK"</f>
        <v>0</v>
      </c>
      <c r="D281" s="2">
        <f>IF(OR('03_payments_raw'!B75="",'03_payments_raw'!E75=""),"ERROR","OK")</f>
        <v>0</v>
      </c>
      <c r="E281" s="2">
        <f>IF(COUNTIF('01_orders_raw'!$A$2:$A$161,'03_payments_raw'!B75)=0,"ERROR","OK")</f>
        <v>0</v>
      </c>
      <c r="F281" s="2">
        <f>IFERROR(IF('03_payments_raw'!D75&gt;INDEX('01_orders_raw'!$I$2:$I$161,MATCH('03_payments_raw'!B75,'01_orders_raw'!$A$2:$A$161,0)),"ERROR","OK"),"ERROR")</f>
        <v>0</v>
      </c>
      <c r="G281" s="2">
        <f>"OK"</f>
        <v>0</v>
      </c>
      <c r="H281" s="2">
        <f>IFERROR(IF('03_payments_raw'!C75&lt;INDEX('01_orders_raw'!$B$2:$B$161,MATCH('03_payments_raw'!B75,'01_orders_raw'!$A$2:$A$161,0)),"ERROR","OK"),"ERROR")</f>
        <v>0</v>
      </c>
      <c r="I281" s="2">
        <f>IF(OR('03_payments_raw'!E75="Оплачено",'03_payments_raw'!E75="Частично оплачено",'03_payments_raw'!E75="Не оплачено"),"OK","ERROR")</f>
        <v>0</v>
      </c>
      <c r="J281" s="2">
        <f>COUNTIF(C281:I281,"ERROR")</f>
        <v>0</v>
      </c>
      <c r="K281" s="2">
        <f>IF(J281&gt;0,"Проверить оплату","")</f>
        <v>0</v>
      </c>
    </row>
    <row r="282" spans="1:11">
      <c r="A282" s="2">
        <f>"Payment"</f>
        <v>0</v>
      </c>
      <c r="B282" s="2">
        <f>'03_payments_raw'!A76</f>
        <v>0</v>
      </c>
      <c r="C282" s="2">
        <f>"OK"</f>
        <v>0</v>
      </c>
      <c r="D282" s="2">
        <f>IF(OR('03_payments_raw'!B76="",'03_payments_raw'!E76=""),"ERROR","OK")</f>
        <v>0</v>
      </c>
      <c r="E282" s="2">
        <f>IF(COUNTIF('01_orders_raw'!$A$2:$A$161,'03_payments_raw'!B76)=0,"ERROR","OK")</f>
        <v>0</v>
      </c>
      <c r="F282" s="2">
        <f>IFERROR(IF('03_payments_raw'!D76&gt;INDEX('01_orders_raw'!$I$2:$I$161,MATCH('03_payments_raw'!B76,'01_orders_raw'!$A$2:$A$161,0)),"ERROR","OK"),"ERROR")</f>
        <v>0</v>
      </c>
      <c r="G282" s="2">
        <f>"OK"</f>
        <v>0</v>
      </c>
      <c r="H282" s="2">
        <f>IFERROR(IF('03_payments_raw'!C76&lt;INDEX('01_orders_raw'!$B$2:$B$161,MATCH('03_payments_raw'!B76,'01_orders_raw'!$A$2:$A$161,0)),"ERROR","OK"),"ERROR")</f>
        <v>0</v>
      </c>
      <c r="I282" s="2">
        <f>IF(OR('03_payments_raw'!E76="Оплачено",'03_payments_raw'!E76="Частично оплачено",'03_payments_raw'!E76="Не оплачено"),"OK","ERROR")</f>
        <v>0</v>
      </c>
      <c r="J282" s="2">
        <f>COUNTIF(C282:I282,"ERROR")</f>
        <v>0</v>
      </c>
      <c r="K282" s="2">
        <f>IF(J282&gt;0,"Проверить оплату","")</f>
        <v>0</v>
      </c>
    </row>
    <row r="283" spans="1:11">
      <c r="A283" s="2">
        <f>"Payment"</f>
        <v>0</v>
      </c>
      <c r="B283" s="2">
        <f>'03_payments_raw'!A77</f>
        <v>0</v>
      </c>
      <c r="C283" s="2">
        <f>"OK"</f>
        <v>0</v>
      </c>
      <c r="D283" s="2">
        <f>IF(OR('03_payments_raw'!B77="",'03_payments_raw'!E77=""),"ERROR","OK")</f>
        <v>0</v>
      </c>
      <c r="E283" s="2">
        <f>IF(COUNTIF('01_orders_raw'!$A$2:$A$161,'03_payments_raw'!B77)=0,"ERROR","OK")</f>
        <v>0</v>
      </c>
      <c r="F283" s="2">
        <f>IFERROR(IF('03_payments_raw'!D77&gt;INDEX('01_orders_raw'!$I$2:$I$161,MATCH('03_payments_raw'!B77,'01_orders_raw'!$A$2:$A$161,0)),"ERROR","OK"),"ERROR")</f>
        <v>0</v>
      </c>
      <c r="G283" s="2">
        <f>"OK"</f>
        <v>0</v>
      </c>
      <c r="H283" s="2">
        <f>IFERROR(IF('03_payments_raw'!C77&lt;INDEX('01_orders_raw'!$B$2:$B$161,MATCH('03_payments_raw'!B77,'01_orders_raw'!$A$2:$A$161,0)),"ERROR","OK"),"ERROR")</f>
        <v>0</v>
      </c>
      <c r="I283" s="2">
        <f>IF(OR('03_payments_raw'!E77="Оплачено",'03_payments_raw'!E77="Частично оплачено",'03_payments_raw'!E77="Не оплачено"),"OK","ERROR")</f>
        <v>0</v>
      </c>
      <c r="J283" s="2">
        <f>COUNTIF(C283:I283,"ERROR")</f>
        <v>0</v>
      </c>
      <c r="K283" s="2">
        <f>IF(J283&gt;0,"Проверить оплату","")</f>
        <v>0</v>
      </c>
    </row>
    <row r="284" spans="1:11">
      <c r="A284" s="2">
        <f>"Payment"</f>
        <v>0</v>
      </c>
      <c r="B284" s="2">
        <f>'03_payments_raw'!A78</f>
        <v>0</v>
      </c>
      <c r="C284" s="2">
        <f>"OK"</f>
        <v>0</v>
      </c>
      <c r="D284" s="2">
        <f>IF(OR('03_payments_raw'!B78="",'03_payments_raw'!E78=""),"ERROR","OK")</f>
        <v>0</v>
      </c>
      <c r="E284" s="2">
        <f>IF(COUNTIF('01_orders_raw'!$A$2:$A$161,'03_payments_raw'!B78)=0,"ERROR","OK")</f>
        <v>0</v>
      </c>
      <c r="F284" s="2">
        <f>IFERROR(IF('03_payments_raw'!D78&gt;INDEX('01_orders_raw'!$I$2:$I$161,MATCH('03_payments_raw'!B78,'01_orders_raw'!$A$2:$A$161,0)),"ERROR","OK"),"ERROR")</f>
        <v>0</v>
      </c>
      <c r="G284" s="2">
        <f>"OK"</f>
        <v>0</v>
      </c>
      <c r="H284" s="2">
        <f>IFERROR(IF('03_payments_raw'!C78&lt;INDEX('01_orders_raw'!$B$2:$B$161,MATCH('03_payments_raw'!B78,'01_orders_raw'!$A$2:$A$161,0)),"ERROR","OK"),"ERROR")</f>
        <v>0</v>
      </c>
      <c r="I284" s="2">
        <f>IF(OR('03_payments_raw'!E78="Оплачено",'03_payments_raw'!E78="Частично оплачено",'03_payments_raw'!E78="Не оплачено"),"OK","ERROR")</f>
        <v>0</v>
      </c>
      <c r="J284" s="2">
        <f>COUNTIF(C284:I284,"ERROR")</f>
        <v>0</v>
      </c>
      <c r="K284" s="2">
        <f>IF(J284&gt;0,"Проверить оплату","")</f>
        <v>0</v>
      </c>
    </row>
    <row r="285" spans="1:11">
      <c r="A285" s="2">
        <f>"Payment"</f>
        <v>0</v>
      </c>
      <c r="B285" s="2">
        <f>'03_payments_raw'!A79</f>
        <v>0</v>
      </c>
      <c r="C285" s="2">
        <f>"OK"</f>
        <v>0</v>
      </c>
      <c r="D285" s="2">
        <f>IF(OR('03_payments_raw'!B79="",'03_payments_raw'!E79=""),"ERROR","OK")</f>
        <v>0</v>
      </c>
      <c r="E285" s="2">
        <f>IF(COUNTIF('01_orders_raw'!$A$2:$A$161,'03_payments_raw'!B79)=0,"ERROR","OK")</f>
        <v>0</v>
      </c>
      <c r="F285" s="2">
        <f>IFERROR(IF('03_payments_raw'!D79&gt;INDEX('01_orders_raw'!$I$2:$I$161,MATCH('03_payments_raw'!B79,'01_orders_raw'!$A$2:$A$161,0)),"ERROR","OK"),"ERROR")</f>
        <v>0</v>
      </c>
      <c r="G285" s="2">
        <f>"OK"</f>
        <v>0</v>
      </c>
      <c r="H285" s="2">
        <f>IFERROR(IF('03_payments_raw'!C79&lt;INDEX('01_orders_raw'!$B$2:$B$161,MATCH('03_payments_raw'!B79,'01_orders_raw'!$A$2:$A$161,0)),"ERROR","OK"),"ERROR")</f>
        <v>0</v>
      </c>
      <c r="I285" s="2">
        <f>IF(OR('03_payments_raw'!E79="Оплачено",'03_payments_raw'!E79="Частично оплачено",'03_payments_raw'!E79="Не оплачено"),"OK","ERROR")</f>
        <v>0</v>
      </c>
      <c r="J285" s="2">
        <f>COUNTIF(C285:I285,"ERROR")</f>
        <v>0</v>
      </c>
      <c r="K285" s="2">
        <f>IF(J285&gt;0,"Проверить оплату","")</f>
        <v>0</v>
      </c>
    </row>
    <row r="286" spans="1:11">
      <c r="A286" s="2">
        <f>"Payment"</f>
        <v>0</v>
      </c>
      <c r="B286" s="2">
        <f>'03_payments_raw'!A80</f>
        <v>0</v>
      </c>
      <c r="C286" s="2">
        <f>"OK"</f>
        <v>0</v>
      </c>
      <c r="D286" s="2">
        <f>IF(OR('03_payments_raw'!B80="",'03_payments_raw'!E80=""),"ERROR","OK")</f>
        <v>0</v>
      </c>
      <c r="E286" s="2">
        <f>IF(COUNTIF('01_orders_raw'!$A$2:$A$161,'03_payments_raw'!B80)=0,"ERROR","OK")</f>
        <v>0</v>
      </c>
      <c r="F286" s="2">
        <f>IFERROR(IF('03_payments_raw'!D80&gt;INDEX('01_orders_raw'!$I$2:$I$161,MATCH('03_payments_raw'!B80,'01_orders_raw'!$A$2:$A$161,0)),"ERROR","OK"),"ERROR")</f>
        <v>0</v>
      </c>
      <c r="G286" s="2">
        <f>"OK"</f>
        <v>0</v>
      </c>
      <c r="H286" s="2">
        <f>IFERROR(IF('03_payments_raw'!C80&lt;INDEX('01_orders_raw'!$B$2:$B$161,MATCH('03_payments_raw'!B80,'01_orders_raw'!$A$2:$A$161,0)),"ERROR","OK"),"ERROR")</f>
        <v>0</v>
      </c>
      <c r="I286" s="2">
        <f>IF(OR('03_payments_raw'!E80="Оплачено",'03_payments_raw'!E80="Частично оплачено",'03_payments_raw'!E80="Не оплачено"),"OK","ERROR")</f>
        <v>0</v>
      </c>
      <c r="J286" s="2">
        <f>COUNTIF(C286:I286,"ERROR")</f>
        <v>0</v>
      </c>
      <c r="K286" s="2">
        <f>IF(J286&gt;0,"Проверить оплату","")</f>
        <v>0</v>
      </c>
    </row>
    <row r="287" spans="1:11">
      <c r="A287" s="2">
        <f>"Payment"</f>
        <v>0</v>
      </c>
      <c r="B287" s="2">
        <f>'03_payments_raw'!A81</f>
        <v>0</v>
      </c>
      <c r="C287" s="2">
        <f>"OK"</f>
        <v>0</v>
      </c>
      <c r="D287" s="2">
        <f>IF(OR('03_payments_raw'!B81="",'03_payments_raw'!E81=""),"ERROR","OK")</f>
        <v>0</v>
      </c>
      <c r="E287" s="2">
        <f>IF(COUNTIF('01_orders_raw'!$A$2:$A$161,'03_payments_raw'!B81)=0,"ERROR","OK")</f>
        <v>0</v>
      </c>
      <c r="F287" s="2">
        <f>IFERROR(IF('03_payments_raw'!D81&gt;INDEX('01_orders_raw'!$I$2:$I$161,MATCH('03_payments_raw'!B81,'01_orders_raw'!$A$2:$A$161,0)),"ERROR","OK"),"ERROR")</f>
        <v>0</v>
      </c>
      <c r="G287" s="2">
        <f>"OK"</f>
        <v>0</v>
      </c>
      <c r="H287" s="2">
        <f>IFERROR(IF('03_payments_raw'!C81&lt;INDEX('01_orders_raw'!$B$2:$B$161,MATCH('03_payments_raw'!B81,'01_orders_raw'!$A$2:$A$161,0)),"ERROR","OK"),"ERROR")</f>
        <v>0</v>
      </c>
      <c r="I287" s="2">
        <f>IF(OR('03_payments_raw'!E81="Оплачено",'03_payments_raw'!E81="Частично оплачено",'03_payments_raw'!E81="Не оплачено"),"OK","ERROR")</f>
        <v>0</v>
      </c>
      <c r="J287" s="2">
        <f>COUNTIF(C287:I287,"ERROR")</f>
        <v>0</v>
      </c>
      <c r="K287" s="2">
        <f>IF(J287&gt;0,"Проверить оплату","")</f>
        <v>0</v>
      </c>
    </row>
    <row r="288" spans="1:11">
      <c r="A288" s="2">
        <f>"Payment"</f>
        <v>0</v>
      </c>
      <c r="B288" s="2">
        <f>'03_payments_raw'!A82</f>
        <v>0</v>
      </c>
      <c r="C288" s="2">
        <f>"OK"</f>
        <v>0</v>
      </c>
      <c r="D288" s="2">
        <f>IF(OR('03_payments_raw'!B82="",'03_payments_raw'!E82=""),"ERROR","OK")</f>
        <v>0</v>
      </c>
      <c r="E288" s="2">
        <f>IF(COUNTIF('01_orders_raw'!$A$2:$A$161,'03_payments_raw'!B82)=0,"ERROR","OK")</f>
        <v>0</v>
      </c>
      <c r="F288" s="2">
        <f>IFERROR(IF('03_payments_raw'!D82&gt;INDEX('01_orders_raw'!$I$2:$I$161,MATCH('03_payments_raw'!B82,'01_orders_raw'!$A$2:$A$161,0)),"ERROR","OK"),"ERROR")</f>
        <v>0</v>
      </c>
      <c r="G288" s="2">
        <f>"OK"</f>
        <v>0</v>
      </c>
      <c r="H288" s="2">
        <f>IFERROR(IF('03_payments_raw'!C82&lt;INDEX('01_orders_raw'!$B$2:$B$161,MATCH('03_payments_raw'!B82,'01_orders_raw'!$A$2:$A$161,0)),"ERROR","OK"),"ERROR")</f>
        <v>0</v>
      </c>
      <c r="I288" s="2">
        <f>IF(OR('03_payments_raw'!E82="Оплачено",'03_payments_raw'!E82="Частично оплачено",'03_payments_raw'!E82="Не оплачено"),"OK","ERROR")</f>
        <v>0</v>
      </c>
      <c r="J288" s="2">
        <f>COUNTIF(C288:I288,"ERROR")</f>
        <v>0</v>
      </c>
      <c r="K288" s="2">
        <f>IF(J288&gt;0,"Проверить оплату","")</f>
        <v>0</v>
      </c>
    </row>
    <row r="289" spans="1:11">
      <c r="A289" s="2">
        <f>"Payment"</f>
        <v>0</v>
      </c>
      <c r="B289" s="2">
        <f>'03_payments_raw'!A83</f>
        <v>0</v>
      </c>
      <c r="C289" s="2">
        <f>"OK"</f>
        <v>0</v>
      </c>
      <c r="D289" s="2">
        <f>IF(OR('03_payments_raw'!B83="",'03_payments_raw'!E83=""),"ERROR","OK")</f>
        <v>0</v>
      </c>
      <c r="E289" s="2">
        <f>IF(COUNTIF('01_orders_raw'!$A$2:$A$161,'03_payments_raw'!B83)=0,"ERROR","OK")</f>
        <v>0</v>
      </c>
      <c r="F289" s="2">
        <f>IFERROR(IF('03_payments_raw'!D83&gt;INDEX('01_orders_raw'!$I$2:$I$161,MATCH('03_payments_raw'!B83,'01_orders_raw'!$A$2:$A$161,0)),"ERROR","OK"),"ERROR")</f>
        <v>0</v>
      </c>
      <c r="G289" s="2">
        <f>"OK"</f>
        <v>0</v>
      </c>
      <c r="H289" s="2">
        <f>IFERROR(IF('03_payments_raw'!C83&lt;INDEX('01_orders_raw'!$B$2:$B$161,MATCH('03_payments_raw'!B83,'01_orders_raw'!$A$2:$A$161,0)),"ERROR","OK"),"ERROR")</f>
        <v>0</v>
      </c>
      <c r="I289" s="2">
        <f>IF(OR('03_payments_raw'!E83="Оплачено",'03_payments_raw'!E83="Частично оплачено",'03_payments_raw'!E83="Не оплачено"),"OK","ERROR")</f>
        <v>0</v>
      </c>
      <c r="J289" s="2">
        <f>COUNTIF(C289:I289,"ERROR")</f>
        <v>0</v>
      </c>
      <c r="K289" s="2">
        <f>IF(J289&gt;0,"Проверить оплату","")</f>
        <v>0</v>
      </c>
    </row>
    <row r="290" spans="1:11">
      <c r="A290" s="2">
        <f>"Payment"</f>
        <v>0</v>
      </c>
      <c r="B290" s="2">
        <f>'03_payments_raw'!A84</f>
        <v>0</v>
      </c>
      <c r="C290" s="2">
        <f>"OK"</f>
        <v>0</v>
      </c>
      <c r="D290" s="2">
        <f>IF(OR('03_payments_raw'!B84="",'03_payments_raw'!E84=""),"ERROR","OK")</f>
        <v>0</v>
      </c>
      <c r="E290" s="2">
        <f>IF(COUNTIF('01_orders_raw'!$A$2:$A$161,'03_payments_raw'!B84)=0,"ERROR","OK")</f>
        <v>0</v>
      </c>
      <c r="F290" s="2">
        <f>IFERROR(IF('03_payments_raw'!D84&gt;INDEX('01_orders_raw'!$I$2:$I$161,MATCH('03_payments_raw'!B84,'01_orders_raw'!$A$2:$A$161,0)),"ERROR","OK"),"ERROR")</f>
        <v>0</v>
      </c>
      <c r="G290" s="2">
        <f>"OK"</f>
        <v>0</v>
      </c>
      <c r="H290" s="2">
        <f>IFERROR(IF('03_payments_raw'!C84&lt;INDEX('01_orders_raw'!$B$2:$B$161,MATCH('03_payments_raw'!B84,'01_orders_raw'!$A$2:$A$161,0)),"ERROR","OK"),"ERROR")</f>
        <v>0</v>
      </c>
      <c r="I290" s="2">
        <f>IF(OR('03_payments_raw'!E84="Оплачено",'03_payments_raw'!E84="Частично оплачено",'03_payments_raw'!E84="Не оплачено"),"OK","ERROR")</f>
        <v>0</v>
      </c>
      <c r="J290" s="2">
        <f>COUNTIF(C290:I290,"ERROR")</f>
        <v>0</v>
      </c>
      <c r="K290" s="2">
        <f>IF(J290&gt;0,"Проверить оплату","")</f>
        <v>0</v>
      </c>
    </row>
    <row r="291" spans="1:11">
      <c r="A291" s="2">
        <f>"Payment"</f>
        <v>0</v>
      </c>
      <c r="B291" s="2">
        <f>'03_payments_raw'!A85</f>
        <v>0</v>
      </c>
      <c r="C291" s="2">
        <f>"OK"</f>
        <v>0</v>
      </c>
      <c r="D291" s="2">
        <f>IF(OR('03_payments_raw'!B85="",'03_payments_raw'!E85=""),"ERROR","OK")</f>
        <v>0</v>
      </c>
      <c r="E291" s="2">
        <f>IF(COUNTIF('01_orders_raw'!$A$2:$A$161,'03_payments_raw'!B85)=0,"ERROR","OK")</f>
        <v>0</v>
      </c>
      <c r="F291" s="2">
        <f>IFERROR(IF('03_payments_raw'!D85&gt;INDEX('01_orders_raw'!$I$2:$I$161,MATCH('03_payments_raw'!B85,'01_orders_raw'!$A$2:$A$161,0)),"ERROR","OK"),"ERROR")</f>
        <v>0</v>
      </c>
      <c r="G291" s="2">
        <f>"OK"</f>
        <v>0</v>
      </c>
      <c r="H291" s="2">
        <f>IFERROR(IF('03_payments_raw'!C85&lt;INDEX('01_orders_raw'!$B$2:$B$161,MATCH('03_payments_raw'!B85,'01_orders_raw'!$A$2:$A$161,0)),"ERROR","OK"),"ERROR")</f>
        <v>0</v>
      </c>
      <c r="I291" s="2">
        <f>IF(OR('03_payments_raw'!E85="Оплачено",'03_payments_raw'!E85="Частично оплачено",'03_payments_raw'!E85="Не оплачено"),"OK","ERROR")</f>
        <v>0</v>
      </c>
      <c r="J291" s="2">
        <f>COUNTIF(C291:I291,"ERROR")</f>
        <v>0</v>
      </c>
      <c r="K291" s="2">
        <f>IF(J291&gt;0,"Проверить оплату","")</f>
        <v>0</v>
      </c>
    </row>
    <row r="292" spans="1:11">
      <c r="A292" s="2">
        <f>"Payment"</f>
        <v>0</v>
      </c>
      <c r="B292" s="2">
        <f>'03_payments_raw'!A86</f>
        <v>0</v>
      </c>
      <c r="C292" s="2">
        <f>"OK"</f>
        <v>0</v>
      </c>
      <c r="D292" s="2">
        <f>IF(OR('03_payments_raw'!B86="",'03_payments_raw'!E86=""),"ERROR","OK")</f>
        <v>0</v>
      </c>
      <c r="E292" s="2">
        <f>IF(COUNTIF('01_orders_raw'!$A$2:$A$161,'03_payments_raw'!B86)=0,"ERROR","OK")</f>
        <v>0</v>
      </c>
      <c r="F292" s="2">
        <f>IFERROR(IF('03_payments_raw'!D86&gt;INDEX('01_orders_raw'!$I$2:$I$161,MATCH('03_payments_raw'!B86,'01_orders_raw'!$A$2:$A$161,0)),"ERROR","OK"),"ERROR")</f>
        <v>0</v>
      </c>
      <c r="G292" s="2">
        <f>"OK"</f>
        <v>0</v>
      </c>
      <c r="H292" s="2">
        <f>IFERROR(IF('03_payments_raw'!C86&lt;INDEX('01_orders_raw'!$B$2:$B$161,MATCH('03_payments_raw'!B86,'01_orders_raw'!$A$2:$A$161,0)),"ERROR","OK"),"ERROR")</f>
        <v>0</v>
      </c>
      <c r="I292" s="2">
        <f>IF(OR('03_payments_raw'!E86="Оплачено",'03_payments_raw'!E86="Частично оплачено",'03_payments_raw'!E86="Не оплачено"),"OK","ERROR")</f>
        <v>0</v>
      </c>
      <c r="J292" s="2">
        <f>COUNTIF(C292:I292,"ERROR")</f>
        <v>0</v>
      </c>
      <c r="K292" s="2">
        <f>IF(J292&gt;0,"Проверить оплату","")</f>
        <v>0</v>
      </c>
    </row>
    <row r="293" spans="1:11">
      <c r="A293" s="2">
        <f>"Payment"</f>
        <v>0</v>
      </c>
      <c r="B293" s="2">
        <f>'03_payments_raw'!A87</f>
        <v>0</v>
      </c>
      <c r="C293" s="2">
        <f>"OK"</f>
        <v>0</v>
      </c>
      <c r="D293" s="2">
        <f>IF(OR('03_payments_raw'!B87="",'03_payments_raw'!E87=""),"ERROR","OK")</f>
        <v>0</v>
      </c>
      <c r="E293" s="2">
        <f>IF(COUNTIF('01_orders_raw'!$A$2:$A$161,'03_payments_raw'!B87)=0,"ERROR","OK")</f>
        <v>0</v>
      </c>
      <c r="F293" s="2">
        <f>IFERROR(IF('03_payments_raw'!D87&gt;INDEX('01_orders_raw'!$I$2:$I$161,MATCH('03_payments_raw'!B87,'01_orders_raw'!$A$2:$A$161,0)),"ERROR","OK"),"ERROR")</f>
        <v>0</v>
      </c>
      <c r="G293" s="2">
        <f>"OK"</f>
        <v>0</v>
      </c>
      <c r="H293" s="2">
        <f>IFERROR(IF('03_payments_raw'!C87&lt;INDEX('01_orders_raw'!$B$2:$B$161,MATCH('03_payments_raw'!B87,'01_orders_raw'!$A$2:$A$161,0)),"ERROR","OK"),"ERROR")</f>
        <v>0</v>
      </c>
      <c r="I293" s="2">
        <f>IF(OR('03_payments_raw'!E87="Оплачено",'03_payments_raw'!E87="Частично оплачено",'03_payments_raw'!E87="Не оплачено"),"OK","ERROR")</f>
        <v>0</v>
      </c>
      <c r="J293" s="2">
        <f>COUNTIF(C293:I293,"ERROR")</f>
        <v>0</v>
      </c>
      <c r="K293" s="2">
        <f>IF(J293&gt;0,"Проверить оплату","")</f>
        <v>0</v>
      </c>
    </row>
    <row r="294" spans="1:11">
      <c r="A294" s="2">
        <f>"Payment"</f>
        <v>0</v>
      </c>
      <c r="B294" s="2">
        <f>'03_payments_raw'!A88</f>
        <v>0</v>
      </c>
      <c r="C294" s="2">
        <f>"OK"</f>
        <v>0</v>
      </c>
      <c r="D294" s="2">
        <f>IF(OR('03_payments_raw'!B88="",'03_payments_raw'!E88=""),"ERROR","OK")</f>
        <v>0</v>
      </c>
      <c r="E294" s="2">
        <f>IF(COUNTIF('01_orders_raw'!$A$2:$A$161,'03_payments_raw'!B88)=0,"ERROR","OK")</f>
        <v>0</v>
      </c>
      <c r="F294" s="2">
        <f>IFERROR(IF('03_payments_raw'!D88&gt;INDEX('01_orders_raw'!$I$2:$I$161,MATCH('03_payments_raw'!B88,'01_orders_raw'!$A$2:$A$161,0)),"ERROR","OK"),"ERROR")</f>
        <v>0</v>
      </c>
      <c r="G294" s="2">
        <f>"OK"</f>
        <v>0</v>
      </c>
      <c r="H294" s="2">
        <f>IFERROR(IF('03_payments_raw'!C88&lt;INDEX('01_orders_raw'!$B$2:$B$161,MATCH('03_payments_raw'!B88,'01_orders_raw'!$A$2:$A$161,0)),"ERROR","OK"),"ERROR")</f>
        <v>0</v>
      </c>
      <c r="I294" s="2">
        <f>IF(OR('03_payments_raw'!E88="Оплачено",'03_payments_raw'!E88="Частично оплачено",'03_payments_raw'!E88="Не оплачено"),"OK","ERROR")</f>
        <v>0</v>
      </c>
      <c r="J294" s="2">
        <f>COUNTIF(C294:I294,"ERROR")</f>
        <v>0</v>
      </c>
      <c r="K294" s="2">
        <f>IF(J294&gt;0,"Проверить оплату","")</f>
        <v>0</v>
      </c>
    </row>
    <row r="295" spans="1:11">
      <c r="A295" s="2">
        <f>"Payment"</f>
        <v>0</v>
      </c>
      <c r="B295" s="2">
        <f>'03_payments_raw'!A89</f>
        <v>0</v>
      </c>
      <c r="C295" s="2">
        <f>"OK"</f>
        <v>0</v>
      </c>
      <c r="D295" s="2">
        <f>IF(OR('03_payments_raw'!B89="",'03_payments_raw'!E89=""),"ERROR","OK")</f>
        <v>0</v>
      </c>
      <c r="E295" s="2">
        <f>IF(COUNTIF('01_orders_raw'!$A$2:$A$161,'03_payments_raw'!B89)=0,"ERROR","OK")</f>
        <v>0</v>
      </c>
      <c r="F295" s="2">
        <f>IFERROR(IF('03_payments_raw'!D89&gt;INDEX('01_orders_raw'!$I$2:$I$161,MATCH('03_payments_raw'!B89,'01_orders_raw'!$A$2:$A$161,0)),"ERROR","OK"),"ERROR")</f>
        <v>0</v>
      </c>
      <c r="G295" s="2">
        <f>"OK"</f>
        <v>0</v>
      </c>
      <c r="H295" s="2">
        <f>IFERROR(IF('03_payments_raw'!C89&lt;INDEX('01_orders_raw'!$B$2:$B$161,MATCH('03_payments_raw'!B89,'01_orders_raw'!$A$2:$A$161,0)),"ERROR","OK"),"ERROR")</f>
        <v>0</v>
      </c>
      <c r="I295" s="2">
        <f>IF(OR('03_payments_raw'!E89="Оплачено",'03_payments_raw'!E89="Частично оплачено",'03_payments_raw'!E89="Не оплачено"),"OK","ERROR")</f>
        <v>0</v>
      </c>
      <c r="J295" s="2">
        <f>COUNTIF(C295:I295,"ERROR")</f>
        <v>0</v>
      </c>
      <c r="K295" s="2">
        <f>IF(J295&gt;0,"Проверить оплату","")</f>
        <v>0</v>
      </c>
    </row>
    <row r="296" spans="1:11">
      <c r="A296" s="2">
        <f>"Payment"</f>
        <v>0</v>
      </c>
      <c r="B296" s="2">
        <f>'03_payments_raw'!A90</f>
        <v>0</v>
      </c>
      <c r="C296" s="2">
        <f>"OK"</f>
        <v>0</v>
      </c>
      <c r="D296" s="2">
        <f>IF(OR('03_payments_raw'!B90="",'03_payments_raw'!E90=""),"ERROR","OK")</f>
        <v>0</v>
      </c>
      <c r="E296" s="2">
        <f>IF(COUNTIF('01_orders_raw'!$A$2:$A$161,'03_payments_raw'!B90)=0,"ERROR","OK")</f>
        <v>0</v>
      </c>
      <c r="F296" s="2">
        <f>IFERROR(IF('03_payments_raw'!D90&gt;INDEX('01_orders_raw'!$I$2:$I$161,MATCH('03_payments_raw'!B90,'01_orders_raw'!$A$2:$A$161,0)),"ERROR","OK"),"ERROR")</f>
        <v>0</v>
      </c>
      <c r="G296" s="2">
        <f>"OK"</f>
        <v>0</v>
      </c>
      <c r="H296" s="2">
        <f>IFERROR(IF('03_payments_raw'!C90&lt;INDEX('01_orders_raw'!$B$2:$B$161,MATCH('03_payments_raw'!B90,'01_orders_raw'!$A$2:$A$161,0)),"ERROR","OK"),"ERROR")</f>
        <v>0</v>
      </c>
      <c r="I296" s="2">
        <f>IF(OR('03_payments_raw'!E90="Оплачено",'03_payments_raw'!E90="Частично оплачено",'03_payments_raw'!E90="Не оплачено"),"OK","ERROR")</f>
        <v>0</v>
      </c>
      <c r="J296" s="2">
        <f>COUNTIF(C296:I296,"ERROR")</f>
        <v>0</v>
      </c>
      <c r="K296" s="2">
        <f>IF(J296&gt;0,"Проверить оплату","")</f>
        <v>0</v>
      </c>
    </row>
    <row r="297" spans="1:11">
      <c r="A297" s="2">
        <f>"Payment"</f>
        <v>0</v>
      </c>
      <c r="B297" s="2">
        <f>'03_payments_raw'!A91</f>
        <v>0</v>
      </c>
      <c r="C297" s="2">
        <f>"OK"</f>
        <v>0</v>
      </c>
      <c r="D297" s="2">
        <f>IF(OR('03_payments_raw'!B91="",'03_payments_raw'!E91=""),"ERROR","OK")</f>
        <v>0</v>
      </c>
      <c r="E297" s="2">
        <f>IF(COUNTIF('01_orders_raw'!$A$2:$A$161,'03_payments_raw'!B91)=0,"ERROR","OK")</f>
        <v>0</v>
      </c>
      <c r="F297" s="2">
        <f>IFERROR(IF('03_payments_raw'!D91&gt;INDEX('01_orders_raw'!$I$2:$I$161,MATCH('03_payments_raw'!B91,'01_orders_raw'!$A$2:$A$161,0)),"ERROR","OK"),"ERROR")</f>
        <v>0</v>
      </c>
      <c r="G297" s="2">
        <f>"OK"</f>
        <v>0</v>
      </c>
      <c r="H297" s="2">
        <f>IFERROR(IF('03_payments_raw'!C91&lt;INDEX('01_orders_raw'!$B$2:$B$161,MATCH('03_payments_raw'!B91,'01_orders_raw'!$A$2:$A$161,0)),"ERROR","OK"),"ERROR")</f>
        <v>0</v>
      </c>
      <c r="I297" s="2">
        <f>IF(OR('03_payments_raw'!E91="Оплачено",'03_payments_raw'!E91="Частично оплачено",'03_payments_raw'!E91="Не оплачено"),"OK","ERROR")</f>
        <v>0</v>
      </c>
      <c r="J297" s="2">
        <f>COUNTIF(C297:I297,"ERROR")</f>
        <v>0</v>
      </c>
      <c r="K297" s="2">
        <f>IF(J297&gt;0,"Проверить оплату","")</f>
        <v>0</v>
      </c>
    </row>
    <row r="298" spans="1:11">
      <c r="A298" s="2">
        <f>"Payment"</f>
        <v>0</v>
      </c>
      <c r="B298" s="2">
        <f>'03_payments_raw'!A92</f>
        <v>0</v>
      </c>
      <c r="C298" s="2">
        <f>"OK"</f>
        <v>0</v>
      </c>
      <c r="D298" s="2">
        <f>IF(OR('03_payments_raw'!B92="",'03_payments_raw'!E92=""),"ERROR","OK")</f>
        <v>0</v>
      </c>
      <c r="E298" s="2">
        <f>IF(COUNTIF('01_orders_raw'!$A$2:$A$161,'03_payments_raw'!B92)=0,"ERROR","OK")</f>
        <v>0</v>
      </c>
      <c r="F298" s="2">
        <f>IFERROR(IF('03_payments_raw'!D92&gt;INDEX('01_orders_raw'!$I$2:$I$161,MATCH('03_payments_raw'!B92,'01_orders_raw'!$A$2:$A$161,0)),"ERROR","OK"),"ERROR")</f>
        <v>0</v>
      </c>
      <c r="G298" s="2">
        <f>"OK"</f>
        <v>0</v>
      </c>
      <c r="H298" s="2">
        <f>IFERROR(IF('03_payments_raw'!C92&lt;INDEX('01_orders_raw'!$B$2:$B$161,MATCH('03_payments_raw'!B92,'01_orders_raw'!$A$2:$A$161,0)),"ERROR","OK"),"ERROR")</f>
        <v>0</v>
      </c>
      <c r="I298" s="2">
        <f>IF(OR('03_payments_raw'!E92="Оплачено",'03_payments_raw'!E92="Частично оплачено",'03_payments_raw'!E92="Не оплачено"),"OK","ERROR")</f>
        <v>0</v>
      </c>
      <c r="J298" s="2">
        <f>COUNTIF(C298:I298,"ERROR")</f>
        <v>0</v>
      </c>
      <c r="K298" s="2">
        <f>IF(J298&gt;0,"Проверить оплату","")</f>
        <v>0</v>
      </c>
    </row>
    <row r="299" spans="1:11">
      <c r="A299" s="2">
        <f>"Payment"</f>
        <v>0</v>
      </c>
      <c r="B299" s="2">
        <f>'03_payments_raw'!A93</f>
        <v>0</v>
      </c>
      <c r="C299" s="2">
        <f>"OK"</f>
        <v>0</v>
      </c>
      <c r="D299" s="2">
        <f>IF(OR('03_payments_raw'!B93="",'03_payments_raw'!E93=""),"ERROR","OK")</f>
        <v>0</v>
      </c>
      <c r="E299" s="2">
        <f>IF(COUNTIF('01_orders_raw'!$A$2:$A$161,'03_payments_raw'!B93)=0,"ERROR","OK")</f>
        <v>0</v>
      </c>
      <c r="F299" s="2">
        <f>IFERROR(IF('03_payments_raw'!D93&gt;INDEX('01_orders_raw'!$I$2:$I$161,MATCH('03_payments_raw'!B93,'01_orders_raw'!$A$2:$A$161,0)),"ERROR","OK"),"ERROR")</f>
        <v>0</v>
      </c>
      <c r="G299" s="2">
        <f>"OK"</f>
        <v>0</v>
      </c>
      <c r="H299" s="2">
        <f>IFERROR(IF('03_payments_raw'!C93&lt;INDEX('01_orders_raw'!$B$2:$B$161,MATCH('03_payments_raw'!B93,'01_orders_raw'!$A$2:$A$161,0)),"ERROR","OK"),"ERROR")</f>
        <v>0</v>
      </c>
      <c r="I299" s="2">
        <f>IF(OR('03_payments_raw'!E93="Оплачено",'03_payments_raw'!E93="Частично оплачено",'03_payments_raw'!E93="Не оплачено"),"OK","ERROR")</f>
        <v>0</v>
      </c>
      <c r="J299" s="2">
        <f>COUNTIF(C299:I299,"ERROR")</f>
        <v>0</v>
      </c>
      <c r="K299" s="2">
        <f>IF(J299&gt;0,"Проверить оплату","")</f>
        <v>0</v>
      </c>
    </row>
    <row r="300" spans="1:11">
      <c r="A300" s="2">
        <f>"Payment"</f>
        <v>0</v>
      </c>
      <c r="B300" s="2">
        <f>'03_payments_raw'!A94</f>
        <v>0</v>
      </c>
      <c r="C300" s="2">
        <f>"OK"</f>
        <v>0</v>
      </c>
      <c r="D300" s="2">
        <f>IF(OR('03_payments_raw'!B94="",'03_payments_raw'!E94=""),"ERROR","OK")</f>
        <v>0</v>
      </c>
      <c r="E300" s="2">
        <f>IF(COUNTIF('01_orders_raw'!$A$2:$A$161,'03_payments_raw'!B94)=0,"ERROR","OK")</f>
        <v>0</v>
      </c>
      <c r="F300" s="2">
        <f>IFERROR(IF('03_payments_raw'!D94&gt;INDEX('01_orders_raw'!$I$2:$I$161,MATCH('03_payments_raw'!B94,'01_orders_raw'!$A$2:$A$161,0)),"ERROR","OK"),"ERROR")</f>
        <v>0</v>
      </c>
      <c r="G300" s="2">
        <f>"OK"</f>
        <v>0</v>
      </c>
      <c r="H300" s="2">
        <f>IFERROR(IF('03_payments_raw'!C94&lt;INDEX('01_orders_raw'!$B$2:$B$161,MATCH('03_payments_raw'!B94,'01_orders_raw'!$A$2:$A$161,0)),"ERROR","OK"),"ERROR")</f>
        <v>0</v>
      </c>
      <c r="I300" s="2">
        <f>IF(OR('03_payments_raw'!E94="Оплачено",'03_payments_raw'!E94="Частично оплачено",'03_payments_raw'!E94="Не оплачено"),"OK","ERROR")</f>
        <v>0</v>
      </c>
      <c r="J300" s="2">
        <f>COUNTIF(C300:I300,"ERROR")</f>
        <v>0</v>
      </c>
      <c r="K300" s="2">
        <f>IF(J300&gt;0,"Проверить оплату","")</f>
        <v>0</v>
      </c>
    </row>
    <row r="301" spans="1:11">
      <c r="A301" s="2">
        <f>"Payment"</f>
        <v>0</v>
      </c>
      <c r="B301" s="2">
        <f>'03_payments_raw'!A95</f>
        <v>0</v>
      </c>
      <c r="C301" s="2">
        <f>"OK"</f>
        <v>0</v>
      </c>
      <c r="D301" s="2">
        <f>IF(OR('03_payments_raw'!B95="",'03_payments_raw'!E95=""),"ERROR","OK")</f>
        <v>0</v>
      </c>
      <c r="E301" s="2">
        <f>IF(COUNTIF('01_orders_raw'!$A$2:$A$161,'03_payments_raw'!B95)=0,"ERROR","OK")</f>
        <v>0</v>
      </c>
      <c r="F301" s="2">
        <f>IFERROR(IF('03_payments_raw'!D95&gt;INDEX('01_orders_raw'!$I$2:$I$161,MATCH('03_payments_raw'!B95,'01_orders_raw'!$A$2:$A$161,0)),"ERROR","OK"),"ERROR")</f>
        <v>0</v>
      </c>
      <c r="G301" s="2">
        <f>"OK"</f>
        <v>0</v>
      </c>
      <c r="H301" s="2">
        <f>IFERROR(IF('03_payments_raw'!C95&lt;INDEX('01_orders_raw'!$B$2:$B$161,MATCH('03_payments_raw'!B95,'01_orders_raw'!$A$2:$A$161,0)),"ERROR","OK"),"ERROR")</f>
        <v>0</v>
      </c>
      <c r="I301" s="2">
        <f>IF(OR('03_payments_raw'!E95="Оплачено",'03_payments_raw'!E95="Частично оплачено",'03_payments_raw'!E95="Не оплачено"),"OK","ERROR")</f>
        <v>0</v>
      </c>
      <c r="J301" s="2">
        <f>COUNTIF(C301:I301,"ERROR")</f>
        <v>0</v>
      </c>
      <c r="K301" s="2">
        <f>IF(J301&gt;0,"Проверить оплату","")</f>
        <v>0</v>
      </c>
    </row>
    <row r="302" spans="1:11">
      <c r="A302" s="2">
        <f>"Payment"</f>
        <v>0</v>
      </c>
      <c r="B302" s="2">
        <f>'03_payments_raw'!A96</f>
        <v>0</v>
      </c>
      <c r="C302" s="2">
        <f>"OK"</f>
        <v>0</v>
      </c>
      <c r="D302" s="2">
        <f>IF(OR('03_payments_raw'!B96="",'03_payments_raw'!E96=""),"ERROR","OK")</f>
        <v>0</v>
      </c>
      <c r="E302" s="2">
        <f>IF(COUNTIF('01_orders_raw'!$A$2:$A$161,'03_payments_raw'!B96)=0,"ERROR","OK")</f>
        <v>0</v>
      </c>
      <c r="F302" s="2">
        <f>IFERROR(IF('03_payments_raw'!D96&gt;INDEX('01_orders_raw'!$I$2:$I$161,MATCH('03_payments_raw'!B96,'01_orders_raw'!$A$2:$A$161,0)),"ERROR","OK"),"ERROR")</f>
        <v>0</v>
      </c>
      <c r="G302" s="2">
        <f>"OK"</f>
        <v>0</v>
      </c>
      <c r="H302" s="2">
        <f>IFERROR(IF('03_payments_raw'!C96&lt;INDEX('01_orders_raw'!$B$2:$B$161,MATCH('03_payments_raw'!B96,'01_orders_raw'!$A$2:$A$161,0)),"ERROR","OK"),"ERROR")</f>
        <v>0</v>
      </c>
      <c r="I302" s="2">
        <f>IF(OR('03_payments_raw'!E96="Оплачено",'03_payments_raw'!E96="Частично оплачено",'03_payments_raw'!E96="Не оплачено"),"OK","ERROR")</f>
        <v>0</v>
      </c>
      <c r="J302" s="2">
        <f>COUNTIF(C302:I302,"ERROR")</f>
        <v>0</v>
      </c>
      <c r="K302" s="2">
        <f>IF(J302&gt;0,"Проверить оплату","")</f>
        <v>0</v>
      </c>
    </row>
    <row r="303" spans="1:11">
      <c r="A303" s="2">
        <f>"Payment"</f>
        <v>0</v>
      </c>
      <c r="B303" s="2">
        <f>'03_payments_raw'!A97</f>
        <v>0</v>
      </c>
      <c r="C303" s="2">
        <f>"OK"</f>
        <v>0</v>
      </c>
      <c r="D303" s="2">
        <f>IF(OR('03_payments_raw'!B97="",'03_payments_raw'!E97=""),"ERROR","OK")</f>
        <v>0</v>
      </c>
      <c r="E303" s="2">
        <f>IF(COUNTIF('01_orders_raw'!$A$2:$A$161,'03_payments_raw'!B97)=0,"ERROR","OK")</f>
        <v>0</v>
      </c>
      <c r="F303" s="2">
        <f>IFERROR(IF('03_payments_raw'!D97&gt;INDEX('01_orders_raw'!$I$2:$I$161,MATCH('03_payments_raw'!B97,'01_orders_raw'!$A$2:$A$161,0)),"ERROR","OK"),"ERROR")</f>
        <v>0</v>
      </c>
      <c r="G303" s="2">
        <f>"OK"</f>
        <v>0</v>
      </c>
      <c r="H303" s="2">
        <f>IFERROR(IF('03_payments_raw'!C97&lt;INDEX('01_orders_raw'!$B$2:$B$161,MATCH('03_payments_raw'!B97,'01_orders_raw'!$A$2:$A$161,0)),"ERROR","OK"),"ERROR")</f>
        <v>0</v>
      </c>
      <c r="I303" s="2">
        <f>IF(OR('03_payments_raw'!E97="Оплачено",'03_payments_raw'!E97="Частично оплачено",'03_payments_raw'!E97="Не оплачено"),"OK","ERROR")</f>
        <v>0</v>
      </c>
      <c r="J303" s="2">
        <f>COUNTIF(C303:I303,"ERROR")</f>
        <v>0</v>
      </c>
      <c r="K303" s="2">
        <f>IF(J303&gt;0,"Проверить оплату","")</f>
        <v>0</v>
      </c>
    </row>
    <row r="304" spans="1:11">
      <c r="A304" s="2">
        <f>"Payment"</f>
        <v>0</v>
      </c>
      <c r="B304" s="2">
        <f>'03_payments_raw'!A98</f>
        <v>0</v>
      </c>
      <c r="C304" s="2">
        <f>"OK"</f>
        <v>0</v>
      </c>
      <c r="D304" s="2">
        <f>IF(OR('03_payments_raw'!B98="",'03_payments_raw'!E98=""),"ERROR","OK")</f>
        <v>0</v>
      </c>
      <c r="E304" s="2">
        <f>IF(COUNTIF('01_orders_raw'!$A$2:$A$161,'03_payments_raw'!B98)=0,"ERROR","OK")</f>
        <v>0</v>
      </c>
      <c r="F304" s="2">
        <f>IFERROR(IF('03_payments_raw'!D98&gt;INDEX('01_orders_raw'!$I$2:$I$161,MATCH('03_payments_raw'!B98,'01_orders_raw'!$A$2:$A$161,0)),"ERROR","OK"),"ERROR")</f>
        <v>0</v>
      </c>
      <c r="G304" s="2">
        <f>"OK"</f>
        <v>0</v>
      </c>
      <c r="H304" s="2">
        <f>IFERROR(IF('03_payments_raw'!C98&lt;INDEX('01_orders_raw'!$B$2:$B$161,MATCH('03_payments_raw'!B98,'01_orders_raw'!$A$2:$A$161,0)),"ERROR","OK"),"ERROR")</f>
        <v>0</v>
      </c>
      <c r="I304" s="2">
        <f>IF(OR('03_payments_raw'!E98="Оплачено",'03_payments_raw'!E98="Частично оплачено",'03_payments_raw'!E98="Не оплачено"),"OK","ERROR")</f>
        <v>0</v>
      </c>
      <c r="J304" s="2">
        <f>COUNTIF(C304:I304,"ERROR")</f>
        <v>0</v>
      </c>
      <c r="K304" s="2">
        <f>IF(J304&gt;0,"Проверить оплату","")</f>
        <v>0</v>
      </c>
    </row>
    <row r="305" spans="1:11">
      <c r="A305" s="2">
        <f>"Payment"</f>
        <v>0</v>
      </c>
      <c r="B305" s="2">
        <f>'03_payments_raw'!A99</f>
        <v>0</v>
      </c>
      <c r="C305" s="2">
        <f>"OK"</f>
        <v>0</v>
      </c>
      <c r="D305" s="2">
        <f>IF(OR('03_payments_raw'!B99="",'03_payments_raw'!E99=""),"ERROR","OK")</f>
        <v>0</v>
      </c>
      <c r="E305" s="2">
        <f>IF(COUNTIF('01_orders_raw'!$A$2:$A$161,'03_payments_raw'!B99)=0,"ERROR","OK")</f>
        <v>0</v>
      </c>
      <c r="F305" s="2">
        <f>IFERROR(IF('03_payments_raw'!D99&gt;INDEX('01_orders_raw'!$I$2:$I$161,MATCH('03_payments_raw'!B99,'01_orders_raw'!$A$2:$A$161,0)),"ERROR","OK"),"ERROR")</f>
        <v>0</v>
      </c>
      <c r="G305" s="2">
        <f>"OK"</f>
        <v>0</v>
      </c>
      <c r="H305" s="2">
        <f>IFERROR(IF('03_payments_raw'!C99&lt;INDEX('01_orders_raw'!$B$2:$B$161,MATCH('03_payments_raw'!B99,'01_orders_raw'!$A$2:$A$161,0)),"ERROR","OK"),"ERROR")</f>
        <v>0</v>
      </c>
      <c r="I305" s="2">
        <f>IF(OR('03_payments_raw'!E99="Оплачено",'03_payments_raw'!E99="Частично оплачено",'03_payments_raw'!E99="Не оплачено"),"OK","ERROR")</f>
        <v>0</v>
      </c>
      <c r="J305" s="2">
        <f>COUNTIF(C305:I305,"ERROR")</f>
        <v>0</v>
      </c>
      <c r="K305" s="2">
        <f>IF(J305&gt;0,"Проверить оплату","")</f>
        <v>0</v>
      </c>
    </row>
    <row r="306" spans="1:11">
      <c r="A306" s="2">
        <f>"Payment"</f>
        <v>0</v>
      </c>
      <c r="B306" s="2">
        <f>'03_payments_raw'!A100</f>
        <v>0</v>
      </c>
      <c r="C306" s="2">
        <f>"OK"</f>
        <v>0</v>
      </c>
      <c r="D306" s="2">
        <f>IF(OR('03_payments_raw'!B100="",'03_payments_raw'!E100=""),"ERROR","OK")</f>
        <v>0</v>
      </c>
      <c r="E306" s="2">
        <f>IF(COUNTIF('01_orders_raw'!$A$2:$A$161,'03_payments_raw'!B100)=0,"ERROR","OK")</f>
        <v>0</v>
      </c>
      <c r="F306" s="2">
        <f>IFERROR(IF('03_payments_raw'!D100&gt;INDEX('01_orders_raw'!$I$2:$I$161,MATCH('03_payments_raw'!B100,'01_orders_raw'!$A$2:$A$161,0)),"ERROR","OK"),"ERROR")</f>
        <v>0</v>
      </c>
      <c r="G306" s="2">
        <f>"OK"</f>
        <v>0</v>
      </c>
      <c r="H306" s="2">
        <f>IFERROR(IF('03_payments_raw'!C100&lt;INDEX('01_orders_raw'!$B$2:$B$161,MATCH('03_payments_raw'!B100,'01_orders_raw'!$A$2:$A$161,0)),"ERROR","OK"),"ERROR")</f>
        <v>0</v>
      </c>
      <c r="I306" s="2">
        <f>IF(OR('03_payments_raw'!E100="Оплачено",'03_payments_raw'!E100="Частично оплачено",'03_payments_raw'!E100="Не оплачено"),"OK","ERROR")</f>
        <v>0</v>
      </c>
      <c r="J306" s="2">
        <f>COUNTIF(C306:I306,"ERROR")</f>
        <v>0</v>
      </c>
      <c r="K306" s="2">
        <f>IF(J306&gt;0,"Проверить оплату","")</f>
        <v>0</v>
      </c>
    </row>
    <row r="307" spans="1:11">
      <c r="A307" s="2">
        <f>"Payment"</f>
        <v>0</v>
      </c>
      <c r="B307" s="2">
        <f>'03_payments_raw'!A101</f>
        <v>0</v>
      </c>
      <c r="C307" s="2">
        <f>"OK"</f>
        <v>0</v>
      </c>
      <c r="D307" s="2">
        <f>IF(OR('03_payments_raw'!B101="",'03_payments_raw'!E101=""),"ERROR","OK")</f>
        <v>0</v>
      </c>
      <c r="E307" s="2">
        <f>IF(COUNTIF('01_orders_raw'!$A$2:$A$161,'03_payments_raw'!B101)=0,"ERROR","OK")</f>
        <v>0</v>
      </c>
      <c r="F307" s="2">
        <f>IFERROR(IF('03_payments_raw'!D101&gt;INDEX('01_orders_raw'!$I$2:$I$161,MATCH('03_payments_raw'!B101,'01_orders_raw'!$A$2:$A$161,0)),"ERROR","OK"),"ERROR")</f>
        <v>0</v>
      </c>
      <c r="G307" s="2">
        <f>"OK"</f>
        <v>0</v>
      </c>
      <c r="H307" s="2">
        <f>IFERROR(IF('03_payments_raw'!C101&lt;INDEX('01_orders_raw'!$B$2:$B$161,MATCH('03_payments_raw'!B101,'01_orders_raw'!$A$2:$A$161,0)),"ERROR","OK"),"ERROR")</f>
        <v>0</v>
      </c>
      <c r="I307" s="2">
        <f>IF(OR('03_payments_raw'!E101="Оплачено",'03_payments_raw'!E101="Частично оплачено",'03_payments_raw'!E101="Не оплачено"),"OK","ERROR")</f>
        <v>0</v>
      </c>
      <c r="J307" s="2">
        <f>COUNTIF(C307:I307,"ERROR")</f>
        <v>0</v>
      </c>
      <c r="K307" s="2">
        <f>IF(J307&gt;0,"Проверить оплату","")</f>
        <v>0</v>
      </c>
    </row>
    <row r="308" spans="1:11">
      <c r="A308" s="2">
        <f>"Payment"</f>
        <v>0</v>
      </c>
      <c r="B308" s="2">
        <f>'03_payments_raw'!A102</f>
        <v>0</v>
      </c>
      <c r="C308" s="2">
        <f>"OK"</f>
        <v>0</v>
      </c>
      <c r="D308" s="2">
        <f>IF(OR('03_payments_raw'!B102="",'03_payments_raw'!E102=""),"ERROR","OK")</f>
        <v>0</v>
      </c>
      <c r="E308" s="2">
        <f>IF(COUNTIF('01_orders_raw'!$A$2:$A$161,'03_payments_raw'!B102)=0,"ERROR","OK")</f>
        <v>0</v>
      </c>
      <c r="F308" s="2">
        <f>IFERROR(IF('03_payments_raw'!D102&gt;INDEX('01_orders_raw'!$I$2:$I$161,MATCH('03_payments_raw'!B102,'01_orders_raw'!$A$2:$A$161,0)),"ERROR","OK"),"ERROR")</f>
        <v>0</v>
      </c>
      <c r="G308" s="2">
        <f>"OK"</f>
        <v>0</v>
      </c>
      <c r="H308" s="2">
        <f>IFERROR(IF('03_payments_raw'!C102&lt;INDEX('01_orders_raw'!$B$2:$B$161,MATCH('03_payments_raw'!B102,'01_orders_raw'!$A$2:$A$161,0)),"ERROR","OK"),"ERROR")</f>
        <v>0</v>
      </c>
      <c r="I308" s="2">
        <f>IF(OR('03_payments_raw'!E102="Оплачено",'03_payments_raw'!E102="Частично оплачено",'03_payments_raw'!E102="Не оплачено"),"OK","ERROR")</f>
        <v>0</v>
      </c>
      <c r="J308" s="2">
        <f>COUNTIF(C308:I308,"ERROR")</f>
        <v>0</v>
      </c>
      <c r="K308" s="2">
        <f>IF(J308&gt;0,"Проверить оплату","")</f>
        <v>0</v>
      </c>
    </row>
    <row r="309" spans="1:11">
      <c r="A309" s="2">
        <f>"Payment"</f>
        <v>0</v>
      </c>
      <c r="B309" s="2">
        <f>'03_payments_raw'!A103</f>
        <v>0</v>
      </c>
      <c r="C309" s="2">
        <f>"OK"</f>
        <v>0</v>
      </c>
      <c r="D309" s="2">
        <f>IF(OR('03_payments_raw'!B103="",'03_payments_raw'!E103=""),"ERROR","OK")</f>
        <v>0</v>
      </c>
      <c r="E309" s="2">
        <f>IF(COUNTIF('01_orders_raw'!$A$2:$A$161,'03_payments_raw'!B103)=0,"ERROR","OK")</f>
        <v>0</v>
      </c>
      <c r="F309" s="2">
        <f>IFERROR(IF('03_payments_raw'!D103&gt;INDEX('01_orders_raw'!$I$2:$I$161,MATCH('03_payments_raw'!B103,'01_orders_raw'!$A$2:$A$161,0)),"ERROR","OK"),"ERROR")</f>
        <v>0</v>
      </c>
      <c r="G309" s="2">
        <f>"OK"</f>
        <v>0</v>
      </c>
      <c r="H309" s="2">
        <f>IFERROR(IF('03_payments_raw'!C103&lt;INDEX('01_orders_raw'!$B$2:$B$161,MATCH('03_payments_raw'!B103,'01_orders_raw'!$A$2:$A$161,0)),"ERROR","OK"),"ERROR")</f>
        <v>0</v>
      </c>
      <c r="I309" s="2">
        <f>IF(OR('03_payments_raw'!E103="Оплачено",'03_payments_raw'!E103="Частично оплачено",'03_payments_raw'!E103="Не оплачено"),"OK","ERROR")</f>
        <v>0</v>
      </c>
      <c r="J309" s="2">
        <f>COUNTIF(C309:I309,"ERROR")</f>
        <v>0</v>
      </c>
      <c r="K309" s="2">
        <f>IF(J309&gt;0,"Проверить оплату","")</f>
        <v>0</v>
      </c>
    </row>
    <row r="310" spans="1:11">
      <c r="A310" s="2">
        <f>"Payment"</f>
        <v>0</v>
      </c>
      <c r="B310" s="2">
        <f>'03_payments_raw'!A104</f>
        <v>0</v>
      </c>
      <c r="C310" s="2">
        <f>"OK"</f>
        <v>0</v>
      </c>
      <c r="D310" s="2">
        <f>IF(OR('03_payments_raw'!B104="",'03_payments_raw'!E104=""),"ERROR","OK")</f>
        <v>0</v>
      </c>
      <c r="E310" s="2">
        <f>IF(COUNTIF('01_orders_raw'!$A$2:$A$161,'03_payments_raw'!B104)=0,"ERROR","OK")</f>
        <v>0</v>
      </c>
      <c r="F310" s="2">
        <f>IFERROR(IF('03_payments_raw'!D104&gt;INDEX('01_orders_raw'!$I$2:$I$161,MATCH('03_payments_raw'!B104,'01_orders_raw'!$A$2:$A$161,0)),"ERROR","OK"),"ERROR")</f>
        <v>0</v>
      </c>
      <c r="G310" s="2">
        <f>"OK"</f>
        <v>0</v>
      </c>
      <c r="H310" s="2">
        <f>IFERROR(IF('03_payments_raw'!C104&lt;INDEX('01_orders_raw'!$B$2:$B$161,MATCH('03_payments_raw'!B104,'01_orders_raw'!$A$2:$A$161,0)),"ERROR","OK"),"ERROR")</f>
        <v>0</v>
      </c>
      <c r="I310" s="2">
        <f>IF(OR('03_payments_raw'!E104="Оплачено",'03_payments_raw'!E104="Частично оплачено",'03_payments_raw'!E104="Не оплачено"),"OK","ERROR")</f>
        <v>0</v>
      </c>
      <c r="J310" s="2">
        <f>COUNTIF(C310:I310,"ERROR")</f>
        <v>0</v>
      </c>
      <c r="K310" s="2">
        <f>IF(J310&gt;0,"Проверить оплату","")</f>
        <v>0</v>
      </c>
    </row>
    <row r="311" spans="1:11">
      <c r="A311" s="2">
        <f>"Payment"</f>
        <v>0</v>
      </c>
      <c r="B311" s="2">
        <f>'03_payments_raw'!A105</f>
        <v>0</v>
      </c>
      <c r="C311" s="2">
        <f>"OK"</f>
        <v>0</v>
      </c>
      <c r="D311" s="2">
        <f>IF(OR('03_payments_raw'!B105="",'03_payments_raw'!E105=""),"ERROR","OK")</f>
        <v>0</v>
      </c>
      <c r="E311" s="2">
        <f>IF(COUNTIF('01_orders_raw'!$A$2:$A$161,'03_payments_raw'!B105)=0,"ERROR","OK")</f>
        <v>0</v>
      </c>
      <c r="F311" s="2">
        <f>IFERROR(IF('03_payments_raw'!D105&gt;INDEX('01_orders_raw'!$I$2:$I$161,MATCH('03_payments_raw'!B105,'01_orders_raw'!$A$2:$A$161,0)),"ERROR","OK"),"ERROR")</f>
        <v>0</v>
      </c>
      <c r="G311" s="2">
        <f>"OK"</f>
        <v>0</v>
      </c>
      <c r="H311" s="2">
        <f>IFERROR(IF('03_payments_raw'!C105&lt;INDEX('01_orders_raw'!$B$2:$B$161,MATCH('03_payments_raw'!B105,'01_orders_raw'!$A$2:$A$161,0)),"ERROR","OK"),"ERROR")</f>
        <v>0</v>
      </c>
      <c r="I311" s="2">
        <f>IF(OR('03_payments_raw'!E105="Оплачено",'03_payments_raw'!E105="Частично оплачено",'03_payments_raw'!E105="Не оплачено"),"OK","ERROR")</f>
        <v>0</v>
      </c>
      <c r="J311" s="2">
        <f>COUNTIF(C311:I311,"ERROR")</f>
        <v>0</v>
      </c>
      <c r="K311" s="2">
        <f>IF(J311&gt;0,"Проверить оплату","")</f>
        <v>0</v>
      </c>
    </row>
    <row r="312" spans="1:11">
      <c r="A312" s="2">
        <f>"Payment"</f>
        <v>0</v>
      </c>
      <c r="B312" s="2">
        <f>'03_payments_raw'!A106</f>
        <v>0</v>
      </c>
      <c r="C312" s="2">
        <f>"OK"</f>
        <v>0</v>
      </c>
      <c r="D312" s="2">
        <f>IF(OR('03_payments_raw'!B106="",'03_payments_raw'!E106=""),"ERROR","OK")</f>
        <v>0</v>
      </c>
      <c r="E312" s="2">
        <f>IF(COUNTIF('01_orders_raw'!$A$2:$A$161,'03_payments_raw'!B106)=0,"ERROR","OK")</f>
        <v>0</v>
      </c>
      <c r="F312" s="2">
        <f>IFERROR(IF('03_payments_raw'!D106&gt;INDEX('01_orders_raw'!$I$2:$I$161,MATCH('03_payments_raw'!B106,'01_orders_raw'!$A$2:$A$161,0)),"ERROR","OK"),"ERROR")</f>
        <v>0</v>
      </c>
      <c r="G312" s="2">
        <f>"OK"</f>
        <v>0</v>
      </c>
      <c r="H312" s="2">
        <f>IFERROR(IF('03_payments_raw'!C106&lt;INDEX('01_orders_raw'!$B$2:$B$161,MATCH('03_payments_raw'!B106,'01_orders_raw'!$A$2:$A$161,0)),"ERROR","OK"),"ERROR")</f>
        <v>0</v>
      </c>
      <c r="I312" s="2">
        <f>IF(OR('03_payments_raw'!E106="Оплачено",'03_payments_raw'!E106="Частично оплачено",'03_payments_raw'!E106="Не оплачено"),"OK","ERROR")</f>
        <v>0</v>
      </c>
      <c r="J312" s="2">
        <f>COUNTIF(C312:I312,"ERROR")</f>
        <v>0</v>
      </c>
      <c r="K312" s="2">
        <f>IF(J312&gt;0,"Проверить оплату","")</f>
        <v>0</v>
      </c>
    </row>
    <row r="313" spans="1:11">
      <c r="A313" s="2">
        <f>"Payment"</f>
        <v>0</v>
      </c>
      <c r="B313" s="2">
        <f>'03_payments_raw'!A107</f>
        <v>0</v>
      </c>
      <c r="C313" s="2">
        <f>"OK"</f>
        <v>0</v>
      </c>
      <c r="D313" s="2">
        <f>IF(OR('03_payments_raw'!B107="",'03_payments_raw'!E107=""),"ERROR","OK")</f>
        <v>0</v>
      </c>
      <c r="E313" s="2">
        <f>IF(COUNTIF('01_orders_raw'!$A$2:$A$161,'03_payments_raw'!B107)=0,"ERROR","OK")</f>
        <v>0</v>
      </c>
      <c r="F313" s="2">
        <f>IFERROR(IF('03_payments_raw'!D107&gt;INDEX('01_orders_raw'!$I$2:$I$161,MATCH('03_payments_raw'!B107,'01_orders_raw'!$A$2:$A$161,0)),"ERROR","OK"),"ERROR")</f>
        <v>0</v>
      </c>
      <c r="G313" s="2">
        <f>"OK"</f>
        <v>0</v>
      </c>
      <c r="H313" s="2">
        <f>IFERROR(IF('03_payments_raw'!C107&lt;INDEX('01_orders_raw'!$B$2:$B$161,MATCH('03_payments_raw'!B107,'01_orders_raw'!$A$2:$A$161,0)),"ERROR","OK"),"ERROR")</f>
        <v>0</v>
      </c>
      <c r="I313" s="2">
        <f>IF(OR('03_payments_raw'!E107="Оплачено",'03_payments_raw'!E107="Частично оплачено",'03_payments_raw'!E107="Не оплачено"),"OK","ERROR")</f>
        <v>0</v>
      </c>
      <c r="J313" s="2">
        <f>COUNTIF(C313:I313,"ERROR")</f>
        <v>0</v>
      </c>
      <c r="K313" s="2">
        <f>IF(J313&gt;0,"Проверить оплату","")</f>
        <v>0</v>
      </c>
    </row>
    <row r="314" spans="1:11">
      <c r="A314" s="2">
        <f>"Payment"</f>
        <v>0</v>
      </c>
      <c r="B314" s="2">
        <f>'03_payments_raw'!A108</f>
        <v>0</v>
      </c>
      <c r="C314" s="2">
        <f>"OK"</f>
        <v>0</v>
      </c>
      <c r="D314" s="2">
        <f>IF(OR('03_payments_raw'!B108="",'03_payments_raw'!E108=""),"ERROR","OK")</f>
        <v>0</v>
      </c>
      <c r="E314" s="2">
        <f>IF(COUNTIF('01_orders_raw'!$A$2:$A$161,'03_payments_raw'!B108)=0,"ERROR","OK")</f>
        <v>0</v>
      </c>
      <c r="F314" s="2">
        <f>IFERROR(IF('03_payments_raw'!D108&gt;INDEX('01_orders_raw'!$I$2:$I$161,MATCH('03_payments_raw'!B108,'01_orders_raw'!$A$2:$A$161,0)),"ERROR","OK"),"ERROR")</f>
        <v>0</v>
      </c>
      <c r="G314" s="2">
        <f>"OK"</f>
        <v>0</v>
      </c>
      <c r="H314" s="2">
        <f>IFERROR(IF('03_payments_raw'!C108&lt;INDEX('01_orders_raw'!$B$2:$B$161,MATCH('03_payments_raw'!B108,'01_orders_raw'!$A$2:$A$161,0)),"ERROR","OK"),"ERROR")</f>
        <v>0</v>
      </c>
      <c r="I314" s="2">
        <f>IF(OR('03_payments_raw'!E108="Оплачено",'03_payments_raw'!E108="Частично оплачено",'03_payments_raw'!E108="Не оплачено"),"OK","ERROR")</f>
        <v>0</v>
      </c>
      <c r="J314" s="2">
        <f>COUNTIF(C314:I314,"ERROR")</f>
        <v>0</v>
      </c>
      <c r="K314" s="2">
        <f>IF(J314&gt;0,"Проверить оплату","")</f>
        <v>0</v>
      </c>
    </row>
    <row r="315" spans="1:11">
      <c r="A315" s="2">
        <f>"Payment"</f>
        <v>0</v>
      </c>
      <c r="B315" s="2">
        <f>'03_payments_raw'!A109</f>
        <v>0</v>
      </c>
      <c r="C315" s="2">
        <f>"OK"</f>
        <v>0</v>
      </c>
      <c r="D315" s="2">
        <f>IF(OR('03_payments_raw'!B109="",'03_payments_raw'!E109=""),"ERROR","OK")</f>
        <v>0</v>
      </c>
      <c r="E315" s="2">
        <f>IF(COUNTIF('01_orders_raw'!$A$2:$A$161,'03_payments_raw'!B109)=0,"ERROR","OK")</f>
        <v>0</v>
      </c>
      <c r="F315" s="2">
        <f>IFERROR(IF('03_payments_raw'!D109&gt;INDEX('01_orders_raw'!$I$2:$I$161,MATCH('03_payments_raw'!B109,'01_orders_raw'!$A$2:$A$161,0)),"ERROR","OK"),"ERROR")</f>
        <v>0</v>
      </c>
      <c r="G315" s="2">
        <f>"OK"</f>
        <v>0</v>
      </c>
      <c r="H315" s="2">
        <f>IFERROR(IF('03_payments_raw'!C109&lt;INDEX('01_orders_raw'!$B$2:$B$161,MATCH('03_payments_raw'!B109,'01_orders_raw'!$A$2:$A$161,0)),"ERROR","OK"),"ERROR")</f>
        <v>0</v>
      </c>
      <c r="I315" s="2">
        <f>IF(OR('03_payments_raw'!E109="Оплачено",'03_payments_raw'!E109="Частично оплачено",'03_payments_raw'!E109="Не оплачено"),"OK","ERROR")</f>
        <v>0</v>
      </c>
      <c r="J315" s="2">
        <f>COUNTIF(C315:I315,"ERROR")</f>
        <v>0</v>
      </c>
      <c r="K315" s="2">
        <f>IF(J315&gt;0,"Проверить оплату","")</f>
        <v>0</v>
      </c>
    </row>
    <row r="316" spans="1:11">
      <c r="A316" s="2">
        <f>"Payment"</f>
        <v>0</v>
      </c>
      <c r="B316" s="2">
        <f>'03_payments_raw'!A110</f>
        <v>0</v>
      </c>
      <c r="C316" s="2">
        <f>"OK"</f>
        <v>0</v>
      </c>
      <c r="D316" s="2">
        <f>IF(OR('03_payments_raw'!B110="",'03_payments_raw'!E110=""),"ERROR","OK")</f>
        <v>0</v>
      </c>
      <c r="E316" s="2">
        <f>IF(COUNTIF('01_orders_raw'!$A$2:$A$161,'03_payments_raw'!B110)=0,"ERROR","OK")</f>
        <v>0</v>
      </c>
      <c r="F316" s="2">
        <f>IFERROR(IF('03_payments_raw'!D110&gt;INDEX('01_orders_raw'!$I$2:$I$161,MATCH('03_payments_raw'!B110,'01_orders_raw'!$A$2:$A$161,0)),"ERROR","OK"),"ERROR")</f>
        <v>0</v>
      </c>
      <c r="G316" s="2">
        <f>"OK"</f>
        <v>0</v>
      </c>
      <c r="H316" s="2">
        <f>IFERROR(IF('03_payments_raw'!C110&lt;INDEX('01_orders_raw'!$B$2:$B$161,MATCH('03_payments_raw'!B110,'01_orders_raw'!$A$2:$A$161,0)),"ERROR","OK"),"ERROR")</f>
        <v>0</v>
      </c>
      <c r="I316" s="2">
        <f>IF(OR('03_payments_raw'!E110="Оплачено",'03_payments_raw'!E110="Частично оплачено",'03_payments_raw'!E110="Не оплачено"),"OK","ERROR")</f>
        <v>0</v>
      </c>
      <c r="J316" s="2">
        <f>COUNTIF(C316:I316,"ERROR")</f>
        <v>0</v>
      </c>
      <c r="K316" s="2">
        <f>IF(J316&gt;0,"Проверить оплату","")</f>
        <v>0</v>
      </c>
    </row>
    <row r="317" spans="1:11">
      <c r="A317" s="2">
        <f>"Payment"</f>
        <v>0</v>
      </c>
      <c r="B317" s="2">
        <f>'03_payments_raw'!A111</f>
        <v>0</v>
      </c>
      <c r="C317" s="2">
        <f>"OK"</f>
        <v>0</v>
      </c>
      <c r="D317" s="2">
        <f>IF(OR('03_payments_raw'!B111="",'03_payments_raw'!E111=""),"ERROR","OK")</f>
        <v>0</v>
      </c>
      <c r="E317" s="2">
        <f>IF(COUNTIF('01_orders_raw'!$A$2:$A$161,'03_payments_raw'!B111)=0,"ERROR","OK")</f>
        <v>0</v>
      </c>
      <c r="F317" s="2">
        <f>IFERROR(IF('03_payments_raw'!D111&gt;INDEX('01_orders_raw'!$I$2:$I$161,MATCH('03_payments_raw'!B111,'01_orders_raw'!$A$2:$A$161,0)),"ERROR","OK"),"ERROR")</f>
        <v>0</v>
      </c>
      <c r="G317" s="2">
        <f>"OK"</f>
        <v>0</v>
      </c>
      <c r="H317" s="2">
        <f>IFERROR(IF('03_payments_raw'!C111&lt;INDEX('01_orders_raw'!$B$2:$B$161,MATCH('03_payments_raw'!B111,'01_orders_raw'!$A$2:$A$161,0)),"ERROR","OK"),"ERROR")</f>
        <v>0</v>
      </c>
      <c r="I317" s="2">
        <f>IF(OR('03_payments_raw'!E111="Оплачено",'03_payments_raw'!E111="Частично оплачено",'03_payments_raw'!E111="Не оплачено"),"OK","ERROR")</f>
        <v>0</v>
      </c>
      <c r="J317" s="2">
        <f>COUNTIF(C317:I317,"ERROR")</f>
        <v>0</v>
      </c>
      <c r="K317" s="2">
        <f>IF(J317&gt;0,"Проверить оплату","")</f>
        <v>0</v>
      </c>
    </row>
    <row r="318" spans="1:11">
      <c r="A318" s="2">
        <f>"Payment"</f>
        <v>0</v>
      </c>
      <c r="B318" s="2">
        <f>'03_payments_raw'!A112</f>
        <v>0</v>
      </c>
      <c r="C318" s="2">
        <f>"OK"</f>
        <v>0</v>
      </c>
      <c r="D318" s="2">
        <f>IF(OR('03_payments_raw'!B112="",'03_payments_raw'!E112=""),"ERROR","OK")</f>
        <v>0</v>
      </c>
      <c r="E318" s="2">
        <f>IF(COUNTIF('01_orders_raw'!$A$2:$A$161,'03_payments_raw'!B112)=0,"ERROR","OK")</f>
        <v>0</v>
      </c>
      <c r="F318" s="2">
        <f>IFERROR(IF('03_payments_raw'!D112&gt;INDEX('01_orders_raw'!$I$2:$I$161,MATCH('03_payments_raw'!B112,'01_orders_raw'!$A$2:$A$161,0)),"ERROR","OK"),"ERROR")</f>
        <v>0</v>
      </c>
      <c r="G318" s="2">
        <f>"OK"</f>
        <v>0</v>
      </c>
      <c r="H318" s="2">
        <f>IFERROR(IF('03_payments_raw'!C112&lt;INDEX('01_orders_raw'!$B$2:$B$161,MATCH('03_payments_raw'!B112,'01_orders_raw'!$A$2:$A$161,0)),"ERROR","OK"),"ERROR")</f>
        <v>0</v>
      </c>
      <c r="I318" s="2">
        <f>IF(OR('03_payments_raw'!E112="Оплачено",'03_payments_raw'!E112="Частично оплачено",'03_payments_raw'!E112="Не оплачено"),"OK","ERROR")</f>
        <v>0</v>
      </c>
      <c r="J318" s="2">
        <f>COUNTIF(C318:I318,"ERROR")</f>
        <v>0</v>
      </c>
      <c r="K318" s="2">
        <f>IF(J318&gt;0,"Проверить оплату","")</f>
        <v>0</v>
      </c>
    </row>
    <row r="319" spans="1:11">
      <c r="A319" s="2">
        <f>"Payment"</f>
        <v>0</v>
      </c>
      <c r="B319" s="2">
        <f>'03_payments_raw'!A113</f>
        <v>0</v>
      </c>
      <c r="C319" s="2">
        <f>"OK"</f>
        <v>0</v>
      </c>
      <c r="D319" s="2">
        <f>IF(OR('03_payments_raw'!B113="",'03_payments_raw'!E113=""),"ERROR","OK")</f>
        <v>0</v>
      </c>
      <c r="E319" s="2">
        <f>IF(COUNTIF('01_orders_raw'!$A$2:$A$161,'03_payments_raw'!B113)=0,"ERROR","OK")</f>
        <v>0</v>
      </c>
      <c r="F319" s="2">
        <f>IFERROR(IF('03_payments_raw'!D113&gt;INDEX('01_orders_raw'!$I$2:$I$161,MATCH('03_payments_raw'!B113,'01_orders_raw'!$A$2:$A$161,0)),"ERROR","OK"),"ERROR")</f>
        <v>0</v>
      </c>
      <c r="G319" s="2">
        <f>"OK"</f>
        <v>0</v>
      </c>
      <c r="H319" s="2">
        <f>IFERROR(IF('03_payments_raw'!C113&lt;INDEX('01_orders_raw'!$B$2:$B$161,MATCH('03_payments_raw'!B113,'01_orders_raw'!$A$2:$A$161,0)),"ERROR","OK"),"ERROR")</f>
        <v>0</v>
      </c>
      <c r="I319" s="2">
        <f>IF(OR('03_payments_raw'!E113="Оплачено",'03_payments_raw'!E113="Частично оплачено",'03_payments_raw'!E113="Не оплачено"),"OK","ERROR")</f>
        <v>0</v>
      </c>
      <c r="J319" s="2">
        <f>COUNTIF(C319:I319,"ERROR")</f>
        <v>0</v>
      </c>
      <c r="K319" s="2">
        <f>IF(J319&gt;0,"Проверить оплату","")</f>
        <v>0</v>
      </c>
    </row>
    <row r="320" spans="1:11">
      <c r="A320" s="2">
        <f>"Payment"</f>
        <v>0</v>
      </c>
      <c r="B320" s="2">
        <f>'03_payments_raw'!A114</f>
        <v>0</v>
      </c>
      <c r="C320" s="2">
        <f>"OK"</f>
        <v>0</v>
      </c>
      <c r="D320" s="2">
        <f>IF(OR('03_payments_raw'!B114="",'03_payments_raw'!E114=""),"ERROR","OK")</f>
        <v>0</v>
      </c>
      <c r="E320" s="2">
        <f>IF(COUNTIF('01_orders_raw'!$A$2:$A$161,'03_payments_raw'!B114)=0,"ERROR","OK")</f>
        <v>0</v>
      </c>
      <c r="F320" s="2">
        <f>IFERROR(IF('03_payments_raw'!D114&gt;INDEX('01_orders_raw'!$I$2:$I$161,MATCH('03_payments_raw'!B114,'01_orders_raw'!$A$2:$A$161,0)),"ERROR","OK"),"ERROR")</f>
        <v>0</v>
      </c>
      <c r="G320" s="2">
        <f>"OK"</f>
        <v>0</v>
      </c>
      <c r="H320" s="2">
        <f>IFERROR(IF('03_payments_raw'!C114&lt;INDEX('01_orders_raw'!$B$2:$B$161,MATCH('03_payments_raw'!B114,'01_orders_raw'!$A$2:$A$161,0)),"ERROR","OK"),"ERROR")</f>
        <v>0</v>
      </c>
      <c r="I320" s="2">
        <f>IF(OR('03_payments_raw'!E114="Оплачено",'03_payments_raw'!E114="Частично оплачено",'03_payments_raw'!E114="Не оплачено"),"OK","ERROR")</f>
        <v>0</v>
      </c>
      <c r="J320" s="2">
        <f>COUNTIF(C320:I320,"ERROR")</f>
        <v>0</v>
      </c>
      <c r="K320" s="2">
        <f>IF(J320&gt;0,"Проверить оплату","")</f>
        <v>0</v>
      </c>
    </row>
    <row r="321" spans="1:11">
      <c r="A321" s="2">
        <f>"Payment"</f>
        <v>0</v>
      </c>
      <c r="B321" s="2">
        <f>'03_payments_raw'!A115</f>
        <v>0</v>
      </c>
      <c r="C321" s="2">
        <f>"OK"</f>
        <v>0</v>
      </c>
      <c r="D321" s="2">
        <f>IF(OR('03_payments_raw'!B115="",'03_payments_raw'!E115=""),"ERROR","OK")</f>
        <v>0</v>
      </c>
      <c r="E321" s="2">
        <f>IF(COUNTIF('01_orders_raw'!$A$2:$A$161,'03_payments_raw'!B115)=0,"ERROR","OK")</f>
        <v>0</v>
      </c>
      <c r="F321" s="2">
        <f>IFERROR(IF('03_payments_raw'!D115&gt;INDEX('01_orders_raw'!$I$2:$I$161,MATCH('03_payments_raw'!B115,'01_orders_raw'!$A$2:$A$161,0)),"ERROR","OK"),"ERROR")</f>
        <v>0</v>
      </c>
      <c r="G321" s="2">
        <f>"OK"</f>
        <v>0</v>
      </c>
      <c r="H321" s="2">
        <f>IFERROR(IF('03_payments_raw'!C115&lt;INDEX('01_orders_raw'!$B$2:$B$161,MATCH('03_payments_raw'!B115,'01_orders_raw'!$A$2:$A$161,0)),"ERROR","OK"),"ERROR")</f>
        <v>0</v>
      </c>
      <c r="I321" s="2">
        <f>IF(OR('03_payments_raw'!E115="Оплачено",'03_payments_raw'!E115="Частично оплачено",'03_payments_raw'!E115="Не оплачено"),"OK","ERROR")</f>
        <v>0</v>
      </c>
      <c r="J321" s="2">
        <f>COUNTIF(C321:I321,"ERROR")</f>
        <v>0</v>
      </c>
      <c r="K321" s="2">
        <f>IF(J321&gt;0,"Проверить оплату","")</f>
        <v>0</v>
      </c>
    </row>
    <row r="322" spans="1:11">
      <c r="A322" s="2">
        <f>"Payment"</f>
        <v>0</v>
      </c>
      <c r="B322" s="2">
        <f>'03_payments_raw'!A116</f>
        <v>0</v>
      </c>
      <c r="C322" s="2">
        <f>"OK"</f>
        <v>0</v>
      </c>
      <c r="D322" s="2">
        <f>IF(OR('03_payments_raw'!B116="",'03_payments_raw'!E116=""),"ERROR","OK")</f>
        <v>0</v>
      </c>
      <c r="E322" s="2">
        <f>IF(COUNTIF('01_orders_raw'!$A$2:$A$161,'03_payments_raw'!B116)=0,"ERROR","OK")</f>
        <v>0</v>
      </c>
      <c r="F322" s="2">
        <f>IFERROR(IF('03_payments_raw'!D116&gt;INDEX('01_orders_raw'!$I$2:$I$161,MATCH('03_payments_raw'!B116,'01_orders_raw'!$A$2:$A$161,0)),"ERROR","OK"),"ERROR")</f>
        <v>0</v>
      </c>
      <c r="G322" s="2">
        <f>"OK"</f>
        <v>0</v>
      </c>
      <c r="H322" s="2">
        <f>IFERROR(IF('03_payments_raw'!C116&lt;INDEX('01_orders_raw'!$B$2:$B$161,MATCH('03_payments_raw'!B116,'01_orders_raw'!$A$2:$A$161,0)),"ERROR","OK"),"ERROR")</f>
        <v>0</v>
      </c>
      <c r="I322" s="2">
        <f>IF(OR('03_payments_raw'!E116="Оплачено",'03_payments_raw'!E116="Частично оплачено",'03_payments_raw'!E116="Не оплачено"),"OK","ERROR")</f>
        <v>0</v>
      </c>
      <c r="J322" s="2">
        <f>COUNTIF(C322:I322,"ERROR")</f>
        <v>0</v>
      </c>
      <c r="K322" s="2">
        <f>IF(J322&gt;0,"Проверить оплату","")</f>
        <v>0</v>
      </c>
    </row>
    <row r="323" spans="1:11">
      <c r="A323" s="2">
        <f>"Payment"</f>
        <v>0</v>
      </c>
      <c r="B323" s="2">
        <f>'03_payments_raw'!A117</f>
        <v>0</v>
      </c>
      <c r="C323" s="2">
        <f>"OK"</f>
        <v>0</v>
      </c>
      <c r="D323" s="2">
        <f>IF(OR('03_payments_raw'!B117="",'03_payments_raw'!E117=""),"ERROR","OK")</f>
        <v>0</v>
      </c>
      <c r="E323" s="2">
        <f>IF(COUNTIF('01_orders_raw'!$A$2:$A$161,'03_payments_raw'!B117)=0,"ERROR","OK")</f>
        <v>0</v>
      </c>
      <c r="F323" s="2">
        <f>IFERROR(IF('03_payments_raw'!D117&gt;INDEX('01_orders_raw'!$I$2:$I$161,MATCH('03_payments_raw'!B117,'01_orders_raw'!$A$2:$A$161,0)),"ERROR","OK"),"ERROR")</f>
        <v>0</v>
      </c>
      <c r="G323" s="2">
        <f>"OK"</f>
        <v>0</v>
      </c>
      <c r="H323" s="2">
        <f>IFERROR(IF('03_payments_raw'!C117&lt;INDEX('01_orders_raw'!$B$2:$B$161,MATCH('03_payments_raw'!B117,'01_orders_raw'!$A$2:$A$161,0)),"ERROR","OK"),"ERROR")</f>
        <v>0</v>
      </c>
      <c r="I323" s="2">
        <f>IF(OR('03_payments_raw'!E117="Оплачено",'03_payments_raw'!E117="Частично оплачено",'03_payments_raw'!E117="Не оплачено"),"OK","ERROR")</f>
        <v>0</v>
      </c>
      <c r="J323" s="2">
        <f>COUNTIF(C323:I323,"ERROR")</f>
        <v>0</v>
      </c>
      <c r="K323" s="2">
        <f>IF(J323&gt;0,"Проверить оплату","")</f>
        <v>0</v>
      </c>
    </row>
    <row r="324" spans="1:11">
      <c r="A324" s="2">
        <f>"Payment"</f>
        <v>0</v>
      </c>
      <c r="B324" s="2">
        <f>'03_payments_raw'!A118</f>
        <v>0</v>
      </c>
      <c r="C324" s="2">
        <f>"OK"</f>
        <v>0</v>
      </c>
      <c r="D324" s="2">
        <f>IF(OR('03_payments_raw'!B118="",'03_payments_raw'!E118=""),"ERROR","OK")</f>
        <v>0</v>
      </c>
      <c r="E324" s="2">
        <f>IF(COUNTIF('01_orders_raw'!$A$2:$A$161,'03_payments_raw'!B118)=0,"ERROR","OK")</f>
        <v>0</v>
      </c>
      <c r="F324" s="2">
        <f>IFERROR(IF('03_payments_raw'!D118&gt;INDEX('01_orders_raw'!$I$2:$I$161,MATCH('03_payments_raw'!B118,'01_orders_raw'!$A$2:$A$161,0)),"ERROR","OK"),"ERROR")</f>
        <v>0</v>
      </c>
      <c r="G324" s="2">
        <f>"OK"</f>
        <v>0</v>
      </c>
      <c r="H324" s="2">
        <f>IFERROR(IF('03_payments_raw'!C118&lt;INDEX('01_orders_raw'!$B$2:$B$161,MATCH('03_payments_raw'!B118,'01_orders_raw'!$A$2:$A$161,0)),"ERROR","OK"),"ERROR")</f>
        <v>0</v>
      </c>
      <c r="I324" s="2">
        <f>IF(OR('03_payments_raw'!E118="Оплачено",'03_payments_raw'!E118="Частично оплачено",'03_payments_raw'!E118="Не оплачено"),"OK","ERROR")</f>
        <v>0</v>
      </c>
      <c r="J324" s="2">
        <f>COUNTIF(C324:I324,"ERROR")</f>
        <v>0</v>
      </c>
      <c r="K324" s="2">
        <f>IF(J324&gt;0,"Проверить оплату","")</f>
        <v>0</v>
      </c>
    </row>
    <row r="325" spans="1:11">
      <c r="A325" s="2">
        <f>"Payment"</f>
        <v>0</v>
      </c>
      <c r="B325" s="2">
        <f>'03_payments_raw'!A119</f>
        <v>0</v>
      </c>
      <c r="C325" s="2">
        <f>"OK"</f>
        <v>0</v>
      </c>
      <c r="D325" s="2">
        <f>IF(OR('03_payments_raw'!B119="",'03_payments_raw'!E119=""),"ERROR","OK")</f>
        <v>0</v>
      </c>
      <c r="E325" s="2">
        <f>IF(COUNTIF('01_orders_raw'!$A$2:$A$161,'03_payments_raw'!B119)=0,"ERROR","OK")</f>
        <v>0</v>
      </c>
      <c r="F325" s="2">
        <f>IFERROR(IF('03_payments_raw'!D119&gt;INDEX('01_orders_raw'!$I$2:$I$161,MATCH('03_payments_raw'!B119,'01_orders_raw'!$A$2:$A$161,0)),"ERROR","OK"),"ERROR")</f>
        <v>0</v>
      </c>
      <c r="G325" s="2">
        <f>"OK"</f>
        <v>0</v>
      </c>
      <c r="H325" s="2">
        <f>IFERROR(IF('03_payments_raw'!C119&lt;INDEX('01_orders_raw'!$B$2:$B$161,MATCH('03_payments_raw'!B119,'01_orders_raw'!$A$2:$A$161,0)),"ERROR","OK"),"ERROR")</f>
        <v>0</v>
      </c>
      <c r="I325" s="2">
        <f>IF(OR('03_payments_raw'!E119="Оплачено",'03_payments_raw'!E119="Частично оплачено",'03_payments_raw'!E119="Не оплачено"),"OK","ERROR")</f>
        <v>0</v>
      </c>
      <c r="J325" s="2">
        <f>COUNTIF(C325:I325,"ERROR")</f>
        <v>0</v>
      </c>
      <c r="K325" s="2">
        <f>IF(J325&gt;0,"Проверить оплату","")</f>
        <v>0</v>
      </c>
    </row>
    <row r="326" spans="1:11">
      <c r="A326" s="2">
        <f>"Payment"</f>
        <v>0</v>
      </c>
      <c r="B326" s="2">
        <f>'03_payments_raw'!A120</f>
        <v>0</v>
      </c>
      <c r="C326" s="2">
        <f>"OK"</f>
        <v>0</v>
      </c>
      <c r="D326" s="2">
        <f>IF(OR('03_payments_raw'!B120="",'03_payments_raw'!E120=""),"ERROR","OK")</f>
        <v>0</v>
      </c>
      <c r="E326" s="2">
        <f>IF(COUNTIF('01_orders_raw'!$A$2:$A$161,'03_payments_raw'!B120)=0,"ERROR","OK")</f>
        <v>0</v>
      </c>
      <c r="F326" s="2">
        <f>IFERROR(IF('03_payments_raw'!D120&gt;INDEX('01_orders_raw'!$I$2:$I$161,MATCH('03_payments_raw'!B120,'01_orders_raw'!$A$2:$A$161,0)),"ERROR","OK"),"ERROR")</f>
        <v>0</v>
      </c>
      <c r="G326" s="2">
        <f>"OK"</f>
        <v>0</v>
      </c>
      <c r="H326" s="2">
        <f>IFERROR(IF('03_payments_raw'!C120&lt;INDEX('01_orders_raw'!$B$2:$B$161,MATCH('03_payments_raw'!B120,'01_orders_raw'!$A$2:$A$161,0)),"ERROR","OK"),"ERROR")</f>
        <v>0</v>
      </c>
      <c r="I326" s="2">
        <f>IF(OR('03_payments_raw'!E120="Оплачено",'03_payments_raw'!E120="Частично оплачено",'03_payments_raw'!E120="Не оплачено"),"OK","ERROR")</f>
        <v>0</v>
      </c>
      <c r="J326" s="2">
        <f>COUNTIF(C326:I326,"ERROR")</f>
        <v>0</v>
      </c>
      <c r="K326" s="2">
        <f>IF(J326&gt;0,"Проверить оплату","")</f>
        <v>0</v>
      </c>
    </row>
    <row r="327" spans="1:11">
      <c r="A327" s="2">
        <f>"Payment"</f>
        <v>0</v>
      </c>
      <c r="B327" s="2">
        <f>'03_payments_raw'!A121</f>
        <v>0</v>
      </c>
      <c r="C327" s="2">
        <f>"OK"</f>
        <v>0</v>
      </c>
      <c r="D327" s="2">
        <f>IF(OR('03_payments_raw'!B121="",'03_payments_raw'!E121=""),"ERROR","OK")</f>
        <v>0</v>
      </c>
      <c r="E327" s="2">
        <f>IF(COUNTIF('01_orders_raw'!$A$2:$A$161,'03_payments_raw'!B121)=0,"ERROR","OK")</f>
        <v>0</v>
      </c>
      <c r="F327" s="2">
        <f>IFERROR(IF('03_payments_raw'!D121&gt;INDEX('01_orders_raw'!$I$2:$I$161,MATCH('03_payments_raw'!B121,'01_orders_raw'!$A$2:$A$161,0)),"ERROR","OK"),"ERROR")</f>
        <v>0</v>
      </c>
      <c r="G327" s="2">
        <f>"OK"</f>
        <v>0</v>
      </c>
      <c r="H327" s="2">
        <f>IFERROR(IF('03_payments_raw'!C121&lt;INDEX('01_orders_raw'!$B$2:$B$161,MATCH('03_payments_raw'!B121,'01_orders_raw'!$A$2:$A$161,0)),"ERROR","OK"),"ERROR")</f>
        <v>0</v>
      </c>
      <c r="I327" s="2">
        <f>IF(OR('03_payments_raw'!E121="Оплачено",'03_payments_raw'!E121="Частично оплачено",'03_payments_raw'!E121="Не оплачено"),"OK","ERROR")</f>
        <v>0</v>
      </c>
      <c r="J327" s="2">
        <f>COUNTIF(C327:I327,"ERROR")</f>
        <v>0</v>
      </c>
      <c r="K327" s="2">
        <f>IF(J327&gt;0,"Проверить оплату","")</f>
        <v>0</v>
      </c>
    </row>
  </sheetData>
  <autoFilter ref="A1:K327"/>
  <conditionalFormatting sqref="C2:I327">
    <cfRule type="containsText" dxfId="0" priority="1" operator="containsText" text="ERROR">
      <formula>NOT(ISERROR(SEARCH("ERROR",C2)))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G25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2" width="14.7109375" customWidth="1"/>
    <col min="3" max="3" width="12.7109375" customWidth="1"/>
    <col min="4" max="4" width="20.7109375" customWidth="1"/>
    <col min="5" max="5" width="13.7109375" customWidth="1"/>
    <col min="6" max="6" width="18.7109375" customWidth="1"/>
    <col min="7" max="7" width="62.7109375" customWidth="1"/>
  </cols>
  <sheetData>
    <row r="1" spans="1:7">
      <c r="A1" s="1" t="s">
        <v>325</v>
      </c>
      <c r="B1" s="1" t="s">
        <v>326</v>
      </c>
      <c r="C1" s="1" t="s">
        <v>336</v>
      </c>
      <c r="D1" s="1" t="s">
        <v>337</v>
      </c>
      <c r="E1" s="1" t="s">
        <v>338</v>
      </c>
      <c r="F1" s="1" t="s">
        <v>339</v>
      </c>
      <c r="G1" s="1" t="s">
        <v>340</v>
      </c>
    </row>
    <row r="2" spans="1:7">
      <c r="A2" s="2" t="s">
        <v>341</v>
      </c>
      <c r="B2" s="2">
        <v>1007</v>
      </c>
      <c r="C2" s="2">
        <v>8</v>
      </c>
      <c r="D2" s="2" t="s">
        <v>342</v>
      </c>
      <c r="E2" s="2" t="s">
        <v>343</v>
      </c>
      <c r="F2" s="2" t="s">
        <v>0</v>
      </c>
      <c r="G2" s="5" t="s">
        <v>344</v>
      </c>
    </row>
    <row r="3" spans="1:7">
      <c r="A3" s="2" t="s">
        <v>341</v>
      </c>
      <c r="B3" s="2">
        <v>1007</v>
      </c>
      <c r="C3" s="2">
        <v>9</v>
      </c>
      <c r="D3" s="2" t="s">
        <v>342</v>
      </c>
      <c r="E3" s="2" t="s">
        <v>343</v>
      </c>
      <c r="F3" s="2" t="s">
        <v>0</v>
      </c>
      <c r="G3" s="5" t="s">
        <v>344</v>
      </c>
    </row>
    <row r="4" spans="1:7">
      <c r="A4" s="2" t="s">
        <v>341</v>
      </c>
      <c r="B4" s="2">
        <v>1016</v>
      </c>
      <c r="C4" s="2">
        <v>17</v>
      </c>
      <c r="D4" s="2" t="s">
        <v>345</v>
      </c>
      <c r="E4" s="2" t="s">
        <v>346</v>
      </c>
      <c r="F4" s="2" t="s">
        <v>2</v>
      </c>
      <c r="G4" s="5" t="s">
        <v>347</v>
      </c>
    </row>
    <row r="5" spans="1:7">
      <c r="A5" s="2" t="s">
        <v>341</v>
      </c>
      <c r="B5" s="2">
        <v>1016</v>
      </c>
      <c r="C5" s="2">
        <v>17</v>
      </c>
      <c r="D5" s="2" t="s">
        <v>348</v>
      </c>
      <c r="E5" s="2" t="s">
        <v>349</v>
      </c>
      <c r="F5" s="2" t="s">
        <v>2</v>
      </c>
      <c r="G5" s="5" t="s">
        <v>350</v>
      </c>
    </row>
    <row r="6" spans="1:7">
      <c r="A6" s="2" t="s">
        <v>341</v>
      </c>
      <c r="B6" s="2">
        <v>1029</v>
      </c>
      <c r="C6" s="2">
        <v>30</v>
      </c>
      <c r="D6" s="2" t="s">
        <v>345</v>
      </c>
      <c r="E6" s="2" t="s">
        <v>346</v>
      </c>
      <c r="F6" s="2" t="s">
        <v>3</v>
      </c>
      <c r="G6" s="5" t="s">
        <v>347</v>
      </c>
    </row>
    <row r="7" spans="1:7">
      <c r="A7" s="2" t="s">
        <v>341</v>
      </c>
      <c r="B7" s="2">
        <v>1040</v>
      </c>
      <c r="C7" s="2">
        <v>41</v>
      </c>
      <c r="D7" s="2" t="s">
        <v>351</v>
      </c>
      <c r="E7" s="2" t="s">
        <v>349</v>
      </c>
      <c r="F7" s="2" t="s">
        <v>8</v>
      </c>
      <c r="G7" s="5" t="s">
        <v>352</v>
      </c>
    </row>
    <row r="8" spans="1:7">
      <c r="A8" s="2" t="s">
        <v>341</v>
      </c>
      <c r="B8" s="2">
        <v>1053</v>
      </c>
      <c r="C8" s="2">
        <v>54</v>
      </c>
      <c r="D8" s="2" t="s">
        <v>353</v>
      </c>
      <c r="E8" s="2" t="s">
        <v>349</v>
      </c>
      <c r="F8" s="2" t="s">
        <v>7</v>
      </c>
      <c r="G8" s="5" t="s">
        <v>354</v>
      </c>
    </row>
    <row r="9" spans="1:7">
      <c r="A9" s="2" t="s">
        <v>341</v>
      </c>
      <c r="B9" s="2">
        <v>1074</v>
      </c>
      <c r="C9" s="2">
        <v>75</v>
      </c>
      <c r="D9" s="2" t="s">
        <v>355</v>
      </c>
      <c r="E9" s="2" t="s">
        <v>349</v>
      </c>
      <c r="F9" s="2" t="s">
        <v>1</v>
      </c>
      <c r="G9" s="5" t="s">
        <v>356</v>
      </c>
    </row>
    <row r="10" spans="1:7">
      <c r="A10" s="2" t="s">
        <v>341</v>
      </c>
      <c r="B10" s="2">
        <v>1092</v>
      </c>
      <c r="C10" s="2">
        <v>93</v>
      </c>
      <c r="D10" s="2" t="s">
        <v>357</v>
      </c>
      <c r="E10" s="2" t="s">
        <v>349</v>
      </c>
      <c r="F10" s="2" t="s">
        <v>9</v>
      </c>
      <c r="G10" s="5" t="s">
        <v>358</v>
      </c>
    </row>
    <row r="11" spans="1:7">
      <c r="A11" s="2" t="s">
        <v>341</v>
      </c>
      <c r="B11" s="2">
        <v>1117</v>
      </c>
      <c r="C11" s="2">
        <v>118</v>
      </c>
      <c r="D11" s="2" t="s">
        <v>348</v>
      </c>
      <c r="E11" s="2" t="s">
        <v>349</v>
      </c>
      <c r="F11" s="2" t="s">
        <v>2</v>
      </c>
      <c r="G11" s="5" t="s">
        <v>350</v>
      </c>
    </row>
    <row r="12" spans="1:7">
      <c r="A12" s="2" t="s">
        <v>341</v>
      </c>
      <c r="B12" s="2">
        <v>1131</v>
      </c>
      <c r="C12" s="2">
        <v>132</v>
      </c>
      <c r="D12" s="2" t="s">
        <v>351</v>
      </c>
      <c r="E12" s="2" t="s">
        <v>349</v>
      </c>
      <c r="F12" s="2" t="s">
        <v>8</v>
      </c>
      <c r="G12" s="5" t="s">
        <v>352</v>
      </c>
    </row>
    <row r="13" spans="1:7">
      <c r="A13" s="2" t="s">
        <v>359</v>
      </c>
      <c r="B13" s="2" t="s">
        <v>56</v>
      </c>
      <c r="C13" s="2">
        <v>6</v>
      </c>
      <c r="D13" s="2" t="s">
        <v>345</v>
      </c>
      <c r="E13" s="2" t="s">
        <v>346</v>
      </c>
      <c r="F13" s="2" t="s">
        <v>90</v>
      </c>
      <c r="G13" s="5" t="s">
        <v>347</v>
      </c>
    </row>
    <row r="14" spans="1:7">
      <c r="A14" s="2" t="s">
        <v>359</v>
      </c>
      <c r="B14" s="2" t="s">
        <v>68</v>
      </c>
      <c r="C14" s="2">
        <v>10</v>
      </c>
      <c r="D14" s="2" t="s">
        <v>342</v>
      </c>
      <c r="E14" s="2" t="s">
        <v>343</v>
      </c>
      <c r="F14" s="2" t="s">
        <v>2</v>
      </c>
      <c r="G14" s="5" t="s">
        <v>344</v>
      </c>
    </row>
    <row r="15" spans="1:7">
      <c r="A15" s="2" t="s">
        <v>359</v>
      </c>
      <c r="B15" s="2" t="s">
        <v>42</v>
      </c>
      <c r="C15" s="2">
        <v>13</v>
      </c>
      <c r="D15" s="2" t="s">
        <v>351</v>
      </c>
      <c r="E15" s="2" t="s">
        <v>349</v>
      </c>
      <c r="F15" s="2" t="s">
        <v>90</v>
      </c>
      <c r="G15" s="5" t="s">
        <v>352</v>
      </c>
    </row>
    <row r="16" spans="1:7">
      <c r="A16" s="2" t="s">
        <v>359</v>
      </c>
      <c r="B16" s="2" t="s">
        <v>74</v>
      </c>
      <c r="C16" s="2">
        <v>19</v>
      </c>
      <c r="D16" s="2" t="s">
        <v>345</v>
      </c>
      <c r="E16" s="2" t="s">
        <v>346</v>
      </c>
      <c r="F16" s="2" t="s">
        <v>91</v>
      </c>
      <c r="G16" s="5" t="s">
        <v>347</v>
      </c>
    </row>
    <row r="17" spans="1:7">
      <c r="A17" s="2" t="s">
        <v>359</v>
      </c>
      <c r="B17" s="2" t="s">
        <v>29</v>
      </c>
      <c r="C17" s="2">
        <v>26</v>
      </c>
      <c r="D17" s="2" t="s">
        <v>345</v>
      </c>
      <c r="E17" s="2" t="s">
        <v>346</v>
      </c>
      <c r="F17" s="2" t="s">
        <v>92</v>
      </c>
      <c r="G17" s="5" t="s">
        <v>347</v>
      </c>
    </row>
    <row r="18" spans="1:7">
      <c r="A18" s="2" t="s">
        <v>359</v>
      </c>
      <c r="B18" s="2" t="s">
        <v>68</v>
      </c>
      <c r="C18" s="2">
        <v>47</v>
      </c>
      <c r="D18" s="2" t="s">
        <v>342</v>
      </c>
      <c r="E18" s="2" t="s">
        <v>343</v>
      </c>
      <c r="F18" s="2" t="s">
        <v>2</v>
      </c>
      <c r="G18" s="5" t="s">
        <v>344</v>
      </c>
    </row>
    <row r="19" spans="1:7">
      <c r="A19" s="2" t="s">
        <v>360</v>
      </c>
      <c r="B19" s="2" t="s">
        <v>214</v>
      </c>
      <c r="C19" s="2">
        <v>11</v>
      </c>
      <c r="D19" s="2" t="s">
        <v>348</v>
      </c>
      <c r="E19" s="2" t="s">
        <v>349</v>
      </c>
      <c r="F19" s="2" t="s">
        <v>0</v>
      </c>
      <c r="G19" s="5" t="s">
        <v>350</v>
      </c>
    </row>
    <row r="20" spans="1:7">
      <c r="A20" s="2" t="s">
        <v>360</v>
      </c>
      <c r="B20" s="2" t="s">
        <v>214</v>
      </c>
      <c r="C20" s="2">
        <v>11</v>
      </c>
      <c r="D20" s="2" t="s">
        <v>351</v>
      </c>
      <c r="E20" s="2" t="s">
        <v>349</v>
      </c>
      <c r="F20" s="2" t="s">
        <v>200</v>
      </c>
      <c r="G20" s="5" t="s">
        <v>352</v>
      </c>
    </row>
    <row r="21" spans="1:7">
      <c r="A21" s="2" t="s">
        <v>360</v>
      </c>
      <c r="B21" s="2" t="s">
        <v>214</v>
      </c>
      <c r="C21" s="2">
        <v>11</v>
      </c>
      <c r="D21" s="2" t="s">
        <v>355</v>
      </c>
      <c r="E21" s="2" t="s">
        <v>349</v>
      </c>
      <c r="F21" s="2" t="s">
        <v>199</v>
      </c>
      <c r="G21" s="5" t="s">
        <v>356</v>
      </c>
    </row>
    <row r="22" spans="1:7">
      <c r="A22" s="2" t="s">
        <v>360</v>
      </c>
      <c r="B22" s="2" t="s">
        <v>223</v>
      </c>
      <c r="C22" s="2">
        <v>20</v>
      </c>
      <c r="D22" s="2" t="s">
        <v>351</v>
      </c>
      <c r="E22" s="2" t="s">
        <v>349</v>
      </c>
      <c r="F22" s="2" t="s">
        <v>200</v>
      </c>
      <c r="G22" s="5" t="s">
        <v>352</v>
      </c>
    </row>
    <row r="23" spans="1:7">
      <c r="A23" s="2" t="s">
        <v>360</v>
      </c>
      <c r="B23" s="2" t="s">
        <v>231</v>
      </c>
      <c r="C23" s="2">
        <v>28</v>
      </c>
      <c r="D23" s="2" t="s">
        <v>345</v>
      </c>
      <c r="E23" s="2" t="s">
        <v>346</v>
      </c>
      <c r="F23" s="2" t="s">
        <v>201</v>
      </c>
      <c r="G23" s="5" t="s">
        <v>347</v>
      </c>
    </row>
    <row r="24" spans="1:7">
      <c r="A24" s="2" t="s">
        <v>360</v>
      </c>
      <c r="B24" s="2" t="s">
        <v>231</v>
      </c>
      <c r="C24" s="2">
        <v>28</v>
      </c>
      <c r="D24" s="2" t="s">
        <v>357</v>
      </c>
      <c r="E24" s="2" t="s">
        <v>349</v>
      </c>
      <c r="F24" s="2" t="s">
        <v>201</v>
      </c>
      <c r="G24" s="5" t="s">
        <v>358</v>
      </c>
    </row>
    <row r="25" spans="1:7">
      <c r="A25" s="2" t="s">
        <v>360</v>
      </c>
      <c r="B25" s="2" t="s">
        <v>242</v>
      </c>
      <c r="C25" s="2">
        <v>39</v>
      </c>
      <c r="D25" s="2" t="s">
        <v>355</v>
      </c>
      <c r="E25" s="2" t="s">
        <v>349</v>
      </c>
      <c r="F25" s="2" t="s">
        <v>199</v>
      </c>
      <c r="G25" s="5" t="s">
        <v>356</v>
      </c>
    </row>
  </sheetData>
  <autoFilter ref="A1:G25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H17"/>
  <sheetViews>
    <sheetView showGridLines="0" workbookViewId="0"/>
  </sheetViews>
  <sheetFormatPr defaultRowHeight="15"/>
  <cols>
    <col min="1" max="1" width="24.7109375" customWidth="1"/>
    <col min="2" max="2" width="16.7109375" customWidth="1"/>
    <col min="3" max="3" width="4.7109375" customWidth="1"/>
    <col min="4" max="4" width="24.7109375" customWidth="1"/>
    <col min="5" max="5" width="16.7109375" customWidth="1"/>
    <col min="6" max="6" width="4.7109375" customWidth="1"/>
    <col min="7" max="8" width="18.7109375" customWidth="1"/>
  </cols>
  <sheetData>
    <row r="1" spans="1:8">
      <c r="A1" s="6" t="s">
        <v>361</v>
      </c>
      <c r="B1" s="6"/>
      <c r="C1" s="6"/>
      <c r="D1" s="6"/>
      <c r="E1" s="6"/>
      <c r="F1" s="6"/>
      <c r="G1" s="6"/>
      <c r="H1" s="6"/>
    </row>
    <row r="3" spans="1:8">
      <c r="A3" s="1" t="s">
        <v>362</v>
      </c>
      <c r="B3" s="1" t="s">
        <v>363</v>
      </c>
      <c r="D3" s="1" t="s">
        <v>357</v>
      </c>
      <c r="E3" s="1" t="s">
        <v>370</v>
      </c>
      <c r="G3" s="1" t="s">
        <v>380</v>
      </c>
      <c r="H3" s="1" t="s">
        <v>381</v>
      </c>
    </row>
    <row r="4" spans="1:8">
      <c r="A4" s="2" t="s">
        <v>364</v>
      </c>
      <c r="B4" s="4">
        <f>COUNTA('01_orders_raw'!$A$2:$A$161)</f>
        <v>0</v>
      </c>
      <c r="D4" s="2" t="s">
        <v>14</v>
      </c>
      <c r="E4" s="4">
        <f>COUNTIF('01_orders_raw'!$J$2:$J$161,D4)</f>
        <v>0</v>
      </c>
      <c r="G4" s="2" t="s">
        <v>341</v>
      </c>
      <c r="H4" s="4">
        <f>COUNTIF('05_errors'!$A$2:$A$25,G4)</f>
        <v>0</v>
      </c>
    </row>
    <row r="5" spans="1:8">
      <c r="A5" s="2" t="s">
        <v>365</v>
      </c>
      <c r="B5" s="4">
        <f>SUM('01_orders_raw'!$I$2:$I$161)</f>
        <v>0</v>
      </c>
      <c r="D5" s="2" t="s">
        <v>19</v>
      </c>
      <c r="E5" s="4">
        <f>COUNTIF('01_orders_raw'!$J$2:$J$161,D5)</f>
        <v>0</v>
      </c>
      <c r="G5" s="2" t="s">
        <v>359</v>
      </c>
      <c r="H5" s="4">
        <f>COUNTIF('05_errors'!$A$2:$A$25,G5)</f>
        <v>0</v>
      </c>
    </row>
    <row r="6" spans="1:8">
      <c r="A6" s="2" t="s">
        <v>366</v>
      </c>
      <c r="B6" s="4">
        <f>COUNTA('02_clients_raw'!$A$2:$A$47)</f>
        <v>0</v>
      </c>
      <c r="D6" s="2" t="s">
        <v>28</v>
      </c>
      <c r="E6" s="4">
        <f>COUNTIF('01_orders_raw'!$J$2:$J$161,D6)</f>
        <v>0</v>
      </c>
      <c r="G6" s="2" t="s">
        <v>360</v>
      </c>
      <c r="H6" s="4">
        <f>COUNTIF('05_errors'!$A$2:$A$25,G6)</f>
        <v>0</v>
      </c>
    </row>
    <row r="7" spans="1:8">
      <c r="A7" s="2" t="s">
        <v>367</v>
      </c>
      <c r="B7" s="4">
        <f>COUNTA('03_payments_raw'!$A$2:$A$121)</f>
        <v>0</v>
      </c>
      <c r="D7" s="2" t="s">
        <v>48</v>
      </c>
      <c r="E7" s="4">
        <f>COUNTIF('01_orders_raw'!$J$2:$J$161,D7)</f>
        <v>0</v>
      </c>
      <c r="G7" s="2" t="s">
        <v>349</v>
      </c>
      <c r="H7" s="4">
        <f>COUNTIF('05_errors'!$E$2:$E$25,G7)</f>
        <v>0</v>
      </c>
    </row>
    <row r="8" spans="1:8">
      <c r="A8" s="2" t="s">
        <v>368</v>
      </c>
      <c r="B8" s="4">
        <f>COUNTA('05_errors'!$A$2:$A$25)</f>
        <v>0</v>
      </c>
      <c r="D8" s="2" t="s">
        <v>371</v>
      </c>
      <c r="E8" s="4">
        <f>COUNTA('01_orders_raw'!$J$2:$J$161)-SUM(E4:E7)</f>
        <v>0</v>
      </c>
    </row>
    <row r="9" spans="1:8">
      <c r="A9" s="2" t="s">
        <v>369</v>
      </c>
      <c r="B9" s="7">
        <f>COUNTIF('04_checks'!$J$2:$J$327,"&gt;0")/COUNTA('04_checks'!$A$2:$A$327)</f>
        <v>0</v>
      </c>
    </row>
    <row r="10" spans="1:8">
      <c r="D10" s="1" t="s">
        <v>372</v>
      </c>
      <c r="E10" s="1" t="s">
        <v>373</v>
      </c>
    </row>
    <row r="11" spans="1:8">
      <c r="D11" s="2" t="s">
        <v>342</v>
      </c>
      <c r="E11" s="4">
        <f>COUNTIF('05_errors'!$D$2:$D$25,D11)</f>
        <v>0</v>
      </c>
    </row>
    <row r="12" spans="1:8">
      <c r="A12" s="1" t="s">
        <v>374</v>
      </c>
      <c r="B12" s="1" t="s">
        <v>365</v>
      </c>
      <c r="D12" s="2" t="s">
        <v>345</v>
      </c>
      <c r="E12" s="4">
        <f>COUNTIF('05_errors'!$D$2:$D$25,D12)</f>
        <v>0</v>
      </c>
    </row>
    <row r="13" spans="1:8">
      <c r="A13" s="2" t="s">
        <v>375</v>
      </c>
      <c r="B13" s="4">
        <f>SUMIFS('01_orders_raw'!$I$2:$I$161,'01_orders_raw'!$B$2:$B$161,"&gt;="&amp;DATE(2026,1,1),'01_orders_raw'!$B$2:$B$161,"&lt;"&amp;DATE(2026,2,1))</f>
        <v>0</v>
      </c>
      <c r="D13" s="2" t="s">
        <v>348</v>
      </c>
      <c r="E13" s="4">
        <f>COUNTIF('05_errors'!$D$2:$D$25,D13)</f>
        <v>0</v>
      </c>
    </row>
    <row r="14" spans="1:8">
      <c r="A14" s="2" t="s">
        <v>376</v>
      </c>
      <c r="B14" s="4">
        <f>SUMIFS('01_orders_raw'!$I$2:$I$161,'01_orders_raw'!$B$2:$B$161,"&gt;="&amp;DATE(2026,2,1),'01_orders_raw'!$B$2:$B$161,"&lt;"&amp;DATE(2026,3,1))</f>
        <v>0</v>
      </c>
      <c r="D14" s="2" t="s">
        <v>351</v>
      </c>
      <c r="E14" s="4">
        <f>COUNTIF('05_errors'!$D$2:$D$25,D14)</f>
        <v>0</v>
      </c>
    </row>
    <row r="15" spans="1:8">
      <c r="A15" s="2" t="s">
        <v>377</v>
      </c>
      <c r="B15" s="4">
        <f>SUMIFS('01_orders_raw'!$I$2:$I$161,'01_orders_raw'!$B$2:$B$161,"&gt;="&amp;DATE(2026,3,1),'01_orders_raw'!$B$2:$B$161,"&lt;"&amp;DATE(2026,4,1))</f>
        <v>0</v>
      </c>
      <c r="D15" s="2" t="s">
        <v>353</v>
      </c>
      <c r="E15" s="4">
        <f>COUNTIF('05_errors'!$D$2:$D$25,D15)</f>
        <v>0</v>
      </c>
    </row>
    <row r="16" spans="1:8">
      <c r="A16" s="2" t="s">
        <v>378</v>
      </c>
      <c r="B16" s="4">
        <f>SUMIFS('01_orders_raw'!$I$2:$I$161,'01_orders_raw'!$B$2:$B$161,"&gt;="&amp;DATE(2026,4,1),'01_orders_raw'!$B$2:$B$161,"&lt;"&amp;DATE(2026,5,1))</f>
        <v>0</v>
      </c>
      <c r="D16" s="2" t="s">
        <v>355</v>
      </c>
      <c r="E16" s="4">
        <f>COUNTIF('05_errors'!$D$2:$D$25,D16)</f>
        <v>0</v>
      </c>
    </row>
    <row r="17" spans="1:5">
      <c r="A17" s="2" t="s">
        <v>379</v>
      </c>
      <c r="B17" s="4">
        <f>SUMIFS('01_orders_raw'!$I$2:$I$161,'01_orders_raw'!$B$2:$B$161,"&gt;="&amp;DATE(2026,5,1),'01_orders_raw'!$B$2:$B$161,"&lt;"&amp;DATE(2026,6,1))</f>
        <v>0</v>
      </c>
      <c r="D17" s="2" t="s">
        <v>357</v>
      </c>
      <c r="E17" s="4">
        <f>COUNTIF('05_errors'!$D$2:$D$25,D17)</f>
        <v>0</v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N35"/>
  <sheetViews>
    <sheetView showGridLines="0" workbookViewId="0"/>
  </sheetViews>
  <sheetFormatPr defaultRowHeight="15"/>
  <cols>
    <col min="1" max="1" width="17.7109375" customWidth="1"/>
    <col min="2" max="2" width="16.7109375" customWidth="1"/>
    <col min="3" max="3" width="3.7109375" customWidth="1"/>
    <col min="4" max="4" width="19.7109375" customWidth="1"/>
    <col min="5" max="5" width="20.7109375" customWidth="1"/>
    <col min="6" max="6" width="3.7109375" customWidth="1"/>
    <col min="7" max="7" width="19.7109375" customWidth="1"/>
    <col min="8" max="8" width="14.7109375" customWidth="1"/>
    <col min="9" max="9" width="3.7109375" customWidth="1"/>
    <col min="10" max="14" width="14.7109375" customWidth="1"/>
  </cols>
  <sheetData>
    <row r="1" spans="1:14">
      <c r="A1" s="6" t="s">
        <v>382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</row>
    <row r="3" spans="1:14">
      <c r="A3" s="8" t="s">
        <v>365</v>
      </c>
      <c r="B3" s="4">
        <f>'06_summary'!B5</f>
        <v>0</v>
      </c>
      <c r="D3" s="8" t="s">
        <v>384</v>
      </c>
      <c r="E3" s="4">
        <f>'06_summary'!B6</f>
        <v>0</v>
      </c>
    </row>
    <row r="4" spans="1:14">
      <c r="A4" s="8" t="s">
        <v>370</v>
      </c>
      <c r="B4" s="4">
        <f>'06_summary'!B4</f>
        <v>0</v>
      </c>
      <c r="D4" s="8" t="s">
        <v>385</v>
      </c>
      <c r="E4" s="4">
        <f>'06_summary'!B7</f>
        <v>0</v>
      </c>
    </row>
    <row r="5" spans="1:14">
      <c r="A5" s="8" t="s">
        <v>381</v>
      </c>
      <c r="B5" s="4">
        <f>'06_summary'!B8</f>
        <v>0</v>
      </c>
      <c r="D5" s="8" t="s">
        <v>369</v>
      </c>
      <c r="E5" s="7">
        <f>'06_summary'!B9</f>
        <v>0</v>
      </c>
    </row>
    <row r="6" spans="1:14">
      <c r="A6" s="8" t="s">
        <v>383</v>
      </c>
      <c r="B6" s="4">
        <f>'06_summary'!H7</f>
        <v>0</v>
      </c>
      <c r="D6" s="8" t="s">
        <v>386</v>
      </c>
      <c r="E6" s="2">
        <f>"Расчеты и связи"</f>
        <v>0</v>
      </c>
    </row>
    <row r="8" spans="1:14">
      <c r="A8" s="1" t="s">
        <v>374</v>
      </c>
      <c r="B8" s="1" t="s">
        <v>365</v>
      </c>
      <c r="D8" s="1" t="s">
        <v>372</v>
      </c>
      <c r="E8" s="1" t="s">
        <v>373</v>
      </c>
      <c r="G8" s="1" t="s">
        <v>357</v>
      </c>
      <c r="H8" s="1" t="s">
        <v>373</v>
      </c>
    </row>
    <row r="9" spans="1:14">
      <c r="A9" s="2">
        <f>'06_summary'!A13</f>
        <v>0</v>
      </c>
      <c r="B9" s="4">
        <f>'06_summary'!B13</f>
        <v>0</v>
      </c>
      <c r="D9" s="2">
        <f>'06_summary'!D11</f>
        <v>0</v>
      </c>
      <c r="E9" s="4">
        <f>'06_summary'!E11</f>
        <v>0</v>
      </c>
      <c r="G9" s="2">
        <f>'06_summary'!D4</f>
        <v>0</v>
      </c>
      <c r="H9" s="4">
        <f>'06_summary'!E4</f>
        <v>0</v>
      </c>
    </row>
    <row r="10" spans="1:14">
      <c r="A10" s="2">
        <f>'06_summary'!A14</f>
        <v>0</v>
      </c>
      <c r="B10" s="4">
        <f>'06_summary'!B14</f>
        <v>0</v>
      </c>
      <c r="D10" s="2">
        <f>'06_summary'!D12</f>
        <v>0</v>
      </c>
      <c r="E10" s="4">
        <f>'06_summary'!E12</f>
        <v>0</v>
      </c>
      <c r="G10" s="2">
        <f>'06_summary'!D5</f>
        <v>0</v>
      </c>
      <c r="H10" s="4">
        <f>'06_summary'!E5</f>
        <v>0</v>
      </c>
    </row>
    <row r="11" spans="1:14">
      <c r="A11" s="2">
        <f>'06_summary'!A15</f>
        <v>0</v>
      </c>
      <c r="B11" s="4">
        <f>'06_summary'!B15</f>
        <v>0</v>
      </c>
      <c r="D11" s="2">
        <f>'06_summary'!D13</f>
        <v>0</v>
      </c>
      <c r="E11" s="4">
        <f>'06_summary'!E13</f>
        <v>0</v>
      </c>
      <c r="G11" s="2">
        <f>'06_summary'!D6</f>
        <v>0</v>
      </c>
      <c r="H11" s="4">
        <f>'06_summary'!E6</f>
        <v>0</v>
      </c>
    </row>
    <row r="12" spans="1:14">
      <c r="A12" s="2">
        <f>'06_summary'!A16</f>
        <v>0</v>
      </c>
      <c r="B12" s="4">
        <f>'06_summary'!B16</f>
        <v>0</v>
      </c>
      <c r="D12" s="2">
        <f>'06_summary'!D14</f>
        <v>0</v>
      </c>
      <c r="E12" s="4">
        <f>'06_summary'!E14</f>
        <v>0</v>
      </c>
      <c r="G12" s="2">
        <f>'06_summary'!D7</f>
        <v>0</v>
      </c>
      <c r="H12" s="4">
        <f>'06_summary'!E7</f>
        <v>0</v>
      </c>
    </row>
    <row r="13" spans="1:14">
      <c r="A13" s="2">
        <f>'06_summary'!A17</f>
        <v>0</v>
      </c>
      <c r="B13" s="4">
        <f>'06_summary'!B17</f>
        <v>0</v>
      </c>
      <c r="D13" s="2">
        <f>'06_summary'!D15</f>
        <v>0</v>
      </c>
      <c r="E13" s="4">
        <f>'06_summary'!E15</f>
        <v>0</v>
      </c>
      <c r="G13" s="2">
        <f>'06_summary'!D8</f>
        <v>0</v>
      </c>
      <c r="H13" s="4">
        <f>'06_summary'!E8</f>
        <v>0</v>
      </c>
    </row>
    <row r="14" spans="1:14">
      <c r="D14" s="2">
        <f>'06_summary'!D16</f>
        <v>0</v>
      </c>
      <c r="E14" s="4">
        <f>'06_summary'!E16</f>
        <v>0</v>
      </c>
    </row>
    <row r="15" spans="1:14">
      <c r="D15" s="2">
        <f>'06_summary'!D17</f>
        <v>0</v>
      </c>
      <c r="E15" s="4">
        <f>'06_summary'!E17</f>
        <v>0</v>
      </c>
    </row>
    <row r="31" spans="1:2">
      <c r="A31" s="1" t="s">
        <v>380</v>
      </c>
      <c r="B31" s="1" t="s">
        <v>381</v>
      </c>
    </row>
    <row r="33" spans="1:2">
      <c r="A33" s="2">
        <f>'06_summary'!G4</f>
        <v>0</v>
      </c>
      <c r="B33" s="4">
        <f>'06_summary'!H4</f>
        <v>0</v>
      </c>
    </row>
    <row r="34" spans="1:2">
      <c r="A34" s="2">
        <f>'06_summary'!G5</f>
        <v>0</v>
      </c>
      <c r="B34" s="4">
        <f>'06_summary'!H5</f>
        <v>0</v>
      </c>
    </row>
    <row r="35" spans="1:2">
      <c r="A35" s="2">
        <f>'06_summary'!G6</f>
        <v>0</v>
      </c>
      <c r="B35" s="4">
        <f>'06_summary'!H6</f>
        <v>0</v>
      </c>
    </row>
  </sheetData>
  <mergeCells count="1">
    <mergeCell ref="A1:N1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F8"/>
  <sheetViews>
    <sheetView showGridLines="0" workbookViewId="0"/>
  </sheetViews>
  <sheetFormatPr defaultRowHeight="15"/>
  <cols>
    <col min="1" max="1" width="12.7109375" customWidth="1"/>
    <col min="2" max="2" width="28.7109375" customWidth="1"/>
    <col min="3" max="3" width="48.7109375" customWidth="1"/>
    <col min="4" max="4" width="24.7109375" customWidth="1"/>
    <col min="5" max="5" width="38.7109375" customWidth="1"/>
    <col min="6" max="6" width="18.7109375" customWidth="1"/>
  </cols>
  <sheetData>
    <row r="1" spans="1:6">
      <c r="A1" s="6" t="s">
        <v>387</v>
      </c>
      <c r="B1" s="6"/>
      <c r="C1" s="6"/>
      <c r="D1" s="6"/>
      <c r="E1" s="6"/>
      <c r="F1" s="6"/>
    </row>
    <row r="3" spans="1:6">
      <c r="A3" s="1" t="s">
        <v>388</v>
      </c>
      <c r="B3" s="1" t="s">
        <v>389</v>
      </c>
      <c r="C3" s="1" t="s">
        <v>390</v>
      </c>
      <c r="D3" s="1" t="s">
        <v>391</v>
      </c>
      <c r="E3" s="1" t="s">
        <v>392</v>
      </c>
      <c r="F3" s="1" t="s">
        <v>357</v>
      </c>
    </row>
    <row r="4" spans="1:6">
      <c r="A4" s="5" t="s">
        <v>349</v>
      </c>
      <c r="B4" s="5" t="s">
        <v>393</v>
      </c>
      <c r="C4" s="5" t="s">
        <v>394</v>
      </c>
      <c r="D4" s="5" t="s">
        <v>395</v>
      </c>
      <c r="E4" s="5" t="s">
        <v>396</v>
      </c>
      <c r="F4" s="5" t="s">
        <v>397</v>
      </c>
    </row>
    <row r="5" spans="1:6">
      <c r="A5" s="5" t="s">
        <v>349</v>
      </c>
      <c r="B5" s="5" t="s">
        <v>398</v>
      </c>
      <c r="C5" s="5" t="s">
        <v>399</v>
      </c>
      <c r="D5" s="5" t="s">
        <v>400</v>
      </c>
      <c r="E5" s="5" t="s">
        <v>401</v>
      </c>
      <c r="F5" s="5" t="s">
        <v>397</v>
      </c>
    </row>
    <row r="6" spans="1:6">
      <c r="A6" s="5" t="s">
        <v>349</v>
      </c>
      <c r="B6" s="5" t="s">
        <v>402</v>
      </c>
      <c r="C6" s="5" t="s">
        <v>403</v>
      </c>
      <c r="D6" s="5" t="s">
        <v>404</v>
      </c>
      <c r="E6" s="5" t="s">
        <v>405</v>
      </c>
      <c r="F6" s="5" t="s">
        <v>397</v>
      </c>
    </row>
    <row r="7" spans="1:6">
      <c r="A7" s="5" t="s">
        <v>346</v>
      </c>
      <c r="B7" s="5" t="s">
        <v>406</v>
      </c>
      <c r="C7" s="5" t="s">
        <v>407</v>
      </c>
      <c r="D7" s="5" t="s">
        <v>408</v>
      </c>
      <c r="E7" s="5" t="s">
        <v>409</v>
      </c>
      <c r="F7" s="5" t="s">
        <v>397</v>
      </c>
    </row>
    <row r="8" spans="1:6">
      <c r="A8" s="5" t="s">
        <v>343</v>
      </c>
      <c r="B8" s="5" t="s">
        <v>410</v>
      </c>
      <c r="C8" s="5" t="s">
        <v>411</v>
      </c>
      <c r="D8" s="5" t="s">
        <v>400</v>
      </c>
      <c r="E8" s="5" t="s">
        <v>412</v>
      </c>
      <c r="F8" s="5" t="s">
        <v>397</v>
      </c>
    </row>
  </sheetData>
  <autoFilter ref="A3:F8"/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01_orders_raw</vt:lpstr>
      <vt:lpstr>02_clients_raw</vt:lpstr>
      <vt:lpstr>03_payments_raw</vt:lpstr>
      <vt:lpstr>04_checks</vt:lpstr>
      <vt:lpstr>05_errors</vt:lpstr>
      <vt:lpstr>06_summary</vt:lpstr>
      <vt:lpstr>07_dashboard</vt:lpstr>
      <vt:lpstr>08_action_plan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2026-06-25T19:34:04Z</dcterms:created>
  <dcterms:modified xsi:type="dcterms:W3CDTF">2026-06-25T19:34:04Z</dcterms:modified>
</cp:coreProperties>
</file>